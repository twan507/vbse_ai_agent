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drawings/drawing2.xml" ContentType="application/vnd.openxmlformats-officedocument.drawing+xml"/>
  <Override PartName="/xl/drawings/charts/chart2.xml" ContentType="application/vnd.openxmlformats-officedocument.drawingml.chart+xml"/>
  <Override PartName="/xl/worksheets/sheet8.xml" ContentType="application/vnd.openxmlformats-officedocument.spreadsheetml.worksheet+xml"/>
  <Override PartName="/xl/worksheets/sheet9.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worksheets/sheet10.xml" ContentType="application/vnd.openxmlformats-officedocument.spreadsheetml.worksheet+xml"/>
  <Override PartName="/xl/drawings/drawing4.xml" ContentType="application/vnd.openxmlformats-officedocument.drawing+xml"/>
  <Override PartName="/xl/drawings/charts/chart3.xml" ContentType="application/vnd.openxmlformats-officedocument.drawingml.chart+xml"/>
  <Override PartName="/xl/drawings/charts/chart4.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064c8190335c4631" /></Relationships>
</file>

<file path=xl/workbook.xml><?xml version="1.0" encoding="utf-8"?>
<x:workbook xmlns:x="http://schemas.openxmlformats.org/spreadsheetml/2006/main">
  <x:sheets>
    <x:sheet xmlns:r="http://schemas.openxmlformats.org/officeDocument/2006/relationships" name="Tổng quan" sheetId="1" r:id="Rfec0537db6484630"/>
    <x:sheet xmlns:r="http://schemas.openxmlformats.org/officeDocument/2006/relationships" name="Sự kiện xác nhận" sheetId="2" r:id="Rfdfb48b8404a4108"/>
    <x:sheet xmlns:r="http://schemas.openxmlformats.org/officeDocument/2006/relationships" name="Sự kiện cắt thuần" sheetId="3" r:id="R5dbd204d6aea435c"/>
    <x:sheet xmlns:r="http://schemas.openxmlformats.org/officeDocument/2006/relationships" name="Dữ liệu ngày" sheetId="4" r:id="R357f2c4668c54a9f"/>
    <x:sheet xmlns:r="http://schemas.openxmlformats.org/officeDocument/2006/relationships" name="Phương pháp" sheetId="5" r:id="R1822173d777244ce"/>
    <x:sheet xmlns:r="http://schemas.openxmlformats.org/officeDocument/2006/relationships" name="Nguồn &amp; kiểm tra" sheetId="6" r:id="R41eb2acd16604f7f"/>
    <x:sheet xmlns:r="http://schemas.openxmlformats.org/officeDocument/2006/relationships" name="Nghiên cứu sóng hồi" sheetId="7" r:id="Rc86196c40f1a4971"/>
    <x:sheet xmlns:r="http://schemas.openxmlformats.org/officeDocument/2006/relationships" name="Phân tích sự kiện" sheetId="8" r:id="R7b54c00c33c84aad"/>
    <x:sheet xmlns:r="http://schemas.openxmlformats.org/officeDocument/2006/relationships" name="Chi tiết sóng hồi" sheetId="9" r:id="R8fb8a906c5f441df"/>
    <x:sheet xmlns:r="http://schemas.openxmlformats.org/officeDocument/2006/relationships" name="Phân nhóm độ sâu" sheetId="10" r:id="Rb0080d8e814141bb"/>
    <x:sheet xmlns:r="http://schemas.openxmlformats.org/officeDocument/2006/relationships" name="Phương pháp mở rộng" sheetId="11" r:id="Re5a0f5149bc64ddc"/>
    <x:sheet xmlns:r="http://schemas.openxmlformats.org/officeDocument/2006/relationships" name="Kiểm tra mở rộng" sheetId="12" r:id="R9f41b902afa448db"/>
  </x:sheets>
</x:workbook>
</file>

<file path=xl/comments1.xml><?xml version="1.0" encoding="utf-8"?>
<x:comments xmlns:x="http://schemas.openxmlformats.org/spreadsheetml/2006/main">
  <x:authors>
    <x:author>tc={723805B7-D4B2-4B58-198D-ED9BDABB5904}</x:author>
  </x:authors>
  <x:commentList>
    <x:comment ref="A1" authorId="0">
      <x:text>
        <x:r>
          <x:t>[Threaded comment]
Your version of Excel allows you to read this threaded comment; however, any edits to it will get removed if the file is opened in a newer version of Excel. Learn more: https://go.microsoft.com/fwlink/?linkid=870924
Comment:
    Nguồn: Phan_tich_VNIndex_gay_MA200_va_thoi_gian_quay_lai_2000_2026(3).xlsx; dữ liệu chốt 2026-07-17.</x:t>
        </x:r>
      </x:text>
    </x:comment>
  </x:commentList>
</x:comments>
</file>

<file path=xl/comments2.xml><?xml version="1.0" encoding="utf-8"?>
<x:comments xmlns:x="http://schemas.openxmlformats.org/spreadsheetml/2006/main">
  <x:authors>
    <x:author>tc={82103182-AAED-47EB-1ADF-8FD7750C495B}</x:author>
  </x:authors>
  <x:commentList>
    <x:comment ref="C4" authorId="0">
      <x:text>
        <x:r>
          <x:t>[Threaded comment]
Your version of Excel allows you to read this threaded comment; however, any edits to it will get removed if the file is opened in a newer version of Excel. Learn more: https://go.microsoft.com/fwlink/?linkid=870924
Comment:
    Ba ngưỡng 3%, 5% và 7% được tính độc lập để kiểm tra độ nhạy của định nghĩa sóng hồi.</x:t>
        </x:r>
      </x:text>
    </x:comment>
  </x:commentList>
</x:comments>
</file>

<file path=xl/sharedStrings.xml><?xml version="1.0" encoding="utf-8"?>
<x:sst xmlns:x="http://schemas.openxmlformats.org/spreadsheetml/2006/main">
  <x:si>
    <x:t xml:space="preserve">VN-INDEX SAU KHI GÃY MA200: BAO LÂU QUAY LẠI?</x:t>
  </x:si>
  <x:si>
    <x:t xml:space="preserve">Ngày gãy</x:t>
  </x:si>
  <x:si>
    <x:t xml:space="preserve">Số phiên</x:t>
  </x:si>
  <x:si>
    <x:t xml:space="preserve">KẾT QUẢ CHÍNH — ƯU TIÊN ĐỊNH NGHĨA XÁC NHẬN 3 PHIÊN</x:t>
  </x:si>
  <x:si>
    <x:t xml:space="preserve">Trung vị quay lại</x:t>
  </x:si>
  <x:si>
    <x:t xml:space="preserve">Bình quân quay lại</x:t>
  </x:si>
  <x:si>
    <x:t xml:space="preserve">Lâu nhất</x:t>
  </x:si>
  <x:si>
    <x:t xml:space="preserve">Quay lại ≤ 60 phiên</x:t>
  </x:si>
  <x:si>
    <x:t xml:space="preserve">Giảm sâu bình quân</x:t>
  </x:si>
  <x:si>
    <x:t xml:space="preserve">lần</x:t>
  </x:si>
  <x:si>
    <x:t xml:space="preserve">phiên</x:t>
  </x:si>
  <x:si>
    <x:t xml:space="preserve">tỷ lệ</x:t>
  </x:si>
  <x:si>
    <x:t xml:space="preserve">từ ngày gãy</x:t>
  </x:si>
  <x:si>
    <x:t xml:space="preserve">PHÂN PHỐI THỜI GIAN QUAY LẠI</x:t>
  </x:si>
  <x:si>
    <x:t xml:space="preserve">SO SÁNH HAI CÁCH ĐỊNH NGHĨA</x:t>
  </x:si>
  <x:si>
    <x:t xml:space="preserve">Ngưỡng</x:t>
  </x:si>
  <x:si>
    <x:t xml:space="preserve">Số trường hợp</x:t>
  </x:si>
  <x:si>
    <x:t xml:space="preserve">Tỷ lệ</x:t>
  </x:si>
  <x:si>
    <x:t xml:space="preserve">Định nghĩa</x:t>
  </x:si>
  <x:si>
    <x:t xml:space="preserve">Số lần</x:t>
  </x:si>
  <x:si>
    <x:t xml:space="preserve">Trung vị phiên</x:t>
  </x:si>
  <x:si>
    <x:t xml:space="preserve">Bình quân phiên</x:t>
  </x:si>
  <x:si>
    <x:t xml:space="preserve">Tối đa phiên</x:t>
  </x:si>
  <x:si>
    <x:t xml:space="preserve">≤ 20 phiên</x:t>
  </x:si>
  <x:si>
    <x:t xml:space="preserve">Cắt thuần</x:t>
  </x:si>
  <x:si>
    <x:t xml:space="preserve">≤ 60 phiên</x:t>
  </x:si>
  <x:si>
    <x:t xml:space="preserve">Xác nhận 3 phiên</x:t>
  </x:si>
  <x:si>
    <x:t xml:space="preserve">≤ 120 phiên</x:t>
  </x:si>
  <x:si>
    <x:t xml:space="preserve">Ý nghĩa</x:t>
  </x:si>
  <x:si>
    <x:t xml:space="preserve">Nhiều nhiễu hơn</x:t>
  </x:si>
  <x:si>
    <x:t xml:space="preserve">Đại diện điển hình</x:t>
  </x:si>
  <x:si>
    <x:t xml:space="preserve">Bị kéo bởi bear market</x:t>
  </x:si>
  <x:si>
    <x:t xml:space="preserve">Đuôi phân phối dài</x:t>
  </x:si>
  <x:si>
    <x:t xml:space="preserve">Rủi ro sau gãy</x:t>
  </x:si>
  <x:si>
    <x:t xml:space="preserve">≤ 250 phiên</x:t>
  </x:si>
  <x:si>
    <x:t xml:space="preserve">NHỮNG CHU KỲ MẤT NHIỀU THỜI GIAN NHẤT</x:t>
  </x:si>
  <x:si>
    <x:t xml:space="preserve">Ngày quay lại</x:t>
  </x:si>
  <x:si>
    <x:t xml:space="preserve">Số ngày</x:t>
  </x:si>
  <x:si>
    <x:t xml:space="preserve">Giảm sâu nhất</x:t>
  </x:si>
  <x:si>
    <x:t xml:space="preserve">Điểm gãy</x:t>
  </x:si>
  <x:si>
    <x:t xml:space="preserve">Điểm đáy</x:t>
  </x:si>
  <x:si>
    <x:t xml:space="preserve">Bối cảnh</x:t>
  </x:si>
  <x:si>
    <x:t xml:space="preserve">Hậu bong bóng đầu thị trường</x:t>
  </x:si>
  <x:si>
    <x:t xml:space="preserve">Khủng hoảng tài chính 2008</x:t>
  </x:si>
  <x:si>
    <x:t xml:space="preserve">Chu kỳ thắt chặt 2022</x:t>
  </x:si>
  <x:si>
    <x:t xml:space="preserve">Điều chỉnh chu kỳ</x:t>
  </x:si>
  <x:si>
    <x:t xml:space="preserve">Thị trường suy yếu 2010</x:t>
  </x:si>
  <x:si>
    <x:t xml:space="preserve">COVID-19</x:t>
  </x:si>
  <x:si>
    <x:t xml:space="preserve">VN-INDEX: CÁC SỰ KIỆN GÃY VÀ QUAY LẠI MA200</x:t>
  </x:si>
  <x:si>
    <x:t xml:space="preserve">STT</x:t>
  </x:si>
  <x:si>
    <x:t xml:space="preserve">Đóng cửa</x:t>
  </x:si>
  <x:si>
    <x:t xml:space="preserve">MA200</x:t>
  </x:si>
  <x:si>
    <x:t xml:space="preserve">Đóng cửa quay lại</x:t>
  </x:si>
  <x:si>
    <x:t xml:space="preserve">MA200 quay lại</x:t>
  </x:si>
  <x:si>
    <x:t xml:space="preserve">Ngày đáy</x:t>
  </x:si>
  <x:si>
    <x:t xml:space="preserve">Trạng thái</x:t>
  </x:si>
  <x:si>
    <x:t xml:space="preserve">Đã quay lại</x:t>
  </x:si>
  <x:si>
    <x:t xml:space="preserve">DỮ LIỆU NGÀY VÀ CÔNG THỨC MA200</x:t>
  </x:si>
  <x:si>
    <x:t xml:space="preserve">Ngày</x:t>
  </x:si>
  <x:si>
    <x:t xml:space="preserve">Mở cửa</x:t>
  </x:si>
  <x:si>
    <x:t xml:space="preserve">Cao nhất</x:t>
  </x:si>
  <x:si>
    <x:t xml:space="preserve">Thấp nhất</x:t>
  </x:si>
  <x:si>
    <x:t xml:space="preserve">Khối lượng</x:t>
  </x:si>
  <x:si>
    <x:t xml:space="preserve">Cách MA200</x:t>
  </x:si>
  <x:si>
    <x:t xml:space="preserve">Dưới MA200?</x:t>
  </x:si>
  <x:si>
    <x:t xml:space="preserve">PHƯƠNG PHÁP NGHIÊN CỨU</x:t>
  </x:si>
  <x:si>
    <x:t xml:space="preserve">Các quy ước được trình bày rõ để có thể lặp lại và thay đổi giả định</x:t>
  </x:si>
  <x:si>
    <x:t xml:space="preserve">ĐỊNH NGHĨA</x:t>
  </x:si>
  <x:si>
    <x:t xml:space="preserve">Hạng mục</x:t>
  </x:si>
  <x:si>
    <x:t xml:space="preserve">Quy ước</x:t>
  </x:si>
  <x:si>
    <x:t xml:space="preserve">Đối tượng</x:t>
  </x:si>
  <x:si>
    <x:t xml:space="preserve">VN-Index, dữ liệu đóng cửa theo ngày</x:t>
  </x:si>
  <x:si>
    <x:t xml:space="preserve">Trung bình cộng của 200 mức đóng cửa gần nhất, bao gồm phiên hiện tại</x:t>
  </x:si>
  <x:si>
    <x:t xml:space="preserve">Phiên trước đóng cửa ≥ MA200; phiên hiện tại đóng cửa &lt; MA200</x:t>
  </x:si>
  <x:si>
    <x:t xml:space="preserve">Quay lại cắt thuần</x:t>
  </x:si>
  <x:si>
    <x:t xml:space="preserve">Phiên đầu tiên sau ngày gãy có đóng cửa ≥ MA200</x:t>
  </x:si>
  <x:si>
    <x:t xml:space="preserve">Gãy xác nhận</x:t>
  </x:si>
  <x:si>
    <x:t xml:space="preserve">Ngày đầu tiên của chuỗi 3 phiên liên tiếp đóng cửa &lt; MA200, với phiên trước chuỗi ≥ MA200</x:t>
  </x:si>
  <x:si>
    <x:t xml:space="preserve">Quay lại xác nhận</x:t>
  </x:si>
  <x:si>
    <x:t xml:space="preserve">Ngày đầu tiên của chuỗi 3 phiên liên tiếp đóng cửa ≥ MA200</x:t>
  </x:si>
  <x:si>
    <x:t xml:space="preserve">Chênh lệch vị trí trong chuỗi phiên giao dịch; không tính ngày gãy là một phiên chờ</x:t>
  </x:si>
  <x:si>
    <x:t xml:space="preserve">CÁCH ĐỌC KẾT QUẢ</x:t>
  </x:si>
  <x:si>
    <x:t xml:space="preserve">Trung vị là câu trả lời phù hợp nhất cho câu hỏi “thông thường mất bao lâu”, vì bình quân bị kéo lên mạnh bởi các chu kỳ 2001–2003, 2007–2009 và 2022–2023. Tín hiệu cắt thuần phù hợp theo dõi kỹ thuật ngắn hạn nhưng chứa nhiều whipsaw; tín hiệu xác nhận 3 phiên phù hợp hơn cho quản trị gia sản. Kết quả không phải dự báo chắc chắn cho lần gãy kế tiếp.</x:t>
  </x:si>
  <x:si>
    <x:t xml:space="preserve">NGUỒN DỮ LIỆU VÀ KIỂM TRA</x:t>
  </x:si>
  <x:si>
    <x:t xml:space="preserve">Thông tin để đối chiếu, cập nhật và tái lập kết quả</x:t>
  </x:si>
  <x:si>
    <x:t xml:space="preserve">Giá trị</x:t>
  </x:si>
  <x:si>
    <x:t xml:space="preserve">Đơn vị</x:t>
  </x:si>
  <x:si>
    <x:t xml:space="preserve">Thời điểm</x:t>
  </x:si>
  <x:si>
    <x:t xml:space="preserve">Nguồn</x:t>
  </x:si>
  <x:si>
    <x:t xml:space="preserve">URL</x:t>
  </x:si>
  <x:si>
    <x:t xml:space="preserve">Ghi chú</x:t>
  </x:si>
  <x:si>
    <x:t xml:space="preserve">Dữ liệu VN-Index</x:t>
  </x:si>
  <x:si>
    <x:t xml:space="preserve">CafeF – lịch sử giao dịch</x:t>
  </x:si>
  <x:si>
    <x:t xml:space="preserve">https://cafef.vn/du-lieu/lich-su-giao-dich-symbol-vnindex/trang-1-0-tab-1.chn</x:t>
  </x:si>
  <x:si>
    <x:t xml:space="preserve">OK</x:t>
  </x:si>
  <x:si>
    <x:t xml:space="preserve">Mốc bắt đầu chỉ số</x:t>
  </x:si>
  <x:si>
    <x:t xml:space="preserve">28/07/2000</x:t>
  </x:si>
  <x:si>
    <x:t xml:space="preserve">Simplize – mô tả VN-Index</x:t>
  </x:si>
  <x:si>
    <x:t xml:space="preserve">https://simplize.vn/chi-so/VNINDEX/lich-su-gia</x:t>
  </x:si>
  <x:si>
    <x:t xml:space="preserve">Ngày cơ sở của VN-Index</x:t>
  </x:si>
  <x:si>
    <x:t xml:space="preserve">Số phiên có MA200</x:t>
  </x:si>
  <x:si>
    <x:t xml:space="preserve">Tính trong workbook</x:t>
  </x:si>
  <x:si>
    <x:t xml:space="preserve">200 phiên đầu dùng để khởi tạo MA200</x:t>
  </x:si>
  <x:si>
    <x:t xml:space="preserve">Sự kiện cắt thuần</x:t>
  </x:si>
  <x:si>
    <x:t xml:space="preserve">Toàn kỳ</x:t>
  </x:si>
  <x:si>
    <x:t xml:space="preserve">Sự kiện xác nhận</x:t>
  </x:si>
  <x:si>
    <x:t xml:space="preserve">Kiểm tra dữ liệu</x:t>
  </x:si>
  <x:si>
    <x:t xml:space="preserve">dòng</x:t>
  </x:si>
  <x:si>
    <x:t xml:space="preserve">Kiểm tra trùng ngày và thứ tự</x:t>
  </x:si>
  <x:si>
    <x:t xml:space="preserve">VN-INDEX SAU GÃY MA200: SÓNG HỒI, TẠO ĐÁY VÀ ĐỔI TREND</x:t>
  </x:si>
  <x:si>
    <x:t xml:space="preserve">KẾT QUẢ CHÍNH — ƯU TIÊN CÁC ĐỢT GIẢM CÓ Ý NGHĨA TỪ 10%</x:t>
  </x:si>
  <x:si>
    <x:t xml:space="preserve">Số đợt giảm ≥10%</x:t>
  </x:si>
  <x:si>
    <x:t xml:space="preserve">Giảm sâu trung vị</x:t>
  </x:si>
  <x:si>
    <x:t xml:space="preserve">Tạo đáy sau</x:t>
  </x:si>
  <x:si>
    <x:t xml:space="preserve">Sóng hồi ≥5%</x:t>
  </x:si>
  <x:si>
    <x:t xml:space="preserve">Đáy → đổi trend</x:t>
  </x:si>
  <x:si>
    <x:t xml:space="preserve">Gãy → đổi trend</x:t>
  </x:si>
  <x:si>
    <x:t xml:space="preserve">Kết luận: nếu cú gãy MA200 xác nhận 3 phiên dẫn tới mức giảm từ 10% trở lên, VN-Index giảm sâu trung vị 24,8%, tạo đáy sau 75 phiên giao dịch (105 ngày lịch), thường có 1 sóng hồi hoàn chỉnh từ 5% trở lên trước đáy, rồi cần thêm 39 phiên để xác nhận đổi trend bằng 3 phiên liên tiếp trở lại trên MA200. Tổng thời gian trung vị từ gãy tới xác nhận đổi trend là 145 phiên.</x:t>
  </x:si>
  <x:si>
    <x:t xml:space="preserve">Cách đọc: toàn bộ 36 sự kiện bị pha loãng bởi các cú gãy giả — trung vị toàn mẫu chỉ giảm 3,6% và tạo đáy sau 7 phiên. Trong các đợt giảm ≥15%, 85,7% có ít nhất một sóng hồi ≥5%; với các đợt giảm ≥30%, trung vị là 3,5 sóng hồi. Ngoại lệ quan trọng là cú sốc nhanh như COVID-19: giảm sâu nhưng gần như không có sóng hồi hoàn chỉnh trước đáy.</x:t>
  </x:si>
  <x:si>
    <x:t xml:space="preserve">SO SÁNH CÁC NHÓM SỰ KIỆN</x:t>
  </x:si>
  <x:si>
    <x:t xml:space="preserve">Nhóm</x:t>
  </x:si>
  <x:si>
    <x:t xml:space="preserve">Tới đáy</x:t>
  </x:si>
  <x:si>
    <x:t xml:space="preserve">Đáy → trend</x:t>
  </x:si>
  <x:si>
    <x:t xml:space="preserve">Số sự kiện</x:t>
  </x:si>
  <x:si>
    <x:t xml:space="preserve">Tới đáy (phiên)</x:t>
  </x:si>
  <x:si>
    <x:t xml:space="preserve">Đáy → trend (phiên)</x:t>
  </x:si>
  <x:si>
    <x:t xml:space="preserve">Tổng (phiên)</x:t>
  </x:si>
  <x:si>
    <x:t xml:space="preserve">Sóng hồi 5% trung vị</x:t>
  </x:si>
  <x:si>
    <x:t xml:space="preserve">Có ≥1 sóng 5%</x:t>
  </x:si>
  <x:si>
    <x:t xml:space="preserve">Toàn bộ 36 sự kiện</x:t>
  </x:si>
  <x:si>
    <x:t xml:space="preserve">Giảm ≥10%</x:t>
  </x:si>
  <x:si>
    <x:t xml:space="preserve">Giảm ≥15%</x:t>
  </x:si>
  <x:si>
    <x:t xml:space="preserve">Quay lại ≥60 phiên</x:t>
  </x:si>
  <x:si>
    <x:t xml:space="preserve">Giảm ≥30%</x:t>
  </x:si>
  <x:si>
    <x:t xml:space="preserve">ĐỘ NHẠY ĐỊNH NGHĨA SÓNG HỒI</x:t>
  </x:si>
  <x:si>
    <x:t xml:space="preserve">Ngưỡng 3% - trung vị</x:t>
  </x:si>
  <x:si>
    <x:t xml:space="preserve">Ngưỡng 3% - bình quân</x:t>
  </x:si>
  <x:si>
    <x:t xml:space="preserve">Ngưỡng 5% - trung vị</x:t>
  </x:si>
  <x:si>
    <x:t xml:space="preserve">Ngưỡng 5% - bình quân</x:t>
  </x:si>
  <x:si>
    <x:t xml:space="preserve">Ngưỡng 7% - trung vị</x:t>
  </x:si>
  <x:si>
    <x:t xml:space="preserve">Một sóng hồi ≥5% trong toàn mẫu tăng trung vị 11.6%, kéo dài 12 phiên từ đáy cục bộ tới đỉnh hồi. Đây vẫn là sóng hồi thất bại vì sau đó chỉ số tạo đáy thấp hơn; không được xem là đổi trend.</x:t>
  </x:si>
  <x:si>
    <x:t xml:space="preserve">Ngày đổi trend</x:t>
  </x:si>
  <x:si>
    <x:t xml:space="preserve">Giảm sâu</x:t>
  </x:si>
  <x:si>
    <x:t xml:space="preserve">Tới đáy (ngày)</x:t>
  </x:si>
  <x:si>
    <x:t xml:space="preserve">Đáy→trend (phiên)</x:t>
  </x:si>
  <x:si>
    <x:t xml:space="preserve">Đáy→trend (ngày)</x:t>
  </x:si>
  <x:si>
    <x:t xml:space="preserve">Tổng phiên</x:t>
  </x:si>
  <x:si>
    <x:t xml:space="preserve">Tổng ngày</x:t>
  </x:si>
  <x:si>
    <x:t xml:space="preserve">Sóng ≥3%</x:t>
  </x:si>
  <x:si>
    <x:t xml:space="preserve">Sóng ≥5%</x:t>
  </x:si>
  <x:si>
    <x:t xml:space="preserve">Sóng ≥7%</x:t>
  </x:si>
  <x:si>
    <x:t xml:space="preserve">Đáy/Tổng</x:t>
  </x:si>
  <x:si>
    <x:t xml:space="preserve">Nhóm độ sâu</x:t>
  </x:si>
  <x:si>
    <x:t xml:space="preserve">Giảm ≥10%?</x:t>
  </x:si>
  <x:si>
    <x:t xml:space="preserve">Giảm ≥15%?</x:t>
  </x:si>
  <x:si>
    <x:t xml:space="preserve">Kiểm tra phiên</x:t>
  </x:si>
  <x:si>
    <x:t xml:space="preserve">≥30%</x:t>
  </x:si>
  <x:si>
    <x:t xml:space="preserve">Có</x:t>
  </x:si>
  <x:si>
    <x:t xml:space="preserve">0–5%</x:t>
  </x:si>
  <x:si>
    <x:t xml:space="preserve">Không</x:t>
  </x:si>
  <x:si>
    <x:t xml:space="preserve">10–20%</x:t>
  </x:si>
  <x:si>
    <x:t xml:space="preserve">20–30%</x:t>
  </x:si>
  <x:si>
    <x:t xml:space="preserve">5–10%</x:t>
  </x:si>
  <x:si>
    <x:t xml:space="preserve">CHI TIẾT CÁC SÓNG HỒI THẤT BẠI TRƯỚC ĐÁY CUỐI CÙNG</x:t>
  </x:si>
  <x:si>
    <x:t xml:space="preserve">Một sóng chỉ được ghi nhận nếu tăng đủ ngưỡng, kéo dài ít nhất 3 phiên tới đỉnh và sau đó tạo đáy thấp hơn trước đáy cuối cùng</x:t>
  </x:si>
  <x:si>
    <x:t xml:space="preserve">STT sự kiện</x:t>
  </x:si>
  <x:si>
    <x:t xml:space="preserve">Sóng số</x:t>
  </x:si>
  <x:si>
    <x:t xml:space="preserve">Đáy cục bộ</x:t>
  </x:si>
  <x:si>
    <x:t xml:space="preserve">Đỉnh hồi</x:t>
  </x:si>
  <x:si>
    <x:t xml:space="preserve">Ngày tạo đáy thấp hơn</x:t>
  </x:si>
  <x:si>
    <x:t xml:space="preserve">Điểm đáy cục bộ</x:t>
  </x:si>
  <x:si>
    <x:t xml:space="preserve">Điểm đỉnh hồi</x:t>
  </x:si>
  <x:si>
    <x:t xml:space="preserve">Mức hồi</x:t>
  </x:si>
  <x:si>
    <x:t xml:space="preserve">Thời gian hồi (phiên)</x:t>
  </x:si>
  <x:si>
    <x:t xml:space="preserve">PHÂN NHÓM THEO ĐỘ SÂU GIẢM SAU KHI GÃY MA200</x:t>
  </x:si>
  <x:si>
    <x:t xml:space="preserve">Mục tiêu: phân biệt gãy giả, điều chỉnh thông thường và bear market có nhiều sóng hồi</x:t>
  </x:si>
  <x:si>
    <x:t xml:space="preserve">Nhóm giảm</x:t>
  </x:si>
  <x:si>
    <x:t xml:space="preserve">Sóng 3% trung vị</x:t>
  </x:si>
  <x:si>
    <x:t xml:space="preserve">Sóng 5% trung vị</x:t>
  </x:si>
  <x:si>
    <x:t xml:space="preserve">Sóng 7% trung vị</x:t>
  </x:si>
  <x:si>
    <x:t xml:space="preserve">Đáy→trend</x:t>
  </x:si>
  <x:si>
    <x:t xml:space="preserve">XÁC SUẤT XUẤT HIỆN SÓNG HỒI ≥5%</x:t>
  </x:si>
  <x:si>
    <x:t xml:space="preserve">Có ≥1 sóng</x:t>
  </x:si>
  <x:si>
    <x:t xml:space="preserve">Có ≥2 sóng</x:t>
  </x:si>
  <x:si>
    <x:t xml:space="preserve">Có ≥3 sóng</x:t>
  </x:si>
  <x:si>
    <x:t xml:space="preserve">Sóng trung vị</x:t>
  </x:si>
  <x:si>
    <x:t xml:space="preserve">Sóng 3%</x:t>
  </x:si>
  <x:si>
    <x:t xml:space="preserve">Sóng 5%</x:t>
  </x:si>
  <x:si>
    <x:t xml:space="preserve">Sóng 7%</x:t>
  </x:si>
  <x:si>
    <x:t xml:space="preserve">Diễn giải thực dụng: giảm dưới 5% thường là gãy giả và gần như không hình thành sóng hồi ≥5%. Từ 10–20%, thị trường thường có 0–1 nhịp hồi trước đáy. Khi giảm trên 30%, quá trình tạo đáy thường kéo dài và có nhiều nhịp hồi đủ mạnh để gây cảm giác “đã đổi trend”, nhưng phần lớn vẫn thất bại cho tới khi chỉ số xác nhận trở lại trên MA200.</x:t>
  </x:si>
  <x:si>
    <x:t xml:space="preserve">PHƯƠNG PHÁP NHẬN DIỆN SÓNG HỒI, TẠO ĐÁY VÀ ĐỔI TREND</x:t>
  </x:si>
  <x:si>
    <x:t xml:space="preserve">Quy ước minh bạch để có thể kiểm tra từng sự kiện và tránh đếm nhiễu ngày</x:t>
  </x:si>
  <x:si>
    <x:t xml:space="preserve">Gãy MA200 xác nhận</x:t>
  </x:si>
  <x:si>
    <x:t xml:space="preserve">Ngày đầu của chuỗi 3 phiên liên tiếp đóng cửa dưới MA200, với phiên trước chuỗi ở trên hoặc bằng MA200.</x:t>
  </x:si>
  <x:si>
    <x:t xml:space="preserve">Đáy cuối cùng</x:t>
  </x:si>
  <x:si>
    <x:t xml:space="preserve">Mức đóng cửa thấp nhất từ ngày gãy đến trước ngày xác nhận quay lại MA200.</x:t>
  </x:si>
  <x:si>
    <x:t xml:space="preserve">Đổi trend xác nhận</x:t>
  </x:si>
  <x:si>
    <x:t xml:space="preserve">Ngày đầu của chuỗi 3 phiên liên tiếp đóng cửa trên hoặc bằng MA200. Đây là xác nhận mạnh, không đồng nhất với ngày tạo đáy.</x:t>
  </x:si>
  <x:si>
    <x:t xml:space="preserve">Sóng hồi nhỏ</x:t>
  </x:si>
  <x:si>
    <x:t xml:space="preserve">Nhịp tăng từ một đáy cục bộ đạt ít nhất 3%, 5% hoặc 7%, kéo dài ít nhất 3 phiên tới đỉnh hồi, sau đó thất bại và tạo đáy thấp hơn trước đáy cuối cùng.</x:t>
  </x:si>
  <x:si>
    <x:t xml:space="preserve">Không đếm</x:t>
  </x:si>
  <x:si>
    <x:t xml:space="preserve">Nhịp hồi sau đáy cuối cùng; nhịp tăng chưa đủ ngưỡng; nhịp kéo dài dưới 3 phiên; dao động chưa tạo đáy thấp hơn.</x:t>
  </x:si>
  <x:si>
    <x:t xml:space="preserve">Mức giảm từ giá đóng cửa ngày gãy MA200 tới mức đóng cửa tại đáy cuối cùng.</x:t>
  </x:si>
  <x:si>
    <x:t xml:space="preserve">Thời gian tới đáy</x:t>
  </x:si>
  <x:si>
    <x:t xml:space="preserve">Số phiên giao dịch từ ngày gãy tới ngày đáy; không tính ngày gãy là một phiên chờ.</x:t>
  </x:si>
  <x:si>
    <x:t xml:space="preserve">Không dùng trung vị của toàn bộ 36 sự kiện để dự báo một bear market, vì phần lớn là các cú gãy nông và quay lại nhanh. Với quản trị danh mục, nên theo dõi song song ba lớp: (1) toàn mẫu để ước lượng xác suất gãy giả; (2) nhóm giảm từ 10% để mô tả một downtrend có ý nghĩa; (3) nhóm giảm từ 15% hoặc 30% để stress test. Số sóng hồi chỉ là mô tả lịch sử, không phải quy tắc đếm sóng Elliott. Một nhịp hồi 10–15% vẫn có thể nằm hoàn toàn trong downtrend nếu sau đó tạo đáy thấp hơn và chưa xác nhận trở lại trên MA200.</x:t>
  </x:si>
  <x:si>
    <x:t xml:space="preserve">GIỚI HẠN</x:t>
  </x:si>
  <x:si>
    <x:t xml:space="preserve">Giới hạn</x:t>
  </x:si>
  <x:si>
    <x:t xml:space="preserve">Chỉ có 36 lần gãy xác nhận và 9 lần giảm từ 10% trở lên; các kết quả đuôi sâu chịu ảnh hưởng mạnh của 2008, 2020 và 2022.</x:t>
  </x:si>
  <x:si>
    <x:t xml:space="preserve">Dùng giá đóng cửa</x:t>
  </x:si>
  <x:si>
    <x:t xml:space="preserve">Không đo mức biến động trong phiên; phù hợp với hệ thống MA200 của workbook gốc.</x:t>
  </x:si>
  <x:si>
    <x:t xml:space="preserve">Phụ thuộc ngưỡng</x:t>
  </x:si>
  <x:si>
    <x:t xml:space="preserve">Sóng 3% nhiều hơn sóng 5% và 7%; vì vậy file trình bày đồng thời cả ba ngưỡng.</x:t>
  </x:si>
  <x:si>
    <x:t xml:space="preserve">Không khẳng định nhân quả</x:t>
  </x:si>
  <x:si>
    <x:t xml:space="preserve">MA200 xác nhận trạng thái giá; không tự giải thích nguyên nhân lãi suất, lợi nhuận, thanh khoản hoặc sự kiện vĩ mô.</x:t>
  </x:si>
  <x:si>
    <x:t xml:space="preserve">KIỂM TRA TÍNH NHẤT QUÁN CỦA NGHIÊN CỨU MỞ RỘNG</x:t>
  </x:si>
  <x:si>
    <x:t xml:space="preserve">Mỗi kiểm tra phải đạt OK trước khi phát hành</x:t>
  </x:si>
  <x:si>
    <x:t xml:space="preserve">Kiểm tra</x:t>
  </x:si>
  <x:si>
    <x:t xml:space="preserve">Thực tế</x:t>
  </x:si>
  <x:si>
    <x:t xml:space="preserve">Kỳ vọng</x:t>
  </x:si>
  <x:si>
    <x:t xml:space="preserve">Chênh lệch</x:t>
  </x:si>
  <x:si>
    <x:t xml:space="preserve">Dung sai</x:t>
  </x:si>
  <x:si>
    <x:t xml:space="preserve">Khớp workbook nguồn</x:t>
  </x:si>
  <x:si>
    <x:t xml:space="preserve">Tổng số sóng 5% khớp chi tiết</x:t>
  </x:si>
  <x:si>
    <x:t xml:space="preserve">Tổng cột sóng 5% phải bằng số dòng ngưỡng 5%</x:t>
  </x:si>
  <x:si>
    <x:t xml:space="preserve">Tổng sai lệch phiên</x:t>
  </x:si>
  <x:si>
    <x:t xml:space="preserve">Tới đáy + đáy→trend = tổng phiên</x:t>
  </x:si>
  <x:si>
    <x:t xml:space="preserve">Sóng hồi âm</x:t>
  </x:si>
  <x:si>
    <x:t xml:space="preserve">Số sóng không thể âm</x:t>
  </x:si>
  <x:si>
    <x:t xml:space="preserve">TRẠNG THÁI TOÀN BỘ</x:t>
  </x:si>
</x:sst>
</file>

<file path=xl/styles.xml><?xml version="1.0" encoding="utf-8"?>
<x:styleSheet xmlns:x="http://schemas.openxmlformats.org/spreadsheetml/2006/main">
  <x:numFmts count="10">
    <x:numFmt numFmtId="164" formatCode="0.0%"/>
    <x:numFmt numFmtId="165" formatCode="0.0"/>
    <x:numFmt numFmtId="166" formatCode="yyyy"/>
    <x:numFmt numFmtId="167" formatCode="0.0%;[Red]\(0.0%\)"/>
    <x:numFmt numFmtId="168" formatCode="0\ &quot;phiên&quot;"/>
    <x:numFmt numFmtId="169" formatCode="0.0\ &quot;sóng&quot;"/>
    <x:numFmt numFmtId="200" formatCode="m/d/yy"/>
    <x:numFmt numFmtId="201" formatCode="#,##0.00"/>
    <x:numFmt numFmtId="202" formatCode="#,##0"/>
    <x:numFmt numFmtId="203" formatCode="0"/>
  </x:numFmts>
  <x:fonts count="21">
    <x:font>
      <x:sz val="11"/>
      <x:name val="Carlito"/>
    </x:font>
    <x:font>
      <x:b/>
      <x:sz val="18"/>
      <x:color rgb="FFFFFFFF"/>
      <x:name val="Carlito"/>
    </x:font>
    <x:font>
      <x:i/>
      <x:sz val="10"/>
      <x:color rgb="FF163A5F"/>
      <x:name val="Carlito"/>
    </x:font>
    <x:font>
      <x:b/>
      <x:sz val="11"/>
      <x:color rgb="FFFFFFFF"/>
      <x:name val="Carlito"/>
    </x:font>
    <x:font>
      <x:b/>
      <x:sz val="9"/>
      <x:color rgb="FF163A5F"/>
      <x:name val="Carlito"/>
    </x:font>
    <x:font>
      <x:b/>
      <x:sz val="16"/>
      <x:color rgb="FF163A5F"/>
      <x:name val="Carlito"/>
    </x:font>
    <x:font>
      <x:i/>
      <x:sz val="8"/>
      <x:color rgb="FF66717E"/>
      <x:name val="Carlito"/>
    </x:font>
    <x:font>
      <x:b/>
      <x:sz val="11"/>
      <x:color rgb="FF163A5F"/>
      <x:name val="Carlito"/>
    </x:font>
    <x:font>
      <x:b/>
      <x:sz val="10"/>
      <x:color rgb="FFFFFFFF"/>
      <x:name val="Carlito"/>
    </x:font>
    <x:font>
      <x:i/>
      <x:sz val="9"/>
      <x:color rgb="FF66717E"/>
      <x:name val="Carlito"/>
    </x:font>
    <x:font>
      <x:sz val="11"/>
      <x:color rgb="FF000000"/>
      <x:name val="Carlito"/>
    </x:font>
    <x:font>
      <x:sz val="11"/>
      <x:color rgb="FF163A5F"/>
      <x:name val="Carlito"/>
    </x:font>
    <x:font>
      <x:b/>
      <x:sz val="10"/>
      <x:color rgb="FF163A5F"/>
      <x:name val="Carlito"/>
    </x:font>
    <x:font>
      <x:i/>
      <x:sz val="9"/>
      <x:color rgb="FF163A5F"/>
      <x:name val="Carlito"/>
    </x:font>
    <x:font>
      <x:b/>
      <x:sz val="9"/>
      <x:color rgb="FFFFFFFF"/>
      <x:name val="Carlito"/>
    </x:font>
    <x:font>
      <x:sz val="9"/>
      <x:color rgb="FF000000"/>
      <x:name val="Carlito"/>
    </x:font>
    <x:font>
      <x:sz val="9"/>
      <x:color rgb="FF163A5F"/>
      <x:name val="Carlito"/>
    </x:font>
    <x:font>
      <x:sz val="10"/>
      <x:color rgb="FF163A5F"/>
      <x:name val="Carlito"/>
    </x:font>
    <x:font>
      <x:sz val="9"/>
      <x:color rgb="FF008000"/>
      <x:name val="Carlito"/>
    </x:font>
    <x:font>
      <x:b/>
      <x:sz val="12"/>
      <x:color rgb="FFFFFFFF"/>
      <x:name val="Carlito"/>
    </x:font>
    <x:font>
      <x:b/>
      <x:sz val="11"/>
      <x:color rgb="FF9C6500"/>
      <x:name val="Carlito"/>
    </x:font>
  </x:fonts>
  <x:fills count="18">
    <x:fill>
      <x:patternFill patternType="none"/>
    </x:fill>
    <x:fill>
      <x:patternFill patternType="gray125"/>
    </x:fill>
    <x:fill>
      <x:patternFill patternType="solid">
        <x:fgColor rgb="FF163A5F"/>
      </x:patternFill>
    </x:fill>
    <x:fill>
      <x:patternFill patternType="solid">
        <x:fgColor rgb="FFDCE6F1"/>
      </x:patternFill>
    </x:fill>
    <x:fill>
      <x:patternFill patternType="solid">
        <x:fgColor rgb="FFEAF1F7"/>
      </x:patternFill>
    </x:fill>
    <x:fill>
      <x:patternFill patternType="solid">
        <x:fgColor rgb="FFFFFFFF"/>
      </x:patternFill>
    </x:fill>
    <x:fill>
      <x:patternFill patternType="solid">
        <x:fgColor rgb="FFFFF4D6"/>
      </x:patternFill>
    </x:fill>
    <x:fill>
      <x:patternFill patternType="solid">
        <x:fgColor rgb="FF2F75B5"/>
      </x:patternFill>
    </x:fill>
    <x:fill>
      <x:patternFill patternType="solid">
        <x:fgColor rgb="FFF5F7FA"/>
      </x:patternFill>
    </x:fill>
    <x:fill>
      <x:patternFill patternType="solid">
        <x:fgColor rgb="FF163A5F"/>
      </x:patternFill>
    </x:fill>
    <x:fill>
      <x:patternFill patternType="solid">
        <x:fgColor rgb="FFDCE6F1"/>
      </x:patternFill>
    </x:fill>
    <x:fill>
      <x:patternFill patternType="solid">
        <x:fgColor rgb="FFEAF1F7"/>
      </x:patternFill>
    </x:fill>
    <x:fill>
      <x:patternFill patternType="solid">
        <x:fgColor rgb="FFFFFFFF"/>
      </x:patternFill>
    </x:fill>
    <x:fill>
      <x:patternFill patternType="solid">
        <x:fgColor rgb="FFFFF2CC"/>
      </x:patternFill>
    </x:fill>
    <x:fill>
      <x:patternFill patternType="solid">
        <x:fgColor rgb="FFF3F6F9"/>
      </x:patternFill>
    </x:fill>
    <x:fill>
      <x:patternFill patternType="solid">
        <x:fgColor rgb="FF2E75B6"/>
      </x:patternFill>
    </x:fill>
    <x:fill>
      <x:patternFill patternType="solid">
        <x:fgColor rgb="FFFCE4D6"/>
      </x:patternFill>
    </x:fill>
    <x:fill>
      <x:patternFill patternType="solid">
        <x:fgColor rgb="FFFFF2CC"/>
      </x:patternFill>
    </x:fill>
  </x:fills>
  <x:borders count="52">
    <x:border/>
    <x:border>
      <x:left style="thin">
        <x:color rgb="FFB8C7D9"/>
      </x:left>
      <x:top style="thin">
        <x:color rgb="FFB8C7D9"/>
      </x:top>
    </x:border>
    <x:border>
      <x:right style="thin">
        <x:color rgb="FFB8C7D9"/>
      </x:right>
      <x:top style="thin">
        <x:color rgb="FFB8C7D9"/>
      </x:top>
    </x:border>
    <x:border>
      <x:left style="thin">
        <x:color rgb="FFB8C7D9"/>
      </x:left>
      <x:bottom style="thin">
        <x:color rgb="FFB8C7D9"/>
      </x:bottom>
    </x:border>
    <x:border>
      <x:right style="thin">
        <x:color rgb="FFB8C7D9"/>
      </x:right>
      <x:bottom style="thin">
        <x:color rgb="FFB8C7D9"/>
      </x:bottom>
    </x:border>
    <x:border>
      <x:left style="thin">
        <x:color rgb="FFC59A32"/>
      </x:left>
      <x:top style="thin">
        <x:color rgb="FFC59A32"/>
      </x:top>
    </x:border>
    <x:border>
      <x:top style="thin">
        <x:color rgb="FFC59A32"/>
      </x:top>
    </x:border>
    <x:border>
      <x:right style="thin">
        <x:color rgb="FFC59A32"/>
      </x:right>
      <x:top style="thin">
        <x:color rgb="FFC59A32"/>
      </x:top>
    </x:border>
    <x:border>
      <x:left style="thin">
        <x:color rgb="FFC59A32"/>
      </x:left>
    </x:border>
    <x:border>
      <x:right style="thin">
        <x:color rgb="FFC59A32"/>
      </x:right>
    </x:border>
    <x:border>
      <x:left style="thin">
        <x:color rgb="FFC59A32"/>
      </x:left>
      <x:bottom style="thin">
        <x:color rgb="FFC59A32"/>
      </x:bottom>
    </x:border>
    <x:border>
      <x:bottom style="thin">
        <x:color rgb="FFC59A32"/>
      </x:bottom>
    </x:border>
    <x:border>
      <x:right style="thin">
        <x:color rgb="FFC59A32"/>
      </x:right>
      <x:bottom style="thin">
        <x:color rgb="FFC59A32"/>
      </x:bottom>
    </x:border>
    <x:border>
      <x:left style="thin">
        <x:color rgb="FFD9E2F3"/>
      </x:left>
      <x:right style="thin">
        <x:color rgb="FFD9E2F3"/>
      </x:right>
      <x:top style="thin">
        <x:color rgb="FFD9E2F3"/>
      </x:top>
      <x:bottom style="thin">
        <x:color rgb="FFD9E2F3"/>
      </x:bottom>
    </x:border>
    <x:border>
      <x:right style="thin">
        <x:color rgb="FFE1E6EB"/>
      </x:right>
      <x:bottom style="thin">
        <x:color rgb="FFE1E6EB"/>
      </x:bottom>
    </x:border>
    <x:border>
      <x:left style="thin">
        <x:color rgb="FFE1E6EB"/>
      </x:left>
      <x:right style="thin">
        <x:color rgb="FFE1E6EB"/>
      </x:right>
      <x:bottom style="thin">
        <x:color rgb="FFE1E6EB"/>
      </x:bottom>
    </x:border>
    <x:border>
      <x:left style="thin">
        <x:color rgb="FFE1E6EB"/>
      </x:left>
      <x:bottom style="thin">
        <x:color rgb="FFE1E6EB"/>
      </x:bottom>
    </x:border>
    <x:border>
      <x:right style="thin">
        <x:color rgb="FFE1E6EB"/>
      </x:right>
      <x:top style="thin">
        <x:color rgb="FFE1E6EB"/>
      </x:top>
      <x:bottom style="thin">
        <x:color rgb="FFE1E6EB"/>
      </x:bottom>
    </x:border>
    <x:border>
      <x:left style="thin">
        <x:color rgb="FFE1E6EB"/>
      </x:left>
      <x:right style="thin">
        <x:color rgb="FFE1E6EB"/>
      </x:right>
      <x:top style="thin">
        <x:color rgb="FFE1E6EB"/>
      </x:top>
      <x:bottom style="thin">
        <x:color rgb="FFE1E6EB"/>
      </x:bottom>
    </x:border>
    <x:border>
      <x:left style="thin">
        <x:color rgb="FFE1E6EB"/>
      </x:left>
      <x:top style="thin">
        <x:color rgb="FFE1E6EB"/>
      </x:top>
      <x:bottom style="thin">
        <x:color rgb="FFE1E6EB"/>
      </x:bottom>
    </x:border>
    <x:border>
      <x:right style="thin">
        <x:color rgb="FFE1E6EB"/>
      </x:right>
      <x:top style="thin">
        <x:color rgb="FFE1E6EB"/>
      </x:top>
    </x:border>
    <x:border>
      <x:left style="thin">
        <x:color rgb="FFE1E6EB"/>
      </x:left>
      <x:right style="thin">
        <x:color rgb="FFE1E6EB"/>
      </x:right>
      <x:top style="thin">
        <x:color rgb="FFE1E6EB"/>
      </x:top>
    </x:border>
    <x:border>
      <x:left style="thin">
        <x:color rgb="FFE1E6EB"/>
      </x:left>
      <x:top style="thin">
        <x:color rgb="FFE1E6EB"/>
      </x:top>
    </x:border>
    <x:border>
      <x:left style="thin">
        <x:color rgb="FFD9E2F3"/>
      </x:left>
      <x:right style="thin">
        <x:color rgb="FFEEF1F4"/>
      </x:right>
      <x:top style="thin">
        <x:color rgb="FFD9E2F3"/>
      </x:top>
      <x:bottom style="thin">
        <x:color rgb="FFEEF1F4"/>
      </x:bottom>
    </x:border>
    <x:border>
      <x:left style="thin">
        <x:color rgb="FFEEF1F4"/>
      </x:left>
      <x:right style="thin">
        <x:color rgb="FFEEF1F4"/>
      </x:right>
      <x:top style="thin">
        <x:color rgb="FFD9E2F3"/>
      </x:top>
      <x:bottom style="thin">
        <x:color rgb="FFEEF1F4"/>
      </x:bottom>
    </x:border>
    <x:border>
      <x:left style="thin">
        <x:color rgb="FFEEF1F4"/>
      </x:left>
      <x:right style="thin">
        <x:color rgb="FFD9E2F3"/>
      </x:right>
      <x:top style="thin">
        <x:color rgb="FFD9E2F3"/>
      </x:top>
      <x:bottom style="thin">
        <x:color rgb="FFEEF1F4"/>
      </x:bottom>
    </x:border>
    <x:border>
      <x:left style="thin">
        <x:color rgb="FFD9E2F3"/>
      </x:left>
      <x:right style="thin">
        <x:color rgb="FFEEF1F4"/>
      </x:right>
      <x:top style="thin">
        <x:color rgb="FFEEF1F4"/>
      </x:top>
      <x:bottom style="thin">
        <x:color rgb="FFEEF1F4"/>
      </x:bottom>
    </x:border>
    <x:border>
      <x:left style="thin">
        <x:color rgb="FFEEF1F4"/>
      </x:left>
      <x:right style="thin">
        <x:color rgb="FFEEF1F4"/>
      </x:right>
      <x:top style="thin">
        <x:color rgb="FFEEF1F4"/>
      </x:top>
      <x:bottom style="thin">
        <x:color rgb="FFEEF1F4"/>
      </x:bottom>
    </x:border>
    <x:border>
      <x:left style="thin">
        <x:color rgb="FFEEF1F4"/>
      </x:left>
      <x:right style="thin">
        <x:color rgb="FFD9E2F3"/>
      </x:right>
      <x:top style="thin">
        <x:color rgb="FFEEF1F4"/>
      </x:top>
      <x:bottom style="thin">
        <x:color rgb="FFEEF1F4"/>
      </x:bottom>
    </x:border>
    <x:border>
      <x:left style="thin">
        <x:color rgb="FFD9E2F3"/>
      </x:left>
      <x:right style="thin">
        <x:color rgb="FFEEF1F4"/>
      </x:right>
      <x:top style="thin">
        <x:color rgb="FFEEF1F4"/>
      </x:top>
      <x:bottom style="thin">
        <x:color rgb="FFD9E2F3"/>
      </x:bottom>
    </x:border>
    <x:border>
      <x:left style="thin">
        <x:color rgb="FFEEF1F4"/>
      </x:left>
      <x:right style="thin">
        <x:color rgb="FFEEF1F4"/>
      </x:right>
      <x:top style="thin">
        <x:color rgb="FFEEF1F4"/>
      </x:top>
      <x:bottom style="thin">
        <x:color rgb="FFD9E2F3"/>
      </x:bottom>
    </x:border>
    <x:border>
      <x:left style="thin">
        <x:color rgb="FFEEF1F4"/>
      </x:left>
      <x:right style="thin">
        <x:color rgb="FFD9E2F3"/>
      </x:right>
      <x:top style="thin">
        <x:color rgb="FFEEF1F4"/>
      </x:top>
      <x:bottom style="thin">
        <x:color rgb="FFD9E2F3"/>
      </x:bottom>
    </x:border>
    <x:border>
      <x:left style="thin">
        <x:color rgb="FFB8C7D9"/>
      </x:left>
      <x:top style="thin">
        <x:color rgb="FFB8C7D9"/>
      </x:top>
      <x:bottom style="thin">
        <x:color rgb="FFB8C7D9"/>
      </x:bottom>
    </x:border>
    <x:border>
      <x:right style="thin">
        <x:color rgb="FFB8C7D9"/>
      </x:right>
      <x:top style="thin">
        <x:color rgb="FFB8C7D9"/>
      </x:top>
      <x:bottom style="thin">
        <x:color rgb="FFB8C7D9"/>
      </x:bottom>
    </x:border>
    <x:border>
      <x:left style="thin">
        <x:color rgb="FFB8C7D9"/>
      </x:left>
      <x:right style="thin">
        <x:color rgb="FFB8C7D9"/>
      </x:right>
      <x:top style="thin">
        <x:color rgb="FFB8C7D9"/>
      </x:top>
      <x:bottom style="thin">
        <x:color rgb="FFB8C7D9"/>
      </x:bottom>
    </x:border>
    <x:border>
      <x:left style="thin">
        <x:color rgb="FFD6A84B"/>
      </x:left>
      <x:top style="thin">
        <x:color rgb="FFD6A84B"/>
      </x:top>
    </x:border>
    <x:border>
      <x:top style="thin">
        <x:color rgb="FFD6A84B"/>
      </x:top>
    </x:border>
    <x:border>
      <x:right style="thin">
        <x:color rgb="FFD6A84B"/>
      </x:right>
      <x:top style="thin">
        <x:color rgb="FFD6A84B"/>
      </x:top>
    </x:border>
    <x:border>
      <x:left style="thin">
        <x:color rgb="FFD6A84B"/>
      </x:left>
    </x:border>
    <x:border>
      <x:right style="thin">
        <x:color rgb="FFD6A84B"/>
      </x:right>
    </x:border>
    <x:border>
      <x:left style="thin">
        <x:color rgb="FFD6A84B"/>
      </x:left>
      <x:bottom style="thin">
        <x:color rgb="FFD6A84B"/>
      </x:bottom>
    </x:border>
    <x:border>
      <x:bottom style="thin">
        <x:color rgb="FFD6A84B"/>
      </x:bottom>
    </x:border>
    <x:border>
      <x:right style="thin">
        <x:color rgb="FFD6A84B"/>
      </x:right>
      <x:bottom style="thin">
        <x:color rgb="FFD6A84B"/>
      </x:bottom>
    </x:border>
    <x:border>
      <x:top style="thin">
        <x:color rgb="FFB8C7D9"/>
      </x:top>
    </x:border>
    <x:border>
      <x:left style="thin">
        <x:color rgb="FFB8C7D9"/>
      </x:left>
    </x:border>
    <x:border>
      <x:right style="thin">
        <x:color rgb="FFB8C7D9"/>
      </x:right>
    </x:border>
    <x:border>
      <x:bottom style="thin">
        <x:color rgb="FFB8C7D9"/>
      </x:bottom>
    </x:border>
    <x:border>
      <x:bottom style="thin">
        <x:color rgb="FFD9E2F3"/>
      </x:bottom>
    </x:border>
    <x:border>
      <x:top style="thin">
        <x:color rgb="FFD9E2F3"/>
      </x:top>
      <x:bottom style="thin">
        <x:color rgb="FFD9E2F3"/>
      </x:bottom>
    </x:border>
    <x:border>
      <x:left style="thin">
        <x:color rgb="FFD6B656"/>
      </x:left>
      <x:top style="thin">
        <x:color rgb="FFD6B656"/>
      </x:top>
      <x:bottom style="thin">
        <x:color rgb="FFD6B656"/>
      </x:bottom>
    </x:border>
    <x:border>
      <x:top style="thin">
        <x:color rgb="FFD6B656"/>
      </x:top>
      <x:bottom style="thin">
        <x:color rgb="FFD6B656"/>
      </x:bottom>
    </x:border>
    <x:border>
      <x:right style="thin">
        <x:color rgb="FFD6B656"/>
      </x:right>
      <x:top style="thin">
        <x:color rgb="FFD6B656"/>
      </x:top>
      <x:bottom style="thin">
        <x:color rgb="FFD6B656"/>
      </x:bottom>
    </x:border>
  </x:borders>
  <x:cellStyleXfs count="1">
    <x:xf numFmtId="0" fontId="0" fillId="0" borderId="0"/>
  </x:cellStyleXfs>
  <x:cellXfs count="202">
    <x:xf numFmtId="0" fontId="0" fillId="0" borderId="0" xfId="0"/>
    <x:xf numFmtId="0" fontId="8" fillId="7" borderId="13" xfId="0" applyFont="1" applyFill="1" applyBorder="1" applyAlignment="1">
      <x:alignment horizontal="center" vertical="center" wrapText="1"/>
    </x:xf>
    <x:xf numFmtId="0" fontId="0" fillId="0" borderId="13" xfId="0" applyBorder="1"/>
    <x:xf numFmtId="164" fontId="0" fillId="0" borderId="13" xfId="0" applyNumberFormat="1" applyBorder="1"/>
    <x:xf numFmtId="165" fontId="0" fillId="0" borderId="13" xfId="0" applyNumberFormat="1" applyBorder="1"/>
    <x:xf numFmtId="0" fontId="9" fillId="8" borderId="13" xfId="0" applyFont="1" applyFill="1" applyBorder="1" applyAlignment="1">
      <x:alignment wrapText="1"/>
    </x:xf>
    <x:xf numFmtId="14" fontId="0" fillId="0" borderId="13" xfId="0" applyNumberFormat="1" applyBorder="1"/>
    <x:xf numFmtId="3" fontId="0" fillId="0" borderId="13" xfId="0" applyNumberFormat="1" applyBorder="1"/>
    <x:xf numFmtId="4" fontId="0" fillId="0" borderId="13" xfId="0" applyNumberFormat="1" applyBorder="1"/>
    <x:xf numFmtId="166" fontId="0" fillId="0" borderId="0" xfId="0" applyNumberFormat="1"/>
    <x:xf numFmtId="14" fontId="0" fillId="0" borderId="15" xfId="0" applyNumberFormat="1" applyBorder="1"/>
    <x:xf numFmtId="4" fontId="0" fillId="0" borderId="15" xfId="0" applyNumberFormat="1" applyBorder="1"/>
    <x:xf numFmtId="164" fontId="0" fillId="0" borderId="15" xfId="0" applyNumberFormat="1" applyBorder="1"/>
    <x:xf numFmtId="14" fontId="0" fillId="0" borderId="18" xfId="0" applyNumberFormat="1" applyBorder="1"/>
    <x:xf numFmtId="4" fontId="0" fillId="0" borderId="18" xfId="0" applyNumberFormat="1" applyBorder="1"/>
    <x:xf numFmtId="164" fontId="0" fillId="0" borderId="18" xfId="0" applyNumberFormat="1" applyBorder="1"/>
    <x:xf numFmtId="14" fontId="0" fillId="0" borderId="21" xfId="0" applyNumberFormat="1" applyBorder="1"/>
    <x:xf numFmtId="4" fontId="0" fillId="0" borderId="21" xfId="0" applyNumberFormat="1" applyBorder="1"/>
    <x:xf numFmtId="164" fontId="0" fillId="0" borderId="21" xfId="0" applyNumberFormat="1" applyBorder="1"/>
    <x:xf numFmtId="0" fontId="0" fillId="0" borderId="14" xfId="0" applyBorder="1" applyAlignment="1">
      <x:alignment horizontal="center"/>
    </x:xf>
    <x:xf numFmtId="0" fontId="0" fillId="0" borderId="17" xfId="0" applyBorder="1" applyAlignment="1">
      <x:alignment horizontal="center"/>
    </x:xf>
    <x:xf numFmtId="0" fontId="0" fillId="0" borderId="20" xfId="0" applyBorder="1" applyAlignment="1">
      <x:alignment horizontal="center"/>
    </x:xf>
    <x:xf numFmtId="3" fontId="0" fillId="0" borderId="15" xfId="0" applyNumberFormat="1" applyBorder="1" applyAlignment="1">
      <x:alignment horizontal="center"/>
    </x:xf>
    <x:xf numFmtId="3" fontId="0" fillId="0" borderId="18" xfId="0" applyNumberFormat="1" applyBorder="1" applyAlignment="1">
      <x:alignment horizontal="center"/>
    </x:xf>
    <x:xf numFmtId="3" fontId="0" fillId="0" borderId="21" xfId="0" applyNumberFormat="1" applyBorder="1" applyAlignment="1">
      <x:alignment horizontal="center"/>
    </x:xf>
    <x:xf numFmtId="0" fontId="0" fillId="0" borderId="16" xfId="0" applyBorder="1" applyAlignment="1">
      <x:alignment horizontal="center"/>
    </x:xf>
    <x:xf numFmtId="0" fontId="0" fillId="0" borderId="19" xfId="0" applyBorder="1" applyAlignment="1">
      <x:alignment horizontal="center"/>
    </x:xf>
    <x:xf numFmtId="0" fontId="0" fillId="0" borderId="22" xfId="0" applyBorder="1" applyAlignment="1">
      <x:alignment horizontal="center"/>
    </x:xf>
    <x:xf numFmtId="0" fontId="8" fillId="7" borderId="23" xfId="0" applyFont="1" applyFill="1" applyBorder="1" applyAlignment="1">
      <x:alignment horizontal="center" vertical="center" wrapText="1"/>
    </x:xf>
    <x:xf numFmtId="0" fontId="8" fillId="7" borderId="24" xfId="0" applyFont="1" applyFill="1" applyBorder="1" applyAlignment="1">
      <x:alignment horizontal="center" vertical="center" wrapText="1"/>
    </x:xf>
    <x:xf numFmtId="0" fontId="8" fillId="7" borderId="25" xfId="0" applyFont="1" applyFill="1" applyBorder="1" applyAlignment="1">
      <x:alignment horizontal="center" vertical="center" wrapText="1"/>
    </x:xf>
    <x:xf numFmtId="14" fontId="10" fillId="0" borderId="26" xfId="0" applyNumberFormat="1" applyFont="1" applyBorder="1"/>
    <x:xf numFmtId="4" fontId="10" fillId="0" borderId="27" xfId="0" applyNumberFormat="1" applyFont="1" applyBorder="1"/>
    <x:xf numFmtId="3" fontId="10" fillId="0" borderId="27" xfId="0" applyNumberFormat="1" applyFont="1" applyBorder="1"/>
    <x:xf numFmtId="4" fontId="0" fillId="0" borderId="27" xfId="0" applyNumberFormat="1" applyBorder="1"/>
    <x:xf numFmtId="164" fontId="0" fillId="0" borderId="27" xfId="0" applyNumberFormat="1" applyBorder="1"/>
    <x:xf numFmtId="0" fontId="0" fillId="0" borderId="28" xfId="0" applyBorder="1"/>
    <x:xf numFmtId="164" fontId="10" fillId="0" borderId="27" xfId="0" applyNumberFormat="1" applyFont="1" applyBorder="1"/>
    <x:xf numFmtId="0" fontId="10" fillId="0" borderId="28" xfId="0" applyFont="1" applyBorder="1"/>
    <x:xf numFmtId="14" fontId="10" fillId="0" borderId="29" xfId="0" applyNumberFormat="1" applyFont="1" applyBorder="1"/>
    <x:xf numFmtId="4" fontId="10" fillId="0" borderId="30" xfId="0" applyNumberFormat="1" applyFont="1" applyBorder="1"/>
    <x:xf numFmtId="3" fontId="10" fillId="0" borderId="30" xfId="0" applyNumberFormat="1" applyFont="1" applyBorder="1"/>
    <x:xf numFmtId="164" fontId="10" fillId="0" borderId="30" xfId="0" applyNumberFormat="1" applyFont="1" applyBorder="1"/>
    <x:xf numFmtId="0" fontId="10" fillId="0" borderId="31" xfId="0" applyFont="1" applyBorder="1"/>
    <x:xf numFmtId="0" fontId="0" fillId="0" borderId="13" xfId="0" applyBorder="1" applyAlignment="1">
      <x:alignment wrapText="1"/>
    </x:xf>
    <x:xf numFmtId="0" fontId="7" fillId="4" borderId="13" xfId="0" applyFont="1" applyFill="1" applyBorder="1" applyAlignment="1">
      <x:alignment vertical="center" wrapText="1"/>
    </x:xf>
    <x:xf numFmtId="3" fontId="0" fillId="0" borderId="13" xfId="0" applyNumberFormat="1" applyBorder="1" applyAlignment="1">
      <x:alignment wrapText="1"/>
    </x:xf>
    <x:xf numFmtId="0" fontId="14" fillId="15" borderId="34" xfId="0" applyFont="1" applyFill="1" applyBorder="1" applyAlignment="1">
      <x:alignment horizontal="center" vertical="center" wrapText="1"/>
    </x:xf>
    <x:xf numFmtId="0" fontId="15" fillId="0" borderId="47" xfId="0" applyFont="1" applyBorder="1" applyAlignment="1">
      <x:alignment vertical="center"/>
    </x:xf>
    <x:xf numFmtId="0" fontId="15" fillId="0" borderId="48" xfId="0" applyFont="1" applyBorder="1" applyAlignment="1">
      <x:alignment vertical="center"/>
    </x:xf>
    <x:xf numFmtId="1" fontId="15" fillId="0" borderId="47" xfId="0" applyNumberFormat="1" applyFont="1" applyBorder="1" applyAlignment="1">
      <x:alignment vertical="center"/>
    </x:xf>
    <x:xf numFmtId="1" fontId="15" fillId="0" borderId="48" xfId="0" applyNumberFormat="1" applyFont="1" applyBorder="1" applyAlignment="1">
      <x:alignment vertical="center"/>
    </x:xf>
    <x:xf numFmtId="167" fontId="15" fillId="0" borderId="47" xfId="0" applyNumberFormat="1" applyFont="1" applyBorder="1" applyAlignment="1">
      <x:alignment vertical="center"/>
    </x:xf>
    <x:xf numFmtId="167" fontId="15" fillId="0" borderId="48" xfId="0" applyNumberFormat="1" applyFont="1" applyBorder="1" applyAlignment="1">
      <x:alignment vertical="center"/>
    </x:xf>
    <x:xf numFmtId="165" fontId="15" fillId="0" borderId="47" xfId="0" applyNumberFormat="1" applyFont="1" applyBorder="1" applyAlignment="1">
      <x:alignment vertical="center"/>
    </x:xf>
    <x:xf numFmtId="165" fontId="15" fillId="0" borderId="48" xfId="0" applyNumberFormat="1" applyFont="1" applyBorder="1" applyAlignment="1">
      <x:alignment vertical="center"/>
    </x:xf>
    <x:xf numFmtId="164" fontId="15" fillId="0" borderId="47" xfId="0" applyNumberFormat="1" applyFont="1" applyBorder="1" applyAlignment="1">
      <x:alignment vertical="center"/>
    </x:xf>
    <x:xf numFmtId="164" fontId="15" fillId="0" borderId="48" xfId="0" applyNumberFormat="1" applyFont="1" applyBorder="1" applyAlignment="1">
      <x:alignment vertical="center"/>
    </x:xf>
    <x:xf numFmtId="0" fontId="4" fillId="11" borderId="48" xfId="0" applyFont="1" applyFill="1" applyBorder="1" applyAlignment="1">
      <x:alignment vertical="center"/>
    </x:xf>
    <x:xf numFmtId="1" fontId="4" fillId="11" borderId="48" xfId="0" applyNumberFormat="1" applyFont="1" applyFill="1" applyBorder="1" applyAlignment="1">
      <x:alignment vertical="center"/>
    </x:xf>
    <x:xf numFmtId="167" fontId="4" fillId="11" borderId="48" xfId="0" applyNumberFormat="1" applyFont="1" applyFill="1" applyBorder="1" applyAlignment="1">
      <x:alignment vertical="center"/>
    </x:xf>
    <x:xf numFmtId="165" fontId="4" fillId="11" borderId="48" xfId="0" applyNumberFormat="1" applyFont="1" applyFill="1" applyBorder="1" applyAlignment="1">
      <x:alignment vertical="center"/>
    </x:xf>
    <x:xf numFmtId="164" fontId="4" fillId="11" borderId="48" xfId="0" applyNumberFormat="1" applyFont="1" applyFill="1" applyBorder="1" applyAlignment="1">
      <x:alignment vertical="center"/>
    </x:xf>
    <x:xf numFmtId="14" fontId="15" fillId="0" borderId="47" xfId="0" applyNumberFormat="1" applyFont="1" applyBorder="1" applyAlignment="1">
      <x:alignment vertical="center"/>
    </x:xf>
    <x:xf numFmtId="14" fontId="15" fillId="0" borderId="48" xfId="0" applyNumberFormat="1" applyFont="1" applyBorder="1" applyAlignment="1">
      <x:alignment vertical="center"/>
    </x:xf>
    <x:xf numFmtId="4" fontId="15" fillId="0" borderId="47" xfId="0" applyNumberFormat="1" applyFont="1" applyBorder="1" applyAlignment="1">
      <x:alignment vertical="center"/>
    </x:xf>
    <x:xf numFmtId="4" fontId="15" fillId="0" borderId="48" xfId="0" applyNumberFormat="1" applyFont="1" applyBorder="1" applyAlignment="1">
      <x:alignment vertical="center"/>
    </x:xf>
    <x:xf numFmtId="9" fontId="15" fillId="0" borderId="47" xfId="0" applyNumberFormat="1" applyFont="1" applyBorder="1" applyAlignment="1">
      <x:alignment vertical="center"/>
    </x:xf>
    <x:xf numFmtId="9" fontId="15" fillId="0" borderId="48" xfId="0" applyNumberFormat="1" applyFont="1" applyBorder="1" applyAlignment="1">
      <x:alignment vertical="center"/>
    </x:xf>
    <x:xf numFmtId="0" fontId="4" fillId="16" borderId="48" xfId="0" applyFont="1" applyFill="1" applyBorder="1" applyAlignment="1">
      <x:alignment vertical="center"/>
    </x:xf>
    <x:xf numFmtId="1" fontId="4" fillId="16" borderId="48" xfId="0" applyNumberFormat="1" applyFont="1" applyFill="1" applyBorder="1" applyAlignment="1">
      <x:alignment vertical="center"/>
    </x:xf>
    <x:xf numFmtId="167" fontId="4" fillId="16" borderId="48" xfId="0" applyNumberFormat="1" applyFont="1" applyFill="1" applyBorder="1" applyAlignment="1">
      <x:alignment vertical="center"/>
    </x:xf>
    <x:xf numFmtId="165" fontId="4" fillId="16" borderId="48" xfId="0" applyNumberFormat="1" applyFont="1" applyFill="1" applyBorder="1" applyAlignment="1">
      <x:alignment vertical="center"/>
    </x:xf>
    <x:xf numFmtId="0" fontId="4" fillId="0" borderId="47" xfId="0" applyFont="1" applyBorder="1" applyAlignment="1">
      <x:alignment vertical="center"/>
    </x:xf>
    <x:xf numFmtId="0" fontId="4" fillId="0" borderId="48" xfId="0" applyFont="1" applyBorder="1" applyAlignment="1">
      <x:alignment vertical="center"/>
    </x:xf>
    <x:xf numFmtId="0" fontId="15" fillId="0" borderId="47" xfId="0" applyFont="1" applyBorder="1" applyAlignment="1">
      <x:alignment vertical="center" wrapText="1"/>
    </x:xf>
    <x:xf numFmtId="0" fontId="15" fillId="0" borderId="48" xfId="0" applyFont="1" applyBorder="1" applyAlignment="1">
      <x:alignment vertical="center" wrapText="1"/>
    </x:xf>
    <x:xf numFmtId="0" fontId="18" fillId="0" borderId="47" xfId="0" applyFont="1" applyBorder="1" applyAlignment="1">
      <x:alignment vertical="center"/>
    </x:xf>
    <x:xf numFmtId="0" fontId="18" fillId="0" borderId="48" xfId="0" applyFont="1" applyBorder="1" applyAlignment="1">
      <x:alignment vertical="center"/>
    </x:xf>
    <x:xf numFmtId="0" fontId="19" fillId="9" borderId="0" xfId="0" applyFont="1" applyFill="1" applyAlignment="1">
      <x:alignment vertical="center"/>
    </x:xf>
    <x:xf numFmtId="0" fontId="7" fillId="6" borderId="5" xfId="0" applyFont="1" applyFill="1" applyBorder="1" applyAlignment="1">
      <x:alignment vertical="center" wrapText="1"/>
    </x:xf>
    <x:xf numFmtId="0" fontId="7" fillId="6" borderId="6" xfId="0" applyFont="1" applyFill="1" applyBorder="1" applyAlignment="1">
      <x:alignment vertical="center" wrapText="1"/>
    </x:xf>
    <x:xf numFmtId="0" fontId="7" fillId="6" borderId="7" xfId="0" applyFont="1" applyFill="1" applyBorder="1" applyAlignment="1">
      <x:alignment vertical="center" wrapText="1"/>
    </x:xf>
    <x:xf numFmtId="0" fontId="7" fillId="6" borderId="8" xfId="0" applyFont="1" applyFill="1" applyBorder="1" applyAlignment="1">
      <x:alignment vertical="center" wrapText="1"/>
    </x:xf>
    <x:xf numFmtId="0" fontId="7" fillId="6" borderId="0" xfId="0" applyFont="1" applyFill="1" applyAlignment="1">
      <x:alignment vertical="center" wrapText="1"/>
    </x:xf>
    <x:xf numFmtId="0" fontId="7" fillId="6" borderId="9" xfId="0" applyFont="1" applyFill="1" applyBorder="1" applyAlignment="1">
      <x:alignment vertical="center" wrapText="1"/>
    </x:xf>
    <x:xf numFmtId="0" fontId="7" fillId="6" borderId="10" xfId="0" applyFont="1" applyFill="1" applyBorder="1" applyAlignment="1">
      <x:alignment vertical="center" wrapText="1"/>
    </x:xf>
    <x:xf numFmtId="0" fontId="7" fillId="6" borderId="11" xfId="0" applyFont="1" applyFill="1" applyBorder="1" applyAlignment="1">
      <x:alignment vertical="center" wrapText="1"/>
    </x:xf>
    <x:xf numFmtId="0" fontId="7" fillId="6" borderId="12" xfId="0" applyFont="1" applyFill="1" applyBorder="1" applyAlignment="1">
      <x:alignment vertical="center" wrapText="1"/>
    </x:xf>
    <x:xf numFmtId="0" fontId="3" fillId="2" borderId="0" xfId="0" applyFont="1" applyFill="1" applyAlignment="1">
      <x:alignment vertical="center"/>
    </x:xf>
    <x:xf numFmtId="0" fontId="6" fillId="0" borderId="0" xfId="0" applyFont="1" applyAlignment="1">
      <x:alignment horizontal="center"/>
    </x:xf>
    <x:xf numFmtId="0" fontId="4" fillId="4" borderId="0" xfId="0" applyFont="1" applyFill="1" applyAlignment="1">
      <x:alignment horizontal="center" vertical="center"/>
    </x:xf>
    <x:xf numFmtId="164" fontId="5" fillId="5" borderId="1" xfId="0" applyNumberFormat="1" applyFont="1" applyFill="1" applyBorder="1" applyAlignment="1">
      <x:alignment horizontal="center" vertical="center"/>
    </x:xf>
    <x:xf numFmtId="164" fontId="5" fillId="5" borderId="2" xfId="0" applyNumberFormat="1" applyFont="1" applyFill="1" applyBorder="1" applyAlignment="1">
      <x:alignment horizontal="center" vertical="center"/>
    </x:xf>
    <x:xf numFmtId="164" fontId="5" fillId="5" borderId="3" xfId="0" applyNumberFormat="1" applyFont="1" applyFill="1" applyBorder="1" applyAlignment="1">
      <x:alignment horizontal="center" vertical="center"/>
    </x:xf>
    <x:xf numFmtId="164" fontId="5" fillId="5" borderId="4" xfId="0" applyNumberFormat="1" applyFont="1" applyFill="1" applyBorder="1" applyAlignment="1">
      <x:alignment horizontal="center" vertical="center"/>
    </x:xf>
    <x:xf numFmtId="0" fontId="5" fillId="5" borderId="1" xfId="0" applyFont="1" applyFill="1" applyBorder="1" applyAlignment="1">
      <x:alignment horizontal="center" vertical="center"/>
    </x:xf>
    <x:xf numFmtId="0" fontId="5" fillId="5" borderId="2" xfId="0" applyFont="1" applyFill="1" applyBorder="1" applyAlignment="1">
      <x:alignment horizontal="center" vertical="center"/>
    </x:xf>
    <x:xf numFmtId="0" fontId="5" fillId="5" borderId="3" xfId="0" applyFont="1" applyFill="1" applyBorder="1" applyAlignment="1">
      <x:alignment horizontal="center" vertical="center"/>
    </x:xf>
    <x:xf numFmtId="0" fontId="5" fillId="5" borderId="4" xfId="0" applyFont="1" applyFill="1" applyBorder="1" applyAlignment="1">
      <x:alignment horizontal="center" vertical="center"/>
    </x:xf>
    <x:xf numFmtId="165" fontId="5" fillId="5" borderId="1" xfId="0" applyNumberFormat="1" applyFont="1" applyFill="1" applyBorder="1" applyAlignment="1">
      <x:alignment horizontal="center" vertical="center"/>
    </x:xf>
    <x:xf numFmtId="165" fontId="5" fillId="5" borderId="2" xfId="0" applyNumberFormat="1" applyFont="1" applyFill="1" applyBorder="1" applyAlignment="1">
      <x:alignment horizontal="center" vertical="center"/>
    </x:xf>
    <x:xf numFmtId="165" fontId="5" fillId="5" borderId="3" xfId="0" applyNumberFormat="1" applyFont="1" applyFill="1" applyBorder="1" applyAlignment="1">
      <x:alignment horizontal="center" vertical="center"/>
    </x:xf>
    <x:xf numFmtId="165" fontId="5" fillId="5" borderId="4" xfId="0" applyNumberFormat="1" applyFont="1" applyFill="1" applyBorder="1" applyAlignment="1">
      <x:alignment horizontal="center" vertical="center"/>
    </x:xf>
    <x:xf numFmtId="0" fontId="1" fillId="2" borderId="0" xfId="0" applyFont="1" applyFill="1" applyAlignment="1">
      <x:alignment vertical="center"/>
    </x:xf>
    <x:xf numFmtId="0" fontId="2" fillId="3" borderId="0" xfId="0" applyFont="1" applyFill="1" applyAlignment="1">
      <x:alignment vertical="center"/>
    </x:xf>
    <x:xf numFmtId="0" fontId="0" fillId="0" borderId="13" xfId="0" applyBorder="1" applyAlignment="1">
      <x:alignment vertical="center" wrapText="1"/>
    </x:xf>
    <x:xf numFmtId="0" fontId="11" fillId="6" borderId="5" xfId="0" applyFont="1" applyFill="1" applyBorder="1" applyAlignment="1">
      <x:alignment vertical="center" wrapText="1"/>
    </x:xf>
    <x:xf numFmtId="0" fontId="11" fillId="6" borderId="6" xfId="0" applyFont="1" applyFill="1" applyBorder="1" applyAlignment="1">
      <x:alignment vertical="center" wrapText="1"/>
    </x:xf>
    <x:xf numFmtId="0" fontId="11" fillId="6" borderId="7" xfId="0" applyFont="1" applyFill="1" applyBorder="1" applyAlignment="1">
      <x:alignment vertical="center" wrapText="1"/>
    </x:xf>
    <x:xf numFmtId="0" fontId="11" fillId="6" borderId="8" xfId="0" applyFont="1" applyFill="1" applyBorder="1" applyAlignment="1">
      <x:alignment vertical="center" wrapText="1"/>
    </x:xf>
    <x:xf numFmtId="0" fontId="11" fillId="6" borderId="0" xfId="0" applyFont="1" applyFill="1" applyAlignment="1">
      <x:alignment vertical="center" wrapText="1"/>
    </x:xf>
    <x:xf numFmtId="0" fontId="11" fillId="6" borderId="9" xfId="0" applyFont="1" applyFill="1" applyBorder="1" applyAlignment="1">
      <x:alignment vertical="center" wrapText="1"/>
    </x:xf>
    <x:xf numFmtId="0" fontId="11" fillId="6" borderId="10" xfId="0" applyFont="1" applyFill="1" applyBorder="1" applyAlignment="1">
      <x:alignment vertical="center" wrapText="1"/>
    </x:xf>
    <x:xf numFmtId="0" fontId="11" fillId="6" borderId="11" xfId="0" applyFont="1" applyFill="1" applyBorder="1" applyAlignment="1">
      <x:alignment vertical="center" wrapText="1"/>
    </x:xf>
    <x:xf numFmtId="0" fontId="11" fillId="6" borderId="12" xfId="0" applyFont="1" applyFill="1" applyBorder="1" applyAlignment="1">
      <x:alignment vertical="center" wrapText="1"/>
    </x:xf>
    <x:xf numFmtId="0" fontId="8" fillId="7" borderId="13" xfId="0" applyFont="1" applyFill="1" applyBorder="1" applyAlignment="1">
      <x:alignment horizontal="center" vertical="center" wrapText="1"/>
    </x:xf>
    <x:xf numFmtId="0" fontId="1" fillId="9" borderId="0" xfId="0" applyFont="1" applyFill="1" applyAlignment="1">
      <x:alignment horizontal="left" vertical="center"/>
    </x:xf>
    <x:xf numFmtId="0" fontId="0" fillId="0" borderId="0" xfId="0"/>
    <x:xf numFmtId="0" fontId="2" fillId="10" borderId="0" xfId="0" applyFont="1" applyFill="1" applyAlignment="1">
      <x:alignment horizontal="left" vertical="center"/>
    </x:xf>
    <x:xf numFmtId="0" fontId="3" fillId="9" borderId="0" xfId="0" applyFont="1" applyFill="1" applyAlignment="1">
      <x:alignment horizontal="left" vertical="center"/>
    </x:xf>
    <x:xf numFmtId="0" fontId="4" fillId="11" borderId="32" xfId="0" applyFont="1" applyFill="1" applyBorder="1" applyAlignment="1">
      <x:alignment horizontal="center" vertical="center"/>
    </x:xf>
    <x:xf numFmtId="0" fontId="4" fillId="11" borderId="33" xfId="0" applyFont="1" applyFill="1" applyBorder="1" applyAlignment="1">
      <x:alignment horizontal="center" vertical="center"/>
    </x:xf>
    <x:xf numFmtId="1" fontId="5" fillId="12" borderId="34" xfId="0" applyNumberFormat="1" applyFont="1" applyFill="1" applyBorder="1" applyAlignment="1">
      <x:alignment horizontal="center" vertical="center"/>
    </x:xf>
    <x:xf numFmtId="167" fontId="5" fillId="12" borderId="34" xfId="0" applyNumberFormat="1" applyFont="1" applyFill="1" applyBorder="1" applyAlignment="1">
      <x:alignment horizontal="center" vertical="center"/>
    </x:xf>
    <x:xf numFmtId="168" fontId="5" fillId="12" borderId="34" xfId="0" applyNumberFormat="1" applyFont="1" applyFill="1" applyBorder="1" applyAlignment="1">
      <x:alignment horizontal="center" vertical="center"/>
    </x:xf>
    <x:xf numFmtId="169" fontId="5" fillId="12" borderId="34" xfId="0" applyNumberFormat="1" applyFont="1" applyFill="1" applyBorder="1" applyAlignment="1">
      <x:alignment horizontal="center" vertical="center"/>
    </x:xf>
    <x:xf numFmtId="0" fontId="12" fillId="13" borderId="35" xfId="0" applyFont="1" applyFill="1" applyBorder="1" applyAlignment="1">
      <x:alignment vertical="center" wrapText="1"/>
    </x:xf>
    <x:xf numFmtId="0" fontId="12" fillId="13" borderId="36" xfId="0" applyFont="1" applyFill="1" applyBorder="1" applyAlignment="1">
      <x:alignment vertical="center" wrapText="1"/>
    </x:xf>
    <x:xf numFmtId="0" fontId="12" fillId="13" borderId="37" xfId="0" applyFont="1" applyFill="1" applyBorder="1" applyAlignment="1">
      <x:alignment vertical="center" wrapText="1"/>
    </x:xf>
    <x:xf numFmtId="0" fontId="12" fillId="13" borderId="38" xfId="0" applyFont="1" applyFill="1" applyBorder="1" applyAlignment="1">
      <x:alignment vertical="center" wrapText="1"/>
    </x:xf>
    <x:xf numFmtId="0" fontId="12" fillId="13" borderId="0" xfId="0" applyFont="1" applyFill="1" applyAlignment="1">
      <x:alignment vertical="center" wrapText="1"/>
    </x:xf>
    <x:xf numFmtId="0" fontId="12" fillId="13" borderId="39" xfId="0" applyFont="1" applyFill="1" applyBorder="1" applyAlignment="1">
      <x:alignment vertical="center" wrapText="1"/>
    </x:xf>
    <x:xf numFmtId="0" fontId="12" fillId="13" borderId="40" xfId="0" applyFont="1" applyFill="1" applyBorder="1" applyAlignment="1">
      <x:alignment vertical="center" wrapText="1"/>
    </x:xf>
    <x:xf numFmtId="0" fontId="12" fillId="13" borderId="41" xfId="0" applyFont="1" applyFill="1" applyBorder="1" applyAlignment="1">
      <x:alignment vertical="center" wrapText="1"/>
    </x:xf>
    <x:xf numFmtId="0" fontId="12" fillId="13" borderId="42" xfId="0" applyFont="1" applyFill="1" applyBorder="1" applyAlignment="1">
      <x:alignment vertical="center" wrapText="1"/>
    </x:xf>
    <x:xf numFmtId="0" fontId="13" fillId="14" borderId="1" xfId="0" applyFont="1" applyFill="1" applyBorder="1" applyAlignment="1">
      <x:alignment vertical="center" wrapText="1"/>
    </x:xf>
    <x:xf numFmtId="0" fontId="13" fillId="14" borderId="43" xfId="0" applyFont="1" applyFill="1" applyBorder="1" applyAlignment="1">
      <x:alignment vertical="center" wrapText="1"/>
    </x:xf>
    <x:xf numFmtId="0" fontId="13" fillId="14" borderId="2" xfId="0" applyFont="1" applyFill="1" applyBorder="1" applyAlignment="1">
      <x:alignment vertical="center" wrapText="1"/>
    </x:xf>
    <x:xf numFmtId="0" fontId="13" fillId="14" borderId="44" xfId="0" applyFont="1" applyFill="1" applyBorder="1" applyAlignment="1">
      <x:alignment vertical="center" wrapText="1"/>
    </x:xf>
    <x:xf numFmtId="0" fontId="13" fillId="14" borderId="0" xfId="0" applyFont="1" applyFill="1" applyAlignment="1">
      <x:alignment vertical="center" wrapText="1"/>
    </x:xf>
    <x:xf numFmtId="0" fontId="13" fillId="14" borderId="45" xfId="0" applyFont="1" applyFill="1" applyBorder="1" applyAlignment="1">
      <x:alignment vertical="center" wrapText="1"/>
    </x:xf>
    <x:xf numFmtId="0" fontId="13" fillId="14" borderId="3" xfId="0" applyFont="1" applyFill="1" applyBorder="1" applyAlignment="1">
      <x:alignment vertical="center" wrapText="1"/>
    </x:xf>
    <x:xf numFmtId="0" fontId="13" fillId="14" borderId="46" xfId="0" applyFont="1" applyFill="1" applyBorder="1" applyAlignment="1">
      <x:alignment vertical="center" wrapText="1"/>
    </x:xf>
    <x:xf numFmtId="0" fontId="13" fillId="14" borderId="4" xfId="0" applyFont="1" applyFill="1" applyBorder="1" applyAlignment="1">
      <x:alignment vertical="center" wrapText="1"/>
    </x:xf>
    <x:xf numFmtId="0" fontId="16" fillId="11" borderId="1" xfId="0" applyFont="1" applyFill="1" applyBorder="1" applyAlignment="1">
      <x:alignment vertical="center" wrapText="1"/>
    </x:xf>
    <x:xf numFmtId="0" fontId="16" fillId="11" borderId="43" xfId="0" applyFont="1" applyFill="1" applyBorder="1" applyAlignment="1">
      <x:alignment vertical="center" wrapText="1"/>
    </x:xf>
    <x:xf numFmtId="0" fontId="16" fillId="11" borderId="2" xfId="0" applyFont="1" applyFill="1" applyBorder="1" applyAlignment="1">
      <x:alignment vertical="center" wrapText="1"/>
    </x:xf>
    <x:xf numFmtId="0" fontId="16" fillId="11" borderId="44" xfId="0" applyFont="1" applyFill="1" applyBorder="1" applyAlignment="1">
      <x:alignment vertical="center" wrapText="1"/>
    </x:xf>
    <x:xf numFmtId="0" fontId="16" fillId="11" borderId="0" xfId="0" applyFont="1" applyFill="1" applyAlignment="1">
      <x:alignment vertical="center" wrapText="1"/>
    </x:xf>
    <x:xf numFmtId="0" fontId="16" fillId="11" borderId="45" xfId="0" applyFont="1" applyFill="1" applyBorder="1" applyAlignment="1">
      <x:alignment vertical="center" wrapText="1"/>
    </x:xf>
    <x:xf numFmtId="0" fontId="16" fillId="11" borderId="3" xfId="0" applyFont="1" applyFill="1" applyBorder="1" applyAlignment="1">
      <x:alignment vertical="center" wrapText="1"/>
    </x:xf>
    <x:xf numFmtId="0" fontId="16" fillId="11" borderId="46" xfId="0" applyFont="1" applyFill="1" applyBorder="1" applyAlignment="1">
      <x:alignment vertical="center" wrapText="1"/>
    </x:xf>
    <x:xf numFmtId="0" fontId="16" fillId="11" borderId="4" xfId="0" applyFont="1" applyFill="1" applyBorder="1" applyAlignment="1">
      <x:alignment vertical="center" wrapText="1"/>
    </x:xf>
    <x:xf numFmtId="0" fontId="4" fillId="13" borderId="35" xfId="0" applyFont="1" applyFill="1" applyBorder="1" applyAlignment="1">
      <x:alignment vertical="center" wrapText="1"/>
    </x:xf>
    <x:xf numFmtId="0" fontId="4" fillId="13" borderId="36" xfId="0" applyFont="1" applyFill="1" applyBorder="1" applyAlignment="1">
      <x:alignment vertical="center" wrapText="1"/>
    </x:xf>
    <x:xf numFmtId="0" fontId="4" fillId="13" borderId="37" xfId="0" applyFont="1" applyFill="1" applyBorder="1" applyAlignment="1">
      <x:alignment vertical="center" wrapText="1"/>
    </x:xf>
    <x:xf numFmtId="0" fontId="4" fillId="13" borderId="38" xfId="0" applyFont="1" applyFill="1" applyBorder="1" applyAlignment="1">
      <x:alignment vertical="center" wrapText="1"/>
    </x:xf>
    <x:xf numFmtId="0" fontId="4" fillId="13" borderId="0" xfId="0" applyFont="1" applyFill="1" applyAlignment="1">
      <x:alignment vertical="center" wrapText="1"/>
    </x:xf>
    <x:xf numFmtId="0" fontId="4" fillId="13" borderId="39" xfId="0" applyFont="1" applyFill="1" applyBorder="1" applyAlignment="1">
      <x:alignment vertical="center" wrapText="1"/>
    </x:xf>
    <x:xf numFmtId="0" fontId="4" fillId="13" borderId="40" xfId="0" applyFont="1" applyFill="1" applyBorder="1" applyAlignment="1">
      <x:alignment vertical="center" wrapText="1"/>
    </x:xf>
    <x:xf numFmtId="0" fontId="4" fillId="13" borderId="41" xfId="0" applyFont="1" applyFill="1" applyBorder="1" applyAlignment="1">
      <x:alignment vertical="center" wrapText="1"/>
    </x:xf>
    <x:xf numFmtId="0" fontId="4" fillId="13" borderId="42" xfId="0" applyFont="1" applyFill="1" applyBorder="1" applyAlignment="1">
      <x:alignment vertical="center" wrapText="1"/>
    </x:xf>
    <x:xf numFmtId="0" fontId="17" fillId="11" borderId="1" xfId="0" applyFont="1" applyFill="1" applyBorder="1" applyAlignment="1">
      <x:alignment vertical="center" wrapText="1"/>
    </x:xf>
    <x:xf numFmtId="0" fontId="17" fillId="11" borderId="43" xfId="0" applyFont="1" applyFill="1" applyBorder="1" applyAlignment="1">
      <x:alignment vertical="center" wrapText="1"/>
    </x:xf>
    <x:xf numFmtId="0" fontId="17" fillId="11" borderId="2" xfId="0" applyFont="1" applyFill="1" applyBorder="1" applyAlignment="1">
      <x:alignment vertical="center" wrapText="1"/>
    </x:xf>
    <x:xf numFmtId="0" fontId="17" fillId="11" borderId="44" xfId="0" applyFont="1" applyFill="1" applyBorder="1" applyAlignment="1">
      <x:alignment vertical="center" wrapText="1"/>
    </x:xf>
    <x:xf numFmtId="0" fontId="17" fillId="11" borderId="0" xfId="0" applyFont="1" applyFill="1" applyAlignment="1">
      <x:alignment vertical="center" wrapText="1"/>
    </x:xf>
    <x:xf numFmtId="0" fontId="17" fillId="11" borderId="45" xfId="0" applyFont="1" applyFill="1" applyBorder="1" applyAlignment="1">
      <x:alignment vertical="center" wrapText="1"/>
    </x:xf>
    <x:xf numFmtId="0" fontId="17" fillId="11" borderId="3" xfId="0" applyFont="1" applyFill="1" applyBorder="1" applyAlignment="1">
      <x:alignment vertical="center" wrapText="1"/>
    </x:xf>
    <x:xf numFmtId="0" fontId="17" fillId="11" borderId="46" xfId="0" applyFont="1" applyFill="1" applyBorder="1" applyAlignment="1">
      <x:alignment vertical="center" wrapText="1"/>
    </x:xf>
    <x:xf numFmtId="0" fontId="17" fillId="11" borderId="4" xfId="0" applyFont="1" applyFill="1" applyBorder="1" applyAlignment="1">
      <x:alignment vertical="center" wrapText="1"/>
    </x:xf>
    <x:xf numFmtId="0" fontId="19" fillId="9" borderId="0" xfId="0" applyFont="1" applyFill="1" applyAlignment="1">
      <x:alignment vertical="center"/>
    </x:xf>
    <x:xf numFmtId="200" fontId="10" fillId="0" borderId="29" xfId="0" applyNumberFormat="1" applyFont="1" applyFill="1" applyBorder="1"/>
    <x:xf numFmtId="200" fontId="0" fillId="0" borderId="0" xfId="0" applyNumberFormat="1" applyFont="1" applyFill="1" applyBorder="1"/>
    <x:xf numFmtId="201" fontId="10" fillId="0" borderId="30" xfId="0" applyNumberFormat="1" applyFont="1" applyFill="1" applyBorder="1"/>
    <x:xf numFmtId="201" fontId="0" fillId="0" borderId="0" xfId="0" applyNumberFormat="1" applyFont="1" applyFill="1" applyBorder="1"/>
    <x:xf numFmtId="202" fontId="10" fillId="0" borderId="30" xfId="0" applyNumberFormat="1" applyFont="1" applyFill="1" applyBorder="1"/>
    <x:xf numFmtId="202" fontId="0" fillId="0" borderId="0" xfId="0" applyNumberFormat="1" applyFont="1" applyFill="1" applyBorder="1"/>
    <x:xf numFmtId="164" fontId="10" fillId="0" borderId="30" xfId="0" applyNumberFormat="1" applyFont="1" applyFill="1" applyBorder="1"/>
    <x:xf numFmtId="164" fontId="0" fillId="0" borderId="0" xfId="0" applyNumberFormat="1" applyFont="1" applyFill="1" applyBorder="1"/>
    <x:xf numFmtId="203" fontId="10" fillId="0" borderId="31" xfId="0" applyNumberFormat="1" applyFont="1" applyFill="1" applyBorder="1"/>
    <x:xf numFmtId="203" fontId="0" fillId="0" borderId="0" xfId="0" applyNumberFormat="1" applyFont="1" applyFill="1" applyBorder="1"/>
    <x:xf numFmtId="0" fontId="0" fillId="17" borderId="0" xfId="0" applyNumberFormat="1" applyFont="1" applyFill="1" applyBorder="1"/>
    <x:xf numFmtId="200" fontId="0" fillId="17" borderId="0" xfId="0" applyNumberFormat="1" applyFont="1" applyFill="1" applyBorder="1"/>
    <x:xf numFmtId="201" fontId="0" fillId="17" borderId="0" xfId="0" applyNumberFormat="1" applyFont="1" applyFill="1" applyBorder="1"/>
    <x:xf numFmtId="203" fontId="0" fillId="17" borderId="0" xfId="0" applyNumberFormat="1" applyFont="1" applyFill="1" applyBorder="1"/>
    <x:xf numFmtId="164" fontId="0" fillId="17" borderId="0" xfId="0" applyNumberFormat="1" applyFont="1" applyFill="1" applyBorder="1"/>
    <x:xf numFmtId="0" fontId="20" fillId="17" borderId="0" xfId="0" applyNumberFormat="1" applyFont="1" applyFill="1" applyBorder="1"/>
    <x:xf numFmtId="0" fontId="7" fillId="17" borderId="10" xfId="0" applyNumberFormat="1" applyFont="1" applyFill="1" applyBorder="1" applyAlignment="1">
      <x:alignment vertical="center" wrapText="1"/>
    </x:xf>
    <x:xf numFmtId="0" fontId="7" fillId="17" borderId="11" xfId="0" applyNumberFormat="1" applyFont="1" applyFill="1" applyBorder="1" applyAlignment="1">
      <x:alignment vertical="center" wrapText="1"/>
    </x:xf>
    <x:xf numFmtId="0" fontId="7" fillId="17" borderId="12" xfId="0" applyNumberFormat="1" applyFont="1" applyFill="1" applyBorder="1" applyAlignment="1">
      <x:alignment vertical="center" wrapText="1"/>
    </x:xf>
    <x:xf numFmtId="0" fontId="20" fillId="17" borderId="10" xfId="0" applyNumberFormat="1" applyFont="1" applyFill="1" applyBorder="1" applyAlignment="1">
      <x:alignment vertical="center" wrapText="1"/>
    </x:xf>
    <x:xf numFmtId="0" fontId="20" fillId="17" borderId="11" xfId="0" applyNumberFormat="1" applyFont="1" applyFill="1" applyBorder="1" applyAlignment="1">
      <x:alignment vertical="center" wrapText="1"/>
    </x:xf>
    <x:xf numFmtId="0" fontId="20" fillId="17" borderId="12" xfId="0" applyNumberFormat="1" applyFont="1" applyFill="1" applyBorder="1" applyAlignment="1">
      <x:alignment vertical="center" wrapText="1"/>
    </x:xf>
    <x:xf numFmtId="0" fontId="20" fillId="17" borderId="49" xfId="0" applyNumberFormat="1" applyFont="1" applyFill="1" applyBorder="1" applyAlignment="1">
      <x:alignment vertical="center" wrapText="1"/>
    </x:xf>
    <x:xf numFmtId="0" fontId="20" fillId="17" borderId="50" xfId="0" applyNumberFormat="1" applyFont="1" applyFill="1" applyBorder="1" applyAlignment="1">
      <x:alignment vertical="center" wrapText="1"/>
    </x:xf>
    <x:xf numFmtId="0" fontId="20" fillId="17" borderId="51" xfId="0" applyNumberFormat="1" applyFont="1" applyFill="1" applyBorder="1" applyAlignment="1">
      <x:alignment vertical="center" wrapText="1"/>
    </x:xf>
    <x:xf numFmtId="0" fontId="20" fillId="17" borderId="49" xfId="0" applyNumberFormat="1" applyFont="1" applyFill="1" applyBorder="1" applyAlignment="1">
      <x:alignment horizontal="left" vertical="center" wrapText="1"/>
    </x:xf>
    <x:xf numFmtId="0" fontId="20" fillId="17" borderId="50" xfId="0" applyNumberFormat="1" applyFont="1" applyFill="1" applyBorder="1" applyAlignment="1">
      <x:alignment horizontal="left" vertical="center" wrapText="1"/>
    </x:xf>
    <x:xf numFmtId="0" fontId="20" fillId="17" borderId="51" xfId="0" applyNumberFormat="1" applyFont="1" applyFill="1" applyBorder="1" applyAlignment="1">
      <x:alignment horizontal="left" vertical="center" wrapText="1"/>
    </x:xf>
    <x:xf numFmtId="0" fontId="0" fillId="0" borderId="0" xfId="0" applyNumberFormat="1" applyFont="1" applyFill="1" applyBorder="1" applyAlignment="1">
      <x:alignment wrapText="1"/>
    </x:xf>
  </x:cellXfs>
  <x:cellStyles count="1">
    <x:cellStyle name="Normal" xfId="0"/>
  </x:cellStyles>
  <x:dxfs count="5">
    <x:dxf>
      <x:font>
        <x:b/>
        <x:color rgb="FFFFFFFF"/>
      </x:font>
      <x:fill>
        <x:patternFill>
          <x:bgColor rgb="FF548235"/>
        </x:patternFill>
      </x:fill>
    </x:dxf>
    <x:dxf>
      <x:font>
        <x:b/>
        <x:color rgb="FFC6595A"/>
      </x:font>
      <x:fill>
        <x:patternFill>
          <x:bgColor rgb="FFFCE4D6"/>
        </x:patternFill>
      </x:fill>
    </x:dxf>
    <x:dxf>
      <x:font>
        <x:b/>
        <x:color rgb="FF548235"/>
      </x:font>
      <x:fill>
        <x:patternFill>
          <x:bgColor rgb="FFE2F0D9"/>
        </x:patternFill>
      </x:fill>
    </x:dxf>
    <x:dxf>
      <x:font>
        <x:b/>
        <x:color rgb="FF163A5F"/>
      </x:font>
      <x:fill>
        <x:patternFill>
          <x:bgColor rgb="FFFFF2CC"/>
        </x:patternFill>
      </x:fill>
    </x:dxf>
    <x:dxf>
      <x:font>
        <x:b/>
        <x:color rgb="FFC6595A"/>
      </x:font>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311a18647954047" /><Relationship Type="http://schemas.openxmlformats.org/officeDocument/2006/relationships/theme" Target="/xl/theme/theme1.xml" Id="Rab55b70216e449e7" /><Relationship Type="http://schemas.openxmlformats.org/officeDocument/2006/relationships/sharedStrings" Target="/xl/sharedStrings.xml" Id="R590cb18859e744c5" /><Relationship Type="http://schemas.openxmlformats.org/officeDocument/2006/relationships/worksheet" Target="/xl/worksheets/sheet1.xml" Id="Rfec0537db6484630" /><Relationship Type="http://schemas.openxmlformats.org/officeDocument/2006/relationships/worksheet" Target="/xl/worksheets/sheet2.xml" Id="Rfdfb48b8404a4108" /><Relationship Type="http://schemas.openxmlformats.org/officeDocument/2006/relationships/worksheet" Target="/xl/worksheets/sheet3.xml" Id="R5dbd204d6aea435c" /><Relationship Type="http://schemas.openxmlformats.org/officeDocument/2006/relationships/worksheet" Target="/xl/worksheets/sheet4.xml" Id="R357f2c4668c54a9f" /><Relationship Type="http://schemas.openxmlformats.org/officeDocument/2006/relationships/worksheet" Target="/xl/worksheets/sheet5.xml" Id="R1822173d777244ce" /><Relationship Type="http://schemas.openxmlformats.org/officeDocument/2006/relationships/worksheet" Target="/xl/worksheets/sheet6.xml" Id="R41eb2acd16604f7f" /><Relationship Type="http://schemas.openxmlformats.org/officeDocument/2006/relationships/worksheet" Target="/xl/worksheets/sheet7.xml" Id="Rc86196c40f1a4971" /><Relationship Type="http://schemas.openxmlformats.org/officeDocument/2006/relationships/worksheet" Target="/xl/worksheets/sheet8.xml" Id="R7b54c00c33c84aad" /><Relationship Type="http://schemas.openxmlformats.org/officeDocument/2006/relationships/worksheet" Target="/xl/worksheets/sheet9.xml" Id="R8fb8a906c5f441df" /><Relationship Type="http://schemas.openxmlformats.org/officeDocument/2006/relationships/worksheet" Target="/xl/worksheets/sheet10.xml" Id="Rb0080d8e814141bb" /><Relationship Type="http://schemas.openxmlformats.org/officeDocument/2006/relationships/worksheet" Target="/xl/worksheets/sheet11.xml" Id="Re5a0f5149bc64ddc" /><Relationship Type="http://schemas.openxmlformats.org/officeDocument/2006/relationships/worksheet" Target="/xl/worksheets/sheet12.xml" Id="R9f41b902afa448db" /><Relationship Type="http://schemas.microsoft.com/office/2017/10/relationships/person" Target="/xl/persons/person.xml" Id="R4d98ed2b93f74c22" /></Relationships>
</file>

<file path=xl/drawings/_rels/drawing1.xml.rels>&#65279;<?xml version="1.0" encoding="utf-8"?><Relationships xmlns="http://schemas.openxmlformats.org/package/2006/relationships"><Relationship Type="http://schemas.openxmlformats.org/officeDocument/2006/relationships/chart" Target="/xl/drawings/charts/chart1.xml" Id="R6a079de7e36a488a" /></Relationships>
</file>

<file path=xl/drawings/_rels/drawing2.xml.rels>&#65279;<?xml version="1.0" encoding="utf-8"?><Relationships xmlns="http://schemas.openxmlformats.org/package/2006/relationships"><Relationship Type="http://schemas.openxmlformats.org/officeDocument/2006/relationships/chart" Target="/xl/drawings/charts/chart2.xml" Id="R97350325c7de4db3" /></Relationships>
</file>

<file path=xl/drawings/_rels/drawing4.xml.rels>&#65279;<?xml version="1.0" encoding="utf-8"?><Relationships xmlns="http://schemas.openxmlformats.org/package/2006/relationships"><Relationship Type="http://schemas.openxmlformats.org/officeDocument/2006/relationships/chart" Target="/xl/drawings/charts/chart3.xml" Id="R7b5fceb0dbf3483f" /><Relationship Type="http://schemas.openxmlformats.org/officeDocument/2006/relationships/chart" Target="/xl/drawings/charts/chart4.xml" Id="R2758d177500d4689" /></Relationships>
</file>

<file path=xl/drawings/charts/chart1.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8 chu kỳ lâu nhất để quay lại MA200</a:t>
            </a:r>
          </a:p>
        </c:rich>
      </c:tx>
      <c:layout>
        <c:manualLayout>
          <c:xMode val="edge"/>
          <c:yMode val="edge"/>
          <c:x val="0.24657051282051282"/>
          <c:y val="0"/>
        </c:manualLayout>
      </c:layout>
    </c:title>
    <c:autoTitleDeleted val="0"/>
    <c:plotArea>
      <c:barChart>
        <c:barDir val="col"/>
        <c:grouping val="clustered"/>
        <c:varyColors val="0"/>
        <c:ser>
          <c:idx val="0"/>
          <c:order val="0"/>
          <c:tx>
            <c:v>Số phiên</c:v>
          </c:tx>
          <c:cat>
            <c:numRef>
              <c:f>'Tổng quan'!$N$2:$N$9</c:f>
              <c:numCache>
                <c:formatCode>yyyy</c:formatCode>
                <c:ptCount val="8"/>
                <c:pt idx="0">
                  <c:v>40807</c:v>
                </c:pt>
                <c:pt idx="1">
                  <c:v>38247</c:v>
                </c:pt>
                <c:pt idx="2">
                  <c:v>43860</c:v>
                </c:pt>
                <c:pt idx="3">
                  <c:v>40310</c:v>
                </c:pt>
                <c:pt idx="4">
                  <c:v>43270</c:v>
                </c:pt>
                <c:pt idx="5">
                  <c:v>44670</c:v>
                </c:pt>
                <c:pt idx="6">
                  <c:v>39395</c:v>
                </c:pt>
                <c:pt idx="7">
                  <c:v>37237</c:v>
                </c:pt>
              </c:numCache>
            </c:numRef>
          </c:cat>
          <c:val>
            <c:numRef>
              <c:f>'Tổng quan'!$O$2:$O$9</c:f>
              <c:numCache>
                <c:formatCode>General</c:formatCode>
                <c:ptCount val="8"/>
                <c:pt idx="0">
                  <c:v>102</c:v>
                </c:pt>
                <c:pt idx="1">
                  <c:v>113</c:v>
                </c:pt>
                <c:pt idx="2">
                  <c:v>145</c:v>
                </c:pt>
                <c:pt idx="3">
                  <c:v>151</c:v>
                </c:pt>
                <c:pt idx="4">
                  <c:v>166</c:v>
                </c:pt>
                <c:pt idx="5">
                  <c:v>279</c:v>
                </c:pt>
                <c:pt idx="6">
                  <c:v>365</c:v>
                </c:pt>
                <c:pt idx="7">
                  <c:v>441</c:v>
                </c:pt>
              </c:numCache>
            </c:numRef>
          </c:val>
        </c:ser>
        <c:dLbls>
          <c:showLegendKey val="0"/>
          <c:showVal val="0"/>
          <c:showCatName val="0"/>
          <c:showSerName val="0"/>
          <c:showPercent val="0"/>
          <c:showBubbleSize val="0"/>
        </c:dLbls>
        <c:gapWidth val="150"/>
        <c:axId val="48650112"/>
        <c:axId val="48672768"/>
      </c:barChart>
      <c:dateAx>
        <c:axId val="48650112"/>
        <c:scaling>
          <c:orientation val="minMax"/>
        </c:scaling>
        <c:delete val="0"/>
        <c:axPos val="b"/>
        <c:majorGridlines>
          <c:spPr>
            <a:ln xmlns:a="http://schemas.openxmlformats.org/drawingml/2006/main" w="9525">
              <a:solidFill>
                <a:srgbClr val="CCCCCC"/>
              </a:solidFill>
              <a:prstDash val="dash"/>
            </a:ln>
          </c:spPr>
        </c:majorGridlines>
        <c:numFmt formatCode="yyyy" sourceLinked="1"/>
        <c:majorTickMark val="none"/>
        <c:minorTickMark val="none"/>
        <c:tickLblPos val="nextTo"/>
        <c:crossAx val="48672768"/>
        <c:crosses val="autoZero"/>
        <c:auto val="1"/>
        <c:lblOffset val="100"/>
        <c:baseTimeUnit val="years"/>
      </c:date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rPr sz="900"/>
              <a:t>Thời gian trung vị tới đáy và xác nhận đổi trend (phiên)</a:t>
            </a:r>
          </a:p>
        </c:rich>
      </c:tx>
      <c:txPr>
        <a:bodyPr xmlns:a="http://schemas.openxmlformats.org/drawingml/2006/main" anchorCtr="1"/>
        <a:lstStyle xmlns:a="http://schemas.openxmlformats.org/drawingml/2006/main"/>
        <a:p xmlns:a="http://schemas.openxmlformats.org/drawingml/2006/main">
          <a:pPr>
            <a:defRPr sz="900"/>
          </a:pPr>
        </a:p>
      </c:txPr>
    </c:title>
    <c:autoTitleDeleted val="0"/>
    <c:plotArea>
      <c:barChart>
        <c:barDir val="col"/>
        <c:grouping val="clustered"/>
        <c:varyColors val="0"/>
        <c:ser>
          <c:idx val="0"/>
          <c:order val="0"/>
          <c:tx>
            <c:v>Tới đáy</c:v>
          </c:tx>
          <c:cat>
            <c:strRef>
              <c:f>'Nghiên cứu sóng hồi'!$J$21:$J$25</c:f>
              <c:strCache>
                <c:ptCount val="5"/>
                <c:pt idx="0">
                  <c:v>Toàn bộ 36 sự kiện</c:v>
                </c:pt>
                <c:pt idx="1">
                  <c:v>Giảm ≥10%</c:v>
                </c:pt>
                <c:pt idx="2">
                  <c:v>Giảm ≥15%</c:v>
                </c:pt>
                <c:pt idx="3">
                  <c:v>Quay lại ≥60 phiên</c:v>
                </c:pt>
                <c:pt idx="4">
                  <c:v>Giảm ≥30%</c:v>
                </c:pt>
              </c:strCache>
            </c:strRef>
          </c:cat>
          <c:val>
            <c:numRef>
              <c:f>'Nghiên cứu sóng hồi'!$K$21:$K$25</c:f>
              <c:numCache>
                <c:formatCode>General</c:formatCode>
                <c:ptCount val="5"/>
                <c:pt idx="0">
                  <c:v>7</c:v>
                </c:pt>
                <c:pt idx="1">
                  <c:v>75</c:v>
                </c:pt>
                <c:pt idx="2">
                  <c:v>76</c:v>
                </c:pt>
                <c:pt idx="3">
                  <c:v>69</c:v>
                </c:pt>
                <c:pt idx="4">
                  <c:v>231</c:v>
                </c:pt>
              </c:numCache>
            </c:numRef>
          </c:val>
        </c:ser>
        <c:ser>
          <c:idx val="1"/>
          <c:order val="1"/>
          <c:tx>
            <c:v>Đáy → trend</c:v>
          </c:tx>
          <c:cat>
            <c:strRef>
              <c:f>'Nghiên cứu sóng hồi'!$J$21:$J$25</c:f>
              <c:strCache>
                <c:ptCount val="5"/>
                <c:pt idx="0">
                  <c:v>Toàn bộ 36 sự kiện</c:v>
                </c:pt>
                <c:pt idx="1">
                  <c:v>Giảm ≥10%</c:v>
                </c:pt>
                <c:pt idx="2">
                  <c:v>Giảm ≥15%</c:v>
                </c:pt>
                <c:pt idx="3">
                  <c:v>Quay lại ≥60 phiên</c:v>
                </c:pt>
                <c:pt idx="4">
                  <c:v>Giảm ≥30%</c:v>
                </c:pt>
              </c:strCache>
            </c:strRef>
          </c:cat>
          <c:val>
            <c:numRef>
              <c:f>'Nghiên cứu sóng hồi'!$L$21:$L$25</c:f>
              <c:numCache>
                <c:formatCode>General</c:formatCode>
                <c:ptCount val="5"/>
                <c:pt idx="0">
                  <c:v>13</c:v>
                </c:pt>
                <c:pt idx="1">
                  <c:v>39</c:v>
                </c:pt>
                <c:pt idx="2">
                  <c:v>49</c:v>
                </c:pt>
                <c:pt idx="3">
                  <c:v>45</c:v>
                </c:pt>
                <c:pt idx="4">
                  <c:v>78</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Phiên giao dịch</a:t>
                </a:r>
              </a:p>
            </c:rich>
          </c:tx>
          <c:layout>
            <c:manualLayout>
              <c:xMode val="edge"/>
              <c:yMode val="edge"/>
              <c:x val="0.0015723270440251573"/>
              <c:y val="0.1813279126459341"/>
            </c:manualLayout>
          </c:layout>
        </c:title>
        <c:numFmt formatCode="General" sourceLinked="1"/>
        <c:majorTickMark val="none"/>
        <c:minorTickMark val="none"/>
        <c:tickLblPos val="nextTo"/>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rPr sz="900"/>
              <a:t>Độ sâu càng lớn, thời gian tạo đáy càng dài</a:t>
            </a:r>
          </a:p>
        </c:rich>
      </c:tx>
      <c:txPr>
        <a:bodyPr xmlns:a="http://schemas.openxmlformats.org/drawingml/2006/main" anchorCtr="1"/>
        <a:lstStyle xmlns:a="http://schemas.openxmlformats.org/drawingml/2006/main"/>
        <a:p xmlns:a="http://schemas.openxmlformats.org/drawingml/2006/main">
          <a:pPr>
            <a:defRPr sz="900"/>
          </a:pPr>
        </a:p>
      </c:txPr>
    </c:title>
    <c:autoTitleDeleted val="0"/>
    <c:plotArea>
      <c:barChart>
        <c:barDir val="col"/>
        <c:grouping val="clustered"/>
        <c:varyColors val="0"/>
        <c:ser>
          <c:idx val="0"/>
          <c:order val="0"/>
          <c:tx>
            <c:v>Tới đáy</c:v>
          </c:tx>
          <c:cat>
            <c:strRef>
              <c:f>'Phân nhóm độ sâu'!$K$6:$K$10</c:f>
              <c:strCache>
                <c:ptCount val="5"/>
                <c:pt idx="0">
                  <c:v>0–5%</c:v>
                </c:pt>
                <c:pt idx="1">
                  <c:v>5–10%</c:v>
                </c:pt>
                <c:pt idx="2">
                  <c:v>10–20%</c:v>
                </c:pt>
                <c:pt idx="3">
                  <c:v>20–30%</c:v>
                </c:pt>
                <c:pt idx="4">
                  <c:v>≥30%</c:v>
                </c:pt>
              </c:strCache>
            </c:strRef>
          </c:cat>
          <c:val>
            <c:numRef>
              <c:f>'Phân nhóm độ sâu'!$L$6:$L$10</c:f>
              <c:numCache>
                <c:formatCode>General</c:formatCode>
                <c:ptCount val="5"/>
                <c:pt idx="0">
                  <c:v>4</c:v>
                </c:pt>
                <c:pt idx="1">
                  <c:v>39.5</c:v>
                </c:pt>
                <c:pt idx="2">
                  <c:v>40.5</c:v>
                </c:pt>
                <c:pt idx="3">
                  <c:v>76</c:v>
                </c:pt>
                <c:pt idx="4">
                  <c:v>231</c:v>
                </c:pt>
              </c:numCache>
            </c:numRef>
          </c:val>
        </c:ser>
        <c:ser>
          <c:idx val="1"/>
          <c:order val="1"/>
          <c:tx>
            <c:v>Đáy→trend</c:v>
          </c:tx>
          <c:cat>
            <c:strRef>
              <c:f>'Phân nhóm độ sâu'!$K$6:$K$10</c:f>
              <c:strCache>
                <c:ptCount val="5"/>
                <c:pt idx="0">
                  <c:v>0–5%</c:v>
                </c:pt>
                <c:pt idx="1">
                  <c:v>5–10%</c:v>
                </c:pt>
                <c:pt idx="2">
                  <c:v>10–20%</c:v>
                </c:pt>
                <c:pt idx="3">
                  <c:v>20–30%</c:v>
                </c:pt>
                <c:pt idx="4">
                  <c:v>≥30%</c:v>
                </c:pt>
              </c:strCache>
            </c:strRef>
          </c:cat>
          <c:val>
            <c:numRef>
              <c:f>'Phân nhóm độ sâu'!$M$6:$M$10</c:f>
              <c:numCache>
                <c:formatCode>General</c:formatCode>
                <c:ptCount val="5"/>
                <c:pt idx="0">
                  <c:v>5</c:v>
                </c:pt>
                <c:pt idx="1">
                  <c:v>28.5</c:v>
                </c:pt>
                <c:pt idx="2">
                  <c:v>28.5</c:v>
                </c:pt>
                <c:pt idx="3">
                  <c:v>26</c:v>
                </c:pt>
                <c:pt idx="4">
                  <c:v>78</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Phiên giao dịch</a:t>
                </a:r>
              </a:p>
            </c:rich>
          </c:tx>
        </c:title>
        <c:numFmt formatCode="General" sourceLinked="1"/>
        <c:majorTickMark val="none"/>
        <c:minorTickMark val="none"/>
        <c:tickLblPos val="nextTo"/>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rPr sz="900"/>
              <a:t>Số sóng hồi trung vị tăng theo độ sâu giảm</a:t>
            </a:r>
          </a:p>
        </c:rich>
      </c:tx>
      <c:txPr>
        <a:bodyPr xmlns:a="http://schemas.openxmlformats.org/drawingml/2006/main" anchorCtr="1"/>
        <a:lstStyle xmlns:a="http://schemas.openxmlformats.org/drawingml/2006/main"/>
        <a:p xmlns:a="http://schemas.openxmlformats.org/drawingml/2006/main">
          <a:pPr>
            <a:defRPr sz="900"/>
          </a:pPr>
        </a:p>
      </c:txPr>
    </c:title>
    <c:autoTitleDeleted val="0"/>
    <c:plotArea>
      <c:barChart>
        <c:barDir val="col"/>
        <c:grouping val="clustered"/>
        <c:varyColors val="0"/>
        <c:ser>
          <c:idx val="0"/>
          <c:order val="0"/>
          <c:tx>
            <c:v>Sóng 3%</c:v>
          </c:tx>
          <c:cat>
            <c:strRef>
              <c:f>'Phân nhóm độ sâu'!$G$15:$G$19</c:f>
              <c:strCache>
                <c:ptCount val="5"/>
                <c:pt idx="0">
                  <c:v>0–5%</c:v>
                </c:pt>
                <c:pt idx="1">
                  <c:v>5–10%</c:v>
                </c:pt>
                <c:pt idx="2">
                  <c:v>10–20%</c:v>
                </c:pt>
                <c:pt idx="3">
                  <c:v>20–30%</c:v>
                </c:pt>
                <c:pt idx="4">
                  <c:v>≥30%</c:v>
                </c:pt>
              </c:strCache>
            </c:strRef>
          </c:cat>
          <c:val>
            <c:numRef>
              <c:f>'Phân nhóm độ sâu'!$H$15:$H$19</c:f>
              <c:numCache>
                <c:formatCode>General</c:formatCode>
                <c:ptCount val="5"/>
                <c:pt idx="0">
                  <c:v>0</c:v>
                </c:pt>
                <c:pt idx="1">
                  <c:v>1</c:v>
                </c:pt>
                <c:pt idx="2">
                  <c:v>0.5</c:v>
                </c:pt>
                <c:pt idx="3">
                  <c:v>2</c:v>
                </c:pt>
                <c:pt idx="4">
                  <c:v>5</c:v>
                </c:pt>
              </c:numCache>
            </c:numRef>
          </c:val>
        </c:ser>
        <c:ser>
          <c:idx val="1"/>
          <c:order val="1"/>
          <c:tx>
            <c:v>Sóng 5%</c:v>
          </c:tx>
          <c:cat>
            <c:strRef>
              <c:f>'Phân nhóm độ sâu'!$G$15:$G$19</c:f>
              <c:strCache>
                <c:ptCount val="5"/>
                <c:pt idx="0">
                  <c:v>0–5%</c:v>
                </c:pt>
                <c:pt idx="1">
                  <c:v>5–10%</c:v>
                </c:pt>
                <c:pt idx="2">
                  <c:v>10–20%</c:v>
                </c:pt>
                <c:pt idx="3">
                  <c:v>20–30%</c:v>
                </c:pt>
                <c:pt idx="4">
                  <c:v>≥30%</c:v>
                </c:pt>
              </c:strCache>
            </c:strRef>
          </c:cat>
          <c:val>
            <c:numRef>
              <c:f>'Phân nhóm độ sâu'!$I$15:$I$19</c:f>
              <c:numCache>
                <c:formatCode>General</c:formatCode>
                <c:ptCount val="5"/>
                <c:pt idx="0">
                  <c:v>0</c:v>
                </c:pt>
                <c:pt idx="1">
                  <c:v>0</c:v>
                </c:pt>
                <c:pt idx="2">
                  <c:v>0.5</c:v>
                </c:pt>
                <c:pt idx="3">
                  <c:v>1</c:v>
                </c:pt>
                <c:pt idx="4">
                  <c:v>3.5</c:v>
                </c:pt>
              </c:numCache>
            </c:numRef>
          </c:val>
        </c:ser>
        <c:ser>
          <c:idx val="2"/>
          <c:order val="2"/>
          <c:tx>
            <c:v>Sóng 7%</c:v>
          </c:tx>
          <c:cat>
            <c:strRef>
              <c:f>'Phân nhóm độ sâu'!$G$15:$G$19</c:f>
              <c:strCache>
                <c:ptCount val="5"/>
                <c:pt idx="0">
                  <c:v>0–5%</c:v>
                </c:pt>
                <c:pt idx="1">
                  <c:v>5–10%</c:v>
                </c:pt>
                <c:pt idx="2">
                  <c:v>10–20%</c:v>
                </c:pt>
                <c:pt idx="3">
                  <c:v>20–30%</c:v>
                </c:pt>
                <c:pt idx="4">
                  <c:v>≥30%</c:v>
                </c:pt>
              </c:strCache>
            </c:strRef>
          </c:cat>
          <c:val>
            <c:numRef>
              <c:f>'Phân nhóm độ sâu'!$J$15:$J$19</c:f>
              <c:numCache>
                <c:formatCode>General</c:formatCode>
                <c:ptCount val="5"/>
                <c:pt idx="0">
                  <c:v>0</c:v>
                </c:pt>
                <c:pt idx="1">
                  <c:v>0</c:v>
                </c:pt>
                <c:pt idx="2">
                  <c:v>0</c:v>
                </c:pt>
                <c:pt idx="3">
                  <c:v>0</c:v>
                </c:pt>
                <c:pt idx="4">
                  <c:v>2.5</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Số sóng</a:t>
                </a:r>
              </a:p>
            </c:rich>
          </c:tx>
        </c:title>
        <c:numFmt formatCode="General" sourceLinked="1"/>
        <c:majorTickMark val="none"/>
        <c:minorTickMark val="none"/>
        <c:tickLblPos val="nextTo"/>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47625</xdr:colOff>
      <xdr:row>22</xdr:row>
      <xdr:rowOff>161925</xdr:rowOff>
    </xdr:from>
    <xdr:to>
      <xdr:col>12</xdr:col>
      <xdr:colOff>47625</xdr:colOff>
      <xdr:row>38</xdr:row>
      <xdr:rowOff>152400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a079de7e36a488a"/>
        </a:graphicData>
      </a:graphic>
    </xdr:graphicFrame>
    <xdr:clientData/>
  </xdr:twoCellAnchor>
</xdr:wsDr>
</file>

<file path=xl/drawings/drawing2.xml><?xml version="1.0" encoding="utf-8"?>
<xdr:wsDr xmlns:xdr="http://schemas.openxmlformats.org/drawingml/2006/spreadsheetDrawing">
  <xdr:twoCellAnchor>
    <xdr:from>
      <xdr:col>9</xdr:col>
      <xdr:colOff>0</xdr:colOff>
      <xdr:row>26</xdr:row>
      <xdr:rowOff>0</xdr:rowOff>
    </xdr:from>
    <xdr:to>
      <xdr:col>17</xdr:col>
      <xdr:colOff>0</xdr:colOff>
      <xdr:row>42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7350325c7de4db3"/>
        </a:graphicData>
      </a:graphic>
    </xdr:graphicFrame>
    <xdr:clientData/>
  </xdr:twoCellAnchor>
  <xdr:twoCellAnchor editAs="oneCell">
    <xdr:from>
      <xdr:col>0</xdr:col>
      <xdr:colOff>0</xdr:colOff>
      <xdr:row>0</xdr:row>
      <xdr:rowOff>0</xdr:rowOff>
    </xdr:from>
    <xdr:to>
      <xdr:col>8</xdr:col>
      <xdr:colOff>685800</xdr:colOff>
      <xdr:row>42</xdr:row>
      <xdr:rowOff>95250</xdr:rowOff>
    </xdr:to>
    <xdr:sp>
      <xdr:nvSpPr>
        <xdr:cNvPr id="2" name="Text Box 2"/>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miter/>
        </a:ln>
      </xdr:spPr>
    </xdr:sp>
    <xdr:clientData/>
  </xdr:twoCellAnchor>
</xdr:wsDr>
</file>

<file path=xl/drawings/drawing3.xml><?xml version="1.0" encoding="utf-8"?>
<xdr:wsDr xmlns:xdr="http://schemas.openxmlformats.org/drawingml/2006/spreadsheetDrawing">
  <xdr:twoCellAnchor editAs="oneCell">
    <xdr:from>
      <xdr:col>0</xdr:col>
      <xdr:colOff>0</xdr:colOff>
      <xdr:row>0</xdr:row>
      <xdr:rowOff>0</xdr:rowOff>
    </xdr:from>
    <xdr:to>
      <xdr:col>9</xdr:col>
      <xdr:colOff>304800</xdr:colOff>
      <xdr:row>49</xdr:row>
      <xdr:rowOff>28575</xdr:rowOff>
    </xdr:to>
    <xdr:sp>
      <xdr:nvSpPr>
        <xdr:cNvPr id="1" name="Text Box 2"/>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miter/>
        </a:ln>
      </xdr:spPr>
    </xdr:sp>
    <xdr:clientData/>
  </xdr:twoCellAnchor>
</xdr:wsDr>
</file>

<file path=xl/drawings/drawing4.xml><?xml version="1.0" encoding="utf-8"?>
<xdr:wsDr xmlns:xdr="http://schemas.openxmlformats.org/drawingml/2006/spreadsheetDrawing">
  <xdr:twoCellAnchor>
    <xdr:from>
      <xdr:col>10</xdr:col>
      <xdr:colOff>0</xdr:colOff>
      <xdr:row>11</xdr:row>
      <xdr:rowOff>0</xdr:rowOff>
    </xdr:from>
    <xdr:to>
      <xdr:col>18</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b5fceb0dbf3483f"/>
        </a:graphicData>
      </a:graphic>
    </xdr:graphicFrame>
    <xdr:clientData/>
  </xdr:twoCellAnchor>
  <xdr:twoCellAnchor>
    <xdr:from>
      <xdr:col>0</xdr:col>
      <xdr:colOff>0</xdr:colOff>
      <xdr:row>20</xdr:row>
      <xdr:rowOff>0</xdr:rowOff>
    </xdr:from>
    <xdr:to>
      <xdr:col>9</xdr:col>
      <xdr:colOff>0</xdr:colOff>
      <xdr:row>36</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758d177500d4689"/>
        </a:graphicData>
      </a:graphic>
    </xdr:graphicFrame>
    <xdr:clientData/>
  </xdr:twoCellAnchor>
</xdr:wsDr>
</file>

<file path=xl/persons/person.xml><?xml version="1.0" encoding="utf-8"?>
<xltc:personList xmlns:xltc="http://schemas.microsoft.com/office/spreadsheetml/2018/threadedcomments">
  <xltc:person displayName="Lê Văn Giang" id="{99671FBF-91B0-42AD-8221-8BA8B9544AF6}"/>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A1" dT="2026-07-21T08:36:21.94" personId="{99671FBF-91B0-42AD-8221-8BA8B9544AF6}" id="{723805B7-D4B2-4B58-198D-ED9BDABB5904}">
    <xltc:text>Nguồn: Phan_tich_VNIndex_gay_MA200_va_thoi_gian_quay_lai_2000_2026(3).xlsx; dữ liệu chốt 2026-07-17.</xltc:text>
  </xltc:threadedComment>
</xltc:ThreadedComments>
</file>

<file path=xl/threadedcomments/threadedcomment2.xml><?xml version="1.0" encoding="utf-8"?>
<xltc:ThreadedComments xmlns:xltc="http://schemas.microsoft.com/office/spreadsheetml/2018/threadedcomments">
  <xltc:threadedComment ref="C4" dT="2026-07-21T08:36:21.95" personId="{99671FBF-91B0-42AD-8221-8BA8B9544AF6}" id="{82103182-AAED-47EB-1ADF-8FD7750C495B}">
    <xltc:text>Ba ngưỡng 3%, 5% và 7% được tính độc lập để kiểm tra độ nhạy của định nghĩa sóng hồi.</xltc:text>
  </xltc:threadedComment>
</xltc:ThreadedComments>
</file>

<file path=xl/worksheets/_rels/sheet1.xml.rels>&#65279;<?xml version="1.0" encoding="utf-8"?><Relationships xmlns="http://schemas.openxmlformats.org/package/2006/relationships"><Relationship Type="http://schemas.openxmlformats.org/officeDocument/2006/relationships/drawing" Target="/xl/drawings/drawing1.xml" Id="Rfa047e455f5d47a6" /></Relationships>
</file>

<file path=xl/worksheets/_rels/sheet7.xml.rels>&#65279;<?xml version="1.0" encoding="utf-8"?><Relationships xmlns="http://schemas.openxmlformats.org/package/2006/relationships"><Relationship Type="http://schemas.openxmlformats.org/officeDocument/2006/relationships/comments" Target="/xl/comments1.xml" Id="Rbf7b67362378454d" /><Relationship Type="http://schemas.openxmlformats.org/officeDocument/2006/relationships/vmlDrawing" Target="/xl/drawings/vmldrawing.vml" Id="Rd6f82e7807b940eb" /><Relationship Type="http://schemas.microsoft.com/office/2017/10/relationships/threadedComment" Target="/xl/threadedcomments/threadedcomment.xml" Id="Ra919d822e8bb4dc2" /><Relationship Type="http://schemas.openxmlformats.org/officeDocument/2006/relationships/drawing" Target="/xl/drawings/drawing2.xml" Id="R3c344cae4ab8438c" /></Relationships>
</file>

<file path=xl/worksheets/_rels/sheet9.xml.rels>&#65279;<?xml version="1.0" encoding="utf-8"?><Relationships xmlns="http://schemas.openxmlformats.org/package/2006/relationships"><Relationship Type="http://schemas.openxmlformats.org/officeDocument/2006/relationships/comments" Target="/xl/comments2.xml" Id="Rd0c5be0984834fa9" /><Relationship Type="http://schemas.openxmlformats.org/officeDocument/2006/relationships/vmlDrawing" Target="/xl/drawings/vmldrawing2.vml" Id="Re8b4aa00171d4d02" /><Relationship Type="http://schemas.microsoft.com/office/2017/10/relationships/threadedComment" Target="/xl/threadedcomments/threadedcomment2.xml" Id="R62975c4d21f143db" /><Relationship Type="http://schemas.openxmlformats.org/officeDocument/2006/relationships/drawing" Target="/xl/drawings/drawing3.xml" Id="R9f0bcdfe7aae4c51" /></Relationships>
</file>

<file path=xl/worksheets/_rels/sheet10.xml.rels>&#65279;<?xml version="1.0" encoding="utf-8"?><Relationships xmlns="http://schemas.openxmlformats.org/package/2006/relationships"><Relationship Type="http://schemas.openxmlformats.org/officeDocument/2006/relationships/drawing" Target="/xl/drawings/drawing4.xml" Id="Rcb2d448a4d6240ec" /></Relationships>
</file>

<file path=xl/worksheets/sheet1.xml><?xml version="1.0" encoding="utf-8"?>
<x:worksheet xmlns:x="http://schemas.openxmlformats.org/spreadsheetml/2006/main">
  <x:sheetViews>
    <x:sheetView showGridLines="0" workbookViewId="0"/>
  </x:sheetViews>
  <x:sheetFormatPr defaultRowHeight="14.25"/>
  <x:cols>
    <x:col min="1" max="1" width="16" customWidth="1"/>
    <x:col min="2" max="6" width="13" customWidth="1"/>
    <x:col min="7" max="7" width="15.625" customWidth="1"/>
    <x:col min="8" max="8" width="25" customWidth="1"/>
    <x:col min="9" max="12" width="13" customWidth="1"/>
  </x:cols>
  <x:sheetData>
    <x:row r="1">
      <x:c r="A1" s="104" t="s">
        <x:v>0</x:v>
      </x:c>
      <x:c r="B1" s="104"/>
      <x:c r="C1" s="104"/>
      <x:c r="D1" s="104"/>
      <x:c r="E1" s="104"/>
      <x:c r="F1" s="104"/>
      <x:c r="G1" s="104"/>
      <x:c r="H1" s="104"/>
      <x:c r="I1" s="104"/>
      <x:c r="J1" s="104"/>
      <x:c r="K1" s="104"/>
      <x:c r="L1" s="104"/>
      <x:c r="N1" t="s">
        <x:v>1</x:v>
      </x:c>
      <x:c r="O1" t="s">
        <x:v>2</x:v>
      </x:c>
    </x:row>
    <x:row r="2">
      <x:c r="A2" s="104"/>
      <x:c r="B2" s="104"/>
      <x:c r="C2" s="104"/>
      <x:c r="D2" s="104"/>
      <x:c r="E2" s="104"/>
      <x:c r="F2" s="104"/>
      <x:c r="G2" s="104"/>
      <x:c r="H2" s="104"/>
      <x:c r="I2" s="104"/>
      <x:c r="J2" s="104"/>
      <x:c r="K2" s="104"/>
      <x:c r="L2" s="104"/>
      <x:c r="N2" s="9">
        <x:v>40807</x:v>
      </x:c>
      <x:c r="O2">
        <x:v>102</x:v>
      </x:c>
    </x:row>
    <x:row r="3">
      <x:c r="A3" s="105" t="str">
        <x:v>Nghiên cứu từ 28/07/2000 đến 27/07/2026 • Giá đóng cửa</x:v>
      </x:c>
      <x:c r="B3" s="105"/>
      <x:c r="C3" s="105"/>
      <x:c r="D3" s="105"/>
      <x:c r="E3" s="105"/>
      <x:c r="F3" s="105"/>
      <x:c r="G3" s="105"/>
      <x:c r="H3" s="105"/>
      <x:c r="I3" s="105"/>
      <x:c r="J3" s="105"/>
      <x:c r="K3" s="105"/>
      <x:c r="L3" s="105"/>
      <x:c r="N3" s="9">
        <x:v>38247</x:v>
      </x:c>
      <x:c r="O3">
        <x:v>113</x:v>
      </x:c>
    </x:row>
    <x:row r="4">
      <x:c r="N4" s="9">
        <x:v>43860</x:v>
      </x:c>
      <x:c r="O4">
        <x:v>145</x:v>
      </x:c>
    </x:row>
    <x:row r="5" ht="15">
      <x:c r="A5" s="89" t="s">
        <x:v>3</x:v>
      </x:c>
      <x:c r="B5" s="89"/>
      <x:c r="C5" s="89"/>
      <x:c r="D5" s="89"/>
      <x:c r="E5" s="89"/>
      <x:c r="F5" s="89"/>
      <x:c r="G5" s="89"/>
      <x:c r="H5" s="89"/>
      <x:c r="I5" s="89"/>
      <x:c r="J5" s="89"/>
      <x:c r="K5" s="89"/>
      <x:c r="L5" s="89"/>
      <x:c r="N5" s="9">
        <x:v>40310</x:v>
      </x:c>
      <x:c r="O5">
        <x:v>151</x:v>
      </x:c>
    </x:row>
    <x:row r="6">
      <x:c r="N6" s="9">
        <x:v>43270</x:v>
      </x:c>
      <x:c r="O6">
        <x:v>166</x:v>
      </x:c>
    </x:row>
    <x:row r="7">
      <x:c r="A7" s="91" t="str">
        <x:v>Số tín hiệu xác nhận</x:v>
      </x:c>
      <x:c r="B7" s="91"/>
      <x:c r="C7" s="91" t="s">
        <x:v>4</x:v>
      </x:c>
      <x:c r="D7" s="91"/>
      <x:c r="E7" s="91" t="s">
        <x:v>5</x:v>
      </x:c>
      <x:c r="F7" s="91"/>
      <x:c r="G7" s="91" t="s">
        <x:v>6</x:v>
      </x:c>
      <x:c r="H7" s="91"/>
      <x:c r="I7" s="91" t="s">
        <x:v>7</x:v>
      </x:c>
      <x:c r="J7" s="91"/>
      <x:c r="K7" s="91" t="s">
        <x:v>8</x:v>
      </x:c>
      <x:c r="L7" s="91"/>
      <x:c r="N7" s="9">
        <x:v>44670</x:v>
      </x:c>
      <x:c r="O7">
        <x:v>279</x:v>
      </x:c>
    </x:row>
    <x:row r="8">
      <x:c r="A8" s="96" t="n">
        <x:v>37</x:v>
      </x:c>
      <x:c r="B8" s="97"/>
      <x:c r="C8" s="96">
        <x:v>25</x:v>
      </x:c>
      <x:c r="D8" s="97"/>
      <x:c r="E8" s="100">
        <x:v>68.888888888888886</x:v>
      </x:c>
      <x:c r="F8" s="101"/>
      <x:c r="G8" s="96">
        <x:v>441</x:v>
      </x:c>
      <x:c r="H8" s="97"/>
      <x:c r="I8" s="92">
        <x:v>0.69444444444444442</x:v>
      </x:c>
      <x:c r="J8" s="93"/>
      <x:c r="K8" s="92">
        <x:v>-0.10131886509946877</x:v>
      </x:c>
      <x:c r="L8" s="93"/>
      <x:c r="N8" s="9">
        <x:v>39395</x:v>
      </x:c>
      <x:c r="O8">
        <x:v>365</x:v>
      </x:c>
    </x:row>
    <x:row r="9">
      <x:c r="A9" s="98"/>
      <x:c r="B9" s="99"/>
      <x:c r="C9" s="98"/>
      <x:c r="D9" s="99"/>
      <x:c r="E9" s="102"/>
      <x:c r="F9" s="103"/>
      <x:c r="G9" s="98"/>
      <x:c r="H9" s="99"/>
      <x:c r="I9" s="94"/>
      <x:c r="J9" s="95"/>
      <x:c r="K9" s="94"/>
      <x:c r="L9" s="95"/>
      <x:c r="N9" s="9">
        <x:v>37237</x:v>
      </x:c>
      <x:c r="O9">
        <x:v>441</x:v>
      </x:c>
    </x:row>
    <x:row r="10">
      <x:c r="A10" s="90" t="s">
        <x:v>9</x:v>
      </x:c>
      <x:c r="B10" s="90"/>
      <x:c r="C10" s="90" t="s">
        <x:v>10</x:v>
      </x:c>
      <x:c r="D10" s="90"/>
      <x:c r="E10" s="90" t="s">
        <x:v>10</x:v>
      </x:c>
      <x:c r="F10" s="90"/>
      <x:c r="G10" s="90" t="s">
        <x:v>10</x:v>
      </x:c>
      <x:c r="H10" s="90"/>
      <x:c r="I10" s="90" t="s">
        <x:v>11</x:v>
      </x:c>
      <x:c r="J10" s="90"/>
      <x:c r="K10" s="90" t="s">
        <x:v>12</x:v>
      </x:c>
      <x:c r="L10" s="90"/>
    </x:row>
    <x:row r="12">
      <x:c r="A12" s="80" t="str">
        <x:v>Kết luận: đến 27/07/2026 có 37 tín hiệu gãy MA200 xác nhận, gồm 36 chu kỳ đã hoàn tất và 1 tín hiệu đang mở từ 20/07/2026. Với 36 chu kỳ hoàn tất, VN-Index mất trung vị 25 phiên giao dịch (khoảng 39 ngày lịch) để có 3 phiên liên tiếp quay lại trên MA200; 69,4% quay lại trong 60 phiên.</x:v>
      </x:c>
      <x:c r="B12" s="81"/>
      <x:c r="C12" s="81"/>
      <x:c r="D12" s="81"/>
      <x:c r="E12" s="81"/>
      <x:c r="F12" s="81"/>
      <x:c r="G12" s="81"/>
      <x:c r="H12" s="81"/>
      <x:c r="I12" s="81"/>
      <x:c r="J12" s="81"/>
      <x:c r="K12" s="81"/>
      <x:c r="L12" s="82"/>
    </x:row>
    <x:row r="13">
      <x:c r="A13" s="83"/>
      <x:c r="B13" s="84"/>
      <x:c r="C13" s="84"/>
      <x:c r="D13" s="84"/>
      <x:c r="E13" s="84"/>
      <x:c r="F13" s="84"/>
      <x:c r="G13" s="84"/>
      <x:c r="H13" s="84"/>
      <x:c r="I13" s="84"/>
      <x:c r="J13" s="84"/>
      <x:c r="K13" s="84"/>
      <x:c r="L13" s="85"/>
    </x:row>
    <x:row r="14" ht="32" customHeight="1">
      <x:c r="A14" s="198" t="str">
        <x:v>TÍN HIỆU ĐANG MỞ 20/07/2026 • Đến 27/07: VN-Index 1.669,01 điểm, thấp hơn MA200 1.772,41 điểm (-5,8%); đáy đóng cửa tạm thời 1.668,53 điểm ngày 22/07; đã 5 phiên giao dịch và chưa xác nhận quay lại.</x:v>
      </x:c>
      <x:c r="B14" s="199"/>
      <x:c r="C14" s="199"/>
      <x:c r="D14" s="199"/>
      <x:c r="E14" s="199"/>
      <x:c r="F14" s="199"/>
      <x:c r="G14" s="199"/>
      <x:c r="H14" s="199"/>
      <x:c r="I14" s="199"/>
      <x:c r="J14" s="199"/>
      <x:c r="K14" s="199"/>
      <x:c r="L14" s="200"/>
    </x:row>
    <x:row r="16" ht="15">
      <x:c r="A16" s="89" t="s">
        <x:v>13</x:v>
      </x:c>
      <x:c r="B16" s="89"/>
      <x:c r="C16" s="89"/>
      <x:c r="D16" s="89"/>
      <x:c r="E16" s="89"/>
      <x:c r="F16" s="89"/>
      <x:c r="G16" s="89" t="s">
        <x:v>14</x:v>
      </x:c>
      <x:c r="H16" s="89"/>
      <x:c r="I16" s="89"/>
      <x:c r="J16" s="89"/>
      <x:c r="K16" s="89"/>
      <x:c r="L16" s="89"/>
    </x:row>
    <x:row r="17" ht="25.5">
      <x:c r="A17" s="1" t="s">
        <x:v>15</x:v>
      </x:c>
      <x:c r="B17" s="1" t="s">
        <x:v>16</x:v>
      </x:c>
      <x:c r="C17" s="1" t="s">
        <x:v>17</x:v>
      </x:c>
      <x:c r="G17" s="1" t="s">
        <x:v>18</x:v>
      </x:c>
      <x:c r="H17" s="1" t="s">
        <x:v>19</x:v>
      </x:c>
      <x:c r="I17" s="1" t="s">
        <x:v>20</x:v>
      </x:c>
      <x:c r="J17" s="1" t="s">
        <x:v>21</x:v>
      </x:c>
      <x:c r="K17" s="1" t="s">
        <x:v>22</x:v>
      </x:c>
      <x:c r="L17" s="1" t="s">
        <x:v>8</x:v>
      </x:c>
    </x:row>
    <x:row r="18">
      <x:c r="A18" s="2" t="s">
        <x:v>23</x:v>
      </x:c>
      <x:c r="B18" s="2">
        <x:v>17</x:v>
      </x:c>
      <x:c r="C18" s="3">
        <x:v>0.47222222222222221</x:v>
      </x:c>
      <x:c r="G18" s="2" t="s">
        <x:v>24</x:v>
      </x:c>
      <x:c r="H18" s="2" t="n">
        <x:v>72</x:v>
      </x:c>
      <x:c r="I18" s="2">
        <x:v>4</x:v>
      </x:c>
      <x:c r="J18" s="4">
        <x:v>34.985915492957744</x:v>
      </x:c>
      <x:c r="K18" s="2">
        <x:v>438</x:v>
      </x:c>
      <x:c r="L18" s="3">
        <x:v>-5.3168764964838244E-2</x:v>
      </x:c>
    </x:row>
    <x:row r="19">
      <x:c r="A19" s="2" t="s">
        <x:v>25</x:v>
      </x:c>
      <x:c r="B19" s="2">
        <x:v>25</x:v>
      </x:c>
      <x:c r="C19" s="3">
        <x:v>0.69444444444444442</x:v>
      </x:c>
      <x:c r="G19" s="2" t="s">
        <x:v>26</x:v>
      </x:c>
      <x:c r="H19" s="2" t="n">
        <x:v>37</x:v>
      </x:c>
      <x:c r="I19" s="2">
        <x:v>25</x:v>
      </x:c>
      <x:c r="J19" s="4">
        <x:v>68.888888888888886</x:v>
      </x:c>
      <x:c r="K19" s="2">
        <x:v>441</x:v>
      </x:c>
      <x:c r="L19" s="3">
        <x:v>-0.10131886509946877</x:v>
      </x:c>
    </x:row>
    <x:row r="20" ht="24">
      <x:c r="A20" s="2" t="s">
        <x:v>27</x:v>
      </x:c>
      <x:c r="B20" s="2">
        <x:v>30</x:v>
      </x:c>
      <x:c r="C20" s="3">
        <x:v>0.83333333333333337</x:v>
      </x:c>
      <x:c r="G20" s="5" t="s">
        <x:v>28</x:v>
      </x:c>
      <x:c r="H20" s="5" t="s">
        <x:v>29</x:v>
      </x:c>
      <x:c r="I20" s="5" t="s">
        <x:v>30</x:v>
      </x:c>
      <x:c r="J20" s="5" t="s">
        <x:v>31</x:v>
      </x:c>
      <x:c r="K20" s="5" t="s">
        <x:v>32</x:v>
      </x:c>
      <x:c r="L20" s="5" t="s">
        <x:v>33</x:v>
      </x:c>
    </x:row>
    <x:row r="21">
      <x:c r="A21" s="2" t="s">
        <x:v>34</x:v>
      </x:c>
      <x:c r="B21" s="2">
        <x:v>33</x:v>
      </x:c>
      <x:c r="C21" s="3">
        <x:v>0.91666666666666663</x:v>
      </x:c>
    </x:row>
    <x:row r="23" ht="15">
      <x:c r="A23" s="89" t="s">
        <x:v>35</x:v>
      </x:c>
      <x:c r="B23" s="89"/>
      <x:c r="C23" s="89"/>
      <x:c r="D23" s="89"/>
      <x:c r="E23" s="89"/>
      <x:c r="F23" s="89"/>
      <x:c r="G23" s="89"/>
      <x:c r="H23" s="89"/>
      <x:c r="I23" s="89"/>
      <x:c r="J23" s="89"/>
      <x:c r="K23" s="89"/>
      <x:c r="L23" s="89"/>
    </x:row>
    <x:row r="24">
      <x:c r="A24" s="1" t="s">
        <x:v>1</x:v>
      </x:c>
      <x:c r="B24" s="1" t="s">
        <x:v>36</x:v>
      </x:c>
      <x:c r="C24" s="1" t="s">
        <x:v>2</x:v>
      </x:c>
      <x:c r="D24" s="1" t="s">
        <x:v>37</x:v>
      </x:c>
      <x:c r="E24" s="1" t="s">
        <x:v>38</x:v>
      </x:c>
      <x:c r="F24" s="1" t="s">
        <x:v>39</x:v>
      </x:c>
      <x:c r="G24" s="1" t="s">
        <x:v>40</x:v>
      </x:c>
      <x:c r="H24" s="1" t="s">
        <x:v>41</x:v>
      </x:c>
    </x:row>
    <x:row r="25">
      <x:c r="A25" s="6">
        <x:v>37237</x:v>
      </x:c>
      <x:c r="B25" s="6">
        <x:v>37944</x:v>
      </x:c>
      <x:c r="C25" s="7">
        <x:v>441</x:v>
      </x:c>
      <x:c r="D25" s="7">
        <x:v>707</x:v>
      </x:c>
      <x:c r="E25" s="3">
        <x:v>-0.5112571407235933</x:v>
      </x:c>
      <x:c r="F25" s="8">
        <x:v>267.83</x:v>
      </x:c>
      <x:c r="G25" s="8">
        <x:v>130.9</x:v>
      </x:c>
      <x:c r="H25" s="2" t="s">
        <x:v>42</x:v>
      </x:c>
    </x:row>
    <x:row r="26">
      <x:c r="A26" s="6">
        <x:v>39395</x:v>
      </x:c>
      <x:c r="B26" s="6">
        <x:v>39940</x:v>
      </x:c>
      <x:c r="C26" s="7">
        <x:v>365</x:v>
      </x:c>
      <x:c r="D26" s="7">
        <x:v>545</x:v>
      </x:c>
      <x:c r="E26" s="3">
        <x:v>-0.76872992958783848</x:v>
      </x:c>
      <x:c r="F26" s="8">
        <x:v>1018.29</x:v>
      </x:c>
      <x:c r="G26" s="8">
        <x:v>235.5</x:v>
      </x:c>
      <x:c r="H26" s="2" t="s">
        <x:v>43</x:v>
      </x:c>
    </x:row>
    <x:row r="27">
      <x:c r="A27" s="6">
        <x:v>44670</x:v>
      </x:c>
      <x:c r="B27" s="6">
        <x:v>45078</x:v>
      </x:c>
      <x:c r="C27" s="7">
        <x:v>279</x:v>
      </x:c>
      <x:c r="D27" s="7">
        <x:v>408</x:v>
      </x:c>
      <x:c r="E27" s="3">
        <x:v>-0.35162999040136522</x:v>
      </x:c>
      <x:c r="F27" s="8">
        <x:v>1406.45</x:v>
      </x:c>
      <x:c r="G27" s="8">
        <x:v>911.9</x:v>
      </x:c>
      <x:c r="H27" s="2" t="s">
        <x:v>44</x:v>
      </x:c>
    </x:row>
    <x:row r="28">
      <x:c r="A28" s="6">
        <x:v>43270</x:v>
      </x:c>
      <x:c r="B28" s="6">
        <x:v>43514</x:v>
      </x:c>
      <x:c r="C28" s="7">
        <x:v>166</x:v>
      </x:c>
      <x:c r="D28" s="7">
        <x:v>244</x:v>
      </x:c>
      <x:c r="E28" s="3">
        <x:v>-8.7241207283611844E-2</x:v>
      </x:c>
      <x:c r="F28" s="8">
        <x:v>962.16</x:v>
      </x:c>
      <x:c r="G28" s="8">
        <x:v>878.22</x:v>
      </x:c>
      <x:c r="H28" s="2" t="s">
        <x:v>45</x:v>
      </x:c>
    </x:row>
    <x:row r="29">
      <x:c r="A29" s="6">
        <x:v>40310</x:v>
      </x:c>
      <x:c r="B29" s="6">
        <x:v>40525</x:v>
      </x:c>
      <x:c r="C29" s="7">
        <x:v>151</x:v>
      </x:c>
      <x:c r="D29" s="7">
        <x:v>215</x:v>
      </x:c>
      <x:c r="E29" s="3">
        <x:v>-0.18419938414164749</x:v>
      </x:c>
      <x:c r="F29" s="8">
        <x:v>519.6</x:v>
      </x:c>
      <x:c r="G29" s="8">
        <x:v>423.89</x:v>
      </x:c>
      <x:c r="H29" s="2" t="s">
        <x:v>46</x:v>
      </x:c>
    </x:row>
    <x:row r="30">
      <x:c r="A30" s="6">
        <x:v>43860</x:v>
      </x:c>
      <x:c r="B30" s="6">
        <x:v>44068</x:v>
      </x:c>
      <x:c r="C30" s="7">
        <x:v>145</x:v>
      </x:c>
      <x:c r="D30" s="7">
        <x:v>208</x:v>
      </x:c>
      <x:c r="E30" s="3">
        <x:v>-0.31302236395089522</x:v>
      </x:c>
      <x:c r="F30" s="8">
        <x:v>959.58</x:v>
      </x:c>
      <x:c r="G30" s="8">
        <x:v>659.21</x:v>
      </x:c>
      <x:c r="H30" s="2" t="s">
        <x:v>47</x:v>
      </x:c>
    </x:row>
    <x:row r="31">
      <x:c r="A31" s="6">
        <x:v>38247</x:v>
      </x:c>
      <x:c r="B31" s="6">
        <x:v>38414</x:v>
      </x:c>
      <x:c r="C31" s="7">
        <x:v>113</x:v>
      </x:c>
      <x:c r="D31" s="7">
        <x:v>167</x:v>
      </x:c>
      <x:c r="E31" s="3">
        <x:v>-4.2897297297297188E-2</x:v>
      </x:c>
      <x:c r="F31" s="8">
        <x:v>231.25</x:v>
      </x:c>
      <x:c r="G31" s="8">
        <x:v>221.33</x:v>
      </x:c>
      <x:c r="H31" s="2" t="s">
        <x:v>45</x:v>
      </x:c>
    </x:row>
    <x:row r="32">
      <x:c r="A32" s="6">
        <x:v>40807</x:v>
      </x:c>
      <x:c r="B32" s="6">
        <x:v>40959</x:v>
      </x:c>
      <x:c r="C32" s="7">
        <x:v>102</x:v>
      </x:c>
      <x:c r="D32" s="7">
        <x:v>152</x:v>
      </x:c>
      <x:c r="E32" s="3">
        <x:v>-0.24764841253882064</x:v>
      </x:c>
      <x:c r="F32" s="8">
        <x:v>447.57</x:v>
      </x:c>
      <x:c r="G32" s="8">
        <x:v>336.73</x:v>
      </x:c>
      <x:c r="H32" s="2" t="s">
        <x:v>45</x:v>
      </x:c>
    </x:row>
  </x:sheetData>
  <x:mergeCells>
    <x:mergeCell ref="A1:L2"/>
    <x:mergeCell ref="A3:L3"/>
    <x:mergeCell ref="A5:L5"/>
    <x:mergeCell ref="A7:B7"/>
    <x:mergeCell ref="A8:B9"/>
    <x:mergeCell ref="G7:H7"/>
    <x:mergeCell ref="G8:H9"/>
    <x:mergeCell ref="C7:D7"/>
    <x:mergeCell ref="C8:D9"/>
    <x:mergeCell ref="C10:D10"/>
    <x:mergeCell ref="E7:F7"/>
    <x:mergeCell ref="E8:F9"/>
    <x:mergeCell ref="E10:F10"/>
    <x:mergeCell ref="I7:J7"/>
    <x:mergeCell ref="I8:J9"/>
    <x:mergeCell ref="I10:J10"/>
    <x:mergeCell ref="K7:L7"/>
    <x:mergeCell ref="K8:L9"/>
    <x:mergeCell ref="K10:L10"/>
    <x:mergeCell ref="A12:L14"/>
    <x:mergeCell ref="A16:F16"/>
    <x:mergeCell ref="G16:L16"/>
    <x:mergeCell ref="A23:L23"/>
    <x:mergeCell ref="G10:H10"/>
    <x:mergeCell ref="A10:B10"/>
    <x:mergeCell ref="A14:L14"/>
  </x:mergeCells>
  <x:pageMargins left="0.7" right="0.7" top="0.75" bottom="0.75" header="0.3" footer="0.3"/>
  <x:drawing xmlns:r="http://schemas.openxmlformats.org/officeDocument/2006/relationships" r:id="Rfa047e455f5d47a6"/>
</x:worksheet>
</file>

<file path=xl/worksheets/sheet2.xml><?xml version="1.0" encoding="utf-8"?>
<x:worksheet xmlns:x="http://schemas.openxmlformats.org/spreadsheetml/2006/main">
  <x:sheetViews>
    <x:sheetView showGridLines="0" workbookViewId="0"/>
  </x:sheetViews>
  <x:sheetFormatPr defaultRowHeight="14.25"/>
  <x:cols>
    <x:col min="1" max="1" width="7" customWidth="1"/>
    <x:col min="2" max="2" width="13" customWidth="1"/>
    <x:col min="3" max="4" width="12" customWidth="1"/>
    <x:col min="5" max="5" width="14" customWidth="1"/>
    <x:col min="6" max="7" width="15" customWidth="1"/>
    <x:col min="8" max="9" width="10" customWidth="1"/>
    <x:col min="10" max="10" width="13" customWidth="1"/>
    <x:col min="11" max="11" width="12" customWidth="1"/>
    <x:col min="12" max="12" width="14" customWidth="1"/>
    <x:col min="13" max="13" width="13" customWidth="1"/>
  </x:cols>
  <x:sheetData>
    <x:row r="1">
      <x:c r="A1" s="104" t="s">
        <x:v>48</x:v>
      </x:c>
      <x:c r="B1" s="104"/>
      <x:c r="C1" s="104"/>
      <x:c r="D1" s="104"/>
      <x:c r="E1" s="104"/>
      <x:c r="F1" s="104"/>
      <x:c r="G1" s="104"/>
      <x:c r="H1" s="104"/>
      <x:c r="I1" s="104"/>
      <x:c r="J1" s="104"/>
      <x:c r="K1" s="104"/>
      <x:c r="L1" s="104"/>
      <x:c r="M1" s="104"/>
    </x:row>
    <x:row r="2">
      <x:c r="A2" s="104"/>
      <x:c r="B2" s="104"/>
      <x:c r="C2" s="104"/>
      <x:c r="D2" s="104"/>
      <x:c r="E2" s="104"/>
      <x:c r="F2" s="104"/>
      <x:c r="G2" s="104"/>
      <x:c r="H2" s="104"/>
      <x:c r="I2" s="104"/>
      <x:c r="J2" s="104"/>
      <x:c r="K2" s="104"/>
      <x:c r="L2" s="104"/>
      <x:c r="M2" s="104"/>
    </x:row>
    <x:row r="3">
      <x:c r="A3" s="105" t="str">
        <x:v>Định nghĩa chính: 3 phiên liên tiếp đóng cửa dưới MA200; quay lại khi có 3 phiên liên tiếp đóng cửa trên hoặc bằng MA200. Dòng chưa quay lại được tạm tính đến ngày chốt dữ liệu.</x:v>
      </x:c>
      <x:c r="B3" s="105"/>
      <x:c r="C3" s="105"/>
      <x:c r="D3" s="105"/>
      <x:c r="E3" s="105"/>
      <x:c r="F3" s="105"/>
      <x:c r="G3" s="105"/>
      <x:c r="H3" s="105"/>
      <x:c r="I3" s="105"/>
      <x:c r="J3" s="105"/>
      <x:c r="K3" s="105"/>
      <x:c r="L3" s="105"/>
      <x:c r="M3" s="105"/>
    </x:row>
    <x:row r="5" ht="25.5">
      <x:c r="A5" s="1" t="s">
        <x:v>49</x:v>
      </x:c>
      <x:c r="B5" s="1" t="s">
        <x:v>1</x:v>
      </x:c>
      <x:c r="C5" s="1" t="s">
        <x:v>50</x:v>
      </x:c>
      <x:c r="D5" s="1" t="s">
        <x:v>51</x:v>
      </x:c>
      <x:c r="E5" s="1" t="s">
        <x:v>36</x:v>
      </x:c>
      <x:c r="F5" s="1" t="s">
        <x:v>52</x:v>
      </x:c>
      <x:c r="G5" s="1" t="s">
        <x:v>53</x:v>
      </x:c>
      <x:c r="H5" s="1" t="s">
        <x:v>2</x:v>
      </x:c>
      <x:c r="I5" s="1" t="s">
        <x:v>37</x:v>
      </x:c>
      <x:c r="J5" s="1" t="s">
        <x:v>54</x:v>
      </x:c>
      <x:c r="K5" s="1" t="s">
        <x:v>40</x:v>
      </x:c>
      <x:c r="L5" s="1" t="s">
        <x:v>38</x:v>
      </x:c>
      <x:c r="M5" s="1" t="s">
        <x:v>55</x:v>
      </x:c>
    </x:row>
    <x:row r="6">
      <x:c r="A6" s="19">
        <x:v>1</x:v>
      </x:c>
      <x:c r="B6" s="10">
        <x:v>37237</x:v>
      </x:c>
      <x:c r="C6" s="11">
        <x:v>267.83</x:v>
      </x:c>
      <x:c r="D6" s="11">
        <x:v>267.86714999999998</x:v>
      </x:c>
      <x:c r="E6" s="11">
        <x:v>37944</x:v>
      </x:c>
      <x:c r="F6" s="11">
        <x:v>152.06</x:v>
      </x:c>
      <x:c r="G6" s="11">
        <x:v>151.87365</x:v>
      </x:c>
      <x:c r="H6" s="22">
        <x:v>441</x:v>
      </x:c>
      <x:c r="I6" s="22">
        <x:v>707</x:v>
      </x:c>
      <x:c r="J6" s="10">
        <x:v>37918</x:v>
      </x:c>
      <x:c r="K6" s="11">
        <x:v>130.9</x:v>
      </x:c>
      <x:c r="L6" s="12">
        <x:v>-0.5112571407235933</x:v>
      </x:c>
      <x:c r="M6" s="25" t="s">
        <x:v>56</x:v>
      </x:c>
    </x:row>
    <x:row r="7">
      <x:c r="A7" s="20">
        <x:v>2</x:v>
      </x:c>
      <x:c r="B7" s="13">
        <x:v>38247</x:v>
      </x:c>
      <x:c r="C7" s="14">
        <x:v>231.25</x:v>
      </x:c>
      <x:c r="D7" s="14">
        <x:v>231.94974999999999</x:v>
      </x:c>
      <x:c r="E7" s="14">
        <x:v>38414</x:v>
      </x:c>
      <x:c r="F7" s="14">
        <x:v>237.62</x:v>
      </x:c>
      <x:c r="G7" s="14">
        <x:v>236.32755</x:v>
      </x:c>
      <x:c r="H7" s="23">
        <x:v>113</x:v>
      </x:c>
      <x:c r="I7" s="23">
        <x:v>167</x:v>
      </x:c>
      <x:c r="J7" s="13">
        <x:v>38316</x:v>
      </x:c>
      <x:c r="K7" s="14">
        <x:v>221.33</x:v>
      </x:c>
      <x:c r="L7" s="15">
        <x:v>-4.2897297297297188E-2</x:v>
      </x:c>
      <x:c r="M7" s="26" t="s">
        <x:v>56</x:v>
      </x:c>
    </x:row>
    <x:row r="8">
      <x:c r="A8" s="20">
        <x:v>3</x:v>
      </x:c>
      <x:c r="B8" s="13">
        <x:v>38930</x:v>
      </x:c>
      <x:c r="C8" s="14">
        <x:v>404.87</x:v>
      </x:c>
      <x:c r="D8" s="14">
        <x:v>421.85635000000002</x:v>
      </x:c>
      <x:c r="E8" s="14">
        <x:v>38937</x:v>
      </x:c>
      <x:c r="F8" s="14">
        <x:v>433.4</x:v>
      </x:c>
      <x:c r="G8" s="14">
        <x:v>424.77300000000002</x:v>
      </x:c>
      <x:c r="H8" s="23">
        <x:v>5</x:v>
      </x:c>
      <x:c r="I8" s="23">
        <x:v>7</x:v>
      </x:c>
      <x:c r="J8" s="13">
        <x:v>38931</x:v>
      </x:c>
      <x:c r="K8" s="14">
        <x:v>399.8</x:v>
      </x:c>
      <x:c r="L8" s="15">
        <x:v>-1.2522538098648894E-2</x:v>
      </x:c>
      <x:c r="M8" s="26" t="s">
        <x:v>56</x:v>
      </x:c>
    </x:row>
    <x:row r="9">
      <x:c r="A9" s="20">
        <x:v>4</x:v>
      </x:c>
      <x:c r="B9" s="13">
        <x:v>39297</x:v>
      </x:c>
      <x:c r="C9" s="14">
        <x:v>892.88</x:v>
      </x:c>
      <x:c r="D9" s="14">
        <x:v>910.90880000000004</x:v>
      </x:c>
      <x:c r="E9" s="14">
        <x:v>39349</x:v>
      </x:c>
      <x:c r="F9" s="14">
        <x:v>975.82</x:v>
      </x:c>
      <x:c r="G9" s="14">
        <x:v>974.76139999999998</x:v>
      </x:c>
      <x:c r="H9" s="23">
        <x:v>35</x:v>
      </x:c>
      <x:c r="I9" s="23">
        <x:v>52</x:v>
      </x:c>
      <x:c r="J9" s="13">
        <x:v>39300</x:v>
      </x:c>
      <x:c r="K9" s="14">
        <x:v>883.9</x:v>
      </x:c>
      <x:c r="L9" s="15">
        <x:v>-1.0057342532031166E-2</x:v>
      </x:c>
      <x:c r="M9" s="26" t="s">
        <x:v>56</x:v>
      </x:c>
    </x:row>
    <x:row r="10">
      <x:c r="A10" s="20">
        <x:v>5</x:v>
      </x:c>
      <x:c r="B10" s="13">
        <x:v>39395</x:v>
      </x:c>
      <x:c r="C10" s="14">
        <x:v>1018.29</x:v>
      </x:c>
      <x:c r="D10" s="14">
        <x:v>1024.1577</x:v>
      </x:c>
      <x:c r="E10" s="14">
        <x:v>39940</x:v>
      </x:c>
      <x:c r="F10" s="14">
        <x:v>363.9</x:v>
      </x:c>
      <x:c r="G10" s="14">
        <x:v>357.35944999999998</x:v>
      </x:c>
      <x:c r="H10" s="23">
        <x:v>365</x:v>
      </x:c>
      <x:c r="I10" s="23">
        <x:v>545</x:v>
      </x:c>
      <x:c r="J10" s="13">
        <x:v>39868</x:v>
      </x:c>
      <x:c r="K10" s="14">
        <x:v>235.5</x:v>
      </x:c>
      <x:c r="L10" s="15">
        <x:v>-0.76872992958783848</x:v>
      </x:c>
      <x:c r="M10" s="26" t="s">
        <x:v>56</x:v>
      </x:c>
    </x:row>
    <x:row r="11">
      <x:c r="A11" s="20">
        <x:v>6</x:v>
      </x:c>
      <x:c r="B11" s="13">
        <x:v>40163</x:v>
      </x:c>
      <x:c r="C11" s="14">
        <x:v>442.1</x:v>
      </x:c>
      <x:c r="D11" s="14">
        <x:v>458.90495000000004</x:v>
      </x:c>
      <x:c r="E11" s="14">
        <x:v>40169</x:v>
      </x:c>
      <x:c r="F11" s="14">
        <x:v>465.2</x:v>
      </x:c>
      <x:c r="G11" s="14">
        <x:v>462.92054999999999</x:v>
      </x:c>
      <x:c r="H11" s="23">
        <x:v>4</x:v>
      </x:c>
      <x:c r="I11" s="23">
        <x:v>6</x:v>
      </x:c>
      <x:c r="J11" s="13">
        <x:v>40164</x:v>
      </x:c>
      <x:c r="K11" s="14">
        <x:v>434.9</x:v>
      </x:c>
      <x:c r="L11" s="15">
        <x:v>-1.6285908165573515E-2</x:v>
      </x:c>
      <x:c r="M11" s="26" t="s">
        <x:v>56</x:v>
      </x:c>
    </x:row>
    <x:row r="12">
      <x:c r="A12" s="20">
        <x:v>7</x:v>
      </x:c>
      <x:c r="B12" s="13">
        <x:v>40199</x:v>
      </x:c>
      <x:c r="C12" s="14">
        <x:v>478.4</x:v>
      </x:c>
      <x:c r="D12" s="14">
        <x:v>485.91754999999995</x:v>
      </x:c>
      <x:c r="E12" s="14">
        <x:v>40220</x:v>
      </x:c>
      <x:c r="F12" s="14">
        <x:v>499.9</x:v>
      </x:c>
      <x:c r="G12" s="14">
        <x:v>498.00099999999998</x:v>
      </x:c>
      <x:c r="H12" s="23">
        <x:v>15</x:v>
      </x:c>
      <x:c r="I12" s="23">
        <x:v>21</x:v>
      </x:c>
      <x:c r="J12" s="13">
        <x:v>40200</x:v>
      </x:c>
      <x:c r="K12" s="14">
        <x:v>477.6</x:v>
      </x:c>
      <x:c r="L12" s="15">
        <x:v>-1.6722408026754731E-3</x:v>
      </x:c>
      <x:c r="M12" s="26" t="s">
        <x:v>56</x:v>
      </x:c>
    </x:row>
    <x:row r="13">
      <x:c r="A13" s="20">
        <x:v>8</x:v>
      </x:c>
      <x:c r="B13" s="13">
        <x:v>40232</x:v>
      </x:c>
      <x:c r="C13" s="14">
        <x:v>496.3</x:v>
      </x:c>
      <x:c r="D13" s="14">
        <x:v>500.16650000000004</x:v>
      </x:c>
      <x:c r="E13" s="14">
        <x:v>40240</x:v>
      </x:c>
      <x:c r="F13" s="14">
        <x:v>507.3</x:v>
      </x:c>
      <x:c r="G13" s="14">
        <x:v>503.69949999999994</x:v>
      </x:c>
      <x:c r="H13" s="23">
        <x:v>6</x:v>
      </x:c>
      <x:c r="I13" s="23">
        <x:v>8</x:v>
      </x:c>
      <x:c r="J13" s="13">
        <x:v>40233</x:v>
      </x:c>
      <x:c r="K13" s="14">
        <x:v>494.6</x:v>
      </x:c>
      <x:c r="L13" s="15">
        <x:v>-3.4253475720330551E-3</x:v>
      </x:c>
      <x:c r="M13" s="26" t="s">
        <x:v>56</x:v>
      </x:c>
    </x:row>
    <x:row r="14">
      <x:c r="A14" s="20">
        <x:v>9</x:v>
      </x:c>
      <x:c r="B14" s="13">
        <x:v>40262</x:v>
      </x:c>
      <x:c r="C14" s="14">
        <x:v>503.4</x:v>
      </x:c>
      <x:c r="D14" s="14">
        <x:v>510.16699999999997</x:v>
      </x:c>
      <x:c r="E14" s="14">
        <x:v>40273</x:v>
      </x:c>
      <x:c r="F14" s="14">
        <x:v>514.79999999999995</x:v>
      </x:c>
      <x:c r="G14" s="14">
        <x:v>510.71050000000002</x:v>
      </x:c>
      <x:c r="H14" s="23">
        <x:v>7</x:v>
      </x:c>
      <x:c r="I14" s="23">
        <x:v>11</x:v>
      </x:c>
      <x:c r="J14" s="13">
        <x:v>40268</x:v>
      </x:c>
      <x:c r="K14" s="14">
        <x:v>499.2</x:v>
      </x:c>
      <x:c r="L14" s="15">
        <x:v>-8.3432657926102438E-3</x:v>
      </x:c>
      <x:c r="M14" s="26" t="s">
        <x:v>56</x:v>
      </x:c>
    </x:row>
    <x:row r="15">
      <x:c r="A15" s="20">
        <x:v>10</x:v>
      </x:c>
      <x:c r="B15" s="13">
        <x:v>40310</x:v>
      </x:c>
      <x:c r="C15" s="14">
        <x:v>519.6</x:v>
      </x:c>
      <x:c r="D15" s="14">
        <x:v>521.21</x:v>
      </x:c>
      <x:c r="E15" s="14">
        <x:v>40525</x:v>
      </x:c>
      <x:c r="F15" s="14">
        <x:v>490.2</x:v>
      </x:c>
      <x:c r="G15" s="14">
        <x:v>484.03694999999999</x:v>
      </x:c>
      <x:c r="H15" s="23">
        <x:v>151</x:v>
      </x:c>
      <x:c r="I15" s="23">
        <x:v>215</x:v>
      </x:c>
      <x:c r="J15" s="13">
        <x:v>40415</x:v>
      </x:c>
      <x:c r="K15" s="14">
        <x:v>423.89</x:v>
      </x:c>
      <x:c r="L15" s="15">
        <x:v>-0.18419938414164749</x:v>
      </x:c>
      <x:c r="M15" s="26" t="s">
        <x:v>56</x:v>
      </x:c>
    </x:row>
    <x:row r="16">
      <x:c r="A16" s="20">
        <x:v>11</x:v>
      </x:c>
      <x:c r="B16" s="13">
        <x:v>40532</x:v>
      </x:c>
      <x:c r="C16" s="14">
        <x:v>478.3</x:v>
      </x:c>
      <x:c r="D16" s="14">
        <x:v>483.39845000000003</x:v>
      </x:c>
      <x:c r="E16" s="14">
        <x:v>40543</x:v>
      </x:c>
      <x:c r="F16" s="14">
        <x:v>484.7</x:v>
      </x:c>
      <x:c r="G16" s="14">
        <x:v>481.42394999999999</x:v>
      </x:c>
      <x:c r="H16" s="23">
        <x:v>9</x:v>
      </x:c>
      <x:c r="I16" s="23">
        <x:v>11</x:v>
      </x:c>
      <x:c r="J16" s="13">
        <x:v>40536</x:v>
      </x:c>
      <x:c r="K16" s="14">
        <x:v>472.8</x:v>
      </x:c>
      <x:c r="L16" s="15">
        <x:v>-1.1499059167886294E-2</x:v>
      </x:c>
      <x:c r="M16" s="26" t="s">
        <x:v>56</x:v>
      </x:c>
    </x:row>
    <x:row r="17">
      <x:c r="A17" s="20">
        <x:v>12</x:v>
      </x:c>
      <x:c r="B17" s="13">
        <x:v>40596</x:v>
      </x:c>
      <x:c r="C17" s="14">
        <x:v>470</x:v>
      </x:c>
      <x:c r="D17" s="14">
        <x:v>478.56945000000002</x:v>
      </x:c>
      <x:c r="E17" s="14">
        <x:v>40612</x:v>
      </x:c>
      <x:c r="F17" s="14">
        <x:v>482.5</x:v>
      </x:c>
      <x:c r="G17" s="14">
        <x:v>475.42495000000002</x:v>
      </x:c>
      <x:c r="H17" s="23">
        <x:v>12</x:v>
      </x:c>
      <x:c r="I17" s="23">
        <x:v>16</x:v>
      </x:c>
      <x:c r="J17" s="13">
        <x:v>40605</x:v>
      </x:c>
      <x:c r="K17" s="14">
        <x:v>452.3</x:v>
      </x:c>
      <x:c r="L17" s="15">
        <x:v>-3.76595744680851E-2</x:v>
      </x:c>
      <x:c r="M17" s="26" t="s">
        <x:v>56</x:v>
      </x:c>
    </x:row>
    <x:row r="18">
      <x:c r="A18" s="20">
        <x:v>13</x:v>
      </x:c>
      <x:c r="B18" s="13">
        <x:v>40617</x:v>
      </x:c>
      <x:c r="C18" s="14">
        <x:v>468.7</x:v>
      </x:c>
      <x:c r="D18" s="14">
        <x:v>475.31745000000001</x:v>
      </x:c>
      <x:c r="E18" s="14">
        <x:v>40660</x:v>
      </x:c>
      <x:c r="F18" s="14">
        <x:v>469.3</x:v>
      </x:c>
      <x:c r="G18" s="14">
        <x:v>468.67995000000002</x:v>
      </x:c>
      <x:c r="H18" s="23">
        <x:v>29</x:v>
      </x:c>
      <x:c r="I18" s="23">
        <x:v>43</x:v>
      </x:c>
      <x:c r="J18" s="13">
        <x:v>40652</x:v>
      </x:c>
      <x:c r="K18" s="14">
        <x:v>453.7</x:v>
      </x:c>
      <x:c r="L18" s="15">
        <x:v>-3.2003413697461069E-2</x:v>
      </x:c>
      <x:c r="M18" s="26" t="s">
        <x:v>56</x:v>
      </x:c>
    </x:row>
    <x:row r="19">
      <x:c r="A19" s="20">
        <x:v>14</x:v>
      </x:c>
      <x:c r="B19" s="13">
        <x:v>40680</x:v>
      </x:c>
      <x:c r="C19" s="14">
        <x:v>464.4</x:v>
      </x:c>
      <x:c r="D19" s="14">
        <x:v>467.12745000000001</x:v>
      </x:c>
      <x:c r="E19" s="14">
        <x:v>40794</x:v>
      </x:c>
      <x:c r="F19" s="14">
        <x:v>453.26</x:v>
      </x:c>
      <x:c r="G19" s="14">
        <x:v>451.88349999999997</x:v>
      </x:c>
      <x:c r="H19" s="23">
        <x:v>81</x:v>
      </x:c>
      <x:c r="I19" s="23">
        <x:v>114</x:v>
      </x:c>
      <x:c r="J19" s="13">
        <x:v>40767</x:v>
      </x:c>
      <x:c r="K19" s="14">
        <x:v>383.92</x:v>
      </x:c>
      <x:c r="L19" s="15">
        <x:v>-0.17329888027562435</x:v>
      </x:c>
      <x:c r="M19" s="26" t="s">
        <x:v>56</x:v>
      </x:c>
    </x:row>
    <x:row r="20">
      <x:c r="A20" s="20">
        <x:v>15</x:v>
      </x:c>
      <x:c r="B20" s="13">
        <x:v>40807</x:v>
      </x:c>
      <x:c r="C20" s="14">
        <x:v>447.57</x:v>
      </x:c>
      <x:c r="D20" s="14">
        <x:v>453.13470000000001</x:v>
      </x:c>
      <x:c r="E20" s="14">
        <x:v>40959</x:v>
      </x:c>
      <x:c r="F20" s="14">
        <x:v>413.98</x:v>
      </x:c>
      <x:c r="G20" s="14">
        <x:v>408.96055000000001</x:v>
      </x:c>
      <x:c r="H20" s="23">
        <x:v>102</x:v>
      </x:c>
      <x:c r="I20" s="23">
        <x:v>152</x:v>
      </x:c>
      <x:c r="J20" s="13">
        <x:v>40914</x:v>
      </x:c>
      <x:c r="K20" s="14">
        <x:v>336.73</x:v>
      </x:c>
      <x:c r="L20" s="15">
        <x:v>-0.24764841253882064</x:v>
      </x:c>
      <x:c r="M20" s="26" t="s">
        <x:v>56</x:v>
      </x:c>
    </x:row>
    <x:row r="21">
      <x:c r="A21" s="20">
        <x:v>16</x:v>
      </x:c>
      <x:c r="B21" s="13">
        <x:v>41093</x:v>
      </x:c>
      <x:c r="C21" s="14">
        <x:v>413.09</x:v>
      </x:c>
      <x:c r="D21" s="14">
        <x:v>416.92400000000004</x:v>
      </x:c>
      <x:c r="E21" s="14">
        <x:v>41107</x:v>
      </x:c>
      <x:c r="F21" s="14">
        <x:v>417.55</x:v>
      </x:c>
      <x:c r="G21" s="14">
        <x:v>415.07995000000005</x:v>
      </x:c>
      <x:c r="H21" s="23">
        <x:v>10</x:v>
      </x:c>
      <x:c r="I21" s="23">
        <x:v>14</x:v>
      </x:c>
      <x:c r="J21" s="13">
        <x:v>41100</x:v>
      </x:c>
      <x:c r="K21" s="14">
        <x:v>405.39</x:v>
      </x:c>
      <x:c r="L21" s="15">
        <x:v>-1.8640005809871907E-2</x:v>
      </x:c>
      <x:c r="M21" s="26" t="s">
        <x:v>56</x:v>
      </x:c>
    </x:row>
    <x:row r="22">
      <x:c r="A22" s="20">
        <x:v>17</x:v>
      </x:c>
      <x:c r="B22" s="13">
        <x:v>41115</x:v>
      </x:c>
      <x:c r="C22" s="14">
        <x:v>412.91</x:v>
      </x:c>
      <x:c r="D22" s="14">
        <x:v>415.01855</x:v>
      </x:c>
      <x:c r="E22" s="14">
        <x:v>41123</x:v>
      </x:c>
      <x:c r="F22" s="14">
        <x:v>416.1</x:v>
      </x:c>
      <x:c r="G22" s="14">
        <x:v>414.98230000000001</x:v>
      </x:c>
      <x:c r="H22" s="23">
        <x:v>6</x:v>
      </x:c>
      <x:c r="I22" s="23">
        <x:v>8</x:v>
      </x:c>
      <x:c r="J22" s="13">
        <x:v>41122</x:v>
      </x:c>
      <x:c r="K22" s="14">
        <x:v>412.55</x:v>
      </x:c>
      <x:c r="L22" s="15">
        <x:v>-8.7186069603550909E-4</x:v>
      </x:c>
      <x:c r="M22" s="26" t="s">
        <x:v>56</x:v>
      </x:c>
    </x:row>
    <x:row r="23">
      <x:c r="A23" s="20">
        <x:v>18</x:v>
      </x:c>
      <x:c r="B23" s="13">
        <x:v>41143</x:v>
      </x:c>
      <x:c r="C23" s="14">
        <x:v>410.23</x:v>
      </x:c>
      <x:c r="D23" s="14">
        <x:v>415.98394999999999</x:v>
      </x:c>
      <x:c r="E23" s="14">
        <x:v>41276</x:v>
      </x:c>
      <x:c r="F23" s="14">
        <x:v>418.35</x:v>
      </x:c>
      <x:c r="G23" s="14">
        <x:v>416.05330000000004</x:v>
      </x:c>
      <x:c r="H23" s="23">
        <x:v>92</x:v>
      </x:c>
      <x:c r="I23" s="23">
        <x:v>133</x:v>
      </x:c>
      <x:c r="J23" s="13">
        <x:v>41215</x:v>
      </x:c>
      <x:c r="K23" s="14">
        <x:v>375.26</x:v>
      </x:c>
      <x:c r="L23" s="15">
        <x:v>-8.5244862638032437E-2</x:v>
      </x:c>
      <x:c r="M23" s="26" t="s">
        <x:v>56</x:v>
      </x:c>
    </x:row>
    <x:row r="24">
      <x:c r="A24" s="20">
        <x:v>19</x:v>
      </x:c>
      <x:c r="B24" s="13">
        <x:v>41964</x:v>
      </x:c>
      <x:c r="C24" s="14">
        <x:v>588.03</x:v>
      </x:c>
      <x:c r="D24" s="14">
        <x:v>588.21809999999994</x:v>
      </x:c>
      <x:c r="E24" s="14">
        <x:v>42047</x:v>
      </x:c>
      <x:c r="F24" s="14">
        <x:v>584.66999999999996</x:v>
      </x:c>
      <x:c r="G24" s="14">
        <x:v>582.41279999999995</x:v>
      </x:c>
      <x:c r="H24" s="23">
        <x:v>57</x:v>
      </x:c>
      <x:c r="I24" s="23">
        <x:v>83</x:v>
      </x:c>
      <x:c r="J24" s="13">
        <x:v>41990</x:v>
      </x:c>
      <x:c r="K24" s="14">
        <x:v>518.22</x:v>
      </x:c>
      <x:c r="L24" s="15">
        <x:v>-0.11871843273302374</x:v>
      </x:c>
      <x:c r="M24" s="26" t="s">
        <x:v>56</x:v>
      </x:c>
    </x:row>
    <x:row r="25">
      <x:c r="A25" s="20">
        <x:v>20</x:v>
      </x:c>
      <x:c r="B25" s="13">
        <x:v>42076</x:v>
      </x:c>
      <x:c r="C25" s="14">
        <x:v>586.1</x:v>
      </x:c>
      <x:c r="D25" s="14">
        <x:v>586.52760000000001</x:v>
      </x:c>
      <x:c r="E25" s="14">
        <x:v>42166</x:v>
      </x:c>
      <x:c r="F25" s="14">
        <x:v>581.04999999999995</x:v>
      </x:c>
      <x:c r="G25" s="14">
        <x:v>579.86220000000003</x:v>
      </x:c>
      <x:c r="H25" s="23">
        <x:v>60</x:v>
      </x:c>
      <x:c r="I25" s="23">
        <x:v>90</x:v>
      </x:c>
      <x:c r="J25" s="13">
        <x:v>42142</x:v>
      </x:c>
      <x:c r="K25" s="14">
        <x:v>528.95000000000005</x:v>
      </x:c>
      <x:c r="L25" s="15">
        <x:v>-9.7508957515782257E-2</x:v>
      </x:c>
      <x:c r="M25" s="26" t="s">
        <x:v>56</x:v>
      </x:c>
    </x:row>
    <x:row r="26">
      <x:c r="A26" s="20">
        <x:v>21</x:v>
      </x:c>
      <x:c r="B26" s="13">
        <x:v>42235</x:v>
      </x:c>
      <x:c r="C26" s="14">
        <x:v>577.82000000000005</x:v>
      </x:c>
      <x:c r="D26" s="14">
        <x:v>578.17624999999998</x:v>
      </x:c>
      <x:c r="E26" s="14">
        <x:v>42283</x:v>
      </x:c>
      <x:c r="F26" s="14">
        <x:v>581.29</x:v>
      </x:c>
      <x:c r="G26" s="14">
        <x:v>574.35874999999999</x:v>
      </x:c>
      <x:c r="H26" s="23">
        <x:v>33</x:v>
      </x:c>
      <x:c r="I26" s="23">
        <x:v>48</x:v>
      </x:c>
      <x:c r="J26" s="13">
        <x:v>42240</x:v>
      </x:c>
      <x:c r="K26" s="14">
        <x:v>526.92999999999995</x:v>
      </x:c>
      <x:c r="L26" s="15">
        <x:v>-8.8072410093108733E-2</x:v>
      </x:c>
      <x:c r="M26" s="26" t="s">
        <x:v>56</x:v>
      </x:c>
    </x:row>
    <x:row r="27">
      <x:c r="A27" s="20">
        <x:v>22</x:v>
      </x:c>
      <x:c r="B27" s="13">
        <x:v>42338</x:v>
      </x:c>
      <x:c r="C27" s="14">
        <x:v>573.20000000000005</x:v>
      </x:c>
      <x:c r="D27" s="14">
        <x:v>582.25585000000001</x:v>
      </x:c>
      <x:c r="E27" s="14">
        <x:v>42482</x:v>
      </x:c>
      <x:c r="F27" s="14">
        <x:v>592.48</x:v>
      </x:c>
      <x:c r="G27" s="14">
        <x:v>578.1472</x:v>
      </x:c>
      <x:c r="H27" s="23">
        <x:v>97</x:v>
      </x:c>
      <x:c r="I27" s="23">
        <x:v>144</x:v>
      </x:c>
      <x:c r="J27" s="13">
        <x:v>42390</x:v>
      </x:c>
      <x:c r="K27" s="14">
        <x:v>521.88</x:v>
      </x:c>
      <x:c r="L27" s="15">
        <x:v>-8.953244940683891E-2</x:v>
      </x:c>
      <x:c r="M27" s="26" t="s">
        <x:v>56</x:v>
      </x:c>
    </x:row>
    <x:row r="28">
      <x:c r="A28" s="20">
        <x:v>23</x:v>
      </x:c>
      <x:c r="B28" s="13">
        <x:v>43248</x:v>
      </x:c>
      <x:c r="C28" s="14">
        <x:v>931.75</x:v>
      </x:c>
      <x:c r="D28" s="14">
        <x:v>964.02880000000005</x:v>
      </x:c>
      <x:c r="E28" s="14">
        <x:v>43251</x:v>
      </x:c>
      <x:c r="F28" s="14">
        <x:v>971.25</x:v>
      </x:c>
      <x:c r="G28" s="14">
        <x:v>966.52229999999997</x:v>
      </x:c>
      <x:c r="H28" s="23">
        <x:v>3</x:v>
      </x:c>
      <x:c r="I28" s="23">
        <x:v>3</x:v>
      </x:c>
      <x:c r="J28" s="13">
        <x:v>43248</x:v>
      </x:c>
      <x:c r="K28" s="14">
        <x:v>931.75</x:v>
      </x:c>
      <x:c r="L28" s="15">
        <x:v>0</x:v>
      </x:c>
      <x:c r="M28" s="26" t="s">
        <x:v>56</x:v>
      </x:c>
    </x:row>
    <x:row r="29">
      <x:c r="A29" s="20">
        <x:v>24</x:v>
      </x:c>
      <x:c r="B29" s="13">
        <x:v>43270</x:v>
      </x:c>
      <x:c r="C29" s="14">
        <x:v>962.16</x:v>
      </x:c>
      <x:c r="D29" s="14">
        <x:v>982.51065000000006</x:v>
      </x:c>
      <x:c r="E29" s="14">
        <x:v>43514</x:v>
      </x:c>
      <x:c r="F29" s="14">
        <x:v>961.3</x:v>
      </x:c>
      <x:c r="G29" s="14">
        <x:v>956.50625000000002</x:v>
      </x:c>
      <x:c r="H29" s="23">
        <x:v>166</x:v>
      </x:c>
      <x:c r="I29" s="23">
        <x:v>244</x:v>
      </x:c>
      <x:c r="J29" s="13">
        <x:v>43468</x:v>
      </x:c>
      <x:c r="K29" s="14">
        <x:v>878.22</x:v>
      </x:c>
      <x:c r="L29" s="15">
        <x:v>-8.7241207283611844E-2</x:v>
      </x:c>
      <x:c r="M29" s="26" t="s">
        <x:v>56</x:v>
      </x:c>
    </x:row>
    <x:row r="30">
      <x:c r="A30" s="20">
        <x:v>25</x:v>
      </x:c>
      <x:c r="B30" s="13">
        <x:v>43593</x:v>
      </x:c>
      <x:c r="C30" s="14">
        <x:v>951.22</x:v>
      </x:c>
      <x:c r="D30" s="14">
        <x:v>955.26030000000003</x:v>
      </x:c>
      <x:c r="E30" s="14">
        <x:v>43598</x:v>
      </x:c>
      <x:c r="F30" s="14">
        <x:v>958.54</x:v>
      </x:c>
      <x:c r="G30" s="14">
        <x:v>955.51265000000001</x:v>
      </x:c>
      <x:c r="H30" s="23">
        <x:v>3</x:v>
      </x:c>
      <x:c r="I30" s="23">
        <x:v>5</x:v>
      </x:c>
      <x:c r="J30" s="13">
        <x:v>43594</x:v>
      </x:c>
      <x:c r="K30" s="14">
        <x:v>947.01</x:v>
      </x:c>
      <x:c r="L30" s="15">
        <x:v>-4.4258951662076162E-3</x:v>
      </x:c>
      <x:c r="M30" s="26" t="s">
        <x:v>56</x:v>
      </x:c>
    </x:row>
    <x:row r="31">
      <x:c r="A31" s="20">
        <x:v>26</x:v>
      </x:c>
      <x:c r="B31" s="13">
        <x:v>43619</x:v>
      </x:c>
      <x:c r="C31" s="14">
        <x:v>946.47</x:v>
      </x:c>
      <x:c r="D31" s="14">
        <x:v>957.41845000000001</x:v>
      </x:c>
      <x:c r="E31" s="14">
        <x:v>43623</x:v>
      </x:c>
      <x:c r="F31" s="14">
        <x:v>958.28</x:v>
      </x:c>
      <x:c r="G31" s="14">
        <x:v>957.03300000000002</x:v>
      </x:c>
      <x:c r="H31" s="23">
        <x:v>4</x:v>
      </x:c>
      <x:c r="I31" s="23">
        <x:v>4</x:v>
      </x:c>
      <x:c r="J31" s="13">
        <x:v>43619</x:v>
      </x:c>
      <x:c r="K31" s="14">
        <x:v>946.47</x:v>
      </x:c>
      <x:c r="L31" s="15">
        <x:v>0</x:v>
      </x:c>
      <x:c r="M31" s="26" t="s">
        <x:v>56</x:v>
      </x:c>
    </x:row>
    <x:row r="32">
      <x:c r="A32" s="20">
        <x:v>27</x:v>
      </x:c>
      <x:c r="B32" s="13">
        <x:v>43628</x:v>
      </x:c>
      <x:c r="C32" s="14">
        <x:v>954.17</x:v>
      </x:c>
      <x:c r="D32" s="14">
        <x:v>956.91480000000001</x:v>
      </x:c>
      <x:c r="E32" s="14">
        <x:v>43636</x:v>
      </x:c>
      <x:c r="F32" s="14">
        <x:v>959.18</x:v>
      </x:c>
      <x:c r="G32" s="14">
        <x:v>955.81799999999998</x:v>
      </x:c>
      <x:c r="H32" s="23">
        <x:v>6</x:v>
      </x:c>
      <x:c r="I32" s="23">
        <x:v>8</x:v>
      </x:c>
      <x:c r="J32" s="13">
        <x:v>43634</x:v>
      </x:c>
      <x:c r="K32" s="14">
        <x:v>944.01</x:v>
      </x:c>
      <x:c r="L32" s="15">
        <x:v>-1.0647997736252468E-2</x:v>
      </x:c>
      <x:c r="M32" s="26" t="s">
        <x:v>56</x:v>
      </x:c>
    </x:row>
    <x:row r="33">
      <x:c r="A33" s="20">
        <x:v>28</x:v>
      </x:c>
      <x:c r="B33" s="13">
        <x:v>43791</x:v>
      </x:c>
      <x:c r="C33" s="14">
        <x:v>977.78</x:v>
      </x:c>
      <x:c r="D33" s="14">
        <x:v>980.6199499999999</x:v>
      </x:c>
      <x:c r="E33" s="14">
        <x:v>43847</x:v>
      </x:c>
      <x:c r="F33" s="14">
        <x:v>978.96</x:v>
      </x:c>
      <x:c r="G33" s="14">
        <x:v>977.11310000000003</x:v>
      </x:c>
      <x:c r="H33" s="23">
        <x:v>39</x:v>
      </x:c>
      <x:c r="I33" s="23">
        <x:v>56</x:v>
      </x:c>
      <x:c r="J33" s="13">
        <x:v>43838</x:v>
      </x:c>
      <x:c r="K33" s="14">
        <x:v>948.98</x:v>
      </x:c>
      <x:c r="L33" s="15">
        <x:v>-2.9454478512548787E-2</x:v>
      </x:c>
      <x:c r="M33" s="26" t="s">
        <x:v>56</x:v>
      </x:c>
    </x:row>
    <x:row r="34">
      <x:c r="A34" s="20">
        <x:v>29</x:v>
      </x:c>
      <x:c r="B34" s="13">
        <x:v>43860</x:v>
      </x:c>
      <x:c r="C34" s="14">
        <x:v>959.58</x:v>
      </x:c>
      <x:c r="D34" s="14">
        <x:v>976.90725000000009</x:v>
      </x:c>
      <x:c r="E34" s="14">
        <x:v>44068</x:v>
      </x:c>
      <x:c r="F34" s="14">
        <x:v>874.12</x:v>
      </x:c>
      <x:c r="G34" s="14">
        <x:v>873.34979999999996</x:v>
      </x:c>
      <x:c r="H34" s="23">
        <x:v>145</x:v>
      </x:c>
      <x:c r="I34" s="23">
        <x:v>208</x:v>
      </x:c>
      <x:c r="J34" s="13">
        <x:v>43914</x:v>
      </x:c>
      <x:c r="K34" s="14">
        <x:v>659.21</x:v>
      </x:c>
      <x:c r="L34" s="15">
        <x:v>-0.31302236395089522</x:v>
      </x:c>
      <x:c r="M34" s="26" t="s">
        <x:v>56</x:v>
      </x:c>
    </x:row>
    <x:row r="35">
      <x:c r="A35" s="20">
        <x:v>30</x:v>
      </x:c>
      <x:c r="B35" s="13">
        <x:v>44670</x:v>
      </x:c>
      <x:c r="C35" s="14">
        <x:v>1406.45</x:v>
      </x:c>
      <x:c r="D35" s="14">
        <x:v>1423.2742000000001</x:v>
      </x:c>
      <x:c r="E35" s="14">
        <x:v>45078</x:v>
      </x:c>
      <x:c r="F35" s="14">
        <x:v>1078.3900000000001</x:v>
      </x:c>
      <x:c r="G35" s="14">
        <x:v>1077.2502500000001</x:v>
      </x:c>
      <x:c r="H35" s="23">
        <x:v>279</x:v>
      </x:c>
      <x:c r="I35" s="23">
        <x:v>408</x:v>
      </x:c>
      <x:c r="J35" s="13">
        <x:v>44880</x:v>
      </x:c>
      <x:c r="K35" s="14">
        <x:v>911.9</x:v>
      </x:c>
      <x:c r="L35" s="15">
        <x:v>-0.35162999040136522</x:v>
      </x:c>
      <x:c r="M35" s="26" t="s">
        <x:v>56</x:v>
      </x:c>
    </x:row>
    <x:row r="36">
      <x:c r="A36" s="20">
        <x:v>31</x:v>
      </x:c>
      <x:c r="B36" s="13">
        <x:v>45217</x:v>
      </x:c>
      <x:c r="C36" s="14">
        <x:v>1103.4000000000001</x:v>
      </x:c>
      <x:c r="D36" s="14">
        <x:v>1112.5435</x:v>
      </x:c>
      <x:c r="E36" s="14">
        <x:v>45266</x:v>
      </x:c>
      <x:c r="F36" s="14">
        <x:v>1126.43</x:v>
      </x:c>
      <x:c r="G36" s="14">
        <x:v>1117.7469000000001</x:v>
      </x:c>
      <x:c r="H36" s="23">
        <x:v>35</x:v>
      </x:c>
      <x:c r="I36" s="23">
        <x:v>49</x:v>
      </x:c>
      <x:c r="J36" s="13">
        <x:v>45230</x:v>
      </x:c>
      <x:c r="K36" s="14">
        <x:v>1028.19</x:v>
      </x:c>
      <x:c r="L36" s="15">
        <x:v>-6.8162044589450854E-2</x:v>
      </x:c>
      <x:c r="M36" s="26" t="s">
        <x:v>56</x:v>
      </x:c>
    </x:row>
    <x:row r="37">
      <x:c r="A37" s="20">
        <x:v>32</x:v>
      </x:c>
      <x:c r="B37" s="13">
        <x:v>45273</x:v>
      </x:c>
      <x:c r="C37" s="14">
        <x:v>1114.2</x:v>
      </x:c>
      <x:c r="D37" s="14">
        <x:v>1119.9147</x:v>
      </x:c>
      <x:c r="E37" s="14">
        <x:v>45288</x:v>
      </x:c>
      <x:c r="F37" s="14">
        <x:v>1128.93</x:v>
      </x:c>
      <x:c r="G37" s="14">
        <x:v>1123.4629</x:v>
      </x:c>
      <x:c r="H37" s="23">
        <x:v>11</x:v>
      </x:c>
      <x:c r="I37" s="23">
        <x:v>15</x:v>
      </x:c>
      <x:c r="J37" s="13">
        <x:v>45278</x:v>
      </x:c>
      <x:c r="K37" s="14">
        <x:v>1091.8800000000001</x:v>
      </x:c>
      <x:c r="L37" s="15">
        <x:v>-2.0032310177705903E-2</x:v>
      </x:c>
      <x:c r="M37" s="26" t="s">
        <x:v>56</x:v>
      </x:c>
    </x:row>
    <x:row r="38">
      <x:c r="A38" s="20">
        <x:v>33</x:v>
      </x:c>
      <x:c r="B38" s="13">
        <x:v>45604</x:v>
      </x:c>
      <x:c r="C38" s="14">
        <x:v>1252.56</x:v>
      </x:c>
      <x:c r="D38" s="14">
        <x:v>1253.2773500000001</x:v>
      </x:c>
      <x:c r="E38" s="14">
        <x:v>45631</x:v>
      </x:c>
      <x:c r="F38" s="14">
        <x:v>1267.53</x:v>
      </x:c>
      <x:c r="G38" s="14">
        <x:v>1258.13625</x:v>
      </x:c>
      <x:c r="H38" s="23">
        <x:v>19</x:v>
      </x:c>
      <x:c r="I38" s="23">
        <x:v>27</x:v>
      </x:c>
      <x:c r="J38" s="13">
        <x:v>45615</x:v>
      </x:c>
      <x:c r="K38" s="14">
        <x:v>1205.1500000000001</x:v>
      </x:c>
      <x:c r="L38" s="15">
        <x:v>-3.7850482212428815E-2</x:v>
      </x:c>
      <x:c r="M38" s="26" t="s">
        <x:v>56</x:v>
      </x:c>
    </x:row>
    <x:row r="39">
      <x:c r="A39" s="20">
        <x:v>34</x:v>
      </x:c>
      <x:c r="B39" s="13">
        <x:v>45660</x:v>
      </x:c>
      <x:c r="C39" s="14">
        <x:v>1254.5899999999999</x:v>
      </x:c>
      <x:c r="D39" s="14">
        <x:v>1259.9124999999999</x:v>
      </x:c>
      <x:c r="E39" s="14">
        <x:v>45680</x:v>
      </x:c>
      <x:c r="F39" s="14">
        <x:v>1259.6300000000001</x:v>
      </x:c>
      <x:c r="G39" s="14">
        <x:v>1257.778</x:v>
      </x:c>
      <x:c r="H39" s="23">
        <x:v>14</x:v>
      </x:c>
      <x:c r="I39" s="23">
        <x:v>20</x:v>
      </x:c>
      <x:c r="J39" s="13">
        <x:v>45671</x:v>
      </x:c>
      <x:c r="K39" s="14">
        <x:v>1229.07</x:v>
      </x:c>
      <x:c r="L39" s="15">
        <x:v>-2.0341306721717856E-2</x:v>
      </x:c>
      <x:c r="M39" s="26" t="s">
        <x:v>56</x:v>
      </x:c>
    </x:row>
    <x:row r="40">
      <x:c r="A40" s="20">
        <x:v>35</x:v>
      </x:c>
      <x:c r="B40" s="13">
        <x:v>45750</x:v>
      </x:c>
      <x:c r="C40" s="14">
        <x:v>1229.8399999999999</x:v>
      </x:c>
      <x:c r="D40" s="14">
        <x:v>1268.7311999999999</x:v>
      </x:c>
      <x:c r="E40" s="14">
        <x:v>45785</x:v>
      </x:c>
      <x:c r="F40" s="14">
        <x:v>1269.8</x:v>
      </x:c>
      <x:c r="G40" s="14">
        <x:v>1262.33665</x:v>
      </x:c>
      <x:c r="H40" s="23">
        <x:v>21</x:v>
      </x:c>
      <x:c r="I40" s="23">
        <x:v>35</x:v>
      </x:c>
      <x:c r="J40" s="13">
        <x:v>45756</x:v>
      </x:c>
      <x:c r="K40" s="14">
        <x:v>1094.3</x:v>
      </x:c>
      <x:c r="L40" s="15">
        <x:v>-0.11020945814089633</x:v>
      </x:c>
      <x:c r="M40" s="26" t="s">
        <x:v>56</x:v>
      </x:c>
    </x:row>
    <x:row r="41">
      <x:c r="A41" s="21">
        <x:v>36</x:v>
      </x:c>
      <x:c r="B41" s="16">
        <x:v>46101</x:v>
      </x:c>
      <x:c r="C41" s="17">
        <x:v>1647.81</x:v>
      </x:c>
      <x:c r="D41" s="17">
        <x:v>1648.3239999999998</x:v>
      </x:c>
      <x:c r="E41" s="17">
        <x:v>46108</x:v>
      </x:c>
      <x:c r="F41" s="17">
        <x:v>1672.8</x:v>
      </x:c>
      <x:c r="G41" s="17">
        <x:v>1655.8541</x:v>
      </x:c>
      <x:c r="H41" s="24">
        <x:v>5</x:v>
      </x:c>
      <x:c r="I41" s="24">
        <x:v>7</x:v>
      </x:c>
      <x:c r="J41" s="16">
        <x:v>46104</x:v>
      </x:c>
      <x:c r="K41" s="17">
        <x:v>1591.17</x:v>
      </x:c>
      <x:c r="L41" s="18">
        <x:v>-3.4372894933275E-2</x:v>
      </x:c>
      <x:c r="M41" s="27" t="s">
        <x:v>56</x:v>
      </x:c>
    </x:row>
    <x:row r="42">
      <x:c r="A42" s="183" t="n">
        <x:v>37</x:v>
      </x:c>
      <x:c r="B42" s="184" t="n">
        <x:v>46223</x:v>
      </x:c>
      <x:c r="C42" s="185" t="n">
        <x:v>1743.51</x:v>
      </x:c>
      <x:c r="D42" s="185" t="n">
        <x:v>1771.7411</x:v>
      </x:c>
      <x:c r="E42" s="184"/>
      <x:c r="F42" s="185"/>
      <x:c r="G42" s="185"/>
      <x:c r="H42" s="186" t="n">
        <x:v>5</x:v>
      </x:c>
      <x:c r="I42" s="186" t="n">
        <x:v>7</x:v>
      </x:c>
      <x:c r="J42" s="184" t="n">
        <x:v>46225</x:v>
      </x:c>
      <x:c r="K42" s="185" t="n">
        <x:v>1668.53</x:v>
      </x:c>
      <x:c r="L42" s="187" t="n">
        <x:v>-0.04300520214968662</x:v>
      </x:c>
      <x:c r="M42" s="188" t="str">
        <x:v>Chưa quay lại</x:v>
      </x:c>
    </x:row>
  </x:sheetData>
  <x:mergeCells>
    <x:mergeCell ref="A1:M2"/>
    <x:mergeCell ref="A3:M3"/>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4.25"/>
  <x:cols>
    <x:col min="1" max="1" width="7" customWidth="1"/>
    <x:col min="2" max="2" width="13" customWidth="1"/>
    <x:col min="3" max="4" width="12" customWidth="1"/>
    <x:col min="5" max="5" width="14" customWidth="1"/>
    <x:col min="6" max="7" width="15" customWidth="1"/>
    <x:col min="8" max="9" width="10" customWidth="1"/>
    <x:col min="10" max="10" width="13" customWidth="1"/>
    <x:col min="11" max="11" width="12" customWidth="1"/>
    <x:col min="12" max="12" width="14" customWidth="1"/>
    <x:col min="13" max="13" width="13" customWidth="1"/>
  </x:cols>
  <x:sheetData>
    <x:row r="1">
      <x:c r="A1" s="104" t="s">
        <x:v>48</x:v>
      </x:c>
      <x:c r="B1" s="104"/>
      <x:c r="C1" s="104"/>
      <x:c r="D1" s="104"/>
      <x:c r="E1" s="104"/>
      <x:c r="F1" s="104"/>
      <x:c r="G1" s="104"/>
      <x:c r="H1" s="104"/>
      <x:c r="I1" s="104"/>
      <x:c r="J1" s="104"/>
      <x:c r="K1" s="104"/>
      <x:c r="L1" s="104"/>
      <x:c r="M1" s="104"/>
    </x:row>
    <x:row r="2">
      <x:c r="A2" s="104"/>
      <x:c r="B2" s="104"/>
      <x:c r="C2" s="104"/>
      <x:c r="D2" s="104"/>
      <x:c r="E2" s="104"/>
      <x:c r="F2" s="104"/>
      <x:c r="G2" s="104"/>
      <x:c r="H2" s="104"/>
      <x:c r="I2" s="104"/>
      <x:c r="J2" s="104"/>
      <x:c r="K2" s="104"/>
      <x:c r="L2" s="104"/>
      <x:c r="M2" s="104"/>
    </x:row>
    <x:row r="3">
      <x:c r="A3" s="105" t="str">
        <x:v>Định nghĩa nhạy: phiên đầu đóng cửa cắt xuống MA200; quay lại tại phiên đầu đóng cửa trên hoặc bằng MA200. Dòng chưa quay lại được tạm tính đến ngày chốt dữ liệu.</x:v>
      </x:c>
      <x:c r="B3" s="105"/>
      <x:c r="C3" s="105"/>
      <x:c r="D3" s="105"/>
      <x:c r="E3" s="105"/>
      <x:c r="F3" s="105"/>
      <x:c r="G3" s="105"/>
      <x:c r="H3" s="105"/>
      <x:c r="I3" s="105"/>
      <x:c r="J3" s="105"/>
      <x:c r="K3" s="105"/>
      <x:c r="L3" s="105"/>
      <x:c r="M3" s="105"/>
    </x:row>
    <x:row r="5" ht="25.5">
      <x:c r="A5" s="1" t="s">
        <x:v>49</x:v>
      </x:c>
      <x:c r="B5" s="1" t="s">
        <x:v>1</x:v>
      </x:c>
      <x:c r="C5" s="1" t="s">
        <x:v>50</x:v>
      </x:c>
      <x:c r="D5" s="1" t="s">
        <x:v>51</x:v>
      </x:c>
      <x:c r="E5" s="1" t="s">
        <x:v>36</x:v>
      </x:c>
      <x:c r="F5" s="1" t="s">
        <x:v>52</x:v>
      </x:c>
      <x:c r="G5" s="1" t="s">
        <x:v>53</x:v>
      </x:c>
      <x:c r="H5" s="1" t="s">
        <x:v>2</x:v>
      </x:c>
      <x:c r="I5" s="1" t="s">
        <x:v>37</x:v>
      </x:c>
      <x:c r="J5" s="1" t="s">
        <x:v>54</x:v>
      </x:c>
      <x:c r="K5" s="1" t="s">
        <x:v>40</x:v>
      </x:c>
      <x:c r="L5" s="1" t="s">
        <x:v>38</x:v>
      </x:c>
      <x:c r="M5" s="1" t="s">
        <x:v>55</x:v>
      </x:c>
    </x:row>
    <x:row r="6">
      <x:c r="A6" s="19">
        <x:v>1</x:v>
      </x:c>
      <x:c r="B6" s="10">
        <x:v>37237</x:v>
      </x:c>
      <x:c r="C6" s="11">
        <x:v>267.83</x:v>
      </x:c>
      <x:c r="D6" s="11">
        <x:v>267.86714999999998</x:v>
      </x:c>
      <x:c r="E6" s="11">
        <x:v>37939</x:v>
      </x:c>
      <x:c r="F6" s="11">
        <x:v>155.72999999999999</x:v>
      </x:c>
      <x:c r="G6" s="11">
        <x:v>152.35005000000001</x:v>
      </x:c>
      <x:c r="H6" s="22">
        <x:v>438</x:v>
      </x:c>
      <x:c r="I6" s="22">
        <x:v>702</x:v>
      </x:c>
      <x:c r="J6" s="10">
        <x:v>37918</x:v>
      </x:c>
      <x:c r="K6" s="11">
        <x:v>130.9</x:v>
      </x:c>
      <x:c r="L6" s="12">
        <x:v>-0.5112571407235933</x:v>
      </x:c>
      <x:c r="M6" s="25" t="s">
        <x:v>56</x:v>
      </x:c>
    </x:row>
    <x:row r="7">
      <x:c r="A7" s="20">
        <x:v>2</x:v>
      </x:c>
      <x:c r="B7" s="13">
        <x:v>37943</x:v>
      </x:c>
      <x:c r="C7" s="14">
        <x:v>150.09</x:v>
      </x:c>
      <x:c r="D7" s="14">
        <x:v>152.03225</x:v>
      </x:c>
      <x:c r="E7" s="14">
        <x:v>37944</x:v>
      </x:c>
      <x:c r="F7" s="14">
        <x:v>152.06</x:v>
      </x:c>
      <x:c r="G7" s="14">
        <x:v>151.87365</x:v>
      </x:c>
      <x:c r="H7" s="23">
        <x:v>1</x:v>
      </x:c>
      <x:c r="I7" s="23">
        <x:v>1</x:v>
      </x:c>
      <x:c r="J7" s="13">
        <x:v>37943</x:v>
      </x:c>
      <x:c r="K7" s="14">
        <x:v>150.09</x:v>
      </x:c>
      <x:c r="L7" s="15">
        <x:v>0</x:v>
      </x:c>
      <x:c r="M7" s="26" t="s">
        <x:v>56</x:v>
      </x:c>
    </x:row>
    <x:row r="8">
      <x:c r="A8" s="20">
        <x:v>3</x:v>
      </x:c>
      <x:c r="B8" s="13">
        <x:v>38208</x:v>
      </x:c>
      <x:c r="C8" s="14">
        <x:v>213.74</x:v>
      </x:c>
      <x:c r="D8" s="14">
        <x:v>220.3091</x:v>
      </x:c>
      <x:c r="E8" s="14">
        <x:v>38209</x:v>
      </x:c>
      <x:c r="F8" s="14">
        <x:v>222.46</x:v>
      </x:c>
      <x:c r="G8" s="14">
        <x:v>220.75294999999997</x:v>
      </x:c>
      <x:c r="H8" s="23">
        <x:v>1</x:v>
      </x:c>
      <x:c r="I8" s="23">
        <x:v>1</x:v>
      </x:c>
      <x:c r="J8" s="13">
        <x:v>38208</x:v>
      </x:c>
      <x:c r="K8" s="14">
        <x:v>213.74</x:v>
      </x:c>
      <x:c r="L8" s="15">
        <x:v>0</x:v>
      </x:c>
      <x:c r="M8" s="26" t="s">
        <x:v>56</x:v>
      </x:c>
    </x:row>
    <x:row r="9">
      <x:c r="A9" s="20">
        <x:v>4</x:v>
      </x:c>
      <x:c r="B9" s="13">
        <x:v>38215</x:v>
      </x:c>
      <x:c r="C9" s="14">
        <x:v>221</x:v>
      </x:c>
      <x:c r="D9" s="14">
        <x:v>222.60130000000001</x:v>
      </x:c>
      <x:c r="E9" s="14">
        <x:v>38217</x:v>
      </x:c>
      <x:c r="F9" s="14">
        <x:v>223.61</x:v>
      </x:c>
      <x:c r="G9" s="14">
        <x:v>223.50200000000001</x:v>
      </x:c>
      <x:c r="H9" s="23">
        <x:v>2</x:v>
      </x:c>
      <x:c r="I9" s="23">
        <x:v>2</x:v>
      </x:c>
      <x:c r="J9" s="13">
        <x:v>38215</x:v>
      </x:c>
      <x:c r="K9" s="14">
        <x:v>221</x:v>
      </x:c>
      <x:c r="L9" s="15">
        <x:v>0</x:v>
      </x:c>
      <x:c r="M9" s="26" t="s">
        <x:v>56</x:v>
      </x:c>
    </x:row>
    <x:row r="10">
      <x:c r="A10" s="20">
        <x:v>5</x:v>
      </x:c>
      <x:c r="B10" s="13">
        <x:v>38247</x:v>
      </x:c>
      <x:c r="C10" s="14">
        <x:v>231.25</x:v>
      </x:c>
      <x:c r="D10" s="14">
        <x:v>231.94974999999999</x:v>
      </x:c>
      <x:c r="E10" s="14">
        <x:v>38414</x:v>
      </x:c>
      <x:c r="F10" s="14">
        <x:v>237.62</x:v>
      </x:c>
      <x:c r="G10" s="14">
        <x:v>236.32755</x:v>
      </x:c>
      <x:c r="H10" s="23">
        <x:v>113</x:v>
      </x:c>
      <x:c r="I10" s="23">
        <x:v>167</x:v>
      </x:c>
      <x:c r="J10" s="13">
        <x:v>38316</x:v>
      </x:c>
      <x:c r="K10" s="14">
        <x:v>221.33</x:v>
      </x:c>
      <x:c r="L10" s="15">
        <x:v>-4.2897297297297188E-2</x:v>
      </x:c>
      <x:c r="M10" s="26" t="s">
        <x:v>56</x:v>
      </x:c>
    </x:row>
    <x:row r="11">
      <x:c r="A11" s="20">
        <x:v>6</x:v>
      </x:c>
      <x:c r="B11" s="13">
        <x:v>38930</x:v>
      </x:c>
      <x:c r="C11" s="14">
        <x:v>404.87</x:v>
      </x:c>
      <x:c r="D11" s="14">
        <x:v>421.85635000000002</x:v>
      </x:c>
      <x:c r="E11" s="14">
        <x:v>38933</x:v>
      </x:c>
      <x:c r="F11" s="14">
        <x:v>435.5</x:v>
      </x:c>
      <x:c r="G11" s="14">
        <x:v>423.55629999999996</x:v>
      </x:c>
      <x:c r="H11" s="23">
        <x:v>3</x:v>
      </x:c>
      <x:c r="I11" s="23">
        <x:v>3</x:v>
      </x:c>
      <x:c r="J11" s="13">
        <x:v>38931</x:v>
      </x:c>
      <x:c r="K11" s="14">
        <x:v>399.8</x:v>
      </x:c>
      <x:c r="L11" s="15">
        <x:v>-1.2522538098648894E-2</x:v>
      </x:c>
      <x:c r="M11" s="26" t="s">
        <x:v>56</x:v>
      </x:c>
    </x:row>
    <x:row r="12">
      <x:c r="A12" s="20">
        <x:v>7</x:v>
      </x:c>
      <x:c r="B12" s="13">
        <x:v>38936</x:v>
      </x:c>
      <x:c r="C12" s="14">
        <x:v>423.49</x:v>
      </x:c>
      <x:c r="D12" s="14">
        <x:v>424.13830000000002</x:v>
      </x:c>
      <x:c r="E12" s="14">
        <x:v>38937</x:v>
      </x:c>
      <x:c r="F12" s="14">
        <x:v>433.4</x:v>
      </x:c>
      <x:c r="G12" s="14">
        <x:v>424.77300000000002</x:v>
      </x:c>
      <x:c r="H12" s="23">
        <x:v>1</x:v>
      </x:c>
      <x:c r="I12" s="23">
        <x:v>1</x:v>
      </x:c>
      <x:c r="J12" s="13">
        <x:v>38936</x:v>
      </x:c>
      <x:c r="K12" s="14">
        <x:v>423.49</x:v>
      </x:c>
      <x:c r="L12" s="15">
        <x:v>0</x:v>
      </x:c>
      <x:c r="M12" s="26" t="s">
        <x:v>56</x:v>
      </x:c>
    </x:row>
    <x:row r="13">
      <x:c r="A13" s="20">
        <x:v>8</x:v>
      </x:c>
      <x:c r="B13" s="13">
        <x:v>39297</x:v>
      </x:c>
      <x:c r="C13" s="14">
        <x:v>892.88</x:v>
      </x:c>
      <x:c r="D13" s="14">
        <x:v>910.90880000000004</x:v>
      </x:c>
      <x:c r="E13" s="14">
        <x:v>39303</x:v>
      </x:c>
      <x:c r="F13" s="14">
        <x:v>938.21</x:v>
      </x:c>
      <x:c r="G13" s="14">
        <x:v>918.60634999999991</x:v>
      </x:c>
      <x:c r="H13" s="23">
        <x:v>4</x:v>
      </x:c>
      <x:c r="I13" s="23">
        <x:v>6</x:v>
      </x:c>
      <x:c r="J13" s="13">
        <x:v>39300</x:v>
      </x:c>
      <x:c r="K13" s="14">
        <x:v>883.9</x:v>
      </x:c>
      <x:c r="L13" s="15">
        <x:v>-1.0057342532031166E-2</x:v>
      </x:c>
      <x:c r="M13" s="26" t="s">
        <x:v>56</x:v>
      </x:c>
    </x:row>
    <x:row r="14">
      <x:c r="A14" s="20">
        <x:v>9</x:v>
      </x:c>
      <x:c r="B14" s="13">
        <x:v>39307</x:v>
      </x:c>
      <x:c r="C14" s="14">
        <x:v>909.15</x:v>
      </x:c>
      <x:c r="D14" s="14">
        <x:v>922.56544999999994</x:v>
      </x:c>
      <x:c r="E14" s="14">
        <x:v>39349</x:v>
      </x:c>
      <x:c r="F14" s="14">
        <x:v>975.82</x:v>
      </x:c>
      <x:c r="G14" s="14">
        <x:v>974.76139999999998</x:v>
      </x:c>
      <x:c r="H14" s="23">
        <x:v>29</x:v>
      </x:c>
      <x:c r="I14" s="23">
        <x:v>42</x:v>
      </x:c>
      <x:c r="J14" s="13">
        <x:v>39317</x:v>
      </x:c>
      <x:c r="K14" s="14">
        <x:v>887.62</x:v>
      </x:c>
      <x:c r="L14" s="15">
        <x:v>-2.3681460705054169E-2</x:v>
      </x:c>
      <x:c r="M14" s="26" t="s">
        <x:v>56</x:v>
      </x:c>
    </x:row>
    <x:row r="15">
      <x:c r="A15" s="20">
        <x:v>10</x:v>
      </x:c>
      <x:c r="B15" s="13">
        <x:v>39395</x:v>
      </x:c>
      <x:c r="C15" s="14">
        <x:v>1018.29</x:v>
      </x:c>
      <x:c r="D15" s="14">
        <x:v>1024.1577</x:v>
      </x:c>
      <x:c r="E15" s="14">
        <x:v>39940</x:v>
      </x:c>
      <x:c r="F15" s="14">
        <x:v>363.9</x:v>
      </x:c>
      <x:c r="G15" s="14">
        <x:v>357.35944999999998</x:v>
      </x:c>
      <x:c r="H15" s="23">
        <x:v>365</x:v>
      </x:c>
      <x:c r="I15" s="23">
        <x:v>545</x:v>
      </x:c>
      <x:c r="J15" s="13">
        <x:v>39868</x:v>
      </x:c>
      <x:c r="K15" s="14">
        <x:v>235.5</x:v>
      </x:c>
      <x:c r="L15" s="15">
        <x:v>-0.76872992958783848</x:v>
      </x:c>
      <x:c r="M15" s="26" t="s">
        <x:v>56</x:v>
      </x:c>
    </x:row>
    <x:row r="16">
      <x:c r="A16" s="20">
        <x:v>11</x:v>
      </x:c>
      <x:c r="B16" s="13">
        <x:v>40158</x:v>
      </x:c>
      <x:c r="C16" s="14">
        <x:v>444.2</x:v>
      </x:c>
      <x:c r="D16" s="14">
        <x:v>455.76794999999998</x:v>
      </x:c>
      <x:c r="E16" s="14">
        <x:v>40161</x:v>
      </x:c>
      <x:c r="F16" s="14">
        <x:v>458.4</x:v>
      </x:c>
      <x:c r="G16" s="14">
        <x:v>456.85264999999998</x:v>
      </x:c>
      <x:c r="H16" s="23">
        <x:v>1</x:v>
      </x:c>
      <x:c r="I16" s="23">
        <x:v>3</x:v>
      </x:c>
      <x:c r="J16" s="13">
        <x:v>40158</x:v>
      </x:c>
      <x:c r="K16" s="14">
        <x:v>444.2</x:v>
      </x:c>
      <x:c r="L16" s="15">
        <x:v>0</x:v>
      </x:c>
      <x:c r="M16" s="26" t="s">
        <x:v>56</x:v>
      </x:c>
    </x:row>
    <x:row r="17">
      <x:c r="A17" s="20">
        <x:v>12</x:v>
      </x:c>
      <x:c r="B17" s="13">
        <x:v>40163</x:v>
      </x:c>
      <x:c r="C17" s="14">
        <x:v>442.1</x:v>
      </x:c>
      <x:c r="D17" s="14">
        <x:v>458.90495000000004</x:v>
      </x:c>
      <x:c r="E17" s="14">
        <x:v>40169</x:v>
      </x:c>
      <x:c r="F17" s="14">
        <x:v>465.2</x:v>
      </x:c>
      <x:c r="G17" s="14">
        <x:v>462.92054999999999</x:v>
      </x:c>
      <x:c r="H17" s="23">
        <x:v>4</x:v>
      </x:c>
      <x:c r="I17" s="23">
        <x:v>6</x:v>
      </x:c>
      <x:c r="J17" s="13">
        <x:v>40164</x:v>
      </x:c>
      <x:c r="K17" s="14">
        <x:v>434.9</x:v>
      </x:c>
      <x:c r="L17" s="15">
        <x:v>-1.6285908165573515E-2</x:v>
      </x:c>
      <x:c r="M17" s="26" t="s">
        <x:v>56</x:v>
      </x:c>
    </x:row>
    <x:row r="18">
      <x:c r="A18" s="20">
        <x:v>13</x:v>
      </x:c>
      <x:c r="B18" s="13">
        <x:v>40199</x:v>
      </x:c>
      <x:c r="C18" s="14">
        <x:v>478.4</x:v>
      </x:c>
      <x:c r="D18" s="14">
        <x:v>485.91754999999995</x:v>
      </x:c>
      <x:c r="E18" s="14">
        <x:v>40204</x:v>
      </x:c>
      <x:c r="F18" s="14">
        <x:v>497.9</x:v>
      </x:c>
      <x:c r="G18" s="14">
        <x:v>488.0675</x:v>
      </x:c>
      <x:c r="H18" s="23">
        <x:v>3</x:v>
      </x:c>
      <x:c r="I18" s="23">
        <x:v>5</x:v>
      </x:c>
      <x:c r="J18" s="13">
        <x:v>40200</x:v>
      </x:c>
      <x:c r="K18" s="14">
        <x:v>477.6</x:v>
      </x:c>
      <x:c r="L18" s="15">
        <x:v>-1.6722408026754731E-3</x:v>
      </x:c>
      <x:c r="M18" s="26" t="s">
        <x:v>56</x:v>
      </x:c>
    </x:row>
    <x:row r="19">
      <x:c r="A19" s="20">
        <x:v>14</x:v>
      </x:c>
      <x:c r="B19" s="13">
        <x:v>40205</x:v>
      </x:c>
      <x:c r="C19" s="14">
        <x:v>486.4</x:v>
      </x:c>
      <x:c r="D19" s="14">
        <x:v>488.78</x:v>
      </x:c>
      <x:c r="E19" s="14">
        <x:v>40212</x:v>
      </x:c>
      <x:c r="F19" s="14">
        <x:v>495.5</x:v>
      </x:c>
      <x:c r="G19" s="14">
        <x:v>492.93650000000002</x:v>
      </x:c>
      <x:c r="H19" s="23">
        <x:v>5</x:v>
      </x:c>
      <x:c r="I19" s="23">
        <x:v>7</x:v>
      </x:c>
      <x:c r="J19" s="13">
        <x:v>40206</x:v>
      </x:c>
      <x:c r="K19" s="14">
        <x:v>481.8</x:v>
      </x:c>
      <x:c r="L19" s="15">
        <x:v>-9.4572368421051989E-3</x:v>
      </x:c>
      <x:c r="M19" s="26" t="s">
        <x:v>56</x:v>
      </x:c>
    </x:row>
    <x:row r="20">
      <x:c r="A20" s="20">
        <x:v>15</x:v>
      </x:c>
      <x:c r="B20" s="13">
        <x:v>40214</x:v>
      </x:c>
      <x:c r="C20" s="14">
        <x:v>493</x:v>
      </x:c>
      <x:c r="D20" s="14">
        <x:v>494.80250000000001</x:v>
      </x:c>
      <x:c r="E20" s="14">
        <x:v>40220</x:v>
      </x:c>
      <x:c r="F20" s="14">
        <x:v>499.9</x:v>
      </x:c>
      <x:c r="G20" s="14">
        <x:v>498.00099999999998</x:v>
      </x:c>
      <x:c r="H20" s="23">
        <x:v>4</x:v>
      </x:c>
      <x:c r="I20" s="23">
        <x:v>6</x:v>
      </x:c>
      <x:c r="J20" s="13">
        <x:v>40218</x:v>
      </x:c>
      <x:c r="K20" s="14">
        <x:v>482.9</x:v>
      </x:c>
      <x:c r="L20" s="15">
        <x:v>-2.0486815415821535E-2</x:v>
      </x:c>
      <x:c r="M20" s="26" t="s">
        <x:v>56</x:v>
      </x:c>
    </x:row>
    <x:row r="21">
      <x:c r="A21" s="20">
        <x:v>16</x:v>
      </x:c>
      <x:c r="B21" s="13">
        <x:v>40232</x:v>
      </x:c>
      <x:c r="C21" s="14">
        <x:v>496.3</x:v>
      </x:c>
      <x:c r="D21" s="14">
        <x:v>500.16650000000004</x:v>
      </x:c>
      <x:c r="E21" s="14">
        <x:v>40238</x:v>
      </x:c>
      <x:c r="F21" s="14">
        <x:v>503</x:v>
      </x:c>
      <x:c r="G21" s="14">
        <x:v>502.56349999999998</x:v>
      </x:c>
      <x:c r="H21" s="23">
        <x:v>4</x:v>
      </x:c>
      <x:c r="I21" s="23">
        <x:v>6</x:v>
      </x:c>
      <x:c r="J21" s="13">
        <x:v>40233</x:v>
      </x:c>
      <x:c r="K21" s="14">
        <x:v>494.6</x:v>
      </x:c>
      <x:c r="L21" s="15">
        <x:v>-3.4253475720330551E-3</x:v>
      </x:c>
      <x:c r="M21" s="26" t="s">
        <x:v>56</x:v>
      </x:c>
    </x:row>
    <x:row r="22">
      <x:c r="A22" s="20">
        <x:v>17</x:v>
      </x:c>
      <x:c r="B22" s="13">
        <x:v>40239</x:v>
      </x:c>
      <x:c r="C22" s="14">
        <x:v>501</x:v>
      </x:c>
      <x:c r="D22" s="14">
        <x:v>503.11750000000001</x:v>
      </x:c>
      <x:c r="E22" s="14">
        <x:v>40240</x:v>
      </x:c>
      <x:c r="F22" s="14">
        <x:v>507.3</x:v>
      </x:c>
      <x:c r="G22" s="14">
        <x:v>503.69949999999994</x:v>
      </x:c>
      <x:c r="H22" s="23">
        <x:v>1</x:v>
      </x:c>
      <x:c r="I22" s="23">
        <x:v>1</x:v>
      </x:c>
      <x:c r="J22" s="13">
        <x:v>40239</x:v>
      </x:c>
      <x:c r="K22" s="14">
        <x:v>501</x:v>
      </x:c>
      <x:c r="L22" s="15">
        <x:v>0</x:v>
      </x:c>
      <x:c r="M22" s="26" t="s">
        <x:v>56</x:v>
      </x:c>
    </x:row>
    <x:row r="23">
      <x:c r="A23" s="20">
        <x:v>18</x:v>
      </x:c>
      <x:c r="B23" s="13">
        <x:v>40260</x:v>
      </x:c>
      <x:c r="C23" s="14">
        <x:v>506.5</x:v>
      </x:c>
      <x:c r="D23" s="14">
        <x:v>510.15950000000004</x:v>
      </x:c>
      <x:c r="E23" s="14">
        <x:v>40261</x:v>
      </x:c>
      <x:c r="F23" s="14">
        <x:v>512.1</x:v>
      </x:c>
      <x:c r="G23" s="14">
        <x:v>510.21249999999998</x:v>
      </x:c>
      <x:c r="H23" s="23">
        <x:v>1</x:v>
      </x:c>
      <x:c r="I23" s="23">
        <x:v>1</x:v>
      </x:c>
      <x:c r="J23" s="13">
        <x:v>40260</x:v>
      </x:c>
      <x:c r="K23" s="14">
        <x:v>506.5</x:v>
      </x:c>
      <x:c r="L23" s="15">
        <x:v>0</x:v>
      </x:c>
      <x:c r="M23" s="26" t="s">
        <x:v>56</x:v>
      </x:c>
    </x:row>
    <x:row r="24">
      <x:c r="A24" s="20">
        <x:v>19</x:v>
      </x:c>
      <x:c r="B24" s="13">
        <x:v>40262</x:v>
      </x:c>
      <x:c r="C24" s="14">
        <x:v>503.4</x:v>
      </x:c>
      <x:c r="D24" s="14">
        <x:v>510.16699999999997</x:v>
      </x:c>
      <x:c r="E24" s="14">
        <x:v>40273</x:v>
      </x:c>
      <x:c r="F24" s="14">
        <x:v>514.79999999999995</x:v>
      </x:c>
      <x:c r="G24" s="14">
        <x:v>510.71050000000002</x:v>
      </x:c>
      <x:c r="H24" s="23">
        <x:v>7</x:v>
      </x:c>
      <x:c r="I24" s="23">
        <x:v>11</x:v>
      </x:c>
      <x:c r="J24" s="13">
        <x:v>40268</x:v>
      </x:c>
      <x:c r="K24" s="14">
        <x:v>499.2</x:v>
      </x:c>
      <x:c r="L24" s="15">
        <x:v>-8.3432657926102438E-3</x:v>
      </x:c>
      <x:c r="M24" s="26" t="s">
        <x:v>56</x:v>
      </x:c>
    </x:row>
    <x:row r="25">
      <x:c r="A25" s="20">
        <x:v>20</x:v>
      </x:c>
      <x:c r="B25" s="13">
        <x:v>40310</x:v>
      </x:c>
      <x:c r="C25" s="14">
        <x:v>519.6</x:v>
      </x:c>
      <x:c r="D25" s="14">
        <x:v>521.21</x:v>
      </x:c>
      <x:c r="E25" s="14">
        <x:v>40525</x:v>
      </x:c>
      <x:c r="F25" s="14">
        <x:v>490.2</x:v>
      </x:c>
      <x:c r="G25" s="14">
        <x:v>484.03694999999999</x:v>
      </x:c>
      <x:c r="H25" s="23">
        <x:v>151</x:v>
      </x:c>
      <x:c r="I25" s="23">
        <x:v>215</x:v>
      </x:c>
      <x:c r="J25" s="13">
        <x:v>40415</x:v>
      </x:c>
      <x:c r="K25" s="14">
        <x:v>423.89</x:v>
      </x:c>
      <x:c r="L25" s="15">
        <x:v>-0.18419938414164749</x:v>
      </x:c>
      <x:c r="M25" s="26" t="s">
        <x:v>56</x:v>
      </x:c>
    </x:row>
    <x:row r="26">
      <x:c r="A26" s="20">
        <x:v>21</x:v>
      </x:c>
      <x:c r="B26" s="13">
        <x:v>40528</x:v>
      </x:c>
      <x:c r="C26" s="14">
        <x:v>480.2</x:v>
      </x:c>
      <x:c r="D26" s="14">
        <x:v>483.75295</x:v>
      </x:c>
      <x:c r="E26" s="14">
        <x:v>40529</x:v>
      </x:c>
      <x:c r="F26" s="14">
        <x:v>485.3</x:v>
      </x:c>
      <x:c r="G26" s="14">
        <x:v>483.61245000000002</x:v>
      </x:c>
      <x:c r="H26" s="23">
        <x:v>1</x:v>
      </x:c>
      <x:c r="I26" s="23">
        <x:v>1</x:v>
      </x:c>
      <x:c r="J26" s="13">
        <x:v>40528</x:v>
      </x:c>
      <x:c r="K26" s="14">
        <x:v>480.2</x:v>
      </x:c>
      <x:c r="L26" s="15">
        <x:v>0</x:v>
      </x:c>
      <x:c r="M26" s="26" t="s">
        <x:v>56</x:v>
      </x:c>
    </x:row>
    <x:row r="27">
      <x:c r="A27" s="20">
        <x:v>22</x:v>
      </x:c>
      <x:c r="B27" s="13">
        <x:v>40532</x:v>
      </x:c>
      <x:c r="C27" s="14">
        <x:v>478.3</x:v>
      </x:c>
      <x:c r="D27" s="14">
        <x:v>483.39845000000003</x:v>
      </x:c>
      <x:c r="E27" s="14">
        <x:v>40543</x:v>
      </x:c>
      <x:c r="F27" s="14">
        <x:v>484.7</x:v>
      </x:c>
      <x:c r="G27" s="14">
        <x:v>481.42394999999999</x:v>
      </x:c>
      <x:c r="H27" s="23">
        <x:v>9</x:v>
      </x:c>
      <x:c r="I27" s="23">
        <x:v>11</x:v>
      </x:c>
      <x:c r="J27" s="13">
        <x:v>40536</x:v>
      </x:c>
      <x:c r="K27" s="14">
        <x:v>472.8</x:v>
      </x:c>
      <x:c r="L27" s="15">
        <x:v>-1.1499059167886294E-2</x:v>
      </x:c>
      <x:c r="M27" s="26" t="s">
        <x:v>56</x:v>
      </x:c>
    </x:row>
    <x:row r="28">
      <x:c r="A28" s="20">
        <x:v>23</x:v>
      </x:c>
      <x:c r="B28" s="13">
        <x:v>40554</x:v>
      </x:c>
      <x:c r="C28" s="14">
        <x:v>477.4</x:v>
      </x:c>
      <x:c r="D28" s="14">
        <x:v>480.65794999999997</x:v>
      </x:c>
      <x:c r="E28" s="14">
        <x:v>40556</x:v>
      </x:c>
      <x:c r="F28" s="14">
        <x:v>484.1</x:v>
      </x:c>
      <x:c r="G28" s="14">
        <x:v>480.47144999999995</x:v>
      </x:c>
      <x:c r="H28" s="23">
        <x:v>2</x:v>
      </x:c>
      <x:c r="I28" s="23">
        <x:v>2</x:v>
      </x:c>
      <x:c r="J28" s="13">
        <x:v>40554</x:v>
      </x:c>
      <x:c r="K28" s="14">
        <x:v>477.4</x:v>
      </x:c>
      <x:c r="L28" s="15">
        <x:v>0</x:v>
      </x:c>
      <x:c r="M28" s="26" t="s">
        <x:v>56</x:v>
      </x:c>
    </x:row>
    <x:row r="29">
      <x:c r="A29" s="20">
        <x:v>24</x:v>
      </x:c>
      <x:c r="B29" s="13">
        <x:v>40596</x:v>
      </x:c>
      <x:c r="C29" s="14">
        <x:v>470</x:v>
      </x:c>
      <x:c r="D29" s="14">
        <x:v>478.56945000000002</x:v>
      </x:c>
      <x:c r="E29" s="14">
        <x:v>40612</x:v>
      </x:c>
      <x:c r="F29" s="14">
        <x:v>482.5</x:v>
      </x:c>
      <x:c r="G29" s="14">
        <x:v>475.42495000000002</x:v>
      </x:c>
      <x:c r="H29" s="23">
        <x:v>12</x:v>
      </x:c>
      <x:c r="I29" s="23">
        <x:v>16</x:v>
      </x:c>
      <x:c r="J29" s="13">
        <x:v>40605</x:v>
      </x:c>
      <x:c r="K29" s="14">
        <x:v>452.3</x:v>
      </x:c>
      <x:c r="L29" s="15">
        <x:v>-3.76595744680851E-2</x:v>
      </x:c>
      <x:c r="M29" s="26" t="s">
        <x:v>56</x:v>
      </x:c>
    </x:row>
    <x:row r="30">
      <x:c r="A30" s="20">
        <x:v>25</x:v>
      </x:c>
      <x:c r="B30" s="13">
        <x:v>40617</x:v>
      </x:c>
      <x:c r="C30" s="14">
        <x:v>468.7</x:v>
      </x:c>
      <x:c r="D30" s="14">
        <x:v>475.31745000000001</x:v>
      </x:c>
      <x:c r="E30" s="14">
        <x:v>40660</x:v>
      </x:c>
      <x:c r="F30" s="14">
        <x:v>469.3</x:v>
      </x:c>
      <x:c r="G30" s="14">
        <x:v>468.67995000000002</x:v>
      </x:c>
      <x:c r="H30" s="23">
        <x:v>29</x:v>
      </x:c>
      <x:c r="I30" s="23">
        <x:v>43</x:v>
      </x:c>
      <x:c r="J30" s="13">
        <x:v>40652</x:v>
      </x:c>
      <x:c r="K30" s="14">
        <x:v>453.7</x:v>
      </x:c>
      <x:c r="L30" s="15">
        <x:v>-3.2003413697461069E-2</x:v>
      </x:c>
      <x:c r="M30" s="26" t="s">
        <x:v>56</x:v>
      </x:c>
    </x:row>
    <x:row r="31">
      <x:c r="A31" s="20">
        <x:v>26</x:v>
      </x:c>
      <x:c r="B31" s="13">
        <x:v>40680</x:v>
      </x:c>
      <x:c r="C31" s="14">
        <x:v>464.4</x:v>
      </x:c>
      <x:c r="D31" s="14">
        <x:v>467.12745000000001</x:v>
      </x:c>
      <x:c r="E31" s="14">
        <x:v>40794</x:v>
      </x:c>
      <x:c r="F31" s="14">
        <x:v>453.26</x:v>
      </x:c>
      <x:c r="G31" s="14">
        <x:v>451.88349999999997</x:v>
      </x:c>
      <x:c r="H31" s="23">
        <x:v>81</x:v>
      </x:c>
      <x:c r="I31" s="23">
        <x:v>114</x:v>
      </x:c>
      <x:c r="J31" s="13">
        <x:v>40767</x:v>
      </x:c>
      <x:c r="K31" s="14">
        <x:v>383.92</x:v>
      </x:c>
      <x:c r="L31" s="15">
        <x:v>-0.17329888027562435</x:v>
      </x:c>
      <x:c r="M31" s="26" t="s">
        <x:v>56</x:v>
      </x:c>
    </x:row>
    <x:row r="32">
      <x:c r="A32" s="20">
        <x:v>27</x:v>
      </x:c>
      <x:c r="B32" s="13">
        <x:v>40807</x:v>
      </x:c>
      <x:c r="C32" s="14">
        <x:v>447.57</x:v>
      </x:c>
      <x:c r="D32" s="14">
        <x:v>453.13470000000001</x:v>
      </x:c>
      <x:c r="E32" s="14">
        <x:v>40959</x:v>
      </x:c>
      <x:c r="F32" s="14">
        <x:v>413.98</x:v>
      </x:c>
      <x:c r="G32" s="14">
        <x:v>408.96055000000001</x:v>
      </x:c>
      <x:c r="H32" s="23">
        <x:v>102</x:v>
      </x:c>
      <x:c r="I32" s="23">
        <x:v>152</x:v>
      </x:c>
      <x:c r="J32" s="13">
        <x:v>40914</x:v>
      </x:c>
      <x:c r="K32" s="14">
        <x:v>336.73</x:v>
      </x:c>
      <x:c r="L32" s="15">
        <x:v>-0.24764841253882064</x:v>
      </x:c>
      <x:c r="M32" s="26" t="s">
        <x:v>56</x:v>
      </x:c>
    </x:row>
    <x:row r="33">
      <x:c r="A33" s="20">
        <x:v>28</x:v>
      </x:c>
      <x:c r="B33" s="13">
        <x:v>41064</x:v>
      </x:c>
      <x:c r="C33" s="14">
        <x:v>416.65</x:v>
      </x:c>
      <x:c r="D33" s="14">
        <x:v>416.73330000000004</x:v>
      </x:c>
      <x:c r="E33" s="14">
        <x:v>41065</x:v>
      </x:c>
      <x:c r="F33" s="14">
        <x:v>421.02</x:v>
      </x:c>
      <x:c r="G33" s="14">
        <x:v>416.90600000000001</x:v>
      </x:c>
      <x:c r="H33" s="23">
        <x:v>1</x:v>
      </x:c>
      <x:c r="I33" s="23">
        <x:v>1</x:v>
      </x:c>
      <x:c r="J33" s="13">
        <x:v>41064</x:v>
      </x:c>
      <x:c r="K33" s="14">
        <x:v>416.65</x:v>
      </x:c>
      <x:c r="L33" s="15">
        <x:v>0</x:v>
      </x:c>
      <x:c r="M33" s="26" t="s">
        <x:v>56</x:v>
      </x:c>
    </x:row>
    <x:row r="34">
      <x:c r="A34" s="20">
        <x:v>29</x:v>
      </x:c>
      <x:c r="B34" s="13">
        <x:v>41093</x:v>
      </x:c>
      <x:c r="C34" s="14">
        <x:v>413.09</x:v>
      </x:c>
      <x:c r="D34" s="14">
        <x:v>416.92400000000004</x:v>
      </x:c>
      <x:c r="E34" s="14">
        <x:v>41103</x:v>
      </x:c>
      <x:c r="F34" s="14">
        <x:v>416.98</x:v>
      </x:c>
      <x:c r="G34" s="14">
        <x:v>415.27949999999998</x:v>
      </x:c>
      <x:c r="H34" s="23">
        <x:v>8</x:v>
      </x:c>
      <x:c r="I34" s="23">
        <x:v>10</x:v>
      </x:c>
      <x:c r="J34" s="13">
        <x:v>41100</x:v>
      </x:c>
      <x:c r="K34" s="14">
        <x:v>405.39</x:v>
      </x:c>
      <x:c r="L34" s="15">
        <x:v>-1.8640005809871907E-2</x:v>
      </x:c>
      <x:c r="M34" s="26" t="s">
        <x:v>56</x:v>
      </x:c>
    </x:row>
    <x:row r="35">
      <x:c r="A35" s="20">
        <x:v>30</x:v>
      </x:c>
      <x:c r="B35" s="13">
        <x:v>41106</x:v>
      </x:c>
      <x:c r="C35" s="14">
        <x:v>413.98</x:v>
      </x:c>
      <x:c r="D35" s="14">
        <x:v>415.16205000000002</x:v>
      </x:c>
      <x:c r="E35" s="14">
        <x:v>41107</x:v>
      </x:c>
      <x:c r="F35" s="14">
        <x:v>417.55</x:v>
      </x:c>
      <x:c r="G35" s="14">
        <x:v>415.07995000000005</x:v>
      </x:c>
      <x:c r="H35" s="23">
        <x:v>1</x:v>
      </x:c>
      <x:c r="I35" s="23">
        <x:v>1</x:v>
      </x:c>
      <x:c r="J35" s="13">
        <x:v>41106</x:v>
      </x:c>
      <x:c r="K35" s="14">
        <x:v>413.98</x:v>
      </x:c>
      <x:c r="L35" s="15">
        <x:v>0</x:v>
      </x:c>
      <x:c r="M35" s="26" t="s">
        <x:v>56</x:v>
      </x:c>
    </x:row>
    <x:row r="36">
      <x:c r="A36" s="20">
        <x:v>31</x:v>
      </x:c>
      <x:c r="B36" s="13">
        <x:v>41115</x:v>
      </x:c>
      <x:c r="C36" s="14">
        <x:v>412.91</x:v>
      </x:c>
      <x:c r="D36" s="14">
        <x:v>415.01855</x:v>
      </x:c>
      <x:c r="E36" s="14">
        <x:v>41120</x:v>
      </x:c>
      <x:c r="F36" s="14">
        <x:v>415</x:v>
      </x:c>
      <x:c r="G36" s="14">
        <x:v>414.95660000000004</x:v>
      </x:c>
      <x:c r="H36" s="23">
        <x:v>3</x:v>
      </x:c>
      <x:c r="I36" s="23">
        <x:v>5</x:v>
      </x:c>
      <x:c r="J36" s="13">
        <x:v>41115</x:v>
      </x:c>
      <x:c r="K36" s="14">
        <x:v>412.91</x:v>
      </x:c>
      <x:c r="L36" s="15">
        <x:v>0</x:v>
      </x:c>
      <x:c r="M36" s="26" t="s">
        <x:v>56</x:v>
      </x:c>
    </x:row>
    <x:row r="37">
      <x:c r="A37" s="20">
        <x:v>32</x:v>
      </x:c>
      <x:c r="B37" s="13">
        <x:v>41121</x:v>
      </x:c>
      <x:c r="C37" s="14">
        <x:v>414.48</x:v>
      </x:c>
      <x:c r="D37" s="14">
        <x:v>414.97444999999999</x:v>
      </x:c>
      <x:c r="E37" s="14">
        <x:v>41123</x:v>
      </x:c>
      <x:c r="F37" s="14">
        <x:v>416.1</x:v>
      </x:c>
      <x:c r="G37" s="14">
        <x:v>414.98230000000001</x:v>
      </x:c>
      <x:c r="H37" s="23">
        <x:v>2</x:v>
      </x:c>
      <x:c r="I37" s="23">
        <x:v>2</x:v>
      </x:c>
      <x:c r="J37" s="13">
        <x:v>41122</x:v>
      </x:c>
      <x:c r="K37" s="14">
        <x:v>412.55</x:v>
      </x:c>
      <x:c r="L37" s="15">
        <x:v>-4.6564369812777118E-3</x:v>
      </x:c>
      <x:c r="M37" s="26" t="s">
        <x:v>56</x:v>
      </x:c>
    </x:row>
    <x:row r="38">
      <x:c r="A38" s="20">
        <x:v>33</x:v>
      </x:c>
      <x:c r="B38" s="13">
        <x:v>41143</x:v>
      </x:c>
      <x:c r="C38" s="14">
        <x:v>410.23</x:v>
      </x:c>
      <x:c r="D38" s="14">
        <x:v>415.98394999999999</x:v>
      </x:c>
      <x:c r="E38" s="14">
        <x:v>41276</x:v>
      </x:c>
      <x:c r="F38" s="14">
        <x:v>418.35</x:v>
      </x:c>
      <x:c r="G38" s="14">
        <x:v>416.05330000000004</x:v>
      </x:c>
      <x:c r="H38" s="23">
        <x:v>92</x:v>
      </x:c>
      <x:c r="I38" s="23">
        <x:v>133</x:v>
      </x:c>
      <x:c r="J38" s="13">
        <x:v>41215</x:v>
      </x:c>
      <x:c r="K38" s="14">
        <x:v>375.26</x:v>
      </x:c>
      <x:c r="L38" s="15">
        <x:v>-8.5244862638032437E-2</x:v>
      </x:c>
      <x:c r="M38" s="26" t="s">
        <x:v>56</x:v>
      </x:c>
    </x:row>
    <x:row r="39">
      <x:c r="A39" s="20">
        <x:v>34</x:v>
      </x:c>
      <x:c r="B39" s="13">
        <x:v>41515</x:v>
      </x:c>
      <x:c r="C39" s="14">
        <x:v>468.55</x:v>
      </x:c>
      <x:c r="D39" s="14">
        <x:v>468.60070000000002</x:v>
      </x:c>
      <x:c r="E39" s="14">
        <x:v>41516</x:v>
      </x:c>
      <x:c r="F39" s="14">
        <x:v>472.7</x:v>
      </x:c>
      <x:c r="G39" s="14">
        <x:v>469.03620000000001</x:v>
      </x:c>
      <x:c r="H39" s="23">
        <x:v>1</x:v>
      </x:c>
      <x:c r="I39" s="23">
        <x:v>1</x:v>
      </x:c>
      <x:c r="J39" s="13">
        <x:v>41515</x:v>
      </x:c>
      <x:c r="K39" s="14">
        <x:v>468.55</x:v>
      </x:c>
      <x:c r="L39" s="15">
        <x:v>0</x:v>
      </x:c>
      <x:c r="M39" s="26" t="s">
        <x:v>56</x:v>
      </x:c>
    </x:row>
    <x:row r="40">
      <x:c r="A40" s="20">
        <x:v>35</x:v>
      </x:c>
      <x:c r="B40" s="13">
        <x:v>41526</x:v>
      </x:c>
      <x:c r="C40" s="14">
        <x:v>470.16</x:v>
      </x:c>
      <x:c r="D40" s="14">
        <x:v>471.21724999999998</x:v>
      </x:c>
      <x:c r="E40" s="14">
        <x:v>41527</x:v>
      </x:c>
      <x:c r="F40" s="14">
        <x:v>474.53</x:v>
      </x:c>
      <x:c r="G40" s="14">
        <x:v>471.66135000000003</x:v>
      </x:c>
      <x:c r="H40" s="23">
        <x:v>1</x:v>
      </x:c>
      <x:c r="I40" s="23">
        <x:v>1</x:v>
      </x:c>
      <x:c r="J40" s="13">
        <x:v>41526</x:v>
      </x:c>
      <x:c r="K40" s="14">
        <x:v>470.16</x:v>
      </x:c>
      <x:c r="L40" s="15">
        <x:v>0</x:v>
      </x:c>
      <x:c r="M40" s="26" t="s">
        <x:v>56</x:v>
      </x:c>
    </x:row>
    <x:row r="41">
      <x:c r="A41" s="20">
        <x:v>36</x:v>
      </x:c>
      <x:c r="B41" s="13">
        <x:v>41535</x:v>
      </x:c>
      <x:c r="C41" s="14">
        <x:v>474.26</x:v>
      </x:c>
      <x:c r="D41" s="14">
        <x:v>474.46559999999999</x:v>
      </x:c>
      <x:c r="E41" s="14">
        <x:v>41536</x:v>
      </x:c>
      <x:c r="F41" s="14">
        <x:v>476.09</x:v>
      </x:c>
      <x:c r="G41" s="14">
        <x:v>474.96160000000003</x:v>
      </x:c>
      <x:c r="H41" s="23">
        <x:v>1</x:v>
      </x:c>
      <x:c r="I41" s="23">
        <x:v>1</x:v>
      </x:c>
      <x:c r="J41" s="13">
        <x:v>41535</x:v>
      </x:c>
      <x:c r="K41" s="14">
        <x:v>474.26</x:v>
      </x:c>
      <x:c r="L41" s="15">
        <x:v>0</x:v>
      </x:c>
      <x:c r="M41" s="26" t="s">
        <x:v>56</x:v>
      </x:c>
    </x:row>
    <x:row r="42">
      <x:c r="A42" s="20">
        <x:v>37</x:v>
      </x:c>
      <x:c r="B42" s="13">
        <x:v>41771</x:v>
      </x:c>
      <x:c r="C42" s="14">
        <x:v>517.04999999999995</x:v>
      </x:c>
      <x:c r="D42" s="14">
        <x:v>525.89675</x:v>
      </x:c>
      <x:c r="E42" s="14">
        <x:v>41773</x:v>
      </x:c>
      <x:c r="F42" s="14">
        <x:v>529.53</x:v>
      </x:c>
      <x:c r="G42" s="14">
        <x:v>526.11095</x:v>
      </x:c>
      <x:c r="H42" s="23">
        <x:v>2</x:v>
      </x:c>
      <x:c r="I42" s="23">
        <x:v>2</x:v>
      </x:c>
      <x:c r="J42" s="13">
        <x:v>41772</x:v>
      </x:c>
      <x:c r="K42" s="14">
        <x:v>513.91</x:v>
      </x:c>
      <x:c r="L42" s="15">
        <x:v>-6.0729136447151832E-3</x:v>
      </x:c>
      <x:c r="M42" s="26" t="s">
        <x:v>56</x:v>
      </x:c>
    </x:row>
    <x:row r="43">
      <x:c r="A43" s="20">
        <x:v>38</x:v>
      </x:c>
      <x:c r="B43" s="13">
        <x:v>41774</x:v>
      </x:c>
      <x:c r="C43" s="14">
        <x:v>524.04999999999995</x:v>
      </x:c>
      <x:c r="D43" s="14">
        <x:v>526.20040000000006</x:v>
      </x:c>
      <x:c r="E43" s="14">
        <x:v>41775</x:v>
      </x:c>
      <x:c r="F43" s="14">
        <x:v>529.49</x:v>
      </x:c>
      <x:c r="G43" s="14">
        <x:v>526.32640000000004</x:v>
      </x:c>
      <x:c r="H43" s="23">
        <x:v>1</x:v>
      </x:c>
      <x:c r="I43" s="23">
        <x:v>1</x:v>
      </x:c>
      <x:c r="J43" s="13">
        <x:v>41774</x:v>
      </x:c>
      <x:c r="K43" s="14">
        <x:v>524.04999999999995</x:v>
      </x:c>
      <x:c r="L43" s="15">
        <x:v>0</x:v>
      </x:c>
      <x:c r="M43" s="26" t="s">
        <x:v>56</x:v>
      </x:c>
    </x:row>
    <x:row r="44">
      <x:c r="A44" s="20">
        <x:v>39</x:v>
      </x:c>
      <x:c r="B44" s="13">
        <x:v>41939</x:v>
      </x:c>
      <x:c r="C44" s="14">
        <x:v>580.79999999999995</x:v>
      </x:c>
      <x:c r="D44" s="14">
        <x:v>582.09074999999996</x:v>
      </x:c>
      <x:c r="E44" s="14">
        <x:v>41940</x:v>
      </x:c>
      <x:c r="F44" s="14">
        <x:v>583.13</x:v>
      </x:c>
      <x:c r="G44" s="14">
        <x:v>582.48385000000007</x:v>
      </x:c>
      <x:c r="H44" s="23">
        <x:v>1</x:v>
      </x:c>
      <x:c r="I44" s="23">
        <x:v>1</x:v>
      </x:c>
      <x:c r="J44" s="13">
        <x:v>41939</x:v>
      </x:c>
      <x:c r="K44" s="14">
        <x:v>580.79999999999995</x:v>
      </x:c>
      <x:c r="L44" s="15">
        <x:v>0</x:v>
      </x:c>
      <x:c r="M44" s="26" t="s">
        <x:v>56</x:v>
      </x:c>
    </x:row>
    <x:row r="45">
      <x:c r="A45" s="20">
        <x:v>40</x:v>
      </x:c>
      <x:c r="B45" s="13">
        <x:v>41964</x:v>
      </x:c>
      <x:c r="C45" s="14">
        <x:v>588.03</x:v>
      </x:c>
      <x:c r="D45" s="14">
        <x:v>588.21809999999994</x:v>
      </x:c>
      <x:c r="E45" s="14">
        <x:v>42032</x:v>
      </x:c>
      <x:c r="F45" s="14">
        <x:v>583.76</x:v>
      </x:c>
      <x:c r="G45" s="14">
        <x:v>582.40994999999998</x:v>
      </x:c>
      <x:c r="H45" s="23">
        <x:v>46</x:v>
      </x:c>
      <x:c r="I45" s="23">
        <x:v>68</x:v>
      </x:c>
      <x:c r="J45" s="13">
        <x:v>41990</x:v>
      </x:c>
      <x:c r="K45" s="14">
        <x:v>518.22</x:v>
      </x:c>
      <x:c r="L45" s="15">
        <x:v>-0.11871843273302374</x:v>
      </x:c>
      <x:c r="M45" s="26" t="s">
        <x:v>56</x:v>
      </x:c>
    </x:row>
    <x:row r="46">
      <x:c r="A46" s="20">
        <x:v>41</x:v>
      </x:c>
      <x:c r="B46" s="13">
        <x:v>42034</x:v>
      </x:c>
      <x:c r="C46" s="14">
        <x:v>576.07000000000005</x:v>
      </x:c>
      <x:c r="D46" s="14">
        <x:v>582.40480000000002</x:v>
      </x:c>
      <x:c r="E46" s="14">
        <x:v>42047</x:v>
      </x:c>
      <x:c r="F46" s="14">
        <x:v>584.66999999999996</x:v>
      </x:c>
      <x:c r="G46" s="14">
        <x:v>582.41279999999995</x:v>
      </x:c>
      <x:c r="H46" s="23">
        <x:v>9</x:v>
      </x:c>
      <x:c r="I46" s="23">
        <x:v>13</x:v>
      </x:c>
      <x:c r="J46" s="13">
        <x:v>42038</x:v>
      </x:c>
      <x:c r="K46" s="14">
        <x:v>557.47</x:v>
      </x:c>
      <x:c r="L46" s="15">
        <x:v>-3.2287742809033682E-2</x:v>
      </x:c>
      <x:c r="M46" s="26" t="s">
        <x:v>56</x:v>
      </x:c>
    </x:row>
    <x:row r="47">
      <x:c r="A47" s="20">
        <x:v>42</x:v>
      </x:c>
      <x:c r="B47" s="13">
        <x:v>42076</x:v>
      </x:c>
      <x:c r="C47" s="14">
        <x:v>586.1</x:v>
      </x:c>
      <x:c r="D47" s="14">
        <x:v>586.52760000000001</x:v>
      </x:c>
      <x:c r="E47" s="14">
        <x:v>42166</x:v>
      </x:c>
      <x:c r="F47" s="14">
        <x:v>581.04999999999995</x:v>
      </x:c>
      <x:c r="G47" s="14">
        <x:v>579.86220000000003</x:v>
      </x:c>
      <x:c r="H47" s="23">
        <x:v>60</x:v>
      </x:c>
      <x:c r="I47" s="23">
        <x:v>90</x:v>
      </x:c>
      <x:c r="J47" s="13">
        <x:v>42142</x:v>
      </x:c>
      <x:c r="K47" s="14">
        <x:v>528.95000000000005</x:v>
      </x:c>
      <x:c r="L47" s="15">
        <x:v>-9.7508957515782257E-2</x:v>
      </x:c>
      <x:c r="M47" s="26" t="s">
        <x:v>56</x:v>
      </x:c>
    </x:row>
    <x:row r="48">
      <x:c r="A48" s="20">
        <x:v>43</x:v>
      </x:c>
      <x:c r="B48" s="13">
        <x:v>42172</x:v>
      </x:c>
      <x:c r="C48" s="14">
        <x:v>578.87</x:v>
      </x:c>
      <x:c r="D48" s="14">
        <x:v>579.35754999999995</x:v>
      </x:c>
      <x:c r="E48" s="14">
        <x:v>42173</x:v>
      </x:c>
      <x:c r="F48" s="14">
        <x:v>580.35</x:v>
      </x:c>
      <x:c r="G48" s="14">
        <x:v>579.15859999999998</x:v>
      </x:c>
      <x:c r="H48" s="23">
        <x:v>1</x:v>
      </x:c>
      <x:c r="I48" s="23">
        <x:v>1</x:v>
      </x:c>
      <x:c r="J48" s="13">
        <x:v>42172</x:v>
      </x:c>
      <x:c r="K48" s="14">
        <x:v>578.87</x:v>
      </x:c>
      <x:c r="L48" s="15">
        <x:v>0</x:v>
      </x:c>
      <x:c r="M48" s="26" t="s">
        <x:v>56</x:v>
      </x:c>
    </x:row>
    <x:row r="49">
      <x:c r="A49" s="20">
        <x:v>44</x:v>
      </x:c>
      <x:c r="B49" s="13">
        <x:v>42233</x:v>
      </x:c>
      <x:c r="C49" s="14">
        <x:v>573.15</x:v>
      </x:c>
      <x:c r="D49" s="14">
        <x:v>578.24760000000003</x:v>
      </x:c>
      <x:c r="E49" s="14">
        <x:v>42234</x:v>
      </x:c>
      <x:c r="F49" s="14">
        <x:v>580.22</x:v>
      </x:c>
      <x:c r="G49" s="14">
        <x:v>578.19114999999999</x:v>
      </x:c>
      <x:c r="H49" s="23">
        <x:v>1</x:v>
      </x:c>
      <x:c r="I49" s="23">
        <x:v>1</x:v>
      </x:c>
      <x:c r="J49" s="13">
        <x:v>42233</x:v>
      </x:c>
      <x:c r="K49" s="14">
        <x:v>573.15</x:v>
      </x:c>
      <x:c r="L49" s="15">
        <x:v>0</x:v>
      </x:c>
      <x:c r="M49" s="26" t="s">
        <x:v>56</x:v>
      </x:c>
    </x:row>
    <x:row r="50">
      <x:c r="A50" s="20">
        <x:v>45</x:v>
      </x:c>
      <x:c r="B50" s="13">
        <x:v>42235</x:v>
      </x:c>
      <x:c r="C50" s="14">
        <x:v>577.82000000000005</x:v>
      </x:c>
      <x:c r="D50" s="14">
        <x:v>578.17624999999998</x:v>
      </x:c>
      <x:c r="E50" s="14">
        <x:v>42283</x:v>
      </x:c>
      <x:c r="F50" s="14">
        <x:v>581.29</x:v>
      </x:c>
      <x:c r="G50" s="14">
        <x:v>574.35874999999999</x:v>
      </x:c>
      <x:c r="H50" s="23">
        <x:v>33</x:v>
      </x:c>
      <x:c r="I50" s="23">
        <x:v>48</x:v>
      </x:c>
      <x:c r="J50" s="13">
        <x:v>42240</x:v>
      </x:c>
      <x:c r="K50" s="14">
        <x:v>526.92999999999995</x:v>
      </x:c>
      <x:c r="L50" s="15">
        <x:v>-8.8072410093108733E-2</x:v>
      </x:c>
      <x:c r="M50" s="26" t="s">
        <x:v>56</x:v>
      </x:c>
    </x:row>
    <x:row r="51">
      <x:c r="A51" s="20">
        <x:v>46</x:v>
      </x:c>
      <x:c r="B51" s="13">
        <x:v>42338</x:v>
      </x:c>
      <x:c r="C51" s="14">
        <x:v>573.20000000000005</x:v>
      </x:c>
      <x:c r="D51" s="14">
        <x:v>582.25585000000001</x:v>
      </x:c>
      <x:c r="E51" s="14">
        <x:v>42471</x:v>
      </x:c>
      <x:c r="F51" s="14">
        <x:v>579.27</x:v>
      </x:c>
      <x:c r="G51" s="14">
        <x:v>579.21690000000001</x:v>
      </x:c>
      <x:c r="H51" s="23">
        <x:v>89</x:v>
      </x:c>
      <x:c r="I51" s="23">
        <x:v>133</x:v>
      </x:c>
      <x:c r="J51" s="13">
        <x:v>42390</x:v>
      </x:c>
      <x:c r="K51" s="14">
        <x:v>521.88</x:v>
      </x:c>
      <x:c r="L51" s="15">
        <x:v>-8.953244940683891E-2</x:v>
      </x:c>
      <x:c r="M51" s="26" t="s">
        <x:v>56</x:v>
      </x:c>
    </x:row>
    <x:row r="52">
      <x:c r="A52" s="20">
        <x:v>47</x:v>
      </x:c>
      <x:c r="B52" s="13">
        <x:v>42473</x:v>
      </x:c>
      <x:c r="C52" s="14">
        <x:v>578.02</x:v>
      </x:c>
      <x:c r="D52" s="14">
        <x:v>579.13869999999997</x:v>
      </x:c>
      <x:c r="E52" s="14">
        <x:v>42474</x:v>
      </x:c>
      <x:c r="F52" s="14">
        <x:v>579.49</x:v>
      </x:c>
      <x:c r="G52" s="14">
        <x:v>579.07089999999994</x:v>
      </x:c>
      <x:c r="H52" s="23">
        <x:v>1</x:v>
      </x:c>
      <x:c r="I52" s="23">
        <x:v>1</x:v>
      </x:c>
      <x:c r="J52" s="13">
        <x:v>42473</x:v>
      </x:c>
      <x:c r="K52" s="14">
        <x:v>578.02</x:v>
      </x:c>
      <x:c r="L52" s="15">
        <x:v>0</x:v>
      </x:c>
      <x:c r="M52" s="26" t="s">
        <x:v>56</x:v>
      </x:c>
    </x:row>
    <x:row r="53">
      <x:c r="A53" s="20">
        <x:v>48</x:v>
      </x:c>
      <x:c r="B53" s="13">
        <x:v>42479</x:v>
      </x:c>
      <x:c r="C53" s="14">
        <x:v>568.28</x:v>
      </x:c>
      <x:c r="D53" s="14">
        <x:v>578.82560000000001</x:v>
      </x:c>
      <x:c r="E53" s="14">
        <x:v>42482</x:v>
      </x:c>
      <x:c r="F53" s="14">
        <x:v>592.48</x:v>
      </x:c>
      <x:c r="G53" s="14">
        <x:v>578.1472</x:v>
      </x:c>
      <x:c r="H53" s="23">
        <x:v>3</x:v>
      </x:c>
      <x:c r="I53" s="23">
        <x:v>3</x:v>
      </x:c>
      <x:c r="J53" s="13">
        <x:v>42480</x:v>
      </x:c>
      <x:c r="K53" s="14">
        <x:v>568.03</x:v>
      </x:c>
      <x:c r="L53" s="15">
        <x:v>-4.399239811360145E-4</x:v>
      </x:c>
      <x:c r="M53" s="26" t="s">
        <x:v>56</x:v>
      </x:c>
    </x:row>
    <x:row r="54">
      <x:c r="A54" s="20">
        <x:v>49</x:v>
      </x:c>
      <x:c r="B54" s="13">
        <x:v>43248</x:v>
      </x:c>
      <x:c r="C54" s="14">
        <x:v>931.75</x:v>
      </x:c>
      <x:c r="D54" s="14">
        <x:v>964.02880000000005</x:v>
      </x:c>
      <x:c r="E54" s="14">
        <x:v>43251</x:v>
      </x:c>
      <x:c r="F54" s="14">
        <x:v>971.25</x:v>
      </x:c>
      <x:c r="G54" s="14">
        <x:v>966.52229999999997</x:v>
      </x:c>
      <x:c r="H54" s="23">
        <x:v>3</x:v>
      </x:c>
      <x:c r="I54" s="23">
        <x:v>3</x:v>
      </x:c>
      <x:c r="J54" s="13">
        <x:v>43248</x:v>
      </x:c>
      <x:c r="K54" s="14">
        <x:v>931.75</x:v>
      </x:c>
      <x:c r="L54" s="15">
        <x:v>0</x:v>
      </x:c>
      <x:c r="M54" s="26" t="s">
        <x:v>56</x:v>
      </x:c>
    </x:row>
    <x:row r="55">
      <x:c r="A55" s="20">
        <x:v>50</x:v>
      </x:c>
      <x:c r="B55" s="13">
        <x:v>43270</x:v>
      </x:c>
      <x:c r="C55" s="14">
        <x:v>962.16</x:v>
      </x:c>
      <x:c r="D55" s="14">
        <x:v>982.51065000000006</x:v>
      </x:c>
      <x:c r="E55" s="14">
        <x:v>43276</x:v>
      </x:c>
      <x:c r="F55" s="14">
        <x:v>990.52</x:v>
      </x:c>
      <x:c r="G55" s="14">
        <x:v>986.56735000000003</x:v>
      </x:c>
      <x:c r="H55" s="23">
        <x:v>4</x:v>
      </x:c>
      <x:c r="I55" s="23">
        <x:v>6</x:v>
      </x:c>
      <x:c r="J55" s="13">
        <x:v>43270</x:v>
      </x:c>
      <x:c r="K55" s="14">
        <x:v>962.16</x:v>
      </x:c>
      <x:c r="L55" s="15">
        <x:v>0</x:v>
      </x:c>
      <x:c r="M55" s="26" t="s">
        <x:v>56</x:v>
      </x:c>
    </x:row>
    <x:row r="56">
      <x:c r="A56" s="20">
        <x:v>51</x:v>
      </x:c>
      <x:c r="B56" s="13">
        <x:v>43277</x:v>
      </x:c>
      <x:c r="C56" s="14">
        <x:v>983.02</x:v>
      </x:c>
      <x:c r="D56" s="14">
        <x:v>987.53880000000004</x:v>
      </x:c>
      <x:c r="E56" s="14">
        <x:v>43514</x:v>
      </x:c>
      <x:c r="F56" s="14">
        <x:v>961.3</x:v>
      </x:c>
      <x:c r="G56" s="14">
        <x:v>956.50625000000002</x:v>
      </x:c>
      <x:c r="H56" s="23">
        <x:v>161</x:v>
      </x:c>
      <x:c r="I56" s="23">
        <x:v>237</x:v>
      </x:c>
      <x:c r="J56" s="13">
        <x:v>43468</x:v>
      </x:c>
      <x:c r="K56" s="14">
        <x:v>878.22</x:v>
      </x:c>
      <x:c r="L56" s="15">
        <x:v>-0.10661024190759083</x:v>
      </x:c>
      <x:c r="M56" s="26" t="s">
        <x:v>56</x:v>
      </x:c>
    </x:row>
    <x:row r="57">
      <x:c r="A57" s="20">
        <x:v>52</x:v>
      </x:c>
      <x:c r="B57" s="13">
        <x:v>43593</x:v>
      </x:c>
      <x:c r="C57" s="14">
        <x:v>951.22</x:v>
      </x:c>
      <x:c r="D57" s="14">
        <x:v>955.26030000000003</x:v>
      </x:c>
      <x:c r="E57" s="14">
        <x:v>43598</x:v>
      </x:c>
      <x:c r="F57" s="14">
        <x:v>958.54</x:v>
      </x:c>
      <x:c r="G57" s="14">
        <x:v>955.51265000000001</x:v>
      </x:c>
      <x:c r="H57" s="23">
        <x:v>3</x:v>
      </x:c>
      <x:c r="I57" s="23">
        <x:v>5</x:v>
      </x:c>
      <x:c r="J57" s="13">
        <x:v>43594</x:v>
      </x:c>
      <x:c r="K57" s="14">
        <x:v>947.01</x:v>
      </x:c>
      <x:c r="L57" s="15">
        <x:v>-4.4258951662076162E-3</x:v>
      </x:c>
      <x:c r="M57" s="26" t="s">
        <x:v>56</x:v>
      </x:c>
    </x:row>
    <x:row r="58">
      <x:c r="A58" s="20">
        <x:v>53</x:v>
      </x:c>
      <x:c r="B58" s="13">
        <x:v>43619</x:v>
      </x:c>
      <x:c r="C58" s="14">
        <x:v>946.47</x:v>
      </x:c>
      <x:c r="D58" s="14">
        <x:v>957.41845000000001</x:v>
      </x:c>
      <x:c r="E58" s="14">
        <x:v>43623</x:v>
      </x:c>
      <x:c r="F58" s="14">
        <x:v>958.28</x:v>
      </x:c>
      <x:c r="G58" s="14">
        <x:v>957.03300000000002</x:v>
      </x:c>
      <x:c r="H58" s="23">
        <x:v>4</x:v>
      </x:c>
      <x:c r="I58" s="23">
        <x:v>4</x:v>
      </x:c>
      <x:c r="J58" s="13">
        <x:v>43619</x:v>
      </x:c>
      <x:c r="K58" s="14">
        <x:v>946.47</x:v>
      </x:c>
      <x:c r="L58" s="15">
        <x:v>0</x:v>
      </x:c>
      <x:c r="M58" s="26" t="s">
        <x:v>56</x:v>
      </x:c>
    </x:row>
    <x:row r="59">
      <x:c r="A59" s="20">
        <x:v>54</x:v>
      </x:c>
      <x:c r="B59" s="13">
        <x:v>43628</x:v>
      </x:c>
      <x:c r="C59" s="14">
        <x:v>954.17</x:v>
      </x:c>
      <x:c r="D59" s="14">
        <x:v>956.91480000000001</x:v>
      </x:c>
      <x:c r="E59" s="14">
        <x:v>43636</x:v>
      </x:c>
      <x:c r="F59" s="14">
        <x:v>959.18</x:v>
      </x:c>
      <x:c r="G59" s="14">
        <x:v>955.81799999999998</x:v>
      </x:c>
      <x:c r="H59" s="23">
        <x:v>6</x:v>
      </x:c>
      <x:c r="I59" s="23">
        <x:v>8</x:v>
      </x:c>
      <x:c r="J59" s="13">
        <x:v>43634</x:v>
      </x:c>
      <x:c r="K59" s="14">
        <x:v>944.01</x:v>
      </x:c>
      <x:c r="L59" s="15">
        <x:v>-1.0647997736252468E-2</x:v>
      </x:c>
      <x:c r="M59" s="26" t="s">
        <x:v>56</x:v>
      </x:c>
    </x:row>
    <x:row r="60">
      <x:c r="A60" s="20">
        <x:v>55</x:v>
      </x:c>
      <x:c r="B60" s="13">
        <x:v>43643</x:v>
      </x:c>
      <x:c r="C60" s="14">
        <x:v>943.11</x:v>
      </x:c>
      <x:c r="D60" s="14">
        <x:v>955.13929999999993</x:v>
      </x:c>
      <x:c r="E60" s="14">
        <x:v>43647</x:v>
      </x:c>
      <x:c r="F60" s="14">
        <x:v>965.61</x:v>
      </x:c>
      <x:c r="G60" s="14">
        <x:v>955.08159999999998</x:v>
      </x:c>
      <x:c r="H60" s="23">
        <x:v>2</x:v>
      </x:c>
      <x:c r="I60" s="23">
        <x:v>4</x:v>
      </x:c>
      <x:c r="J60" s="13">
        <x:v>43643</x:v>
      </x:c>
      <x:c r="K60" s="14">
        <x:v>943.11</x:v>
      </x:c>
      <x:c r="L60" s="15">
        <x:v>0</x:v>
      </x:c>
      <x:c r="M60" s="26" t="s">
        <x:v>56</x:v>
      </x:c>
    </x:row>
    <x:row r="61">
      <x:c r="A61" s="20">
        <x:v>56</x:v>
      </x:c>
      <x:c r="B61" s="13">
        <x:v>43791</x:v>
      </x:c>
      <x:c r="C61" s="14">
        <x:v>977.78</x:v>
      </x:c>
      <x:c r="D61" s="14">
        <x:v>980.6199499999999</x:v>
      </x:c>
      <x:c r="E61" s="14">
        <x:v>43847</x:v>
      </x:c>
      <x:c r="F61" s="14">
        <x:v>978.96</x:v>
      </x:c>
      <x:c r="G61" s="14">
        <x:v>977.11310000000003</x:v>
      </x:c>
      <x:c r="H61" s="23">
        <x:v>39</x:v>
      </x:c>
      <x:c r="I61" s="23">
        <x:v>56</x:v>
      </x:c>
      <x:c r="J61" s="13">
        <x:v>43838</x:v>
      </x:c>
      <x:c r="K61" s="14">
        <x:v>948.98</x:v>
      </x:c>
      <x:c r="L61" s="15">
        <x:v>-2.9454478512548787E-2</x:v>
      </x:c>
      <x:c r="M61" s="26" t="s">
        <x:v>56</x:v>
      </x:c>
    </x:row>
    <x:row r="62">
      <x:c r="A62" s="20">
        <x:v>57</x:v>
      </x:c>
      <x:c r="B62" s="13">
        <x:v>43860</x:v>
      </x:c>
      <x:c r="C62" s="14">
        <x:v>959.58</x:v>
      </x:c>
      <x:c r="D62" s="14">
        <x:v>976.90725000000009</x:v>
      </x:c>
      <x:c r="E62" s="14">
        <x:v>44068</x:v>
      </x:c>
      <x:c r="F62" s="14">
        <x:v>874.12</x:v>
      </x:c>
      <x:c r="G62" s="14">
        <x:v>873.34979999999996</x:v>
      </x:c>
      <x:c r="H62" s="23">
        <x:v>145</x:v>
      </x:c>
      <x:c r="I62" s="23">
        <x:v>208</x:v>
      </x:c>
      <x:c r="J62" s="13">
        <x:v>43914</x:v>
      </x:c>
      <x:c r="K62" s="14">
        <x:v>659.21</x:v>
      </x:c>
      <x:c r="L62" s="15">
        <x:v>-0.31302236395089522</x:v>
      </x:c>
      <x:c r="M62" s="26" t="s">
        <x:v>56</x:v>
      </x:c>
    </x:row>
    <x:row r="63">
      <x:c r="A63" s="20">
        <x:v>58</x:v>
      </x:c>
      <x:c r="B63" s="13">
        <x:v>44670</x:v>
      </x:c>
      <x:c r="C63" s="14">
        <x:v>1406.45</x:v>
      </x:c>
      <x:c r="D63" s="14">
        <x:v>1423.2742000000001</x:v>
      </x:c>
      <x:c r="E63" s="14">
        <x:v>45078</x:v>
      </x:c>
      <x:c r="F63" s="14">
        <x:v>1078.3900000000001</x:v>
      </x:c>
      <x:c r="G63" s="14">
        <x:v>1077.2502500000001</x:v>
      </x:c>
      <x:c r="H63" s="23">
        <x:v>279</x:v>
      </x:c>
      <x:c r="I63" s="23">
        <x:v>408</x:v>
      </x:c>
      <x:c r="J63" s="13">
        <x:v>44880</x:v>
      </x:c>
      <x:c r="K63" s="14">
        <x:v>911.9</x:v>
      </x:c>
      <x:c r="L63" s="15">
        <x:v>-0.35162999040136522</x:v>
      </x:c>
      <x:c r="M63" s="26" t="s">
        <x:v>56</x:v>
      </x:c>
    </x:row>
    <x:row r="64">
      <x:c r="A64" s="20">
        <x:v>59</x:v>
      </x:c>
      <x:c r="B64" s="13">
        <x:v>45217</x:v>
      </x:c>
      <x:c r="C64" s="14">
        <x:v>1103.4000000000001</x:v>
      </x:c>
      <x:c r="D64" s="14">
        <x:v>1112.5435</x:v>
      </x:c>
      <x:c r="E64" s="14">
        <x:v>45245</x:v>
      </x:c>
      <x:c r="F64" s="14">
        <x:v>1122.5</x:v>
      </x:c>
      <x:c r="G64" s="14">
        <x:v>1114.6895500000001</x:v>
      </x:c>
      <x:c r="H64" s="23">
        <x:v>20</x:v>
      </x:c>
      <x:c r="I64" s="23">
        <x:v>28</x:v>
      </x:c>
      <x:c r="J64" s="13">
        <x:v>45230</x:v>
      </x:c>
      <x:c r="K64" s="14">
        <x:v>1028.19</x:v>
      </x:c>
      <x:c r="L64" s="15">
        <x:v>-6.8162044589450854E-2</x:v>
      </x:c>
      <x:c r="M64" s="26" t="s">
        <x:v>56</x:v>
      </x:c>
    </x:row>
    <x:row r="65">
      <x:c r="A65" s="20">
        <x:v>60</x:v>
      </x:c>
      <x:c r="B65" s="13">
        <x:v>45247</x:v>
      </x:c>
      <x:c r="C65" s="14">
        <x:v>1101.19</x:v>
      </x:c>
      <x:c r="D65" s="14">
        <x:v>1115.04945</x:v>
      </x:c>
      <x:c r="E65" s="14">
        <x:v>45264</x:v>
      </x:c>
      <x:c r="F65" s="14">
        <x:v>1120.49</x:v>
      </x:c>
      <x:c r="G65" s="14">
        <x:v>1117.2174499999999</x:v>
      </x:c>
      <x:c r="H65" s="23">
        <x:v>11</x:v>
      </x:c>
      <x:c r="I65" s="23">
        <x:v>17</x:v>
      </x:c>
      <x:c r="J65" s="13">
        <x:v>45257</x:v>
      </x:c>
      <x:c r="K65" s="14">
        <x:v>1088.06</x:v>
      </x:c>
      <x:c r="L65" s="15">
        <x:v>-1.1923464615552382E-2</x:v>
      </x:c>
      <x:c r="M65" s="26" t="s">
        <x:v>56</x:v>
      </x:c>
    </x:row>
    <x:row r="66">
      <x:c r="A66" s="20">
        <x:v>61</x:v>
      </x:c>
      <x:c r="B66" s="13">
        <x:v>45265</x:v>
      </x:c>
      <x:c r="C66" s="14">
        <x:v>1115.97</x:v>
      </x:c>
      <x:c r="D66" s="14">
        <x:v>1117.38615</x:v>
      </x:c>
      <x:c r="E66" s="14">
        <x:v>45266</x:v>
      </x:c>
      <x:c r="F66" s="14">
        <x:v>1126.43</x:v>
      </x:c>
      <x:c r="G66" s="14">
        <x:v>1117.7469000000001</x:v>
      </x:c>
      <x:c r="H66" s="23">
        <x:v>1</x:v>
      </x:c>
      <x:c r="I66" s="23">
        <x:v>1</x:v>
      </x:c>
      <x:c r="J66" s="13">
        <x:v>45265</x:v>
      </x:c>
      <x:c r="K66" s="14">
        <x:v>1115.97</x:v>
      </x:c>
      <x:c r="L66" s="15">
        <x:v>0</x:v>
      </x:c>
      <x:c r="M66" s="26" t="s">
        <x:v>56</x:v>
      </x:c>
    </x:row>
    <x:row r="67">
      <x:c r="A67" s="20">
        <x:v>62</x:v>
      </x:c>
      <x:c r="B67" s="13">
        <x:v>45273</x:v>
      </x:c>
      <x:c r="C67" s="14">
        <x:v>1114.2</x:v>
      </x:c>
      <x:c r="D67" s="14">
        <x:v>1119.9147</x:v>
      </x:c>
      <x:c r="E67" s="14">
        <x:v>45288</x:v>
      </x:c>
      <x:c r="F67" s="14">
        <x:v>1128.93</x:v>
      </x:c>
      <x:c r="G67" s="14">
        <x:v>1123.4629</x:v>
      </x:c>
      <x:c r="H67" s="23">
        <x:v>11</x:v>
      </x:c>
      <x:c r="I67" s="23">
        <x:v>15</x:v>
      </x:c>
      <x:c r="J67" s="13">
        <x:v>45278</x:v>
      </x:c>
      <x:c r="K67" s="14">
        <x:v>1091.8800000000001</x:v>
      </x:c>
      <x:c r="L67" s="15">
        <x:v>-2.0032310177705903E-2</x:v>
      </x:c>
      <x:c r="M67" s="26" t="s">
        <x:v>56</x:v>
      </x:c>
    </x:row>
    <x:row r="68">
      <x:c r="A68" s="20">
        <x:v>63</x:v>
      </x:c>
      <x:c r="B68" s="13">
        <x:v>45401</x:v>
      </x:c>
      <x:c r="C68" s="14">
        <x:v>1174.8499999999999</x:v>
      </x:c>
      <x:c r="D68" s="14">
        <x:v>1176.5327499999999</x:v>
      </x:c>
      <x:c r="E68" s="14">
        <x:v>45404</x:v>
      </x:c>
      <x:c r="F68" s="14">
        <x:v>1190.22</x:v>
      </x:c>
      <x:c r="G68" s="14">
        <x:v>1176.82385</x:v>
      </x:c>
      <x:c r="H68" s="23">
        <x:v>1</x:v>
      </x:c>
      <x:c r="I68" s="23">
        <x:v>3</x:v>
      </x:c>
      <x:c r="J68" s="13">
        <x:v>45401</x:v>
      </x:c>
      <x:c r="K68" s="14">
        <x:v>1174.8499999999999</x:v>
      </x:c>
      <x:c r="L68" s="15">
        <x:v>0</x:v>
      </x:c>
      <x:c r="M68" s="26" t="s">
        <x:v>56</x:v>
      </x:c>
    </x:row>
    <x:row r="69">
      <x:c r="A69" s="20">
        <x:v>64</x:v>
      </x:c>
      <x:c r="B69" s="13">
        <x:v>45509</x:v>
      </x:c>
      <x:c r="C69" s="14">
        <x:v>1188.07</x:v>
      </x:c>
      <x:c r="D69" s="14">
        <x:v>1201.7303999999999</x:v>
      </x:c>
      <x:c r="E69" s="14">
        <x:v>45510</x:v>
      </x:c>
      <x:c r="F69" s="14">
        <x:v>1210.28</x:v>
      </x:c>
      <x:c r="G69" s="14">
        <x:v>1202.0747000000001</x:v>
      </x:c>
      <x:c r="H69" s="23">
        <x:v>1</x:v>
      </x:c>
      <x:c r="I69" s="23">
        <x:v>1</x:v>
      </x:c>
      <x:c r="J69" s="13">
        <x:v>45509</x:v>
      </x:c>
      <x:c r="K69" s="14">
        <x:v>1188.07</x:v>
      </x:c>
      <x:c r="L69" s="15">
        <x:v>0</x:v>
      </x:c>
      <x:c r="M69" s="26" t="s">
        <x:v>56</x:v>
      </x:c>
    </x:row>
    <x:row r="70">
      <x:c r="A70" s="20">
        <x:v>65</x:v>
      </x:c>
      <x:c r="B70" s="13">
        <x:v>45600</x:v>
      </x:c>
      <x:c r="C70" s="14">
        <x:v>1244.71</x:v>
      </x:c>
      <x:c r="D70" s="14">
        <x:v>1251.35295</x:v>
      </x:c>
      <x:c r="E70" s="14">
        <x:v>45602</x:v>
      </x:c>
      <x:c r="F70" s="14">
        <x:v>1261.28</x:v>
      </x:c>
      <x:c r="G70" s="14">
        <x:v>1252.3440499999999</x:v>
      </x:c>
      <x:c r="H70" s="23">
        <x:v>2</x:v>
      </x:c>
      <x:c r="I70" s="23">
        <x:v>2</x:v>
      </x:c>
      <x:c r="J70" s="13">
        <x:v>45600</x:v>
      </x:c>
      <x:c r="K70" s="14">
        <x:v>1244.71</x:v>
      </x:c>
      <x:c r="L70" s="15">
        <x:v>0</x:v>
      </x:c>
      <x:c r="M70" s="26" t="s">
        <x:v>56</x:v>
      </x:c>
    </x:row>
    <x:row r="71">
      <x:c r="A71" s="20">
        <x:v>66</x:v>
      </x:c>
      <x:c r="B71" s="13">
        <x:v>45604</x:v>
      </x:c>
      <x:c r="C71" s="14">
        <x:v>1252.56</x:v>
      </x:c>
      <x:c r="D71" s="14">
        <x:v>1253.2773500000001</x:v>
      </x:c>
      <x:c r="E71" s="14">
        <x:v>45631</x:v>
      </x:c>
      <x:c r="F71" s="14">
        <x:v>1267.53</x:v>
      </x:c>
      <x:c r="G71" s="14">
        <x:v>1258.13625</x:v>
      </x:c>
      <x:c r="H71" s="23">
        <x:v>19</x:v>
      </x:c>
      <x:c r="I71" s="23">
        <x:v>27</x:v>
      </x:c>
      <x:c r="J71" s="13">
        <x:v>45615</x:v>
      </x:c>
      <x:c r="K71" s="14">
        <x:v>1205.1500000000001</x:v>
      </x:c>
      <x:c r="L71" s="15">
        <x:v>-3.7850482212428815E-2</x:v>
      </x:c>
      <x:c r="M71" s="26" t="s">
        <x:v>56</x:v>
      </x:c>
    </x:row>
    <x:row r="72">
      <x:c r="A72" s="20">
        <x:v>67</x:v>
      </x:c>
      <x:c r="B72" s="13">
        <x:v>45645</x:v>
      </x:c>
      <x:c r="C72" s="14">
        <x:v>1254.67</x:v>
      </x:c>
      <x:c r="D72" s="14">
        <x:v>1259.3016499999999</x:v>
      </x:c>
      <x:c r="E72" s="14">
        <x:v>45649</x:v>
      </x:c>
      <x:c r="F72" s="14">
        <x:v>1262.76</x:v>
      </x:c>
      <x:c r="G72" s="14">
        <x:v>1259.2470000000001</x:v>
      </x:c>
      <x:c r="H72" s="23">
        <x:v>2</x:v>
      </x:c>
      <x:c r="I72" s="23">
        <x:v>4</x:v>
      </x:c>
      <x:c r="J72" s="13">
        <x:v>45645</x:v>
      </x:c>
      <x:c r="K72" s="14">
        <x:v>1254.67</x:v>
      </x:c>
      <x:c r="L72" s="15">
        <x:v>0</x:v>
      </x:c>
      <x:c r="M72" s="26" t="s">
        <x:v>56</x:v>
      </x:c>
    </x:row>
    <x:row r="73">
      <x:c r="A73" s="20">
        <x:v>68</x:v>
      </x:c>
      <x:c r="B73" s="13">
        <x:v>45660</x:v>
      </x:c>
      <x:c r="C73" s="14">
        <x:v>1254.5899999999999</x:v>
      </x:c>
      <x:c r="D73" s="14">
        <x:v>1259.9124999999999</x:v>
      </x:c>
      <x:c r="E73" s="14">
        <x:v>45680</x:v>
      </x:c>
      <x:c r="F73" s="14">
        <x:v>1259.6300000000001</x:v>
      </x:c>
      <x:c r="G73" s="14">
        <x:v>1257.778</x:v>
      </x:c>
      <x:c r="H73" s="23">
        <x:v>14</x:v>
      </x:c>
      <x:c r="I73" s="23">
        <x:v>20</x:v>
      </x:c>
      <x:c r="J73" s="13">
        <x:v>45671</x:v>
      </x:c>
      <x:c r="K73" s="14">
        <x:v>1229.07</x:v>
      </x:c>
      <x:c r="L73" s="15">
        <x:v>-2.0341306721717856E-2</x:v>
      </x:c>
      <x:c r="M73" s="26" t="s">
        <x:v>56</x:v>
      </x:c>
    </x:row>
    <x:row r="74">
      <x:c r="A74" s="20">
        <x:v>69</x:v>
      </x:c>
      <x:c r="B74" s="13">
        <x:v>45750</x:v>
      </x:c>
      <x:c r="C74" s="14">
        <x:v>1229.8399999999999</x:v>
      </x:c>
      <x:c r="D74" s="14">
        <x:v>1268.7311999999999</x:v>
      </x:c>
      <x:c r="E74" s="14">
        <x:v>45785</x:v>
      </x:c>
      <x:c r="F74" s="14">
        <x:v>1269.8</x:v>
      </x:c>
      <x:c r="G74" s="14">
        <x:v>1262.33665</x:v>
      </x:c>
      <x:c r="H74" s="23">
        <x:v>21</x:v>
      </x:c>
      <x:c r="I74" s="23">
        <x:v>35</x:v>
      </x:c>
      <x:c r="J74" s="13">
        <x:v>45756</x:v>
      </x:c>
      <x:c r="K74" s="14">
        <x:v>1094.3</x:v>
      </x:c>
      <x:c r="L74" s="15">
        <x:v>-0.11020945814089633</x:v>
      </x:c>
      <x:c r="M74" s="26" t="s">
        <x:v>56</x:v>
      </x:c>
    </x:row>
    <x:row r="75">
      <x:c r="A75" s="20">
        <x:v>70</x:v>
      </x:c>
      <x:c r="B75" s="13">
        <x:v>46101</x:v>
      </x:c>
      <x:c r="C75" s="14">
        <x:v>1647.81</x:v>
      </x:c>
      <x:c r="D75" s="14">
        <x:v>1648.3239999999998</x:v>
      </x:c>
      <x:c r="E75" s="14">
        <x:v>46106</x:v>
      </x:c>
      <x:c r="F75" s="14">
        <x:v>1658.19</x:v>
      </x:c>
      <x:c r="G75" s="14">
        <x:v>1652.4692499999999</x:v>
      </x:c>
      <x:c r="H75" s="23">
        <x:v>3</x:v>
      </x:c>
      <x:c r="I75" s="23">
        <x:v>5</x:v>
      </x:c>
      <x:c r="J75" s="13">
        <x:v>46104</x:v>
      </x:c>
      <x:c r="K75" s="14">
        <x:v>1591.17</x:v>
      </x:c>
      <x:c r="L75" s="15">
        <x:v>-3.4372894933275E-2</x:v>
      </x:c>
      <x:c r="M75" s="26" t="s">
        <x:v>56</x:v>
      </x:c>
    </x:row>
    <x:row r="76">
      <x:c r="A76" s="21">
        <x:v>71</x:v>
      </x:c>
      <x:c r="B76" s="16">
        <x:v>46107</x:v>
      </x:c>
      <x:c r="C76" s="17">
        <x:v>1644.63</x:v>
      </x:c>
      <x:c r="D76" s="17">
        <x:v>1654.04295</x:v>
      </x:c>
      <x:c r="E76" s="17">
        <x:v>46108</x:v>
      </x:c>
      <x:c r="F76" s="17">
        <x:v>1672.8</x:v>
      </x:c>
      <x:c r="G76" s="17">
        <x:v>1655.8541</x:v>
      </x:c>
      <x:c r="H76" s="24">
        <x:v>1</x:v>
      </x:c>
      <x:c r="I76" s="24">
        <x:v>1</x:v>
      </x:c>
      <x:c r="J76" s="16">
        <x:v>46107</x:v>
      </x:c>
      <x:c r="K76" s="17">
        <x:v>1644.63</x:v>
      </x:c>
      <x:c r="L76" s="18">
        <x:v>0</x:v>
      </x:c>
      <x:c r="M76" s="27" t="s">
        <x:v>56</x:v>
      </x:c>
    </x:row>
    <x:row r="77">
      <x:c r="A77" s="183" t="n">
        <x:v>72</x:v>
      </x:c>
      <x:c r="B77" s="184" t="n">
        <x:v>46223</x:v>
      </x:c>
      <x:c r="C77" s="185" t="n">
        <x:v>1743.51</x:v>
      </x:c>
      <x:c r="D77" s="185" t="n">
        <x:v>1771.7411</x:v>
      </x:c>
      <x:c r="E77" s="184"/>
      <x:c r="F77" s="185"/>
      <x:c r="G77" s="185"/>
      <x:c r="H77" s="186" t="n">
        <x:v>5</x:v>
      </x:c>
      <x:c r="I77" s="186" t="n">
        <x:v>7</x:v>
      </x:c>
      <x:c r="J77" s="184" t="n">
        <x:v>46225</x:v>
      </x:c>
      <x:c r="K77" s="185" t="n">
        <x:v>1668.53</x:v>
      </x:c>
      <x:c r="L77" s="187" t="n">
        <x:v>-0.04300520214968662</x:v>
      </x:c>
      <x:c r="M77" s="188" t="str">
        <x:v>Chưa quay lại</x:v>
      </x:c>
    </x:row>
  </x:sheetData>
  <x:mergeCells>
    <x:mergeCell ref="A1:M2"/>
    <x:mergeCell ref="A3:M3"/>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4.25"/>
  <x:cols>
    <x:col min="1" max="1" width="13" customWidth="1"/>
    <x:col min="2" max="5" width="12" customWidth="1"/>
    <x:col min="6" max="6" width="15" customWidth="1"/>
    <x:col min="7" max="7" width="12" customWidth="1"/>
    <x:col min="8" max="9" width="13" customWidth="1"/>
  </x:cols>
  <x:sheetData>
    <x:row r="1">
      <x:c r="A1" s="104" t="s">
        <x:v>57</x:v>
      </x:c>
      <x:c r="B1" s="104"/>
      <x:c r="C1" s="104"/>
      <x:c r="D1" s="104"/>
      <x:c r="E1" s="104"/>
      <x:c r="F1" s="104"/>
      <x:c r="G1" s="104"/>
      <x:c r="H1" s="104"/>
      <x:c r="I1" s="104"/>
    </x:row>
    <x:row r="2">
      <x:c r="A2" s="104"/>
      <x:c r="B2" s="104"/>
      <x:c r="C2" s="104"/>
      <x:c r="D2" s="104"/>
      <x:c r="E2" s="104"/>
      <x:c r="F2" s="104"/>
      <x:c r="G2" s="104"/>
      <x:c r="H2" s="104"/>
      <x:c r="I2" s="104"/>
    </x:row>
    <x:row r="3">
      <x:c r="A3" s="105" t="str">
        <x:v>Nguồn giá: CafeF/HOSE; đối chiếu TTXVN, VnEconomy và Investing.com • MA200 và khoảng cách tính trực tiếp bằng công thức Excel</x:v>
      </x:c>
      <x:c r="B3" s="105"/>
      <x:c r="C3" s="105"/>
      <x:c r="D3" s="105"/>
      <x:c r="E3" s="105"/>
      <x:c r="F3" s="105"/>
      <x:c r="G3" s="105"/>
      <x:c r="H3" s="105"/>
      <x:c r="I3" s="105"/>
    </x:row>
    <x:row r="5">
      <x:c r="A5" s="28" t="s">
        <x:v>58</x:v>
      </x:c>
      <x:c r="B5" s="29" t="s">
        <x:v>59</x:v>
      </x:c>
      <x:c r="C5" s="29" t="s">
        <x:v>60</x:v>
      </x:c>
      <x:c r="D5" s="29" t="s">
        <x:v>61</x:v>
      </x:c>
      <x:c r="E5" s="29" t="s">
        <x:v>50</x:v>
      </x:c>
      <x:c r="F5" s="29" t="s">
        <x:v>62</x:v>
      </x:c>
      <x:c r="G5" s="29" t="s">
        <x:v>51</x:v>
      </x:c>
      <x:c r="H5" s="29" t="s">
        <x:v>63</x:v>
      </x:c>
      <x:c r="I5" s="30" t="s">
        <x:v>64</x:v>
      </x:c>
    </x:row>
    <x:row r="6">
      <x:c r="A6" s="31">
        <x:v>36735</x:v>
      </x:c>
      <x:c r="B6" s="32">
        <x:v>100</x:v>
      </x:c>
      <x:c r="C6" s="32">
        <x:v>100</x:v>
      </x:c>
      <x:c r="D6" s="32">
        <x:v>100</x:v>
      </x:c>
      <x:c r="E6" s="32">
        <x:v>100</x:v>
      </x:c>
      <x:c r="F6" s="33">
        <x:v>4200</x:v>
      </x:c>
      <x:c r="G6" s="34"/>
      <x:c r="H6" s="35"/>
      <x:c r="I6" s="36"/>
    </x:row>
    <x:row r="7">
      <x:c r="A7" s="31">
        <x:v>36738</x:v>
      </x:c>
      <x:c r="B7" s="32">
        <x:v>101.55</x:v>
      </x:c>
      <x:c r="C7" s="32">
        <x:v>101.55</x:v>
      </x:c>
      <x:c r="D7" s="32">
        <x:v>101.55</x:v>
      </x:c>
      <x:c r="E7" s="32">
        <x:v>101.55</x:v>
      </x:c>
      <x:c r="F7" s="33">
        <x:v>10300</x:v>
      </x:c>
      <x:c r="G7" s="34"/>
      <x:c r="H7" s="35"/>
      <x:c r="I7" s="36"/>
    </x:row>
    <x:row r="8">
      <x:c r="A8" s="31">
        <x:v>36740</x:v>
      </x:c>
      <x:c r="B8" s="32">
        <x:v>103.38</x:v>
      </x:c>
      <x:c r="C8" s="32">
        <x:v>103.38</x:v>
      </x:c>
      <x:c r="D8" s="32">
        <x:v>103.38</x:v>
      </x:c>
      <x:c r="E8" s="32">
        <x:v>103.38</x:v>
      </x:c>
      <x:c r="F8" s="33">
        <x:v>300</x:v>
      </x:c>
      <x:c r="G8" s="34"/>
      <x:c r="H8" s="35"/>
      <x:c r="I8" s="36"/>
    </x:row>
    <x:row r="9">
      <x:c r="A9" s="31">
        <x:v>36742</x:v>
      </x:c>
      <x:c r="B9" s="32">
        <x:v>105.2</x:v>
      </x:c>
      <x:c r="C9" s="32">
        <x:v>105.2</x:v>
      </x:c>
      <x:c r="D9" s="32">
        <x:v>105.2</x:v>
      </x:c>
      <x:c r="E9" s="32">
        <x:v>105.2</x:v>
      </x:c>
      <x:c r="F9" s="33">
        <x:v>3700</x:v>
      </x:c>
      <x:c r="G9" s="34"/>
      <x:c r="H9" s="35"/>
      <x:c r="I9" s="36"/>
    </x:row>
    <x:row r="10">
      <x:c r="A10" s="31">
        <x:v>36745</x:v>
      </x:c>
      <x:c r="B10" s="32">
        <x:v>106.92</x:v>
      </x:c>
      <x:c r="C10" s="32">
        <x:v>106.92</x:v>
      </x:c>
      <x:c r="D10" s="32">
        <x:v>106.92</x:v>
      </x:c>
      <x:c r="E10" s="32">
        <x:v>106.92</x:v>
      </x:c>
      <x:c r="F10" s="33">
        <x:v>13100</x:v>
      </x:c>
      <x:c r="G10" s="34"/>
      <x:c r="H10" s="35"/>
      <x:c r="I10" s="36"/>
    </x:row>
    <x:row r="11">
      <x:c r="A11" s="31">
        <x:v>36747</x:v>
      </x:c>
      <x:c r="B11" s="32">
        <x:v>108.64</x:v>
      </x:c>
      <x:c r="C11" s="32">
        <x:v>108.64</x:v>
      </x:c>
      <x:c r="D11" s="32">
        <x:v>108.64</x:v>
      </x:c>
      <x:c r="E11" s="32">
        <x:v>108.64</x:v>
      </x:c>
      <x:c r="F11" s="33">
        <x:v>15900</x:v>
      </x:c>
      <x:c r="G11" s="34"/>
      <x:c r="H11" s="35"/>
      <x:c r="I11" s="36"/>
    </x:row>
    <x:row r="12">
      <x:c r="A12" s="31">
        <x:v>36749</x:v>
      </x:c>
      <x:c r="B12" s="32">
        <x:v>110.36</x:v>
      </x:c>
      <x:c r="C12" s="32">
        <x:v>110.36</x:v>
      </x:c>
      <x:c r="D12" s="32">
        <x:v>110.36</x:v>
      </x:c>
      <x:c r="E12" s="32">
        <x:v>110.36</x:v>
      </x:c>
      <x:c r="F12" s="33">
        <x:v>13600</x:v>
      </x:c>
      <x:c r="G12" s="34"/>
      <x:c r="H12" s="35"/>
      <x:c r="I12" s="36"/>
    </x:row>
    <x:row r="13">
      <x:c r="A13" s="31">
        <x:v>36752</x:v>
      </x:c>
      <x:c r="B13" s="32">
        <x:v>112.08</x:v>
      </x:c>
      <x:c r="C13" s="32">
        <x:v>112.08</x:v>
      </x:c>
      <x:c r="D13" s="32">
        <x:v>112.08</x:v>
      </x:c>
      <x:c r="E13" s="32">
        <x:v>112.08</x:v>
      </x:c>
      <x:c r="F13" s="33">
        <x:v>11700</x:v>
      </x:c>
      <x:c r="G13" s="34"/>
      <x:c r="H13" s="35"/>
      <x:c r="I13" s="36"/>
    </x:row>
    <x:row r="14">
      <x:c r="A14" s="31">
        <x:v>36754</x:v>
      </x:c>
      <x:c r="B14" s="32">
        <x:v>113.8</x:v>
      </x:c>
      <x:c r="C14" s="32">
        <x:v>113.8</x:v>
      </x:c>
      <x:c r="D14" s="32">
        <x:v>113.8</x:v>
      </x:c>
      <x:c r="E14" s="32">
        <x:v>113.8</x:v>
      </x:c>
      <x:c r="F14" s="33">
        <x:v>23000</x:v>
      </x:c>
      <x:c r="G14" s="34"/>
      <x:c r="H14" s="35"/>
      <x:c r="I14" s="36"/>
    </x:row>
    <x:row r="15">
      <x:c r="A15" s="31">
        <x:v>36756</x:v>
      </x:c>
      <x:c r="B15" s="32">
        <x:v>115.52</x:v>
      </x:c>
      <x:c r="C15" s="32">
        <x:v>115.52</x:v>
      </x:c>
      <x:c r="D15" s="32">
        <x:v>115.52</x:v>
      </x:c>
      <x:c r="E15" s="32">
        <x:v>115.52</x:v>
      </x:c>
      <x:c r="F15" s="33">
        <x:v>10300</x:v>
      </x:c>
      <x:c r="G15" s="34"/>
      <x:c r="H15" s="35"/>
      <x:c r="I15" s="36"/>
    </x:row>
    <x:row r="16">
      <x:c r="A16" s="31">
        <x:v>36759</x:v>
      </x:c>
      <x:c r="B16" s="32">
        <x:v>117.24</x:v>
      </x:c>
      <x:c r="C16" s="32">
        <x:v>117.24</x:v>
      </x:c>
      <x:c r="D16" s="32">
        <x:v>117.24</x:v>
      </x:c>
      <x:c r="E16" s="32">
        <x:v>117.24</x:v>
      </x:c>
      <x:c r="F16" s="33">
        <x:v>35500</x:v>
      </x:c>
      <x:c r="G16" s="34"/>
      <x:c r="H16" s="35"/>
      <x:c r="I16" s="36"/>
    </x:row>
    <x:row r="17">
      <x:c r="A17" s="31">
        <x:v>36761</x:v>
      </x:c>
      <x:c r="B17" s="32">
        <x:v>118.96</x:v>
      </x:c>
      <x:c r="C17" s="32">
        <x:v>118.96</x:v>
      </x:c>
      <x:c r="D17" s="32">
        <x:v>118.96</x:v>
      </x:c>
      <x:c r="E17" s="32">
        <x:v>118.96</x:v>
      </x:c>
      <x:c r="F17" s="33">
        <x:v>111400</x:v>
      </x:c>
      <x:c r="G17" s="34"/>
      <x:c r="H17" s="35"/>
      <x:c r="I17" s="36"/>
    </x:row>
    <x:row r="18">
      <x:c r="A18" s="31">
        <x:v>36763</x:v>
      </x:c>
      <x:c r="B18" s="32">
        <x:v>118.84</x:v>
      </x:c>
      <x:c r="C18" s="32">
        <x:v>118.84</x:v>
      </x:c>
      <x:c r="D18" s="32">
        <x:v>118.84</x:v>
      </x:c>
      <x:c r="E18" s="32">
        <x:v>118.84</x:v>
      </x:c>
      <x:c r="F18" s="33">
        <x:v>95200</x:v>
      </x:c>
      <x:c r="G18" s="34"/>
      <x:c r="H18" s="35"/>
      <x:c r="I18" s="36"/>
    </x:row>
    <x:row r="19">
      <x:c r="A19" s="31">
        <x:v>36766</x:v>
      </x:c>
      <x:c r="B19" s="32">
        <x:v>117</x:v>
      </x:c>
      <x:c r="C19" s="32">
        <x:v>117</x:v>
      </x:c>
      <x:c r="D19" s="32">
        <x:v>117</x:v>
      </x:c>
      <x:c r="E19" s="32">
        <x:v>117</x:v>
      </x:c>
      <x:c r="F19" s="33">
        <x:v>97900</x:v>
      </x:c>
      <x:c r="G19" s="34"/>
      <x:c r="H19" s="35"/>
      <x:c r="I19" s="36"/>
    </x:row>
    <x:row r="20">
      <x:c r="A20" s="31">
        <x:v>36768</x:v>
      </x:c>
      <x:c r="B20" s="32">
        <x:v>115.15</x:v>
      </x:c>
      <x:c r="C20" s="32">
        <x:v>115.15</x:v>
      </x:c>
      <x:c r="D20" s="32">
        <x:v>115.15</x:v>
      </x:c>
      <x:c r="E20" s="32">
        <x:v>115.15</x:v>
      </x:c>
      <x:c r="F20" s="33">
        <x:v>126500</x:v>
      </x:c>
      <x:c r="G20" s="34"/>
      <x:c r="H20" s="35"/>
      <x:c r="I20" s="36"/>
    </x:row>
    <x:row r="21">
      <x:c r="A21" s="31">
        <x:v>36770</x:v>
      </x:c>
      <x:c r="B21" s="32">
        <x:v>113.37</x:v>
      </x:c>
      <x:c r="C21" s="32">
        <x:v>113.37</x:v>
      </x:c>
      <x:c r="D21" s="32">
        <x:v>113.37</x:v>
      </x:c>
      <x:c r="E21" s="32">
        <x:v>113.37</x:v>
      </x:c>
      <x:c r="F21" s="33">
        <x:v>96600</x:v>
      </x:c>
      <x:c r="G21" s="34"/>
      <x:c r="H21" s="35"/>
      <x:c r="I21" s="36"/>
    </x:row>
    <x:row r="22">
      <x:c r="A22" s="31">
        <x:v>36775</x:v>
      </x:c>
      <x:c r="B22" s="32">
        <x:v>112.51</x:v>
      </x:c>
      <x:c r="C22" s="32">
        <x:v>112.51</x:v>
      </x:c>
      <x:c r="D22" s="32">
        <x:v>112.51</x:v>
      </x:c>
      <x:c r="E22" s="32">
        <x:v>112.51</x:v>
      </x:c>
      <x:c r="F22" s="33">
        <x:v>60900</x:v>
      </x:c>
      <x:c r="G22" s="34"/>
      <x:c r="H22" s="35"/>
      <x:c r="I22" s="36"/>
    </x:row>
    <x:row r="23">
      <x:c r="A23" s="31">
        <x:v>36777</x:v>
      </x:c>
      <x:c r="B23" s="32">
        <x:v>112.39</x:v>
      </x:c>
      <x:c r="C23" s="32">
        <x:v>112.39</x:v>
      </x:c>
      <x:c r="D23" s="32">
        <x:v>112.39</x:v>
      </x:c>
      <x:c r="E23" s="32">
        <x:v>112.39</x:v>
      </x:c>
      <x:c r="F23" s="33">
        <x:v>49500</x:v>
      </x:c>
      <x:c r="G23" s="34"/>
      <x:c r="H23" s="35"/>
      <x:c r="I23" s="36"/>
    </x:row>
    <x:row r="24">
      <x:c r="A24" s="31">
        <x:v>36780</x:v>
      </x:c>
      <x:c r="B24" s="32">
        <x:v>114.11</x:v>
      </x:c>
      <x:c r="C24" s="32">
        <x:v>114.11</x:v>
      </x:c>
      <x:c r="D24" s="32">
        <x:v>114.11</x:v>
      </x:c>
      <x:c r="E24" s="32">
        <x:v>114.11</x:v>
      </x:c>
      <x:c r="F24" s="33">
        <x:v>31300</x:v>
      </x:c>
      <x:c r="G24" s="34"/>
      <x:c r="H24" s="35"/>
      <x:c r="I24" s="36"/>
    </x:row>
    <x:row r="25">
      <x:c r="A25" s="31">
        <x:v>36782</x:v>
      </x:c>
      <x:c r="B25" s="32">
        <x:v>116.08</x:v>
      </x:c>
      <x:c r="C25" s="32">
        <x:v>116.08</x:v>
      </x:c>
      <x:c r="D25" s="32">
        <x:v>116.08</x:v>
      </x:c>
      <x:c r="E25" s="32">
        <x:v>116.08</x:v>
      </x:c>
      <x:c r="F25" s="33">
        <x:v>18400</x:v>
      </x:c>
      <x:c r="G25" s="34"/>
      <x:c r="H25" s="35"/>
      <x:c r="I25" s="36"/>
    </x:row>
    <x:row r="26">
      <x:c r="A26" s="31">
        <x:v>36784</x:v>
      </x:c>
      <x:c r="B26" s="32">
        <x:v>118.04</x:v>
      </x:c>
      <x:c r="C26" s="32">
        <x:v>118.04</x:v>
      </x:c>
      <x:c r="D26" s="32">
        <x:v>118.04</x:v>
      </x:c>
      <x:c r="E26" s="32">
        <x:v>118.04</x:v>
      </x:c>
      <x:c r="F26" s="33">
        <x:v>45900</x:v>
      </x:c>
      <x:c r="G26" s="34"/>
      <x:c r="H26" s="35"/>
      <x:c r="I26" s="36"/>
    </x:row>
    <x:row r="27">
      <x:c r="A27" s="31">
        <x:v>36787</x:v>
      </x:c>
      <x:c r="B27" s="32">
        <x:v>118.19</x:v>
      </x:c>
      <x:c r="C27" s="32">
        <x:v>118.19</x:v>
      </x:c>
      <x:c r="D27" s="32">
        <x:v>118.19</x:v>
      </x:c>
      <x:c r="E27" s="32">
        <x:v>118.19</x:v>
      </x:c>
      <x:c r="F27" s="33">
        <x:v>64600</x:v>
      </x:c>
      <x:c r="G27" s="34"/>
      <x:c r="H27" s="35"/>
      <x:c r="I27" s="36"/>
    </x:row>
    <x:row r="28">
      <x:c r="A28" s="31">
        <x:v>36789</x:v>
      </x:c>
      <x:c r="B28" s="32">
        <x:v>118.21</x:v>
      </x:c>
      <x:c r="C28" s="32">
        <x:v>118.21</x:v>
      </x:c>
      <x:c r="D28" s="32">
        <x:v>118.21</x:v>
      </x:c>
      <x:c r="E28" s="32">
        <x:v>118.21</x:v>
      </x:c>
      <x:c r="F28" s="33">
        <x:v>41600</x:v>
      </x:c>
      <x:c r="G28" s="34"/>
      <x:c r="H28" s="35"/>
      <x:c r="I28" s="36"/>
    </x:row>
    <x:row r="29">
      <x:c r="A29" s="31">
        <x:v>36791</x:v>
      </x:c>
      <x:c r="B29" s="32">
        <x:v>118.76</x:v>
      </x:c>
      <x:c r="C29" s="32">
        <x:v>118.76</x:v>
      </x:c>
      <x:c r="D29" s="32">
        <x:v>118.76</x:v>
      </x:c>
      <x:c r="E29" s="32">
        <x:v>118.76</x:v>
      </x:c>
      <x:c r="F29" s="33">
        <x:v>66900</x:v>
      </x:c>
      <x:c r="G29" s="34"/>
      <x:c r="H29" s="35"/>
      <x:c r="I29" s="36"/>
    </x:row>
    <x:row r="30">
      <x:c r="A30" s="31">
        <x:v>36794</x:v>
      </x:c>
      <x:c r="B30" s="32">
        <x:v>118.98</x:v>
      </x:c>
      <x:c r="C30" s="32">
        <x:v>118.98</x:v>
      </x:c>
      <x:c r="D30" s="32">
        <x:v>118.98</x:v>
      </x:c>
      <x:c r="E30" s="32">
        <x:v>118.98</x:v>
      </x:c>
      <x:c r="F30" s="33">
        <x:v>56600</x:v>
      </x:c>
      <x:c r="G30" s="34"/>
      <x:c r="H30" s="35"/>
      <x:c r="I30" s="36"/>
    </x:row>
    <x:row r="31">
      <x:c r="A31" s="31">
        <x:v>36796</x:v>
      </x:c>
      <x:c r="B31" s="32">
        <x:v>119.69</x:v>
      </x:c>
      <x:c r="C31" s="32">
        <x:v>119.69</x:v>
      </x:c>
      <x:c r="D31" s="32">
        <x:v>119.69</x:v>
      </x:c>
      <x:c r="E31" s="32">
        <x:v>119.69</x:v>
      </x:c>
      <x:c r="F31" s="33">
        <x:v>56600</x:v>
      </x:c>
      <x:c r="G31" s="34"/>
      <x:c r="H31" s="35"/>
      <x:c r="I31" s="36"/>
    </x:row>
    <x:row r="32">
      <x:c r="A32" s="31">
        <x:v>36798</x:v>
      </x:c>
      <x:c r="B32" s="32">
        <x:v>120.71</x:v>
      </x:c>
      <x:c r="C32" s="32">
        <x:v>120.71</x:v>
      </x:c>
      <x:c r="D32" s="32">
        <x:v>120.71</x:v>
      </x:c>
      <x:c r="E32" s="32">
        <x:v>120.71</x:v>
      </x:c>
      <x:c r="F32" s="33">
        <x:v>52800</x:v>
      </x:c>
      <x:c r="G32" s="34"/>
      <x:c r="H32" s="35"/>
      <x:c r="I32" s="36"/>
    </x:row>
    <x:row r="33">
      <x:c r="A33" s="31">
        <x:v>36801</x:v>
      </x:c>
      <x:c r="B33" s="32">
        <x:v>120.92</x:v>
      </x:c>
      <x:c r="C33" s="32">
        <x:v>120.92</x:v>
      </x:c>
      <x:c r="D33" s="32">
        <x:v>120.92</x:v>
      </x:c>
      <x:c r="E33" s="32">
        <x:v>120.92</x:v>
      </x:c>
      <x:c r="F33" s="33">
        <x:v>48600</x:v>
      </x:c>
      <x:c r="G33" s="34"/>
      <x:c r="H33" s="35"/>
      <x:c r="I33" s="36"/>
    </x:row>
    <x:row r="34">
      <x:c r="A34" s="31">
        <x:v>36803</x:v>
      </x:c>
      <x:c r="B34" s="32">
        <x:v>121.14</x:v>
      </x:c>
      <x:c r="C34" s="32">
        <x:v>121.14</x:v>
      </x:c>
      <x:c r="D34" s="32">
        <x:v>121.14</x:v>
      </x:c>
      <x:c r="E34" s="32">
        <x:v>121.14</x:v>
      </x:c>
      <x:c r="F34" s="33">
        <x:v>58400</x:v>
      </x:c>
      <x:c r="G34" s="34"/>
      <x:c r="H34" s="35"/>
      <x:c r="I34" s="36"/>
    </x:row>
    <x:row r="35">
      <x:c r="A35" s="31">
        <x:v>36805</x:v>
      </x:c>
      <x:c r="B35" s="32">
        <x:v>122.21</x:v>
      </x:c>
      <x:c r="C35" s="32">
        <x:v>122.21</x:v>
      </x:c>
      <x:c r="D35" s="32">
        <x:v>122.21</x:v>
      </x:c>
      <x:c r="E35" s="32">
        <x:v>122.21</x:v>
      </x:c>
      <x:c r="F35" s="33">
        <x:v>39600</x:v>
      </x:c>
      <x:c r="G35" s="34"/>
      <x:c r="H35" s="35"/>
      <x:c r="I35" s="36"/>
    </x:row>
    <x:row r="36">
      <x:c r="A36" s="31">
        <x:v>36808</x:v>
      </x:c>
      <x:c r="B36" s="32">
        <x:v>124.33</x:v>
      </x:c>
      <x:c r="C36" s="32">
        <x:v>124.33</x:v>
      </x:c>
      <x:c r="D36" s="32">
        <x:v>124.33</x:v>
      </x:c>
      <x:c r="E36" s="32">
        <x:v>124.33</x:v>
      </x:c>
      <x:c r="F36" s="33">
        <x:v>25900</x:v>
      </x:c>
      <x:c r="G36" s="34"/>
      <x:c r="H36" s="35"/>
      <x:c r="I36" s="36"/>
    </x:row>
    <x:row r="37">
      <x:c r="A37" s="31">
        <x:v>36810</x:v>
      </x:c>
      <x:c r="B37" s="32">
        <x:v>126.45</x:v>
      </x:c>
      <x:c r="C37" s="32">
        <x:v>126.45</x:v>
      </x:c>
      <x:c r="D37" s="32">
        <x:v>126.45</x:v>
      </x:c>
      <x:c r="E37" s="32">
        <x:v>126.45</x:v>
      </x:c>
      <x:c r="F37" s="33">
        <x:v>53300</x:v>
      </x:c>
      <x:c r="G37" s="34"/>
      <x:c r="H37" s="35"/>
      <x:c r="I37" s="36"/>
    </x:row>
    <x:row r="38">
      <x:c r="A38" s="31">
        <x:v>36812</x:v>
      </x:c>
      <x:c r="B38" s="32">
        <x:v>128.57</x:v>
      </x:c>
      <x:c r="C38" s="32">
        <x:v>128.57</x:v>
      </x:c>
      <x:c r="D38" s="32">
        <x:v>128.57</x:v>
      </x:c>
      <x:c r="E38" s="32">
        <x:v>128.57</x:v>
      </x:c>
      <x:c r="F38" s="33">
        <x:v>51900</x:v>
      </x:c>
      <x:c r="G38" s="34"/>
      <x:c r="H38" s="35"/>
      <x:c r="I38" s="36"/>
    </x:row>
    <x:row r="39">
      <x:c r="A39" s="31">
        <x:v>36815</x:v>
      </x:c>
      <x:c r="B39" s="32">
        <x:v>130.71</x:v>
      </x:c>
      <x:c r="C39" s="32">
        <x:v>130.71</x:v>
      </x:c>
      <x:c r="D39" s="32">
        <x:v>130.71</x:v>
      </x:c>
      <x:c r="E39" s="32">
        <x:v>130.71</x:v>
      </x:c>
      <x:c r="F39" s="33">
        <x:v>26600</x:v>
      </x:c>
      <x:c r="G39" s="34"/>
      <x:c r="H39" s="35"/>
      <x:c r="I39" s="36"/>
    </x:row>
    <x:row r="40">
      <x:c r="A40" s="31">
        <x:v>36817</x:v>
      </x:c>
      <x:c r="B40" s="32">
        <x:v>132.85</x:v>
      </x:c>
      <x:c r="C40" s="32">
        <x:v>132.85</x:v>
      </x:c>
      <x:c r="D40" s="32">
        <x:v>132.85</x:v>
      </x:c>
      <x:c r="E40" s="32">
        <x:v>132.85</x:v>
      </x:c>
      <x:c r="F40" s="33">
        <x:v>25700</x:v>
      </x:c>
      <x:c r="G40" s="34"/>
      <x:c r="H40" s="35"/>
      <x:c r="I40" s="36"/>
    </x:row>
    <x:row r="41">
      <x:c r="A41" s="31">
        <x:v>36819</x:v>
      </x:c>
      <x:c r="B41" s="32">
        <x:v>135.04</x:v>
      </x:c>
      <x:c r="C41" s="32">
        <x:v>135.04</x:v>
      </x:c>
      <x:c r="D41" s="32">
        <x:v>135.04</x:v>
      </x:c>
      <x:c r="E41" s="32">
        <x:v>135.04</x:v>
      </x:c>
      <x:c r="F41" s="33">
        <x:v>65900</x:v>
      </x:c>
      <x:c r="G41" s="34"/>
      <x:c r="H41" s="35"/>
      <x:c r="I41" s="36"/>
    </x:row>
    <x:row r="42">
      <x:c r="A42" s="31">
        <x:v>36822</x:v>
      </x:c>
      <x:c r="B42" s="32">
        <x:v>136.55000000000001</x:v>
      </x:c>
      <x:c r="C42" s="32">
        <x:v>136.55000000000001</x:v>
      </x:c>
      <x:c r="D42" s="32">
        <x:v>136.55000000000001</x:v>
      </x:c>
      <x:c r="E42" s="32">
        <x:v>136.55000000000001</x:v>
      </x:c>
      <x:c r="F42" s="33">
        <x:v>39100</x:v>
      </x:c>
      <x:c r="G42" s="34"/>
      <x:c r="H42" s="35"/>
      <x:c r="I42" s="36"/>
    </x:row>
    <x:row r="43">
      <x:c r="A43" s="31">
        <x:v>36824</x:v>
      </x:c>
      <x:c r="B43" s="32">
        <x:v>137.08000000000001</x:v>
      </x:c>
      <x:c r="C43" s="32">
        <x:v>137.08000000000001</x:v>
      </x:c>
      <x:c r="D43" s="32">
        <x:v>137.08000000000001</x:v>
      </x:c>
      <x:c r="E43" s="32">
        <x:v>137.08000000000001</x:v>
      </x:c>
      <x:c r="F43" s="33">
        <x:v>45000</x:v>
      </x:c>
      <x:c r="G43" s="34"/>
      <x:c r="H43" s="35"/>
      <x:c r="I43" s="36"/>
    </x:row>
    <x:row r="44">
      <x:c r="A44" s="31">
        <x:v>36826</x:v>
      </x:c>
      <x:c r="B44" s="32">
        <x:v>139.57</x:v>
      </x:c>
      <x:c r="C44" s="32">
        <x:v>139.57</x:v>
      </x:c>
      <x:c r="D44" s="32">
        <x:v>139.57</x:v>
      </x:c>
      <x:c r="E44" s="32">
        <x:v>139.57</x:v>
      </x:c>
      <x:c r="F44" s="33">
        <x:v>88200</x:v>
      </x:c>
      <x:c r="G44" s="34"/>
      <x:c r="H44" s="35"/>
      <x:c r="I44" s="36"/>
    </x:row>
    <x:row r="45">
      <x:c r="A45" s="31">
        <x:v>36829</x:v>
      </x:c>
      <x:c r="B45" s="32">
        <x:v>140.84</x:v>
      </x:c>
      <x:c r="C45" s="32">
        <x:v>140.84</x:v>
      </x:c>
      <x:c r="D45" s="32">
        <x:v>140.84</x:v>
      </x:c>
      <x:c r="E45" s="32">
        <x:v>140.84</x:v>
      </x:c>
      <x:c r="F45" s="33">
        <x:v>101200</x:v>
      </x:c>
      <x:c r="G45" s="34"/>
      <x:c r="H45" s="35"/>
      <x:c r="I45" s="36"/>
    </x:row>
    <x:row r="46">
      <x:c r="A46" s="31">
        <x:v>36831</x:v>
      </x:c>
      <x:c r="B46" s="32">
        <x:v>143.33000000000001</x:v>
      </x:c>
      <x:c r="C46" s="32">
        <x:v>143.33000000000001</x:v>
      </x:c>
      <x:c r="D46" s="32">
        <x:v>143.33000000000001</x:v>
      </x:c>
      <x:c r="E46" s="32">
        <x:v>143.33000000000001</x:v>
      </x:c>
      <x:c r="F46" s="33">
        <x:v>95900</x:v>
      </x:c>
      <x:c r="G46" s="34"/>
      <x:c r="H46" s="35"/>
      <x:c r="I46" s="36"/>
    </x:row>
    <x:row r="47">
      <x:c r="A47" s="31">
        <x:v>36833</x:v>
      </x:c>
      <x:c r="B47" s="32">
        <x:v>145.83000000000001</x:v>
      </x:c>
      <x:c r="C47" s="32">
        <x:v>145.83000000000001</x:v>
      </x:c>
      <x:c r="D47" s="32">
        <x:v>145.83000000000001</x:v>
      </x:c>
      <x:c r="E47" s="32">
        <x:v>145.83000000000001</x:v>
      </x:c>
      <x:c r="F47" s="33">
        <x:v>78800</x:v>
      </x:c>
      <x:c r="G47" s="34"/>
      <x:c r="H47" s="35"/>
      <x:c r="I47" s="36"/>
    </x:row>
    <x:row r="48">
      <x:c r="A48" s="31">
        <x:v>36836</x:v>
      </x:c>
      <x:c r="B48" s="32">
        <x:v>148.57</x:v>
      </x:c>
      <x:c r="C48" s="32">
        <x:v>148.57</x:v>
      </x:c>
      <x:c r="D48" s="32">
        <x:v>148.57</x:v>
      </x:c>
      <x:c r="E48" s="32">
        <x:v>148.57</x:v>
      </x:c>
      <x:c r="F48" s="33">
        <x:v>55300</x:v>
      </x:c>
      <x:c r="G48" s="34"/>
      <x:c r="H48" s="35"/>
      <x:c r="I48" s="36"/>
    </x:row>
    <x:row r="49">
      <x:c r="A49" s="31">
        <x:v>36838</x:v>
      </x:c>
      <x:c r="B49" s="32">
        <x:v>151.32</x:v>
      </x:c>
      <x:c r="C49" s="32">
        <x:v>151.32</x:v>
      </x:c>
      <x:c r="D49" s="32">
        <x:v>151.32</x:v>
      </x:c>
      <x:c r="E49" s="32">
        <x:v>151.32</x:v>
      </x:c>
      <x:c r="F49" s="33">
        <x:v>29200</x:v>
      </x:c>
      <x:c r="G49" s="34"/>
      <x:c r="H49" s="35"/>
      <x:c r="I49" s="36"/>
    </x:row>
    <x:row r="50">
      <x:c r="A50" s="31">
        <x:v>36840</x:v>
      </x:c>
      <x:c r="B50" s="32">
        <x:v>154.08000000000001</x:v>
      </x:c>
      <x:c r="C50" s="32">
        <x:v>154.08000000000001</x:v>
      </x:c>
      <x:c r="D50" s="32">
        <x:v>154.08000000000001</x:v>
      </x:c>
      <x:c r="E50" s="32">
        <x:v>154.08000000000001</x:v>
      </x:c>
      <x:c r="F50" s="33">
        <x:v>57300</x:v>
      </x:c>
      <x:c r="G50" s="34"/>
      <x:c r="H50" s="35"/>
      <x:c r="I50" s="36"/>
    </x:row>
    <x:row r="51">
      <x:c r="A51" s="31">
        <x:v>36843</x:v>
      </x:c>
      <x:c r="B51" s="32">
        <x:v>156.84</x:v>
      </x:c>
      <x:c r="C51" s="32">
        <x:v>156.84</x:v>
      </x:c>
      <x:c r="D51" s="32">
        <x:v>156.84</x:v>
      </x:c>
      <x:c r="E51" s="32">
        <x:v>156.84</x:v>
      </x:c>
      <x:c r="F51" s="33">
        <x:v>21700</x:v>
      </x:c>
      <x:c r="G51" s="34"/>
      <x:c r="H51" s="35"/>
      <x:c r="I51" s="36"/>
    </x:row>
    <x:row r="52">
      <x:c r="A52" s="31">
        <x:v>36845</x:v>
      </x:c>
      <x:c r="B52" s="32">
        <x:v>159.6</x:v>
      </x:c>
      <x:c r="C52" s="32">
        <x:v>159.6</x:v>
      </x:c>
      <x:c r="D52" s="32">
        <x:v>159.6</x:v>
      </x:c>
      <x:c r="E52" s="32">
        <x:v>159.6</x:v>
      </x:c>
      <x:c r="F52" s="33">
        <x:v>12400</x:v>
      </x:c>
      <x:c r="G52" s="34"/>
      <x:c r="H52" s="35"/>
      <x:c r="I52" s="36"/>
    </x:row>
    <x:row r="53">
      <x:c r="A53" s="31">
        <x:v>36847</x:v>
      </x:c>
      <x:c r="B53" s="32">
        <x:v>162.36000000000001</x:v>
      </x:c>
      <x:c r="C53" s="32">
        <x:v>162.36000000000001</x:v>
      </x:c>
      <x:c r="D53" s="32">
        <x:v>162.36000000000001</x:v>
      </x:c>
      <x:c r="E53" s="32">
        <x:v>162.36000000000001</x:v>
      </x:c>
      <x:c r="F53" s="33">
        <x:v>34700</x:v>
      </x:c>
      <x:c r="G53" s="34"/>
      <x:c r="H53" s="35"/>
      <x:c r="I53" s="36"/>
    </x:row>
    <x:row r="54">
      <x:c r="A54" s="31">
        <x:v>36850</x:v>
      </x:c>
      <x:c r="B54" s="32">
        <x:v>165.7</x:v>
      </x:c>
      <x:c r="C54" s="32">
        <x:v>165.7</x:v>
      </x:c>
      <x:c r="D54" s="32">
        <x:v>165.7</x:v>
      </x:c>
      <x:c r="E54" s="32">
        <x:v>165.7</x:v>
      </x:c>
      <x:c r="F54" s="33">
        <x:v>62700</x:v>
      </x:c>
      <x:c r="G54" s="34"/>
      <x:c r="H54" s="35"/>
      <x:c r="I54" s="36"/>
    </x:row>
    <x:row r="55">
      <x:c r="A55" s="31">
        <x:v>36852</x:v>
      </x:c>
      <x:c r="B55" s="32">
        <x:v>165.52</x:v>
      </x:c>
      <x:c r="C55" s="32">
        <x:v>165.52</x:v>
      </x:c>
      <x:c r="D55" s="32">
        <x:v>165.52</x:v>
      </x:c>
      <x:c r="E55" s="32">
        <x:v>165.52</x:v>
      </x:c>
      <x:c r="F55" s="33">
        <x:v>136200</x:v>
      </x:c>
      <x:c r="G55" s="34"/>
      <x:c r="H55" s="35"/>
      <x:c r="I55" s="36"/>
    </x:row>
    <x:row r="56">
      <x:c r="A56" s="31">
        <x:v>36854</x:v>
      </x:c>
      <x:c r="B56" s="32">
        <x:v>166.17</x:v>
      </x:c>
      <x:c r="C56" s="32">
        <x:v>166.17</x:v>
      </x:c>
      <x:c r="D56" s="32">
        <x:v>166.17</x:v>
      </x:c>
      <x:c r="E56" s="32">
        <x:v>166.17</x:v>
      </x:c>
      <x:c r="F56" s="33">
        <x:v>116500</x:v>
      </x:c>
      <x:c r="G56" s="34"/>
      <x:c r="H56" s="35"/>
      <x:c r="I56" s="36"/>
    </x:row>
    <x:row r="57">
      <x:c r="A57" s="31">
        <x:v>36857</x:v>
      </x:c>
      <x:c r="B57" s="32">
        <x:v>165.6</x:v>
      </x:c>
      <x:c r="C57" s="32">
        <x:v>165.6</x:v>
      </x:c>
      <x:c r="D57" s="32">
        <x:v>165.6</x:v>
      </x:c>
      <x:c r="E57" s="32">
        <x:v>165.6</x:v>
      </x:c>
      <x:c r="F57" s="33">
        <x:v>88900</x:v>
      </x:c>
      <x:c r="G57" s="34"/>
      <x:c r="H57" s="35"/>
      <x:c r="I57" s="36"/>
    </x:row>
    <x:row r="58">
      <x:c r="A58" s="31">
        <x:v>36859</x:v>
      </x:c>
      <x:c r="B58" s="32">
        <x:v>168.73</x:v>
      </x:c>
      <x:c r="C58" s="32">
        <x:v>168.73</x:v>
      </x:c>
      <x:c r="D58" s="32">
        <x:v>168.73</x:v>
      </x:c>
      <x:c r="E58" s="32">
        <x:v>168.73</x:v>
      </x:c>
      <x:c r="F58" s="33">
        <x:v>75700</x:v>
      </x:c>
      <x:c r="G58" s="34"/>
      <x:c r="H58" s="35"/>
      <x:c r="I58" s="36"/>
    </x:row>
    <x:row r="59">
      <x:c r="A59" s="31">
        <x:v>36861</x:v>
      </x:c>
      <x:c r="B59" s="32">
        <x:v>171.87</x:v>
      </x:c>
      <x:c r="C59" s="32">
        <x:v>171.87</x:v>
      </x:c>
      <x:c r="D59" s="32">
        <x:v>171.87</x:v>
      </x:c>
      <x:c r="E59" s="32">
        <x:v>171.87</x:v>
      </x:c>
      <x:c r="F59" s="33">
        <x:v>41300</x:v>
      </x:c>
      <x:c r="G59" s="34"/>
      <x:c r="H59" s="35"/>
      <x:c r="I59" s="36"/>
    </x:row>
    <x:row r="60">
      <x:c r="A60" s="31">
        <x:v>36864</x:v>
      </x:c>
      <x:c r="B60" s="32">
        <x:v>175</x:v>
      </x:c>
      <x:c r="C60" s="32">
        <x:v>175</x:v>
      </x:c>
      <x:c r="D60" s="32">
        <x:v>175</x:v>
      </x:c>
      <x:c r="E60" s="32">
        <x:v>175</x:v>
      </x:c>
      <x:c r="F60" s="33">
        <x:v>26500</x:v>
      </x:c>
      <x:c r="G60" s="34"/>
      <x:c r="H60" s="35"/>
      <x:c r="I60" s="36"/>
    </x:row>
    <x:row r="61">
      <x:c r="A61" s="31">
        <x:v>36866</x:v>
      </x:c>
      <x:c r="B61" s="32">
        <x:v>178.13</x:v>
      </x:c>
      <x:c r="C61" s="32">
        <x:v>178.13</x:v>
      </x:c>
      <x:c r="D61" s="32">
        <x:v>178.13</x:v>
      </x:c>
      <x:c r="E61" s="32">
        <x:v>178.13</x:v>
      </x:c>
      <x:c r="F61" s="33">
        <x:v>57700</x:v>
      </x:c>
      <x:c r="G61" s="34"/>
      <x:c r="H61" s="35"/>
      <x:c r="I61" s="36"/>
    </x:row>
    <x:row r="62">
      <x:c r="A62" s="31">
        <x:v>36868</x:v>
      </x:c>
      <x:c r="B62" s="32">
        <x:v>181.26</x:v>
      </x:c>
      <x:c r="C62" s="32">
        <x:v>181.26</x:v>
      </x:c>
      <x:c r="D62" s="32">
        <x:v>181.26</x:v>
      </x:c>
      <x:c r="E62" s="32">
        <x:v>181.26</x:v>
      </x:c>
      <x:c r="F62" s="33">
        <x:v>187900</x:v>
      </x:c>
      <x:c r="G62" s="34"/>
      <x:c r="H62" s="35"/>
      <x:c r="I62" s="36"/>
    </x:row>
    <x:row r="63">
      <x:c r="A63" s="31">
        <x:v>36871</x:v>
      </x:c>
      <x:c r="B63" s="32">
        <x:v>189.94</x:v>
      </x:c>
      <x:c r="C63" s="32">
        <x:v>189.94</x:v>
      </x:c>
      <x:c r="D63" s="32">
        <x:v>189.94</x:v>
      </x:c>
      <x:c r="E63" s="32">
        <x:v>189.94</x:v>
      </x:c>
      <x:c r="F63" s="33">
        <x:v>124700</x:v>
      </x:c>
      <x:c r="G63" s="34"/>
      <x:c r="H63" s="35"/>
      <x:c r="I63" s="36"/>
    </x:row>
    <x:row r="64">
      <x:c r="A64" s="31">
        <x:v>36873</x:v>
      </x:c>
      <x:c r="B64" s="32">
        <x:v>184.48</x:v>
      </x:c>
      <x:c r="C64" s="32">
        <x:v>184.48</x:v>
      </x:c>
      <x:c r="D64" s="32">
        <x:v>184.48</x:v>
      </x:c>
      <x:c r="E64" s="32">
        <x:v>184.48</x:v>
      </x:c>
      <x:c r="F64" s="33">
        <x:v>105100</x:v>
      </x:c>
      <x:c r="G64" s="34"/>
      <x:c r="H64" s="35"/>
      <x:c r="I64" s="36"/>
    </x:row>
    <x:row r="65">
      <x:c r="A65" s="31">
        <x:v>36875</x:v>
      </x:c>
      <x:c r="B65" s="32">
        <x:v>187.62</x:v>
      </x:c>
      <x:c r="C65" s="32">
        <x:v>187.62</x:v>
      </x:c>
      <x:c r="D65" s="32">
        <x:v>187.62</x:v>
      </x:c>
      <x:c r="E65" s="32">
        <x:v>187.62</x:v>
      </x:c>
      <x:c r="F65" s="33">
        <x:v>46300</x:v>
      </x:c>
      <x:c r="G65" s="34"/>
      <x:c r="H65" s="35"/>
      <x:c r="I65" s="36"/>
    </x:row>
    <x:row r="66">
      <x:c r="A66" s="31">
        <x:v>36878</x:v>
      </x:c>
      <x:c r="B66" s="32">
        <x:v>191.11</x:v>
      </x:c>
      <x:c r="C66" s="32">
        <x:v>191.11</x:v>
      </x:c>
      <x:c r="D66" s="32">
        <x:v>191.11</x:v>
      </x:c>
      <x:c r="E66" s="32">
        <x:v>191.11</x:v>
      </x:c>
      <x:c r="F66" s="33">
        <x:v>81700</x:v>
      </x:c>
      <x:c r="G66" s="34"/>
      <x:c r="H66" s="35"/>
      <x:c r="I66" s="36"/>
    </x:row>
    <x:row r="67">
      <x:c r="A67" s="31">
        <x:v>36880</x:v>
      </x:c>
      <x:c r="B67" s="32">
        <x:v>194.85</x:v>
      </x:c>
      <x:c r="C67" s="32">
        <x:v>194.85</x:v>
      </x:c>
      <x:c r="D67" s="32">
        <x:v>194.85</x:v>
      </x:c>
      <x:c r="E67" s="32">
        <x:v>194.85</x:v>
      </x:c>
      <x:c r="F67" s="33">
        <x:v>38900</x:v>
      </x:c>
      <x:c r="G67" s="34"/>
      <x:c r="H67" s="35"/>
      <x:c r="I67" s="36"/>
    </x:row>
    <x:row r="68">
      <x:c r="A68" s="31">
        <x:v>36882</x:v>
      </x:c>
      <x:c r="B68" s="32">
        <x:v>198.58</x:v>
      </x:c>
      <x:c r="C68" s="32">
        <x:v>198.58</x:v>
      </x:c>
      <x:c r="D68" s="32">
        <x:v>198.58</x:v>
      </x:c>
      <x:c r="E68" s="32">
        <x:v>198.58</x:v>
      </x:c>
      <x:c r="F68" s="33">
        <x:v>61000</x:v>
      </x:c>
      <x:c r="G68" s="34"/>
      <x:c r="H68" s="35"/>
      <x:c r="I68" s="36"/>
    </x:row>
    <x:row r="69">
      <x:c r="A69" s="31">
        <x:v>36885</x:v>
      </x:c>
      <x:c r="B69" s="32">
        <x:v>202.32</x:v>
      </x:c>
      <x:c r="C69" s="32">
        <x:v>202.32</x:v>
      </x:c>
      <x:c r="D69" s="32">
        <x:v>202.32</x:v>
      </x:c>
      <x:c r="E69" s="32">
        <x:v>202.32</x:v>
      </x:c>
      <x:c r="F69" s="33">
        <x:v>20600</x:v>
      </x:c>
      <x:c r="G69" s="34"/>
      <x:c r="H69" s="35"/>
      <x:c r="I69" s="36"/>
    </x:row>
    <x:row r="70">
      <x:c r="A70" s="31">
        <x:v>36887</x:v>
      </x:c>
      <x:c r="B70" s="32">
        <x:v>203.09</x:v>
      </x:c>
      <x:c r="C70" s="32">
        <x:v>203.09</x:v>
      </x:c>
      <x:c r="D70" s="32">
        <x:v>203.09</x:v>
      </x:c>
      <x:c r="E70" s="32">
        <x:v>203.09</x:v>
      </x:c>
      <x:c r="F70" s="33">
        <x:v>40800</x:v>
      </x:c>
      <x:c r="G70" s="34"/>
      <x:c r="H70" s="35"/>
      <x:c r="I70" s="36"/>
    </x:row>
    <x:row r="71">
      <x:c r="A71" s="31">
        <x:v>36889</x:v>
      </x:c>
      <x:c r="B71" s="32">
        <x:v>206.83</x:v>
      </x:c>
      <x:c r="C71" s="32">
        <x:v>206.83</x:v>
      </x:c>
      <x:c r="D71" s="32">
        <x:v>206.83</x:v>
      </x:c>
      <x:c r="E71" s="32">
        <x:v>206.83</x:v>
      </x:c>
      <x:c r="F71" s="33">
        <x:v>59500</x:v>
      </x:c>
      <x:c r="G71" s="34"/>
      <x:c r="H71" s="35"/>
      <x:c r="I71" s="36"/>
    </x:row>
    <x:row r="72">
      <x:c r="A72" s="31">
        <x:v>36894</x:v>
      </x:c>
      <x:c r="B72" s="32">
        <x:v>210.56</x:v>
      </x:c>
      <x:c r="C72" s="32">
        <x:v>210.56</x:v>
      </x:c>
      <x:c r="D72" s="32">
        <x:v>210.56</x:v>
      </x:c>
      <x:c r="E72" s="32">
        <x:v>210.56</x:v>
      </x:c>
      <x:c r="F72" s="33">
        <x:v>42900</x:v>
      </x:c>
      <x:c r="G72" s="34"/>
      <x:c r="H72" s="35"/>
      <x:c r="I72" s="36"/>
    </x:row>
    <x:row r="73">
      <x:c r="A73" s="31">
        <x:v>36896</x:v>
      </x:c>
      <x:c r="B73" s="32">
        <x:v>214.32</x:v>
      </x:c>
      <x:c r="C73" s="32">
        <x:v>214.32</x:v>
      </x:c>
      <x:c r="D73" s="32">
        <x:v>214.32</x:v>
      </x:c>
      <x:c r="E73" s="32">
        <x:v>214.32</x:v>
      </x:c>
      <x:c r="F73" s="33">
        <x:v>50200</x:v>
      </x:c>
      <x:c r="G73" s="34"/>
      <x:c r="H73" s="35"/>
      <x:c r="I73" s="36"/>
    </x:row>
    <x:row r="74">
      <x:c r="A74" s="31">
        <x:v>36899</x:v>
      </x:c>
      <x:c r="B74" s="32">
        <x:v>218.12</x:v>
      </x:c>
      <x:c r="C74" s="32">
        <x:v>218.12</x:v>
      </x:c>
      <x:c r="D74" s="32">
        <x:v>218.12</x:v>
      </x:c>
      <x:c r="E74" s="32">
        <x:v>218.12</x:v>
      </x:c>
      <x:c r="F74" s="33">
        <x:v>71500</x:v>
      </x:c>
      <x:c r="G74" s="34"/>
      <x:c r="H74" s="35"/>
      <x:c r="I74" s="36"/>
    </x:row>
    <x:row r="75">
      <x:c r="A75" s="31">
        <x:v>36901</x:v>
      </x:c>
      <x:c r="B75" s="32">
        <x:v>222.15</x:v>
      </x:c>
      <x:c r="C75" s="32">
        <x:v>222.15</x:v>
      </x:c>
      <x:c r="D75" s="32">
        <x:v>222.15</x:v>
      </x:c>
      <x:c r="E75" s="32">
        <x:v>222.15</x:v>
      </x:c>
      <x:c r="F75" s="33">
        <x:v>183800</x:v>
      </x:c>
      <x:c r="G75" s="34"/>
      <x:c r="H75" s="35"/>
      <x:c r="I75" s="36"/>
    </x:row>
    <x:row r="76">
      <x:c r="A76" s="31">
        <x:v>36903</x:v>
      </x:c>
      <x:c r="B76" s="32">
        <x:v>225.67</x:v>
      </x:c>
      <x:c r="C76" s="32">
        <x:v>225.67</x:v>
      </x:c>
      <x:c r="D76" s="32">
        <x:v>225.67</x:v>
      </x:c>
      <x:c r="E76" s="32">
        <x:v>225.67</x:v>
      </x:c>
      <x:c r="F76" s="33">
        <x:v>223700</x:v>
      </x:c>
      <x:c r="G76" s="34"/>
      <x:c r="H76" s="35"/>
      <x:c r="I76" s="36"/>
    </x:row>
    <x:row r="77">
      <x:c r="A77" s="31">
        <x:v>36906</x:v>
      </x:c>
      <x:c r="B77" s="32">
        <x:v>228.35</x:v>
      </x:c>
      <x:c r="C77" s="32">
        <x:v>228.35</x:v>
      </x:c>
      <x:c r="D77" s="32">
        <x:v>228.35</x:v>
      </x:c>
      <x:c r="E77" s="32">
        <x:v>228.35</x:v>
      </x:c>
      <x:c r="F77" s="33">
        <x:v>122900</x:v>
      </x:c>
      <x:c r="G77" s="34"/>
      <x:c r="H77" s="35"/>
      <x:c r="I77" s="36"/>
    </x:row>
    <x:row r="78">
      <x:c r="A78" s="31">
        <x:v>36908</x:v>
      </x:c>
      <x:c r="B78" s="32">
        <x:v>232.68</x:v>
      </x:c>
      <x:c r="C78" s="32">
        <x:v>232.68</x:v>
      </x:c>
      <x:c r="D78" s="32">
        <x:v>232.68</x:v>
      </x:c>
      <x:c r="E78" s="32">
        <x:v>232.68</x:v>
      </x:c>
      <x:c r="F78" s="33">
        <x:v>87400</x:v>
      </x:c>
      <x:c r="G78" s="34"/>
      <x:c r="H78" s="35"/>
      <x:c r="I78" s="36"/>
    </x:row>
    <x:row r="79">
      <x:c r="A79" s="31">
        <x:v>36910</x:v>
      </x:c>
      <x:c r="B79" s="32">
        <x:v>236.97</x:v>
      </x:c>
      <x:c r="C79" s="32">
        <x:v>236.97</x:v>
      </x:c>
      <x:c r="D79" s="32">
        <x:v>236.97</x:v>
      </x:c>
      <x:c r="E79" s="32">
        <x:v>236.97</x:v>
      </x:c>
      <x:c r="F79" s="33">
        <x:v>42600</x:v>
      </x:c>
      <x:c r="G79" s="34"/>
      <x:c r="H79" s="35"/>
      <x:c r="I79" s="36"/>
    </x:row>
    <x:row r="80">
      <x:c r="A80" s="31">
        <x:v>36920</x:v>
      </x:c>
      <x:c r="B80" s="32">
        <x:v>241.36</x:v>
      </x:c>
      <x:c r="C80" s="32">
        <x:v>241.36</x:v>
      </x:c>
      <x:c r="D80" s="32">
        <x:v>241.36</x:v>
      </x:c>
      <x:c r="E80" s="32">
        <x:v>241.36</x:v>
      </x:c>
      <x:c r="F80" s="33">
        <x:v>9000</x:v>
      </x:c>
      <x:c r="G80" s="34"/>
      <x:c r="H80" s="35"/>
      <x:c r="I80" s="36"/>
    </x:row>
    <x:row r="81">
      <x:c r="A81" s="31">
        <x:v>36922</x:v>
      </x:c>
      <x:c r="B81" s="32">
        <x:v>245.8</x:v>
      </x:c>
      <x:c r="C81" s="32">
        <x:v>245.8</x:v>
      </x:c>
      <x:c r="D81" s="32">
        <x:v>245.8</x:v>
      </x:c>
      <x:c r="E81" s="32">
        <x:v>245.8</x:v>
      </x:c>
      <x:c r="F81" s="33">
        <x:v>6700</x:v>
      </x:c>
      <x:c r="G81" s="34"/>
      <x:c r="H81" s="35"/>
      <x:c r="I81" s="36"/>
    </x:row>
    <x:row r="82">
      <x:c r="A82" s="31">
        <x:v>36924</x:v>
      </x:c>
      <x:c r="B82" s="32">
        <x:v>250.23</x:v>
      </x:c>
      <x:c r="C82" s="32">
        <x:v>250.23</x:v>
      </x:c>
      <x:c r="D82" s="32">
        <x:v>250.23</x:v>
      </x:c>
      <x:c r="E82" s="32">
        <x:v>250.23</x:v>
      </x:c>
      <x:c r="F82" s="33">
        <x:v>23300</x:v>
      </x:c>
      <x:c r="G82" s="34"/>
      <x:c r="H82" s="35"/>
      <x:c r="I82" s="36"/>
    </x:row>
    <x:row r="83">
      <x:c r="A83" s="31">
        <x:v>36927</x:v>
      </x:c>
      <x:c r="B83" s="32">
        <x:v>254.96</x:v>
      </x:c>
      <x:c r="C83" s="32">
        <x:v>254.96</x:v>
      </x:c>
      <x:c r="D83" s="32">
        <x:v>254.96</x:v>
      </x:c>
      <x:c r="E83" s="32">
        <x:v>254.96</x:v>
      </x:c>
      <x:c r="F83" s="33">
        <x:v>2200</x:v>
      </x:c>
      <x:c r="G83" s="34"/>
      <x:c r="H83" s="35"/>
      <x:c r="I83" s="36"/>
    </x:row>
    <x:row r="84">
      <x:c r="A84" s="31">
        <x:v>36929</x:v>
      </x:c>
      <x:c r="B84" s="32">
        <x:v>259.93</x:v>
      </x:c>
      <x:c r="C84" s="32">
        <x:v>259.93</x:v>
      </x:c>
      <x:c r="D84" s="32">
        <x:v>259.93</x:v>
      </x:c>
      <x:c r="E84" s="32">
        <x:v>259.93</x:v>
      </x:c>
      <x:c r="F84" s="33">
        <x:v>8400</x:v>
      </x:c>
      <x:c r="G84" s="34"/>
      <x:c r="H84" s="35"/>
      <x:c r="I84" s="36"/>
    </x:row>
    <x:row r="85">
      <x:c r="A85" s="31">
        <x:v>36931</x:v>
      </x:c>
      <x:c r="B85" s="32">
        <x:v>260.14999999999998</x:v>
      </x:c>
      <x:c r="C85" s="32">
        <x:v>260.14999999999998</x:v>
      </x:c>
      <x:c r="D85" s="32">
        <x:v>260.14999999999998</x:v>
      </x:c>
      <x:c r="E85" s="32">
        <x:v>260.14999999999998</x:v>
      </x:c>
      <x:c r="F85" s="33">
        <x:v>314000</x:v>
      </x:c>
      <x:c r="G85" s="34"/>
      <x:c r="H85" s="35"/>
      <x:c r="I85" s="36"/>
    </x:row>
    <x:row r="86">
      <x:c r="A86" s="31">
        <x:v>36934</x:v>
      </x:c>
      <x:c r="B86" s="32">
        <x:v>256.18</x:v>
      </x:c>
      <x:c r="C86" s="32">
        <x:v>256.18</x:v>
      </x:c>
      <x:c r="D86" s="32">
        <x:v>256.18</x:v>
      </x:c>
      <x:c r="E86" s="32">
        <x:v>256.18</x:v>
      </x:c>
      <x:c r="F86" s="33">
        <x:v>130100</x:v>
      </x:c>
      <x:c r="G86" s="34"/>
      <x:c r="H86" s="35"/>
      <x:c r="I86" s="36"/>
    </x:row>
    <x:row r="87">
      <x:c r="A87" s="31">
        <x:v>36936</x:v>
      </x:c>
      <x:c r="B87" s="32">
        <x:v>252.21</x:v>
      </x:c>
      <x:c r="C87" s="32">
        <x:v>252.21</x:v>
      </x:c>
      <x:c r="D87" s="32">
        <x:v>252.21</x:v>
      </x:c>
      <x:c r="E87" s="32">
        <x:v>252.21</x:v>
      </x:c>
      <x:c r="F87" s="33">
        <x:v>78000</x:v>
      </x:c>
      <x:c r="G87" s="34"/>
      <x:c r="H87" s="35"/>
      <x:c r="I87" s="36"/>
    </x:row>
    <x:row r="88">
      <x:c r="A88" s="31">
        <x:v>36938</x:v>
      </x:c>
      <x:c r="B88" s="32">
        <x:v>248.98</x:v>
      </x:c>
      <x:c r="C88" s="32">
        <x:v>248.98</x:v>
      </x:c>
      <x:c r="D88" s="32">
        <x:v>248.98</x:v>
      </x:c>
      <x:c r="E88" s="32">
        <x:v>248.98</x:v>
      </x:c>
      <x:c r="F88" s="33">
        <x:v>43400</x:v>
      </x:c>
      <x:c r="G88" s="34"/>
      <x:c r="H88" s="35"/>
      <x:c r="I88" s="36"/>
    </x:row>
    <x:row r="89">
      <x:c r="A89" s="31">
        <x:v>36941</x:v>
      </x:c>
      <x:c r="B89" s="32">
        <x:v>245.99</x:v>
      </x:c>
      <x:c r="C89" s="32">
        <x:v>245.99</x:v>
      </x:c>
      <x:c r="D89" s="32">
        <x:v>245.99</x:v>
      </x:c>
      <x:c r="E89" s="32">
        <x:v>245.99</x:v>
      </x:c>
      <x:c r="F89" s="33">
        <x:v>34800</x:v>
      </x:c>
      <x:c r="G89" s="34"/>
      <x:c r="H89" s="35"/>
      <x:c r="I89" s="36"/>
    </x:row>
    <x:row r="90">
      <x:c r="A90" s="31">
        <x:v>36943</x:v>
      </x:c>
      <x:c r="B90" s="32">
        <x:v>246.75</x:v>
      </x:c>
      <x:c r="C90" s="32">
        <x:v>246.75</x:v>
      </x:c>
      <x:c r="D90" s="32">
        <x:v>246.75</x:v>
      </x:c>
      <x:c r="E90" s="32">
        <x:v>246.75</x:v>
      </x:c>
      <x:c r="F90" s="33">
        <x:v>240000</x:v>
      </x:c>
      <x:c r="G90" s="34"/>
      <x:c r="H90" s="35"/>
      <x:c r="I90" s="36"/>
    </x:row>
    <x:row r="91">
      <x:c r="A91" s="31">
        <x:v>36945</x:v>
      </x:c>
      <x:c r="B91" s="32">
        <x:v>251.22</x:v>
      </x:c>
      <x:c r="C91" s="32">
        <x:v>251.22</x:v>
      </x:c>
      <x:c r="D91" s="32">
        <x:v>251.22</x:v>
      </x:c>
      <x:c r="E91" s="32">
        <x:v>251.22</x:v>
      </x:c>
      <x:c r="F91" s="33">
        <x:v>155200</x:v>
      </x:c>
      <x:c r="G91" s="34"/>
      <x:c r="H91" s="35"/>
      <x:c r="I91" s="36"/>
    </x:row>
    <x:row r="92">
      <x:c r="A92" s="31">
        <x:v>36948</x:v>
      </x:c>
      <x:c r="B92" s="32">
        <x:v>255.61</x:v>
      </x:c>
      <x:c r="C92" s="32">
        <x:v>255.61</x:v>
      </x:c>
      <x:c r="D92" s="32">
        <x:v>255.61</x:v>
      </x:c>
      <x:c r="E92" s="32">
        <x:v>255.61</x:v>
      </x:c>
      <x:c r="F92" s="33">
        <x:v>96600</x:v>
      </x:c>
      <x:c r="G92" s="34"/>
      <x:c r="H92" s="35"/>
      <x:c r="I92" s="36"/>
    </x:row>
    <x:row r="93">
      <x:c r="A93" s="31">
        <x:v>36950</x:v>
      </x:c>
      <x:c r="B93" s="32">
        <x:v>252.4</x:v>
      </x:c>
      <x:c r="C93" s="32">
        <x:v>252.4</x:v>
      </x:c>
      <x:c r="D93" s="32">
        <x:v>252.4</x:v>
      </x:c>
      <x:c r="E93" s="32">
        <x:v>252.4</x:v>
      </x:c>
      <x:c r="F93" s="33">
        <x:v>292800</x:v>
      </x:c>
      <x:c r="G93" s="34"/>
      <x:c r="H93" s="35"/>
      <x:c r="I93" s="36"/>
    </x:row>
    <x:row r="94">
      <x:c r="A94" s="31">
        <x:v>36952</x:v>
      </x:c>
      <x:c r="B94" s="32">
        <x:v>253.64</x:v>
      </x:c>
      <x:c r="C94" s="32">
        <x:v>253.64</x:v>
      </x:c>
      <x:c r="D94" s="32">
        <x:v>253.64</x:v>
      </x:c>
      <x:c r="E94" s="32">
        <x:v>253.64</x:v>
      </x:c>
      <x:c r="F94" s="33">
        <x:v>207400</x:v>
      </x:c>
      <x:c r="G94" s="34"/>
      <x:c r="H94" s="35"/>
      <x:c r="I94" s="36"/>
    </x:row>
    <x:row r="95">
      <x:c r="A95" s="31">
        <x:v>36955</x:v>
      </x:c>
      <x:c r="B95" s="32">
        <x:v>250.73</x:v>
      </x:c>
      <x:c r="C95" s="32">
        <x:v>250.73</x:v>
      </x:c>
      <x:c r="D95" s="32">
        <x:v>250.73</x:v>
      </x:c>
      <x:c r="E95" s="32">
        <x:v>250.73</x:v>
      </x:c>
      <x:c r="F95" s="33">
        <x:v>165600</x:v>
      </x:c>
      <x:c r="G95" s="34"/>
      <x:c r="H95" s="35"/>
      <x:c r="I95" s="36"/>
    </x:row>
    <x:row r="96">
      <x:c r="A96" s="31">
        <x:v>36957</x:v>
      </x:c>
      <x:c r="B96" s="32">
        <x:v>248.05</x:v>
      </x:c>
      <x:c r="C96" s="32">
        <x:v>248.05</x:v>
      </x:c>
      <x:c r="D96" s="32">
        <x:v>248.05</x:v>
      </x:c>
      <x:c r="E96" s="32">
        <x:v>248.05</x:v>
      </x:c>
      <x:c r="F96" s="33">
        <x:v>199900</x:v>
      </x:c>
      <x:c r="G96" s="34"/>
      <x:c r="H96" s="35"/>
      <x:c r="I96" s="36"/>
    </x:row>
    <x:row r="97">
      <x:c r="A97" s="31">
        <x:v>36959</x:v>
      </x:c>
      <x:c r="B97" s="32">
        <x:v>252.61</x:v>
      </x:c>
      <x:c r="C97" s="32">
        <x:v>252.61</x:v>
      </x:c>
      <x:c r="D97" s="32">
        <x:v>252.61</x:v>
      </x:c>
      <x:c r="E97" s="32">
        <x:v>252.61</x:v>
      </x:c>
      <x:c r="F97" s="33">
        <x:v>118300</x:v>
      </x:c>
      <x:c r="G97" s="34"/>
      <x:c r="H97" s="35"/>
      <x:c r="I97" s="36"/>
    </x:row>
    <x:row r="98">
      <x:c r="A98" s="31">
        <x:v>36962</x:v>
      </x:c>
      <x:c r="B98" s="32">
        <x:v>255.99</x:v>
      </x:c>
      <x:c r="C98" s="32">
        <x:v>255.99</x:v>
      </x:c>
      <x:c r="D98" s="32">
        <x:v>255.99</x:v>
      </x:c>
      <x:c r="E98" s="32">
        <x:v>255.99</x:v>
      </x:c>
      <x:c r="F98" s="33">
        <x:v>121300</x:v>
      </x:c>
      <x:c r="G98" s="34"/>
      <x:c r="H98" s="35"/>
      <x:c r="I98" s="36"/>
    </x:row>
    <x:row r="99">
      <x:c r="A99" s="31">
        <x:v>36964</x:v>
      </x:c>
      <x:c r="B99" s="32">
        <x:v>257.7</x:v>
      </x:c>
      <x:c r="C99" s="32">
        <x:v>257.7</x:v>
      </x:c>
      <x:c r="D99" s="32">
        <x:v>257.7</x:v>
      </x:c>
      <x:c r="E99" s="32">
        <x:v>257.7</x:v>
      </x:c>
      <x:c r="F99" s="33">
        <x:v>143900</x:v>
      </x:c>
      <x:c r="G99" s="34"/>
      <x:c r="H99" s="35"/>
      <x:c r="I99" s="36"/>
    </x:row>
    <x:row r="100">
      <x:c r="A100" s="31">
        <x:v>36966</x:v>
      </x:c>
      <x:c r="B100" s="32">
        <x:v>258.52</x:v>
      </x:c>
      <x:c r="C100" s="32">
        <x:v>258.52</x:v>
      </x:c>
      <x:c r="D100" s="32">
        <x:v>258.52</x:v>
      </x:c>
      <x:c r="E100" s="32">
        <x:v>258.52</x:v>
      </x:c>
      <x:c r="F100" s="33">
        <x:v>101500</x:v>
      </x:c>
      <x:c r="G100" s="34"/>
      <x:c r="H100" s="35"/>
      <x:c r="I100" s="36"/>
    </x:row>
    <x:row r="101">
      <x:c r="A101" s="31">
        <x:v>36969</x:v>
      </x:c>
      <x:c r="B101" s="32">
        <x:v>260.29000000000002</x:v>
      </x:c>
      <x:c r="C101" s="32">
        <x:v>260.29000000000002</x:v>
      </x:c>
      <x:c r="D101" s="32">
        <x:v>260.29000000000002</x:v>
      </x:c>
      <x:c r="E101" s="32">
        <x:v>260.29000000000002</x:v>
      </x:c>
      <x:c r="F101" s="33">
        <x:v>179500</x:v>
      </x:c>
      <x:c r="G101" s="34"/>
      <x:c r="H101" s="35"/>
      <x:c r="I101" s="36"/>
    </x:row>
    <x:row r="102">
      <x:c r="A102" s="31">
        <x:v>36971</x:v>
      </x:c>
      <x:c r="B102" s="32">
        <x:v>261.11</x:v>
      </x:c>
      <x:c r="C102" s="32">
        <x:v>261.11</x:v>
      </x:c>
      <x:c r="D102" s="32">
        <x:v>261.11</x:v>
      </x:c>
      <x:c r="E102" s="32">
        <x:v>261.11</x:v>
      </x:c>
      <x:c r="F102" s="33">
        <x:v>83500</x:v>
      </x:c>
      <x:c r="G102" s="34"/>
      <x:c r="H102" s="35"/>
      <x:c r="I102" s="36"/>
    </x:row>
    <x:row r="103">
      <x:c r="A103" s="31">
        <x:v>36973</x:v>
      </x:c>
      <x:c r="B103" s="32">
        <x:v>259.60000000000002</x:v>
      </x:c>
      <x:c r="C103" s="32">
        <x:v>259.60000000000002</x:v>
      </x:c>
      <x:c r="D103" s="32">
        <x:v>259.60000000000002</x:v>
      </x:c>
      <x:c r="E103" s="32">
        <x:v>259.60000000000002</x:v>
      </x:c>
      <x:c r="F103" s="33">
        <x:v>134500</x:v>
      </x:c>
      <x:c r="G103" s="34"/>
      <x:c r="H103" s="35"/>
      <x:c r="I103" s="36"/>
    </x:row>
    <x:row r="104">
      <x:c r="A104" s="31">
        <x:v>36976</x:v>
      </x:c>
      <x:c r="B104" s="32">
        <x:v>260.11</x:v>
      </x:c>
      <x:c r="C104" s="32">
        <x:v>260.11</x:v>
      </x:c>
      <x:c r="D104" s="32">
        <x:v>260.11</x:v>
      </x:c>
      <x:c r="E104" s="32">
        <x:v>260.11</x:v>
      </x:c>
      <x:c r="F104" s="33">
        <x:v>76200</x:v>
      </x:c>
      <x:c r="G104" s="34"/>
      <x:c r="H104" s="35"/>
      <x:c r="I104" s="36"/>
    </x:row>
    <x:row r="105">
      <x:c r="A105" s="31">
        <x:v>36978</x:v>
      </x:c>
      <x:c r="B105" s="32">
        <x:v>264.7</x:v>
      </x:c>
      <x:c r="C105" s="32">
        <x:v>264.7</x:v>
      </x:c>
      <x:c r="D105" s="32">
        <x:v>264.7</x:v>
      </x:c>
      <x:c r="E105" s="32">
        <x:v>264.7</x:v>
      </x:c>
      <x:c r="F105" s="33">
        <x:v>88700</x:v>
      </x:c>
      <x:c r="G105" s="34"/>
      <x:c r="H105" s="35"/>
      <x:c r="I105" s="36"/>
    </x:row>
    <x:row r="106">
      <x:c r="A106" s="31">
        <x:v>36980</x:v>
      </x:c>
      <x:c r="B106" s="32">
        <x:v>269.3</x:v>
      </x:c>
      <x:c r="C106" s="32">
        <x:v>269.3</x:v>
      </x:c>
      <x:c r="D106" s="32">
        <x:v>269.3</x:v>
      </x:c>
      <x:c r="E106" s="32">
        <x:v>269.3</x:v>
      </x:c>
      <x:c r="F106" s="33">
        <x:v>44100</x:v>
      </x:c>
      <x:c r="G106" s="34"/>
      <x:c r="H106" s="35"/>
      <x:c r="I106" s="36"/>
    </x:row>
    <x:row r="107">
      <x:c r="A107" s="31">
        <x:v>36983</x:v>
      </x:c>
      <x:c r="B107" s="32">
        <x:v>274.43</x:v>
      </x:c>
      <x:c r="C107" s="32">
        <x:v>274.43</x:v>
      </x:c>
      <x:c r="D107" s="32">
        <x:v>274.43</x:v>
      </x:c>
      <x:c r="E107" s="32">
        <x:v>274.43</x:v>
      </x:c>
      <x:c r="F107" s="33">
        <x:v>139500</x:v>
      </x:c>
      <x:c r="G107" s="34"/>
      <x:c r="H107" s="35"/>
      <x:c r="I107" s="36"/>
    </x:row>
    <x:row r="108">
      <x:c r="A108" s="31">
        <x:v>36985</x:v>
      </x:c>
      <x:c r="B108" s="32">
        <x:v>279.56</x:v>
      </x:c>
      <x:c r="C108" s="32">
        <x:v>279.56</x:v>
      </x:c>
      <x:c r="D108" s="32">
        <x:v>279.56</x:v>
      </x:c>
      <x:c r="E108" s="32">
        <x:v>279.56</x:v>
      </x:c>
      <x:c r="F108" s="33">
        <x:v>55300</x:v>
      </x:c>
      <x:c r="G108" s="34"/>
      <x:c r="H108" s="35"/>
      <x:c r="I108" s="36"/>
    </x:row>
    <x:row r="109">
      <x:c r="A109" s="31">
        <x:v>36987</x:v>
      </x:c>
      <x:c r="B109" s="32">
        <x:v>284.69</x:v>
      </x:c>
      <x:c r="C109" s="32">
        <x:v>284.69</x:v>
      </x:c>
      <x:c r="D109" s="32">
        <x:v>284.69</x:v>
      </x:c>
      <x:c r="E109" s="32">
        <x:v>284.69</x:v>
      </x:c>
      <x:c r="F109" s="33">
        <x:v>32300</x:v>
      </x:c>
      <x:c r="G109" s="34"/>
      <x:c r="H109" s="35"/>
      <x:c r="I109" s="36"/>
    </x:row>
    <x:row r="110">
      <x:c r="A110" s="31">
        <x:v>36990</x:v>
      </x:c>
      <x:c r="B110" s="32">
        <x:v>289.82</x:v>
      </x:c>
      <x:c r="C110" s="32">
        <x:v>289.82</x:v>
      </x:c>
      <x:c r="D110" s="32">
        <x:v>289.82</x:v>
      </x:c>
      <x:c r="E110" s="32">
        <x:v>289.82</x:v>
      </x:c>
      <x:c r="F110" s="33">
        <x:v>96500</x:v>
      </x:c>
      <x:c r="G110" s="34"/>
      <x:c r="H110" s="35"/>
      <x:c r="I110" s="36"/>
    </x:row>
    <x:row r="111">
      <x:c r="A111" s="31">
        <x:v>36992</x:v>
      </x:c>
      <x:c r="B111" s="32">
        <x:v>295.08999999999997</x:v>
      </x:c>
      <x:c r="C111" s="32">
        <x:v>295.08999999999997</x:v>
      </x:c>
      <x:c r="D111" s="32">
        <x:v>295.08999999999997</x:v>
      </x:c>
      <x:c r="E111" s="32">
        <x:v>295.08999999999997</x:v>
      </x:c>
      <x:c r="F111" s="33">
        <x:v>97800</x:v>
      </x:c>
      <x:c r="G111" s="34"/>
      <x:c r="H111" s="35"/>
      <x:c r="I111" s="36"/>
    </x:row>
    <x:row r="112">
      <x:c r="A112" s="31">
        <x:v>36994</x:v>
      </x:c>
      <x:c r="B112" s="32">
        <x:v>300.36</x:v>
      </x:c>
      <x:c r="C112" s="32">
        <x:v>300.36</x:v>
      </x:c>
      <x:c r="D112" s="32">
        <x:v>300.36</x:v>
      </x:c>
      <x:c r="E112" s="32">
        <x:v>300.36</x:v>
      </x:c>
      <x:c r="F112" s="33">
        <x:v>65800</x:v>
      </x:c>
      <x:c r="G112" s="34"/>
      <x:c r="H112" s="35"/>
      <x:c r="I112" s="36"/>
    </x:row>
    <x:row r="113">
      <x:c r="A113" s="31">
        <x:v>36997</x:v>
      </x:c>
      <x:c r="B113" s="32">
        <x:v>306.16000000000003</x:v>
      </x:c>
      <x:c r="C113" s="32">
        <x:v>306.16000000000003</x:v>
      </x:c>
      <x:c r="D113" s="32">
        <x:v>306.16000000000003</x:v>
      </x:c>
      <x:c r="E113" s="32">
        <x:v>306.16000000000003</x:v>
      </x:c>
      <x:c r="F113" s="33">
        <x:v>42300</x:v>
      </x:c>
      <x:c r="G113" s="34"/>
      <x:c r="H113" s="35"/>
      <x:c r="I113" s="36"/>
    </x:row>
    <x:row r="114">
      <x:c r="A114" s="31">
        <x:v>36999</x:v>
      </x:c>
      <x:c r="B114" s="32">
        <x:v>311.95999999999998</x:v>
      </x:c>
      <x:c r="C114" s="32">
        <x:v>311.95999999999998</x:v>
      </x:c>
      <x:c r="D114" s="32">
        <x:v>311.95999999999998</x:v>
      </x:c>
      <x:c r="E114" s="32">
        <x:v>311.95999999999998</x:v>
      </x:c>
      <x:c r="F114" s="33">
        <x:v>57000</x:v>
      </x:c>
      <x:c r="G114" s="34"/>
      <x:c r="H114" s="35"/>
      <x:c r="I114" s="36"/>
    </x:row>
    <x:row r="115">
      <x:c r="A115" s="31">
        <x:v>37001</x:v>
      </x:c>
      <x:c r="B115" s="32">
        <x:v>317.76</x:v>
      </x:c>
      <x:c r="C115" s="32">
        <x:v>317.76</x:v>
      </x:c>
      <x:c r="D115" s="32">
        <x:v>317.76</x:v>
      </x:c>
      <x:c r="E115" s="32">
        <x:v>317.76</x:v>
      </x:c>
      <x:c r="F115" s="33">
        <x:v>122000</x:v>
      </x:c>
      <x:c r="G115" s="34"/>
      <x:c r="H115" s="35"/>
      <x:c r="I115" s="36"/>
    </x:row>
    <x:row r="116">
      <x:c r="A116" s="31">
        <x:v>37004</x:v>
      </x:c>
      <x:c r="B116" s="32">
        <x:v>313.74</x:v>
      </x:c>
      <x:c r="C116" s="32">
        <x:v>313.74</x:v>
      </x:c>
      <x:c r="D116" s="32">
        <x:v>313.74</x:v>
      </x:c>
      <x:c r="E116" s="32">
        <x:v>313.74</x:v>
      </x:c>
      <x:c r="F116" s="33">
        <x:v>319600</x:v>
      </x:c>
      <x:c r="G116" s="34"/>
      <x:c r="H116" s="35"/>
      <x:c r="I116" s="36"/>
    </x:row>
    <x:row r="117">
      <x:c r="A117" s="31">
        <x:v>37006</x:v>
      </x:c>
      <x:c r="B117" s="32">
        <x:v>315.27</x:v>
      </x:c>
      <x:c r="C117" s="32">
        <x:v>315.27</x:v>
      </x:c>
      <x:c r="D117" s="32">
        <x:v>315.27</x:v>
      </x:c>
      <x:c r="E117" s="32">
        <x:v>315.27</x:v>
      </x:c>
      <x:c r="F117" s="33">
        <x:v>412300</x:v>
      </x:c>
      <x:c r="G117" s="34"/>
      <x:c r="H117" s="35"/>
      <x:c r="I117" s="36"/>
    </x:row>
    <x:row r="118">
      <x:c r="A118" s="31">
        <x:v>37008</x:v>
      </x:c>
      <x:c r="B118" s="32">
        <x:v>321.07</x:v>
      </x:c>
      <x:c r="C118" s="32">
        <x:v>321.07</x:v>
      </x:c>
      <x:c r="D118" s="32">
        <x:v>321.07</x:v>
      </x:c>
      <x:c r="E118" s="32">
        <x:v>321.07</x:v>
      </x:c>
      <x:c r="F118" s="33">
        <x:v>48500</x:v>
      </x:c>
      <x:c r="G118" s="34"/>
      <x:c r="H118" s="35"/>
      <x:c r="I118" s="36"/>
    </x:row>
    <x:row r="119">
      <x:c r="A119" s="31">
        <x:v>37013</x:v>
      </x:c>
      <x:c r="B119" s="32">
        <x:v>327.13</x:v>
      </x:c>
      <x:c r="C119" s="32">
        <x:v>327.13</x:v>
      </x:c>
      <x:c r="D119" s="32">
        <x:v>327.13</x:v>
      </x:c>
      <x:c r="E119" s="32">
        <x:v>327.13</x:v>
      </x:c>
      <x:c r="F119" s="33">
        <x:v>42200</x:v>
      </x:c>
      <x:c r="G119" s="34"/>
      <x:c r="H119" s="35"/>
      <x:c r="I119" s="36"/>
    </x:row>
    <x:row r="120">
      <x:c r="A120" s="31">
        <x:v>37015</x:v>
      </x:c>
      <x:c r="B120" s="32">
        <x:v>332</x:v>
      </x:c>
      <x:c r="C120" s="32">
        <x:v>332</x:v>
      </x:c>
      <x:c r="D120" s="32">
        <x:v>332</x:v>
      </x:c>
      <x:c r="E120" s="32">
        <x:v>332</x:v>
      </x:c>
      <x:c r="F120" s="33">
        <x:v>104700</x:v>
      </x:c>
      <x:c r="G120" s="34"/>
      <x:c r="H120" s="35"/>
      <x:c r="I120" s="36"/>
    </x:row>
    <x:row r="121">
      <x:c r="A121" s="31">
        <x:v>37018</x:v>
      </x:c>
      <x:c r="B121" s="32">
        <x:v>338.35</x:v>
      </x:c>
      <x:c r="C121" s="32">
        <x:v>338.35</x:v>
      </x:c>
      <x:c r="D121" s="32">
        <x:v>338.35</x:v>
      </x:c>
      <x:c r="E121" s="32">
        <x:v>338.35</x:v>
      </x:c>
      <x:c r="F121" s="33">
        <x:v>64000</x:v>
      </x:c>
      <x:c r="G121" s="34"/>
      <x:c r="H121" s="35"/>
      <x:c r="I121" s="36"/>
    </x:row>
    <x:row r="122">
      <x:c r="A122" s="31">
        <x:v>37020</x:v>
      </x:c>
      <x:c r="B122" s="32">
        <x:v>344.47</x:v>
      </x:c>
      <x:c r="C122" s="32">
        <x:v>344.47</x:v>
      </x:c>
      <x:c r="D122" s="32">
        <x:v>344.47</x:v>
      </x:c>
      <x:c r="E122" s="32">
        <x:v>344.47</x:v>
      </x:c>
      <x:c r="F122" s="33">
        <x:v>160400</x:v>
      </x:c>
      <x:c r="G122" s="34"/>
      <x:c r="H122" s="35"/>
      <x:c r="I122" s="36"/>
    </x:row>
    <x:row r="123">
      <x:c r="A123" s="31">
        <x:v>37022</x:v>
      </x:c>
      <x:c r="B123" s="32">
        <x:v>351.06</x:v>
      </x:c>
      <x:c r="C123" s="32">
        <x:v>351.06</x:v>
      </x:c>
      <x:c r="D123" s="32">
        <x:v>351.06</x:v>
      </x:c>
      <x:c r="E123" s="32">
        <x:v>351.06</x:v>
      </x:c>
      <x:c r="F123" s="33">
        <x:v>23200</x:v>
      </x:c>
      <x:c r="G123" s="34"/>
      <x:c r="H123" s="35"/>
      <x:c r="I123" s="36"/>
    </x:row>
    <x:row r="124">
      <x:c r="A124" s="31">
        <x:v>37025</x:v>
      </x:c>
      <x:c r="B124" s="32">
        <x:v>357.65</x:v>
      </x:c>
      <x:c r="C124" s="32">
        <x:v>357.65</x:v>
      </x:c>
      <x:c r="D124" s="32">
        <x:v>357.65</x:v>
      </x:c>
      <x:c r="E124" s="32">
        <x:v>357.65</x:v>
      </x:c>
      <x:c r="F124" s="33">
        <x:v>19700</x:v>
      </x:c>
      <x:c r="G124" s="34"/>
      <x:c r="H124" s="35"/>
      <x:c r="I124" s="36"/>
    </x:row>
    <x:row r="125">
      <x:c r="A125" s="31">
        <x:v>37027</x:v>
      </x:c>
      <x:c r="B125" s="32">
        <x:v>364.27</x:v>
      </x:c>
      <x:c r="C125" s="32">
        <x:v>364.27</x:v>
      </x:c>
      <x:c r="D125" s="32">
        <x:v>364.27</x:v>
      </x:c>
      <x:c r="E125" s="32">
        <x:v>364.27</x:v>
      </x:c>
      <x:c r="F125" s="33">
        <x:v>23100</x:v>
      </x:c>
      <x:c r="G125" s="34"/>
      <x:c r="H125" s="35"/>
      <x:c r="I125" s="36"/>
    </x:row>
    <x:row r="126">
      <x:c r="A126" s="31">
        <x:v>37029</x:v>
      </x:c>
      <x:c r="B126" s="32">
        <x:v>370.9</x:v>
      </x:c>
      <x:c r="C126" s="32">
        <x:v>370.9</x:v>
      </x:c>
      <x:c r="D126" s="32">
        <x:v>370.9</x:v>
      </x:c>
      <x:c r="E126" s="32">
        <x:v>370.9</x:v>
      </x:c>
      <x:c r="F126" s="33">
        <x:v>55200</x:v>
      </x:c>
      <x:c r="G126" s="34"/>
      <x:c r="H126" s="35"/>
      <x:c r="I126" s="36"/>
    </x:row>
    <x:row r="127">
      <x:c r="A127" s="31">
        <x:v>37032</x:v>
      </x:c>
      <x:c r="B127" s="32">
        <x:v>377.43</x:v>
      </x:c>
      <x:c r="C127" s="32">
        <x:v>377.43</x:v>
      </x:c>
      <x:c r="D127" s="32">
        <x:v>377.43</x:v>
      </x:c>
      <x:c r="E127" s="32">
        <x:v>377.43</x:v>
      </x:c>
      <x:c r="F127" s="33">
        <x:v>52100</x:v>
      </x:c>
      <x:c r="G127" s="34"/>
      <x:c r="H127" s="35"/>
      <x:c r="I127" s="36"/>
    </x:row>
    <x:row r="128">
      <x:c r="A128" s="31">
        <x:v>37034</x:v>
      </x:c>
      <x:c r="B128" s="32">
        <x:v>384.16</x:v>
      </x:c>
      <x:c r="C128" s="32">
        <x:v>384.16</x:v>
      </x:c>
      <x:c r="D128" s="32">
        <x:v>384.16</x:v>
      </x:c>
      <x:c r="E128" s="32">
        <x:v>384.16</x:v>
      </x:c>
      <x:c r="F128" s="33">
        <x:v>229100</x:v>
      </x:c>
      <x:c r="G128" s="34"/>
      <x:c r="H128" s="35"/>
      <x:c r="I128" s="36"/>
    </x:row>
    <x:row r="129">
      <x:c r="A129" s="31">
        <x:v>37036</x:v>
      </x:c>
      <x:c r="B129" s="32">
        <x:v>390.88</x:v>
      </x:c>
      <x:c r="C129" s="32">
        <x:v>390.88</x:v>
      </x:c>
      <x:c r="D129" s="32">
        <x:v>390.88</x:v>
      </x:c>
      <x:c r="E129" s="32">
        <x:v>390.88</x:v>
      </x:c>
      <x:c r="F129" s="33">
        <x:v>82500</x:v>
      </x:c>
      <x:c r="G129" s="34"/>
      <x:c r="H129" s="35"/>
      <x:c r="I129" s="36"/>
    </x:row>
    <x:row r="130">
      <x:c r="A130" s="31">
        <x:v>37039</x:v>
      </x:c>
      <x:c r="B130" s="32">
        <x:v>397.5</x:v>
      </x:c>
      <x:c r="C130" s="32">
        <x:v>397.5</x:v>
      </x:c>
      <x:c r="D130" s="32">
        <x:v>397.5</x:v>
      </x:c>
      <x:c r="E130" s="32">
        <x:v>397.5</x:v>
      </x:c>
      <x:c r="F130" s="33">
        <x:v>31700</x:v>
      </x:c>
      <x:c r="G130" s="34"/>
      <x:c r="H130" s="35"/>
      <x:c r="I130" s="36"/>
    </x:row>
    <x:row r="131">
      <x:c r="A131" s="31">
        <x:v>37041</x:v>
      </x:c>
      <x:c r="B131" s="32">
        <x:v>404.26</x:v>
      </x:c>
      <x:c r="C131" s="32">
        <x:v>404.26</x:v>
      </x:c>
      <x:c r="D131" s="32">
        <x:v>404.26</x:v>
      </x:c>
      <x:c r="E131" s="32">
        <x:v>404.26</x:v>
      </x:c>
      <x:c r="F131" s="33">
        <x:v>14300</x:v>
      </x:c>
      <x:c r="G131" s="34"/>
      <x:c r="H131" s="35"/>
      <x:c r="I131" s="36"/>
    </x:row>
    <x:row r="132">
      <x:c r="A132" s="31">
        <x:v>37043</x:v>
      </x:c>
      <x:c r="B132" s="32">
        <x:v>411.03</x:v>
      </x:c>
      <x:c r="C132" s="32">
        <x:v>411.03</x:v>
      </x:c>
      <x:c r="D132" s="32">
        <x:v>411.03</x:v>
      </x:c>
      <x:c r="E132" s="32">
        <x:v>411.03</x:v>
      </x:c>
      <x:c r="F132" s="33">
        <x:v>16100</x:v>
      </x:c>
      <x:c r="G132" s="34"/>
      <x:c r="H132" s="35"/>
      <x:c r="I132" s="36"/>
    </x:row>
    <x:row r="133">
      <x:c r="A133" s="31">
        <x:v>37046</x:v>
      </x:c>
      <x:c r="B133" s="32">
        <x:v>417.79</x:v>
      </x:c>
      <x:c r="C133" s="32">
        <x:v>417.79</x:v>
      </x:c>
      <x:c r="D133" s="32">
        <x:v>417.79</x:v>
      </x:c>
      <x:c r="E133" s="32">
        <x:v>417.79</x:v>
      </x:c>
      <x:c r="F133" s="33">
        <x:v>21600</x:v>
      </x:c>
      <x:c r="G133" s="34"/>
      <x:c r="H133" s="35"/>
      <x:c r="I133" s="36"/>
    </x:row>
    <x:row r="134">
      <x:c r="A134" s="31">
        <x:v>37048</x:v>
      </x:c>
      <x:c r="B134" s="32">
        <x:v>424.56</x:v>
      </x:c>
      <x:c r="C134" s="32">
        <x:v>424.56</x:v>
      </x:c>
      <x:c r="D134" s="32">
        <x:v>424.56</x:v>
      </x:c>
      <x:c r="E134" s="32">
        <x:v>424.56</x:v>
      </x:c>
      <x:c r="F134" s="33">
        <x:v>24000</x:v>
      </x:c>
      <x:c r="G134" s="34"/>
      <x:c r="H134" s="35"/>
      <x:c r="I134" s="36"/>
    </x:row>
    <x:row r="135">
      <x:c r="A135" s="31">
        <x:v>37050</x:v>
      </x:c>
      <x:c r="B135" s="32">
        <x:v>426.58</x:v>
      </x:c>
      <x:c r="C135" s="32">
        <x:v>426.58</x:v>
      </x:c>
      <x:c r="D135" s="32">
        <x:v>426.58</x:v>
      </x:c>
      <x:c r="E135" s="32">
        <x:v>426.58</x:v>
      </x:c>
      <x:c r="F135" s="33">
        <x:v>193200</x:v>
      </x:c>
      <x:c r="G135" s="34"/>
      <x:c r="H135" s="35"/>
      <x:c r="I135" s="36"/>
    </x:row>
    <x:row r="136">
      <x:c r="A136" s="31">
        <x:v>37053</x:v>
      </x:c>
      <x:c r="B136" s="32">
        <x:v>428.02</x:v>
      </x:c>
      <x:c r="C136" s="32">
        <x:v>428.02</x:v>
      </x:c>
      <x:c r="D136" s="32">
        <x:v>428.02</x:v>
      </x:c>
      <x:c r="E136" s="32">
        <x:v>428.02</x:v>
      </x:c>
      <x:c r="F136" s="33">
        <x:v>424300</x:v>
      </x:c>
      <x:c r="G136" s="34"/>
      <x:c r="H136" s="35"/>
      <x:c r="I136" s="36"/>
    </x:row>
    <x:row r="137">
      <x:c r="A137" s="31">
        <x:v>37055</x:v>
      </x:c>
      <x:c r="B137" s="32">
        <x:v>456.18</x:v>
      </x:c>
      <x:c r="C137" s="32">
        <x:v>456.18</x:v>
      </x:c>
      <x:c r="D137" s="32">
        <x:v>456.18</x:v>
      </x:c>
      <x:c r="E137" s="32">
        <x:v>456.18</x:v>
      </x:c>
      <x:c r="F137" s="33">
        <x:v>122300</x:v>
      </x:c>
      <x:c r="G137" s="34"/>
      <x:c r="H137" s="35"/>
      <x:c r="I137" s="36"/>
    </x:row>
    <x:row r="138">
      <x:c r="A138" s="31">
        <x:v>37057</x:v>
      </x:c>
      <x:c r="B138" s="32">
        <x:v>486.34</x:v>
      </x:c>
      <x:c r="C138" s="32">
        <x:v>486.34</x:v>
      </x:c>
      <x:c r="D138" s="32">
        <x:v>486.34</x:v>
      </x:c>
      <x:c r="E138" s="32">
        <x:v>486.34</x:v>
      </x:c>
      <x:c r="F138" s="33">
        <x:v>73700</x:v>
      </x:c>
      <x:c r="G138" s="34"/>
      <x:c r="H138" s="35"/>
      <x:c r="I138" s="36"/>
    </x:row>
    <x:row r="139">
      <x:c r="A139" s="31">
        <x:v>37060</x:v>
      </x:c>
      <x:c r="B139" s="32">
        <x:v>518.62</x:v>
      </x:c>
      <x:c r="C139" s="32">
        <x:v>518.62</x:v>
      </x:c>
      <x:c r="D139" s="32">
        <x:v>518.62</x:v>
      </x:c>
      <x:c r="E139" s="32">
        <x:v>518.62</x:v>
      </x:c>
      <x:c r="F139" s="33">
        <x:v>159900</x:v>
      </x:c>
      <x:c r="G139" s="34"/>
      <x:c r="H139" s="35"/>
      <x:c r="I139" s="36"/>
    </x:row>
    <x:row r="140">
      <x:c r="A140" s="31">
        <x:v>37062</x:v>
      </x:c>
      <x:c r="B140" s="32">
        <x:v>553.55999999999995</x:v>
      </x:c>
      <x:c r="C140" s="32">
        <x:v>553.55999999999995</x:v>
      </x:c>
      <x:c r="D140" s="32">
        <x:v>553.55999999999995</x:v>
      </x:c>
      <x:c r="E140" s="32">
        <x:v>553.55999999999995</x:v>
      </x:c>
      <x:c r="F140" s="33">
        <x:v>141000</x:v>
      </x:c>
      <x:c r="G140" s="34"/>
      <x:c r="H140" s="35"/>
      <x:c r="I140" s="36"/>
    </x:row>
    <x:row r="141">
      <x:c r="A141" s="31">
        <x:v>37064</x:v>
      </x:c>
      <x:c r="B141" s="32">
        <x:v>563</x:v>
      </x:c>
      <x:c r="C141" s="32">
        <x:v>563</x:v>
      </x:c>
      <x:c r="D141" s="32">
        <x:v>563</x:v>
      </x:c>
      <x:c r="E141" s="32">
        <x:v>563</x:v>
      </x:c>
      <x:c r="F141" s="33">
        <x:v>293800</x:v>
      </x:c>
      <x:c r="G141" s="34"/>
      <x:c r="H141" s="35"/>
      <x:c r="I141" s="36"/>
    </x:row>
    <x:row r="142">
      <x:c r="A142" s="31">
        <x:v>37067</x:v>
      </x:c>
      <x:c r="B142" s="32">
        <x:v>571.04</x:v>
      </x:c>
      <x:c r="C142" s="32">
        <x:v>571.04</x:v>
      </x:c>
      <x:c r="D142" s="32">
        <x:v>571.04</x:v>
      </x:c>
      <x:c r="E142" s="32">
        <x:v>571.04</x:v>
      </x:c>
      <x:c r="F142" s="33">
        <x:v>268100</x:v>
      </x:c>
      <x:c r="G142" s="34"/>
      <x:c r="H142" s="35"/>
      <x:c r="I142" s="36"/>
    </x:row>
    <x:row r="143">
      <x:c r="A143" s="31">
        <x:v>37069</x:v>
      </x:c>
      <x:c r="B143" s="32">
        <x:v>531.92999999999995</x:v>
      </x:c>
      <x:c r="C143" s="32">
        <x:v>531.92999999999995</x:v>
      </x:c>
      <x:c r="D143" s="32">
        <x:v>531.92999999999995</x:v>
      </x:c>
      <x:c r="E143" s="32">
        <x:v>531.92999999999995</x:v>
      </x:c>
      <x:c r="F143" s="33">
        <x:v>79700</x:v>
      </x:c>
      <x:c r="G143" s="34"/>
      <x:c r="H143" s="35"/>
      <x:c r="I143" s="36"/>
    </x:row>
    <x:row r="144">
      <x:c r="A144" s="31">
        <x:v>37071</x:v>
      </x:c>
      <x:c r="B144" s="32">
        <x:v>500.28</x:v>
      </x:c>
      <x:c r="C144" s="32">
        <x:v>500.28</x:v>
      </x:c>
      <x:c r="D144" s="32">
        <x:v>500.28</x:v>
      </x:c>
      <x:c r="E144" s="32">
        <x:v>500.28</x:v>
      </x:c>
      <x:c r="F144" s="33">
        <x:v>118400</x:v>
      </x:c>
      <x:c r="G144" s="34"/>
      <x:c r="H144" s="35"/>
      <x:c r="I144" s="36"/>
    </x:row>
    <x:row r="145">
      <x:c r="A145" s="31">
        <x:v>37074</x:v>
      </x:c>
      <x:c r="B145" s="32">
        <x:v>491.17</x:v>
      </x:c>
      <x:c r="C145" s="32">
        <x:v>491.17</x:v>
      </x:c>
      <x:c r="D145" s="32">
        <x:v>491.17</x:v>
      </x:c>
      <x:c r="E145" s="32">
        <x:v>491.17</x:v>
      </x:c>
      <x:c r="F145" s="33">
        <x:v>181200</x:v>
      </x:c>
      <x:c r="G145" s="34"/>
      <x:c r="H145" s="35"/>
      <x:c r="I145" s="36"/>
    </x:row>
    <x:row r="146">
      <x:c r="A146" s="31">
        <x:v>37076</x:v>
      </x:c>
      <x:c r="B146" s="32">
        <x:v>512.79999999999995</x:v>
      </x:c>
      <x:c r="C146" s="32">
        <x:v>512.79999999999995</x:v>
      </x:c>
      <x:c r="D146" s="32">
        <x:v>512.79999999999995</x:v>
      </x:c>
      <x:c r="E146" s="32">
        <x:v>512.79999999999995</x:v>
      </x:c>
      <x:c r="F146" s="33">
        <x:v>268300</x:v>
      </x:c>
      <x:c r="G146" s="34"/>
      <x:c r="H146" s="35"/>
      <x:c r="I146" s="36"/>
    </x:row>
    <x:row r="147">
      <x:c r="A147" s="31">
        <x:v>37078</x:v>
      </x:c>
      <x:c r="B147" s="32">
        <x:v>502.93</x:v>
      </x:c>
      <x:c r="C147" s="32">
        <x:v>502.93</x:v>
      </x:c>
      <x:c r="D147" s="32">
        <x:v>502.93</x:v>
      </x:c>
      <x:c r="E147" s="32">
        <x:v>502.93</x:v>
      </x:c>
      <x:c r="F147" s="33">
        <x:v>223400</x:v>
      </x:c>
      <x:c r="G147" s="34"/>
      <x:c r="H147" s="35"/>
      <x:c r="I147" s="36"/>
    </x:row>
    <x:row r="148">
      <x:c r="A148" s="31">
        <x:v>37081</x:v>
      </x:c>
      <x:c r="B148" s="32">
        <x:v>470.83</x:v>
      </x:c>
      <x:c r="C148" s="32">
        <x:v>470.83</x:v>
      </x:c>
      <x:c r="D148" s="32">
        <x:v>470.83</x:v>
      </x:c>
      <x:c r="E148" s="32">
        <x:v>470.83</x:v>
      </x:c>
      <x:c r="F148" s="33">
        <x:v>108800</x:v>
      </x:c>
      <x:c r="G148" s="34"/>
      <x:c r="H148" s="35"/>
      <x:c r="I148" s="36"/>
    </x:row>
    <x:row r="149">
      <x:c r="A149" s="31">
        <x:v>37083</x:v>
      </x:c>
      <x:c r="B149" s="32">
        <x:v>436.13</x:v>
      </x:c>
      <x:c r="C149" s="32">
        <x:v>436.13</x:v>
      </x:c>
      <x:c r="D149" s="32">
        <x:v>436.13</x:v>
      </x:c>
      <x:c r="E149" s="32">
        <x:v>436.13</x:v>
      </x:c>
      <x:c r="F149" s="33">
        <x:v>92500</x:v>
      </x:c>
      <x:c r="G149" s="34"/>
      <x:c r="H149" s="35"/>
      <x:c r="I149" s="36"/>
    </x:row>
    <x:row r="150">
      <x:c r="A150" s="31">
        <x:v>37085</x:v>
      </x:c>
      <x:c r="B150" s="32">
        <x:v>416.46</x:v>
      </x:c>
      <x:c r="C150" s="32">
        <x:v>416.46</x:v>
      </x:c>
      <x:c r="D150" s="32">
        <x:v>416.46</x:v>
      </x:c>
      <x:c r="E150" s="32">
        <x:v>416.46</x:v>
      </x:c>
      <x:c r="F150" s="33">
        <x:v>169000</x:v>
      </x:c>
      <x:c r="G150" s="34"/>
      <x:c r="H150" s="35"/>
      <x:c r="I150" s="36"/>
    </x:row>
    <x:row r="151">
      <x:c r="A151" s="31">
        <x:v>37088</x:v>
      </x:c>
      <x:c r="B151" s="32">
        <x:v>411.43</x:v>
      </x:c>
      <x:c r="C151" s="32">
        <x:v>411.43</x:v>
      </x:c>
      <x:c r="D151" s="32">
        <x:v>411.43</x:v>
      </x:c>
      <x:c r="E151" s="32">
        <x:v>411.43</x:v>
      </x:c>
      <x:c r="F151" s="33">
        <x:v>121500</x:v>
      </x:c>
      <x:c r="G151" s="34"/>
      <x:c r="H151" s="35"/>
      <x:c r="I151" s="36"/>
    </x:row>
    <x:row r="152">
      <x:c r="A152" s="31">
        <x:v>37090</x:v>
      </x:c>
      <x:c r="B152" s="32">
        <x:v>438.12</x:v>
      </x:c>
      <x:c r="C152" s="32">
        <x:v>438.12</x:v>
      </x:c>
      <x:c r="D152" s="32">
        <x:v>438.12</x:v>
      </x:c>
      <x:c r="E152" s="32">
        <x:v>438.12</x:v>
      </x:c>
      <x:c r="F152" s="33">
        <x:v>98900</x:v>
      </x:c>
      <x:c r="G152" s="34"/>
      <x:c r="H152" s="35"/>
      <x:c r="I152" s="36"/>
    </x:row>
    <x:row r="153">
      <x:c r="A153" s="31">
        <x:v>37092</x:v>
      </x:c>
      <x:c r="B153" s="32">
        <x:v>466.67</x:v>
      </x:c>
      <x:c r="C153" s="32">
        <x:v>466.67</x:v>
      </x:c>
      <x:c r="D153" s="32">
        <x:v>466.67</x:v>
      </x:c>
      <x:c r="E153" s="32">
        <x:v>466.67</x:v>
      </x:c>
      <x:c r="F153" s="33">
        <x:v>56600</x:v>
      </x:c>
      <x:c r="G153" s="34"/>
      <x:c r="H153" s="35"/>
      <x:c r="I153" s="36"/>
    </x:row>
    <x:row r="154">
      <x:c r="A154" s="31">
        <x:v>37095</x:v>
      </x:c>
      <x:c r="B154" s="32">
        <x:v>438.33</x:v>
      </x:c>
      <x:c r="C154" s="32">
        <x:v>438.33</x:v>
      </x:c>
      <x:c r="D154" s="32">
        <x:v>438.33</x:v>
      </x:c>
      <x:c r="E154" s="32">
        <x:v>438.33</x:v>
      </x:c>
      <x:c r="F154" s="33">
        <x:v>274800</x:v>
      </x:c>
      <x:c r="G154" s="34"/>
      <x:c r="H154" s="35"/>
      <x:c r="I154" s="36"/>
    </x:row>
    <x:row r="155">
      <x:c r="A155" s="31">
        <x:v>37097</x:v>
      </x:c>
      <x:c r="B155" s="32">
        <x:v>450.87</x:v>
      </x:c>
      <x:c r="C155" s="32">
        <x:v>450.87</x:v>
      </x:c>
      <x:c r="D155" s="32">
        <x:v>450.87</x:v>
      </x:c>
      <x:c r="E155" s="32">
        <x:v>450.87</x:v>
      </x:c>
      <x:c r="F155" s="33">
        <x:v>142300</x:v>
      </x:c>
      <x:c r="G155" s="34"/>
      <x:c r="H155" s="35"/>
      <x:c r="I155" s="36"/>
    </x:row>
    <x:row r="156">
      <x:c r="A156" s="31">
        <x:v>37099</x:v>
      </x:c>
      <x:c r="B156" s="32">
        <x:v>445.37</x:v>
      </x:c>
      <x:c r="C156" s="32">
        <x:v>445.37</x:v>
      </x:c>
      <x:c r="D156" s="32">
        <x:v>445.37</x:v>
      </x:c>
      <x:c r="E156" s="32">
        <x:v>445.37</x:v>
      </x:c>
      <x:c r="F156" s="33">
        <x:v>96700</x:v>
      </x:c>
      <x:c r="G156" s="34"/>
      <x:c r="H156" s="35"/>
      <x:c r="I156" s="36"/>
    </x:row>
    <x:row r="157">
      <x:c r="A157" s="31">
        <x:v>37102</x:v>
      </x:c>
      <x:c r="B157" s="32">
        <x:v>422.46</x:v>
      </x:c>
      <x:c r="C157" s="32">
        <x:v>422.46</x:v>
      </x:c>
      <x:c r="D157" s="32">
        <x:v>422.46</x:v>
      </x:c>
      <x:c r="E157" s="32">
        <x:v>422.46</x:v>
      </x:c>
      <x:c r="F157" s="33">
        <x:v>100200</x:v>
      </x:c>
      <x:c r="G157" s="34"/>
      <x:c r="H157" s="35"/>
      <x:c r="I157" s="36"/>
    </x:row>
    <x:row r="158">
      <x:c r="A158" s="31">
        <x:v>37104</x:v>
      </x:c>
      <x:c r="B158" s="32">
        <x:v>395.63</x:v>
      </x:c>
      <x:c r="C158" s="32">
        <x:v>395.63</x:v>
      </x:c>
      <x:c r="D158" s="32">
        <x:v>395.63</x:v>
      </x:c>
      <x:c r="E158" s="32">
        <x:v>395.63</x:v>
      </x:c>
      <x:c r="F158" s="33">
        <x:v>121000</x:v>
      </x:c>
      <x:c r="G158" s="34"/>
      <x:c r="H158" s="35"/>
      <x:c r="I158" s="36"/>
    </x:row>
    <x:row r="159">
      <x:c r="A159" s="31">
        <x:v>37106</x:v>
      </x:c>
      <x:c r="B159" s="32">
        <x:v>371.76</x:v>
      </x:c>
      <x:c r="C159" s="32">
        <x:v>371.76</x:v>
      </x:c>
      <x:c r="D159" s="32">
        <x:v>371.76</x:v>
      </x:c>
      <x:c r="E159" s="32">
        <x:v>371.76</x:v>
      </x:c>
      <x:c r="F159" s="33">
        <x:v>64200</x:v>
      </x:c>
      <x:c r="G159" s="34"/>
      <x:c r="H159" s="35"/>
      <x:c r="I159" s="36"/>
    </x:row>
    <x:row r="160">
      <x:c r="A160" s="31">
        <x:v>37109</x:v>
      </x:c>
      <x:c r="B160" s="32">
        <x:v>350.69</x:v>
      </x:c>
      <x:c r="C160" s="32">
        <x:v>350.69</x:v>
      </x:c>
      <x:c r="D160" s="32">
        <x:v>350.69</x:v>
      </x:c>
      <x:c r="E160" s="32">
        <x:v>350.69</x:v>
      </x:c>
      <x:c r="F160" s="33">
        <x:v>75900</x:v>
      </x:c>
      <x:c r="G160" s="34"/>
      <x:c r="H160" s="35"/>
      <x:c r="I160" s="36"/>
    </x:row>
    <x:row r="161">
      <x:c r="A161" s="31">
        <x:v>37111</x:v>
      </x:c>
      <x:c r="B161" s="32">
        <x:v>373.63</x:v>
      </x:c>
      <x:c r="C161" s="32">
        <x:v>373.63</x:v>
      </x:c>
      <x:c r="D161" s="32">
        <x:v>373.63</x:v>
      </x:c>
      <x:c r="E161" s="32">
        <x:v>373.63</x:v>
      </x:c>
      <x:c r="F161" s="33">
        <x:v>260800</x:v>
      </x:c>
      <x:c r="G161" s="34"/>
      <x:c r="H161" s="35"/>
      <x:c r="I161" s="36"/>
    </x:row>
    <x:row r="162">
      <x:c r="A162" s="31">
        <x:v>37113</x:v>
      </x:c>
      <x:c r="B162" s="32">
        <x:v>394.18</x:v>
      </x:c>
      <x:c r="C162" s="32">
        <x:v>394.18</x:v>
      </x:c>
      <x:c r="D162" s="32">
        <x:v>394.18</x:v>
      </x:c>
      <x:c r="E162" s="32">
        <x:v>394.18</x:v>
      </x:c>
      <x:c r="F162" s="33">
        <x:v>212800</x:v>
      </x:c>
      <x:c r="G162" s="34"/>
      <x:c r="H162" s="35"/>
      <x:c r="I162" s="36"/>
    </x:row>
    <x:row r="163">
      <x:c r="A163" s="31">
        <x:v>37116</x:v>
      </x:c>
      <x:c r="B163" s="32">
        <x:v>368.34</x:v>
      </x:c>
      <x:c r="C163" s="32">
        <x:v>368.34</x:v>
      </x:c>
      <x:c r="D163" s="32">
        <x:v>368.34</x:v>
      </x:c>
      <x:c r="E163" s="32">
        <x:v>368.34</x:v>
      </x:c>
      <x:c r="F163" s="33">
        <x:v>128600</x:v>
      </x:c>
      <x:c r="G163" s="34"/>
      <x:c r="H163" s="35"/>
      <x:c r="I163" s="36"/>
    </x:row>
    <x:row r="164">
      <x:c r="A164" s="31">
        <x:v>37118</x:v>
      </x:c>
      <x:c r="B164" s="32">
        <x:v>344.31</x:v>
      </x:c>
      <x:c r="C164" s="32">
        <x:v>344.31</x:v>
      </x:c>
      <x:c r="D164" s="32">
        <x:v>344.31</x:v>
      </x:c>
      <x:c r="E164" s="32">
        <x:v>344.31</x:v>
      </x:c>
      <x:c r="F164" s="33">
        <x:v>71600</x:v>
      </x:c>
      <x:c r="G164" s="34"/>
      <x:c r="H164" s="35"/>
      <x:c r="I164" s="36"/>
    </x:row>
    <x:row r="165">
      <x:c r="A165" s="31">
        <x:v>37120</x:v>
      </x:c>
      <x:c r="B165" s="32">
        <x:v>321.83</x:v>
      </x:c>
      <x:c r="C165" s="32">
        <x:v>321.83</x:v>
      </x:c>
      <x:c r="D165" s="32">
        <x:v>321.83</x:v>
      </x:c>
      <x:c r="E165" s="32">
        <x:v>321.83</x:v>
      </x:c>
      <x:c r="F165" s="33">
        <x:v>184000</x:v>
      </x:c>
      <x:c r="G165" s="34"/>
      <x:c r="H165" s="35"/>
      <x:c r="I165" s="36"/>
    </x:row>
    <x:row r="166">
      <x:c r="A166" s="31">
        <x:v>37123</x:v>
      </x:c>
      <x:c r="B166" s="32">
        <x:v>302.25</x:v>
      </x:c>
      <x:c r="C166" s="32">
        <x:v>302.25</x:v>
      </x:c>
      <x:c r="D166" s="32">
        <x:v>302.25</x:v>
      </x:c>
      <x:c r="E166" s="32">
        <x:v>302.25</x:v>
      </x:c>
      <x:c r="F166" s="33">
        <x:v>198700</x:v>
      </x:c>
      <x:c r="G166" s="34"/>
      <x:c r="H166" s="35"/>
      <x:c r="I166" s="36"/>
    </x:row>
    <x:row r="167">
      <x:c r="A167" s="31">
        <x:v>37125</x:v>
      </x:c>
      <x:c r="B167" s="32">
        <x:v>320.98</x:v>
      </x:c>
      <x:c r="C167" s="32">
        <x:v>320.98</x:v>
      </x:c>
      <x:c r="D167" s="32">
        <x:v>320.98</x:v>
      </x:c>
      <x:c r="E167" s="32">
        <x:v>320.98</x:v>
      </x:c>
      <x:c r="F167" s="33">
        <x:v>161800</x:v>
      </x:c>
      <x:c r="G167" s="34"/>
      <x:c r="H167" s="35"/>
      <x:c r="I167" s="36"/>
    </x:row>
    <x:row r="168">
      <x:c r="A168" s="31">
        <x:v>37127</x:v>
      </x:c>
      <x:c r="B168" s="32">
        <x:v>300.02999999999997</x:v>
      </x:c>
      <x:c r="C168" s="32">
        <x:v>300.02999999999997</x:v>
      </x:c>
      <x:c r="D168" s="32">
        <x:v>300.02999999999997</x:v>
      </x:c>
      <x:c r="E168" s="32">
        <x:v>300.02999999999997</x:v>
      </x:c>
      <x:c r="F168" s="33">
        <x:v>153300</x:v>
      </x:c>
      <x:c r="G168" s="34"/>
      <x:c r="H168" s="35"/>
      <x:c r="I168" s="36"/>
    </x:row>
    <x:row r="169">
      <x:c r="A169" s="31">
        <x:v>37130</x:v>
      </x:c>
      <x:c r="B169" s="32">
        <x:v>279.64999999999998</x:v>
      </x:c>
      <x:c r="C169" s="32">
        <x:v>279.64999999999998</x:v>
      </x:c>
      <x:c r="D169" s="32">
        <x:v>279.64999999999998</x:v>
      </x:c>
      <x:c r="E169" s="32">
        <x:v>279.64999999999998</x:v>
      </x:c>
      <x:c r="F169" s="33">
        <x:v>54700</x:v>
      </x:c>
      <x:c r="G169" s="34"/>
      <x:c r="H169" s="35"/>
      <x:c r="I169" s="36"/>
    </x:row>
    <x:row r="170">
      <x:c r="A170" s="31">
        <x:v>37132</x:v>
      </x:c>
      <x:c r="B170" s="32">
        <x:v>261.35000000000002</x:v>
      </x:c>
      <x:c r="C170" s="32">
        <x:v>261.35000000000002</x:v>
      </x:c>
      <x:c r="D170" s="32">
        <x:v>261.35000000000002</x:v>
      </x:c>
      <x:c r="E170" s="32">
        <x:v>261.35000000000002</x:v>
      </x:c>
      <x:c r="F170" s="33">
        <x:v>120500</x:v>
      </x:c>
      <x:c r="G170" s="34"/>
      <x:c r="H170" s="35"/>
      <x:c r="I170" s="36"/>
    </x:row>
    <x:row r="171">
      <x:c r="A171" s="31">
        <x:v>37134</x:v>
      </x:c>
      <x:c r="B171" s="32">
        <x:v>277.39999999999998</x:v>
      </x:c>
      <x:c r="C171" s="32">
        <x:v>277.39999999999998</x:v>
      </x:c>
      <x:c r="D171" s="32">
        <x:v>277.39999999999998</x:v>
      </x:c>
      <x:c r="E171" s="32">
        <x:v>277.39999999999998</x:v>
      </x:c>
      <x:c r="F171" s="33">
        <x:v>295300</x:v>
      </x:c>
      <x:c r="G171" s="34"/>
      <x:c r="H171" s="35"/>
      <x:c r="I171" s="36"/>
    </x:row>
    <x:row r="172">
      <x:c r="A172" s="31">
        <x:v>37139</x:v>
      </x:c>
      <x:c r="B172" s="32">
        <x:v>296.43</x:v>
      </x:c>
      <x:c r="C172" s="32">
        <x:v>296.43</x:v>
      </x:c>
      <x:c r="D172" s="32">
        <x:v>296.43</x:v>
      </x:c>
      <x:c r="E172" s="32">
        <x:v>296.43</x:v>
      </x:c>
      <x:c r="F172" s="33">
        <x:v>90700</x:v>
      </x:c>
      <x:c r="G172" s="34"/>
      <x:c r="H172" s="35"/>
      <x:c r="I172" s="36"/>
    </x:row>
    <x:row r="173">
      <x:c r="A173" s="31">
        <x:v>37141</x:v>
      </x:c>
      <x:c r="B173" s="32">
        <x:v>307.76</x:v>
      </x:c>
      <x:c r="C173" s="32">
        <x:v>307.76</x:v>
      </x:c>
      <x:c r="D173" s="32">
        <x:v>307.76</x:v>
      </x:c>
      <x:c r="E173" s="32">
        <x:v>307.76</x:v>
      </x:c>
      <x:c r="F173" s="33">
        <x:v>244500</x:v>
      </x:c>
      <x:c r="G173" s="34"/>
      <x:c r="H173" s="35"/>
      <x:c r="I173" s="36"/>
    </x:row>
    <x:row r="174">
      <x:c r="A174" s="31">
        <x:v>37144</x:v>
      </x:c>
      <x:c r="B174" s="32">
        <x:v>286.55</x:v>
      </x:c>
      <x:c r="C174" s="32">
        <x:v>286.55</x:v>
      </x:c>
      <x:c r="D174" s="32">
        <x:v>286.55</x:v>
      </x:c>
      <x:c r="E174" s="32">
        <x:v>286.55</x:v>
      </x:c>
      <x:c r="F174" s="33">
        <x:v>263600</x:v>
      </x:c>
      <x:c r="G174" s="34"/>
      <x:c r="H174" s="35"/>
      <x:c r="I174" s="36"/>
    </x:row>
    <x:row r="175">
      <x:c r="A175" s="31">
        <x:v>37146</x:v>
      </x:c>
      <x:c r="B175" s="32">
        <x:v>284.68</x:v>
      </x:c>
      <x:c r="C175" s="32">
        <x:v>284.68</x:v>
      </x:c>
      <x:c r="D175" s="32">
        <x:v>284.68</x:v>
      </x:c>
      <x:c r="E175" s="32">
        <x:v>284.68</x:v>
      </x:c>
      <x:c r="F175" s="33">
        <x:v>197200</x:v>
      </x:c>
      <x:c r="G175" s="34"/>
      <x:c r="H175" s="35"/>
      <x:c r="I175" s="36"/>
    </x:row>
    <x:row r="176">
      <x:c r="A176" s="31">
        <x:v>37148</x:v>
      </x:c>
      <x:c r="B176" s="32">
        <x:v>274.64</x:v>
      </x:c>
      <x:c r="C176" s="32">
        <x:v>274.64</x:v>
      </x:c>
      <x:c r="D176" s="32">
        <x:v>274.64</x:v>
      </x:c>
      <x:c r="E176" s="32">
        <x:v>274.64</x:v>
      </x:c>
      <x:c r="F176" s="33">
        <x:v>155200</x:v>
      </x:c>
      <x:c r="G176" s="34"/>
      <x:c r="H176" s="35"/>
      <x:c r="I176" s="36"/>
    </x:row>
    <x:row r="177">
      <x:c r="A177" s="31">
        <x:v>37151</x:v>
      </x:c>
      <x:c r="B177" s="32">
        <x:v>266.08999999999997</x:v>
      </x:c>
      <x:c r="C177" s="32">
        <x:v>266.08999999999997</x:v>
      </x:c>
      <x:c r="D177" s="32">
        <x:v>266.08999999999997</x:v>
      </x:c>
      <x:c r="E177" s="32">
        <x:v>266.08999999999997</x:v>
      </x:c>
      <x:c r="F177" s="33">
        <x:v>134400</x:v>
      </x:c>
      <x:c r="G177" s="34"/>
      <x:c r="H177" s="35"/>
      <x:c r="I177" s="36"/>
    </x:row>
    <x:row r="178">
      <x:c r="A178" s="31">
        <x:v>37153</x:v>
      </x:c>
      <x:c r="B178" s="32">
        <x:v>273.37</x:v>
      </x:c>
      <x:c r="C178" s="32">
        <x:v>273.37</x:v>
      </x:c>
      <x:c r="D178" s="32">
        <x:v>273.37</x:v>
      </x:c>
      <x:c r="E178" s="32">
        <x:v>273.37</x:v>
      </x:c>
      <x:c r="F178" s="33">
        <x:v>157300</x:v>
      </x:c>
      <x:c r="G178" s="34"/>
      <x:c r="H178" s="35"/>
      <x:c r="I178" s="36"/>
    </x:row>
    <x:row r="179">
      <x:c r="A179" s="31">
        <x:v>37155</x:v>
      </x:c>
      <x:c r="B179" s="32">
        <x:v>272.02999999999997</x:v>
      </x:c>
      <x:c r="C179" s="32">
        <x:v>272.02999999999997</x:v>
      </x:c>
      <x:c r="D179" s="32">
        <x:v>272.02999999999997</x:v>
      </x:c>
      <x:c r="E179" s="32">
        <x:v>272.02999999999997</x:v>
      </x:c>
      <x:c r="F179" s="33">
        <x:v>112800</x:v>
      </x:c>
      <x:c r="G179" s="34"/>
      <x:c r="H179" s="35"/>
      <x:c r="I179" s="36"/>
    </x:row>
    <x:row r="180">
      <x:c r="A180" s="31">
        <x:v>37158</x:v>
      </x:c>
      <x:c r="B180" s="32">
        <x:v>259.75</x:v>
      </x:c>
      <x:c r="C180" s="32">
        <x:v>259.75</x:v>
      </x:c>
      <x:c r="D180" s="32">
        <x:v>259.75</x:v>
      </x:c>
      <x:c r="E180" s="32">
        <x:v>259.75</x:v>
      </x:c>
      <x:c r="F180" s="33">
        <x:v>150900</x:v>
      </x:c>
      <x:c r="G180" s="34"/>
      <x:c r="H180" s="35"/>
      <x:c r="I180" s="36"/>
    </x:row>
    <x:row r="181">
      <x:c r="A181" s="31">
        <x:v>37160</x:v>
      </x:c>
      <x:c r="B181" s="32">
        <x:v>249.72</x:v>
      </x:c>
      <x:c r="C181" s="32">
        <x:v>249.72</x:v>
      </x:c>
      <x:c r="D181" s="32">
        <x:v>249.72</x:v>
      </x:c>
      <x:c r="E181" s="32">
        <x:v>249.72</x:v>
      </x:c>
      <x:c r="F181" s="33">
        <x:v>134100</x:v>
      </x:c>
      <x:c r="G181" s="34"/>
      <x:c r="H181" s="35"/>
      <x:c r="I181" s="36"/>
    </x:row>
    <x:row r="182">
      <x:c r="A182" s="31">
        <x:v>37162</x:v>
      </x:c>
      <x:c r="B182" s="32">
        <x:v>244.46</x:v>
      </x:c>
      <x:c r="C182" s="32">
        <x:v>244.46</x:v>
      </x:c>
      <x:c r="D182" s="32">
        <x:v>244.46</x:v>
      </x:c>
      <x:c r="E182" s="32">
        <x:v>244.46</x:v>
      </x:c>
      <x:c r="F182" s="33">
        <x:v>140300</x:v>
      </x:c>
      <x:c r="G182" s="34"/>
      <x:c r="H182" s="35"/>
      <x:c r="I182" s="36"/>
    </x:row>
    <x:row r="183">
      <x:c r="A183" s="31">
        <x:v>37165</x:v>
      </x:c>
      <x:c r="B183" s="32">
        <x:v>229.06</x:v>
      </x:c>
      <x:c r="C183" s="32">
        <x:v>229.06</x:v>
      </x:c>
      <x:c r="D183" s="32">
        <x:v>229.06</x:v>
      </x:c>
      <x:c r="E183" s="32">
        <x:v>229.06</x:v>
      </x:c>
      <x:c r="F183" s="33">
        <x:v>142000</x:v>
      </x:c>
      <x:c r="G183" s="34"/>
      <x:c r="H183" s="35"/>
      <x:c r="I183" s="36"/>
    </x:row>
    <x:row r="184">
      <x:c r="A184" s="31">
        <x:v>37167</x:v>
      </x:c>
      <x:c r="B184" s="32">
        <x:v>214.29</x:v>
      </x:c>
      <x:c r="C184" s="32">
        <x:v>214.29</x:v>
      </x:c>
      <x:c r="D184" s="32">
        <x:v>214.29</x:v>
      </x:c>
      <x:c r="E184" s="32">
        <x:v>214.29</x:v>
      </x:c>
      <x:c r="F184" s="33">
        <x:v>101500</x:v>
      </x:c>
      <x:c r="G184" s="34"/>
      <x:c r="H184" s="35"/>
      <x:c r="I184" s="36"/>
    </x:row>
    <x:row r="185">
      <x:c r="A185" s="31">
        <x:v>37169</x:v>
      </x:c>
      <x:c r="B185" s="32">
        <x:v>203.12</x:v>
      </x:c>
      <x:c r="C185" s="32">
        <x:v>203.12</x:v>
      </x:c>
      <x:c r="D185" s="32">
        <x:v>203.12</x:v>
      </x:c>
      <x:c r="E185" s="32">
        <x:v>203.12</x:v>
      </x:c>
      <x:c r="F185" s="33">
        <x:v>211600</x:v>
      </x:c>
      <x:c r="G185" s="34"/>
      <x:c r="H185" s="35"/>
      <x:c r="I185" s="36"/>
    </x:row>
    <x:row r="186">
      <x:c r="A186" s="31">
        <x:v>37172</x:v>
      </x:c>
      <x:c r="B186" s="32">
        <x:v>217.1</x:v>
      </x:c>
      <x:c r="C186" s="32">
        <x:v>217.1</x:v>
      </x:c>
      <x:c r="D186" s="32">
        <x:v>217.1</x:v>
      </x:c>
      <x:c r="E186" s="32">
        <x:v>217.1</x:v>
      </x:c>
      <x:c r="F186" s="33">
        <x:v>128300</x:v>
      </x:c>
      <x:c r="G186" s="34"/>
      <x:c r="H186" s="35"/>
      <x:c r="I186" s="36"/>
    </x:row>
    <x:row r="187">
      <x:c r="A187" s="31">
        <x:v>37174</x:v>
      </x:c>
      <x:c r="B187" s="32">
        <x:v>221.18</x:v>
      </x:c>
      <x:c r="C187" s="32">
        <x:v>221.18</x:v>
      </x:c>
      <x:c r="D187" s="32">
        <x:v>221.18</x:v>
      </x:c>
      <x:c r="E187" s="32">
        <x:v>221.18</x:v>
      </x:c>
      <x:c r="F187" s="33">
        <x:v>1200</x:v>
      </x:c>
      <x:c r="G187" s="34"/>
      <x:c r="H187" s="35"/>
      <x:c r="I187" s="36"/>
    </x:row>
    <x:row r="188">
      <x:c r="A188" s="31">
        <x:v>37176</x:v>
      </x:c>
      <x:c r="B188" s="32">
        <x:v>225.27</x:v>
      </x:c>
      <x:c r="C188" s="32">
        <x:v>225.27</x:v>
      </x:c>
      <x:c r="D188" s="32">
        <x:v>225.27</x:v>
      </x:c>
      <x:c r="E188" s="32">
        <x:v>225.27</x:v>
      </x:c>
      <x:c r="F188" s="33">
        <x:v>1000</x:v>
      </x:c>
      <x:c r="G188" s="34"/>
      <x:c r="H188" s="35"/>
      <x:c r="I188" s="36"/>
    </x:row>
    <x:row r="189">
      <x:c r="A189" s="31">
        <x:v>37179</x:v>
      </x:c>
      <x:c r="B189" s="32">
        <x:v>229.35</x:v>
      </x:c>
      <x:c r="C189" s="32">
        <x:v>229.35</x:v>
      </x:c>
      <x:c r="D189" s="32">
        <x:v>229.35</x:v>
      </x:c>
      <x:c r="E189" s="32">
        <x:v>229.35</x:v>
      </x:c>
      <x:c r="F189" s="33">
        <x:v>14700</x:v>
      </x:c>
      <x:c r="G189" s="34"/>
      <x:c r="H189" s="35"/>
      <x:c r="I189" s="36"/>
    </x:row>
    <x:row r="190">
      <x:c r="A190" s="31">
        <x:v>37181</x:v>
      </x:c>
      <x:c r="B190" s="32">
        <x:v>233.48</x:v>
      </x:c>
      <x:c r="C190" s="32">
        <x:v>233.48</x:v>
      </x:c>
      <x:c r="D190" s="32">
        <x:v>233.48</x:v>
      </x:c>
      <x:c r="E190" s="32">
        <x:v>233.48</x:v>
      </x:c>
      <x:c r="F190" s="33">
        <x:v>9900</x:v>
      </x:c>
      <x:c r="G190" s="34"/>
      <x:c r="H190" s="35"/>
      <x:c r="I190" s="36"/>
    </x:row>
    <x:row r="191">
      <x:c r="A191" s="31">
        <x:v>37183</x:v>
      </x:c>
      <x:c r="B191" s="32">
        <x:v>237.62</x:v>
      </x:c>
      <x:c r="C191" s="32">
        <x:v>237.62</x:v>
      </x:c>
      <x:c r="D191" s="32">
        <x:v>237.62</x:v>
      </x:c>
      <x:c r="E191" s="32">
        <x:v>237.62</x:v>
      </x:c>
      <x:c r="F191" s="33">
        <x:v>8500</x:v>
      </x:c>
      <x:c r="G191" s="34"/>
      <x:c r="H191" s="35"/>
      <x:c r="I191" s="36"/>
    </x:row>
    <x:row r="192">
      <x:c r="A192" s="31">
        <x:v>37186</x:v>
      </x:c>
      <x:c r="B192" s="32">
        <x:v>242.01</x:v>
      </x:c>
      <x:c r="C192" s="32">
        <x:v>242.01</x:v>
      </x:c>
      <x:c r="D192" s="32">
        <x:v>242.01</x:v>
      </x:c>
      <x:c r="E192" s="32">
        <x:v>242.01</x:v>
      </x:c>
      <x:c r="F192" s="33">
        <x:v>17500</x:v>
      </x:c>
      <x:c r="G192" s="34"/>
      <x:c r="H192" s="35"/>
      <x:c r="I192" s="36"/>
    </x:row>
    <x:row r="193">
      <x:c r="A193" s="31">
        <x:v>37188</x:v>
      </x:c>
      <x:c r="B193" s="32">
        <x:v>246.41</x:v>
      </x:c>
      <x:c r="C193" s="32">
        <x:v>246.41</x:v>
      </x:c>
      <x:c r="D193" s="32">
        <x:v>246.41</x:v>
      </x:c>
      <x:c r="E193" s="32">
        <x:v>246.41</x:v>
      </x:c>
      <x:c r="F193" s="33">
        <x:v>12900</x:v>
      </x:c>
      <x:c r="G193" s="34"/>
      <x:c r="H193" s="35"/>
      <x:c r="I193" s="36"/>
    </x:row>
    <x:row r="194">
      <x:c r="A194" s="31">
        <x:v>37190</x:v>
      </x:c>
      <x:c r="B194" s="32">
        <x:v>250.85</x:v>
      </x:c>
      <x:c r="C194" s="32">
        <x:v>250.85</x:v>
      </x:c>
      <x:c r="D194" s="32">
        <x:v>250.85</x:v>
      </x:c>
      <x:c r="E194" s="32">
        <x:v>250.85</x:v>
      </x:c>
      <x:c r="F194" s="33">
        <x:v>22700</x:v>
      </x:c>
      <x:c r="G194" s="34"/>
      <x:c r="H194" s="35"/>
      <x:c r="I194" s="36"/>
    </x:row>
    <x:row r="195">
      <x:c r="A195" s="31">
        <x:v>37193</x:v>
      </x:c>
      <x:c r="B195" s="32">
        <x:v>255.55</x:v>
      </x:c>
      <x:c r="C195" s="32">
        <x:v>255.55</x:v>
      </x:c>
      <x:c r="D195" s="32">
        <x:v>255.55</x:v>
      </x:c>
      <x:c r="E195" s="32">
        <x:v>255.55</x:v>
      </x:c>
      <x:c r="F195" s="33">
        <x:v>406900</x:v>
      </x:c>
      <x:c r="G195" s="34"/>
      <x:c r="H195" s="35"/>
      <x:c r="I195" s="36"/>
    </x:row>
    <x:row r="196">
      <x:c r="A196" s="31">
        <x:v>37195</x:v>
      </x:c>
      <x:c r="B196" s="32">
        <x:v>260.29000000000002</x:v>
      </x:c>
      <x:c r="C196" s="32">
        <x:v>260.29000000000002</x:v>
      </x:c>
      <x:c r="D196" s="32">
        <x:v>260.29000000000002</x:v>
      </x:c>
      <x:c r="E196" s="32">
        <x:v>260.29000000000002</x:v>
      </x:c>
      <x:c r="F196" s="33">
        <x:v>49200</x:v>
      </x:c>
      <x:c r="G196" s="34"/>
      <x:c r="H196" s="35"/>
      <x:c r="I196" s="36"/>
    </x:row>
    <x:row r="197">
      <x:c r="A197" s="31">
        <x:v>37197</x:v>
      </x:c>
      <x:c r="B197" s="32">
        <x:v>265.02999999999997</x:v>
      </x:c>
      <x:c r="C197" s="32">
        <x:v>265.02999999999997</x:v>
      </x:c>
      <x:c r="D197" s="32">
        <x:v>265.02999999999997</x:v>
      </x:c>
      <x:c r="E197" s="32">
        <x:v>265.02999999999997</x:v>
      </x:c>
      <x:c r="F197" s="33">
        <x:v>65300</x:v>
      </x:c>
      <x:c r="G197" s="34"/>
      <x:c r="H197" s="35"/>
      <x:c r="I197" s="36"/>
    </x:row>
    <x:row r="198">
      <x:c r="A198" s="31">
        <x:v>37200</x:v>
      </x:c>
      <x:c r="B198" s="32">
        <x:v>269.77</x:v>
      </x:c>
      <x:c r="C198" s="32">
        <x:v>269.77</x:v>
      </x:c>
      <x:c r="D198" s="32">
        <x:v>269.77</x:v>
      </x:c>
      <x:c r="E198" s="32">
        <x:v>269.77</x:v>
      </x:c>
      <x:c r="F198" s="33">
        <x:v>69500</x:v>
      </x:c>
      <x:c r="G198" s="34"/>
      <x:c r="H198" s="35"/>
      <x:c r="I198" s="36"/>
    </x:row>
    <x:row r="199">
      <x:c r="A199" s="31">
        <x:v>37202</x:v>
      </x:c>
      <x:c r="B199" s="32">
        <x:v>274.89</x:v>
      </x:c>
      <x:c r="C199" s="32">
        <x:v>274.89</x:v>
      </x:c>
      <x:c r="D199" s="32">
        <x:v>274.89</x:v>
      </x:c>
      <x:c r="E199" s="32">
        <x:v>274.89</x:v>
      </x:c>
      <x:c r="F199" s="33">
        <x:v>24700</x:v>
      </x:c>
      <x:c r="G199" s="34"/>
      <x:c r="H199" s="35"/>
      <x:c r="I199" s="36"/>
    </x:row>
    <x:row r="200">
      <x:c r="A200" s="31">
        <x:v>37204</x:v>
      </x:c>
      <x:c r="B200" s="32">
        <x:v>280.02999999999997</x:v>
      </x:c>
      <x:c r="C200" s="32">
        <x:v>280.02999999999997</x:v>
      </x:c>
      <x:c r="D200" s="32">
        <x:v>280.02999999999997</x:v>
      </x:c>
      <x:c r="E200" s="32">
        <x:v>280.02999999999997</x:v>
      </x:c>
      <x:c r="F200" s="33">
        <x:v>21500</x:v>
      </x:c>
      <x:c r="G200" s="34"/>
      <x:c r="H200" s="35"/>
      <x:c r="I200" s="36"/>
    </x:row>
    <x:row r="201">
      <x:c r="A201" s="31">
        <x:v>37207</x:v>
      </x:c>
      <x:c r="B201" s="32">
        <x:v>285.06</x:v>
      </x:c>
      <x:c r="C201" s="32">
        <x:v>285.06</x:v>
      </x:c>
      <x:c r="D201" s="32">
        <x:v>285.06</x:v>
      </x:c>
      <x:c r="E201" s="32">
        <x:v>285.06</x:v>
      </x:c>
      <x:c r="F201" s="33">
        <x:v>24700</x:v>
      </x:c>
      <x:c r="G201" s="34"/>
      <x:c r="H201" s="35"/>
      <x:c r="I201" s="36"/>
    </x:row>
    <x:row r="202">
      <x:c r="A202" s="31">
        <x:v>37209</x:v>
      </x:c>
      <x:c r="B202" s="32">
        <x:v>290.51</x:v>
      </x:c>
      <x:c r="C202" s="32">
        <x:v>290.51</x:v>
      </x:c>
      <x:c r="D202" s="32">
        <x:v>290.51</x:v>
      </x:c>
      <x:c r="E202" s="32">
        <x:v>290.51</x:v>
      </x:c>
      <x:c r="F202" s="33">
        <x:v>33200</x:v>
      </x:c>
      <x:c r="G202" s="34"/>
      <x:c r="H202" s="35"/>
      <x:c r="I202" s="36"/>
    </x:row>
    <x:row r="203">
      <x:c r="A203" s="31">
        <x:v>37211</x:v>
      </x:c>
      <x:c r="B203" s="32">
        <x:v>295.97000000000003</x:v>
      </x:c>
      <x:c r="C203" s="32">
        <x:v>295.97000000000003</x:v>
      </x:c>
      <x:c r="D203" s="32">
        <x:v>295.97000000000003</x:v>
      </x:c>
      <x:c r="E203" s="32">
        <x:v>295.97000000000003</x:v>
      </x:c>
      <x:c r="F203" s="33">
        <x:v>23500</x:v>
      </x:c>
      <x:c r="G203" s="34"/>
      <x:c r="H203" s="35"/>
      <x:c r="I203" s="36"/>
    </x:row>
    <x:row r="204">
      <x:c r="A204" s="31">
        <x:v>37214</x:v>
      </x:c>
      <x:c r="B204" s="32">
        <x:v>301.08999999999997</x:v>
      </x:c>
      <x:c r="C204" s="32">
        <x:v>301.08999999999997</x:v>
      </x:c>
      <x:c r="D204" s="32">
        <x:v>301.08999999999997</x:v>
      </x:c>
      <x:c r="E204" s="32">
        <x:v>301.08999999999997</x:v>
      </x:c>
      <x:c r="F204" s="33">
        <x:v>53300</x:v>
      </x:c>
      <x:c r="G204" s="34"/>
      <x:c r="H204" s="35"/>
      <x:c r="I204" s="36"/>
    </x:row>
    <x:row r="205">
      <x:c r="A205" s="31">
        <x:v>37216</x:v>
      </x:c>
      <x:c r="B205" s="32">
        <x:v>296.11</x:v>
      </x:c>
      <x:c r="C205" s="32">
        <x:v>296.11</x:v>
      </x:c>
      <x:c r="D205" s="32">
        <x:v>296.11</x:v>
      </x:c>
      <x:c r="E205" s="32">
        <x:v>296.11</x:v>
      </x:c>
      <x:c r="F205" s="33">
        <x:v>300700</x:v>
      </x:c>
      <x:c r="G205" s="32" t="n">
        <x:f t="shared" ref="G205:G268" si="0">AVERAGE(E6:E205)</x:f>
        <x:v>259.9381500000001</x:v>
      </x:c>
      <x:c r="H205" s="37" t="n">
        <x:f t="shared" ref="H205:H268" si="1">IFERROR(E205/G205-1,"")</x:f>
        <x:v>0.1391556029770924</x:v>
      </x:c>
      <x:c r="I205" s="38" t="b">
        <x:f t="shared" ref="I205:I268" si="2">E205&lt;G205</x:f>
        <x:v>0</x:v>
      </x:c>
    </x:row>
    <x:row r="206">
      <x:c r="A206" s="31">
        <x:v>37218</x:v>
      </x:c>
      <x:c r="B206" s="32">
        <x:v>292.17</x:v>
      </x:c>
      <x:c r="C206" s="32">
        <x:v>292.17</x:v>
      </x:c>
      <x:c r="D206" s="32">
        <x:v>292.17</x:v>
      </x:c>
      <x:c r="E206" s="32">
        <x:v>292.17</x:v>
      </x:c>
      <x:c r="F206" s="33">
        <x:v>134700</x:v>
      </x:c>
      <x:c r="G206" s="32" t="n">
        <x:f t="shared" si="0">AVERAGE(E7:E206)</x:f>
        <x:v>260.89900000000006</x:v>
      </x:c>
      <x:c r="H206" s="37" t="n">
        <x:f t="shared" si="1">IFERROR(E206/G206-1,"")</x:f>
        <x:v>0.11985864261649115</x:v>
      </x:c>
      <x:c r="I206" s="38" t="b">
        <x:f t="shared" si="2">E206&lt;G206</x:f>
        <x:v>0</x:v>
      </x:c>
    </x:row>
    <x:row r="207">
      <x:c r="A207" s="31">
        <x:v>37221</x:v>
      </x:c>
      <x:c r="B207" s="32">
        <x:v>296.89999999999998</x:v>
      </x:c>
      <x:c r="C207" s="32">
        <x:v>296.89999999999998</x:v>
      </x:c>
      <x:c r="D207" s="32">
        <x:v>296.89999999999998</x:v>
      </x:c>
      <x:c r="E207" s="32">
        <x:v>296.89999999999998</x:v>
      </x:c>
      <x:c r="F207" s="33">
        <x:v>278300</x:v>
      </x:c>
      <x:c r="G207" s="32" t="n">
        <x:f t="shared" si="0">AVERAGE(E8:E207)</x:f>
        <x:v>261.8757500000001</x:v>
      </x:c>
      <x:c r="H207" s="37" t="n">
        <x:f t="shared" si="1">IFERROR(E207/G207-1,"")</x:f>
        <x:v>0.13374376970758028</x:v>
      </x:c>
      <x:c r="I207" s="38" t="b">
        <x:f t="shared" si="2">E207&lt;G207</x:f>
        <x:v>0</x:v>
      </x:c>
    </x:row>
    <x:row r="208">
      <x:c r="A208" s="31">
        <x:v>37223</x:v>
      </x:c>
      <x:c r="B208" s="32">
        <x:v>293.02999999999997</x:v>
      </x:c>
      <x:c r="C208" s="32">
        <x:v>293.02999999999997</x:v>
      </x:c>
      <x:c r="D208" s="32">
        <x:v>293.02999999999997</x:v>
      </x:c>
      <x:c r="E208" s="32">
        <x:v>293.02999999999997</x:v>
      </x:c>
      <x:c r="F208" s="33">
        <x:v>156300</x:v>
      </x:c>
      <x:c r="G208" s="32" t="n">
        <x:f t="shared" si="0">AVERAGE(E9:E208)</x:f>
        <x:v>262.82400000000007</x:v>
      </x:c>
      <x:c r="H208" s="37" t="n">
        <x:f t="shared" si="1">IFERROR(E208/G208-1,"")</x:f>
        <x:v>0.11492862143487614</x:v>
      </x:c>
      <x:c r="I208" s="38" t="b">
        <x:f t="shared" si="2">E208&lt;G208</x:f>
        <x:v>0</x:v>
      </x:c>
    </x:row>
    <x:row r="209">
      <x:c r="A209" s="31">
        <x:v>37225</x:v>
      </x:c>
      <x:c r="B209" s="32">
        <x:v>288.52</x:v>
      </x:c>
      <x:c r="C209" s="32">
        <x:v>288.52</x:v>
      </x:c>
      <x:c r="D209" s="32">
        <x:v>288.52</x:v>
      </x:c>
      <x:c r="E209" s="32">
        <x:v>288.52</x:v>
      </x:c>
      <x:c r="F209" s="33">
        <x:v>41600</x:v>
      </x:c>
      <x:c r="G209" s="32" t="n">
        <x:f t="shared" si="0">AVERAGE(E10:E209)</x:f>
        <x:v>263.74060000000003</x:v>
      </x:c>
      <x:c r="H209" s="37" t="n">
        <x:f t="shared" si="1">IFERROR(E209/G209-1,"")</x:f>
        <x:v>0.09395368024490702</x:v>
      </x:c>
      <x:c r="I209" s="38" t="b">
        <x:f t="shared" si="2">E209&lt;G209</x:f>
        <x:v>0</x:v>
      </x:c>
    </x:row>
    <x:row r="210">
      <x:c r="A210" s="31">
        <x:v>37228</x:v>
      </x:c>
      <x:c r="B210" s="32">
        <x:v>283.02</x:v>
      </x:c>
      <x:c r="C210" s="32">
        <x:v>283.02</x:v>
      </x:c>
      <x:c r="D210" s="32">
        <x:v>283.02</x:v>
      </x:c>
      <x:c r="E210" s="32">
        <x:v>283.02</x:v>
      </x:c>
      <x:c r="F210" s="33">
        <x:v>28200</x:v>
      </x:c>
      <x:c r="G210" s="32" t="n">
        <x:f t="shared" si="0">AVERAGE(E11:E210)</x:f>
        <x:v>264.62110000000007</x:v>
      </x:c>
      <x:c r="H210" s="37" t="n">
        <x:f t="shared" si="1">IFERROR(E210/G210-1,"")</x:f>
        <x:v>0.06952922499377379</x:v>
      </x:c>
      <x:c r="I210" s="38" t="b">
        <x:f t="shared" si="2">E210&lt;G210</x:f>
        <x:v>0</x:v>
      </x:c>
    </x:row>
    <x:row r="211">
      <x:c r="A211" s="31">
        <x:v>37230</x:v>
      </x:c>
      <x:c r="B211" s="32">
        <x:v>279.14999999999998</x:v>
      </x:c>
      <x:c r="C211" s="32">
        <x:v>279.14999999999998</x:v>
      </x:c>
      <x:c r="D211" s="32">
        <x:v>279.14999999999998</x:v>
      </x:c>
      <x:c r="E211" s="32">
        <x:v>279.14999999999998</x:v>
      </x:c>
      <x:c r="F211" s="33">
        <x:v>18000</x:v>
      </x:c>
      <x:c r="G211" s="32" t="n">
        <x:f t="shared" si="0">AVERAGE(E12:E211)</x:f>
        <x:v>265.4736500000001</x:v>
      </x:c>
      <x:c r="H211" s="37" t="n">
        <x:f t="shared" si="1">IFERROR(E211/G211-1,"")</x:f>
        <x:v>0.0515167889543835</x:v>
      </x:c>
      <x:c r="I211" s="38" t="b">
        <x:f t="shared" si="2">E211&lt;G211</x:f>
        <x:v>0</x:v>
      </x:c>
    </x:row>
    <x:row r="212">
      <x:c r="A212" s="31">
        <x:v>37232</x:v>
      </x:c>
      <x:c r="B212" s="32">
        <x:v>275.49</x:v>
      </x:c>
      <x:c r="C212" s="32">
        <x:v>275.49</x:v>
      </x:c>
      <x:c r="D212" s="32">
        <x:v>275.49</x:v>
      </x:c>
      <x:c r="E212" s="32">
        <x:v>275.49</x:v>
      </x:c>
      <x:c r="F212" s="33">
        <x:v>72600</x:v>
      </x:c>
      <x:c r="G212" s="32" t="n">
        <x:f t="shared" si="0">AVERAGE(E13:E212)</x:f>
        <x:v>266.2993</x:v>
      </x:c>
      <x:c r="H212" s="37" t="n">
        <x:f t="shared" si="1">IFERROR(E212/G212-1,"")</x:f>
        <x:v>0.03451267051772189</x:v>
      </x:c>
      <x:c r="I212" s="38" t="b">
        <x:f t="shared" si="2">E212&lt;G212</x:f>
        <x:v>0</x:v>
      </x:c>
    </x:row>
    <x:row r="213">
      <x:c r="A213" s="31">
        <x:v>37235</x:v>
      </x:c>
      <x:c r="B213" s="32">
        <x:v>271.62</x:v>
      </x:c>
      <x:c r="C213" s="32">
        <x:v>271.62</x:v>
      </x:c>
      <x:c r="D213" s="32">
        <x:v>271.62</x:v>
      </x:c>
      <x:c r="E213" s="32">
        <x:v>271.62</x:v>
      </x:c>
      <x:c r="F213" s="33">
        <x:v>149300</x:v>
      </x:c>
      <x:c r="G213" s="32" t="n">
        <x:f t="shared" si="0">AVERAGE(E14:E213)</x:f>
        <x:v>267.097</x:v>
      </x:c>
      <x:c r="H213" s="37" t="n">
        <x:f t="shared" si="1">IFERROR(E213/G213-1,"")</x:f>
        <x:v>0.016933922881949393</x:v>
      </x:c>
      <x:c r="I213" s="38" t="b">
        <x:f t="shared" si="2">E213&lt;G213</x:f>
        <x:v>0</x:v>
      </x:c>
    </x:row>
    <x:row r="214">
      <x:c r="A214" s="31">
        <x:v>37237</x:v>
      </x:c>
      <x:c r="B214" s="32">
        <x:v>267.83</x:v>
      </x:c>
      <x:c r="C214" s="32">
        <x:v>267.83</x:v>
      </x:c>
      <x:c r="D214" s="32">
        <x:v>267.83</x:v>
      </x:c>
      <x:c r="E214" s="32">
        <x:v>267.83</x:v>
      </x:c>
      <x:c r="F214" s="33">
        <x:v>78500</x:v>
      </x:c>
      <x:c r="G214" s="32" t="n">
        <x:f t="shared" si="0">AVERAGE(E15:E214)</x:f>
        <x:v>267.86715000000004</x:v>
      </x:c>
      <x:c r="H214" s="37" t="n">
        <x:f t="shared" si="1">IFERROR(E214/G214-1,"")</x:f>
        <x:v>-0.00013868815194417738</x:v>
      </x:c>
      <x:c r="I214" s="38" t="b">
        <x:f t="shared" si="2">E214&lt;G214</x:f>
        <x:v>1</x:v>
      </x:c>
    </x:row>
    <x:row r="215">
      <x:c r="A215" s="31">
        <x:v>37239</x:v>
      </x:c>
      <x:c r="B215" s="32">
        <x:v>263.04000000000002</x:v>
      </x:c>
      <x:c r="C215" s="32">
        <x:v>263.04000000000002</x:v>
      </x:c>
      <x:c r="D215" s="32">
        <x:v>263.04000000000002</x:v>
      </x:c>
      <x:c r="E215" s="32">
        <x:v>263.04000000000002</x:v>
      </x:c>
      <x:c r="F215" s="33">
        <x:v>47400</x:v>
      </x:c>
      <x:c r="G215" s="32" t="n">
        <x:f t="shared" si="0">AVERAGE(E16:E215)</x:f>
        <x:v>268.60475</x:v>
      </x:c>
      <x:c r="H215" s="37" t="n">
        <x:f t="shared" si="1">IFERROR(E215/G215-1,"")</x:f>
        <x:v>-0.020717243459022927</x:v>
      </x:c>
      <x:c r="I215" s="38" t="b">
        <x:f t="shared" si="2">E215&lt;G215</x:f>
        <x:v>1</x:v>
      </x:c>
    </x:row>
    <x:row r="216">
      <x:c r="A216" s="31">
        <x:v>37242</x:v>
      </x:c>
      <x:c r="B216" s="32">
        <x:v>259.08</x:v>
      </x:c>
      <x:c r="C216" s="32">
        <x:v>259.08</x:v>
      </x:c>
      <x:c r="D216" s="32">
        <x:v>259.08</x:v>
      </x:c>
      <x:c r="E216" s="32">
        <x:v>259.08</x:v>
      </x:c>
      <x:c r="F216" s="33">
        <x:v>26700</x:v>
      </x:c>
      <x:c r="G216" s="32" t="n">
        <x:f t="shared" si="0">AVERAGE(E17:E216)</x:f>
        <x:v>269.31395000000003</x:v>
      </x:c>
      <x:c r="H216" s="37" t="n">
        <x:f t="shared" si="1">IFERROR(E216/G216-1,"")</x:f>
        <x:v>-0.038000073891456654</x:v>
      </x:c>
      <x:c r="I216" s="38" t="b">
        <x:f t="shared" si="2">E216&lt;G216</x:f>
        <x:v>1</x:v>
      </x:c>
    </x:row>
    <x:row r="217">
      <x:c r="A217" s="31">
        <x:v>37244</x:v>
      </x:c>
      <x:c r="B217" s="32">
        <x:v>247.26</x:v>
      </x:c>
      <x:c r="C217" s="32">
        <x:v>247.26</x:v>
      </x:c>
      <x:c r="D217" s="32">
        <x:v>247.26</x:v>
      </x:c>
      <x:c r="E217" s="32">
        <x:v>247.26</x:v>
      </x:c>
      <x:c r="F217" s="33">
        <x:v>85300</x:v>
      </x:c>
      <x:c r="G217" s="32" t="n">
        <x:f t="shared" si="0">AVERAGE(E18:E217)</x:f>
        <x:v>269.9554500000001</x:v>
      </x:c>
      <x:c r="H217" s="37" t="n">
        <x:f t="shared" si="1">IFERROR(E217/G217-1,"")</x:f>
        <x:v>-0.08407109395272483</x:v>
      </x:c>
      <x:c r="I217" s="38" t="b">
        <x:f t="shared" si="2">E217&lt;G217</x:f>
        <x:v>1</x:v>
      </x:c>
    </x:row>
    <x:row r="218">
      <x:c r="A218" s="31">
        <x:v>37246</x:v>
      </x:c>
      <x:c r="B218" s="32">
        <x:v>250.95</x:v>
      </x:c>
      <x:c r="C218" s="32">
        <x:v>250.95</x:v>
      </x:c>
      <x:c r="D218" s="32">
        <x:v>250.95</x:v>
      </x:c>
      <x:c r="E218" s="32">
        <x:v>250.95</x:v>
      </x:c>
      <x:c r="F218" s="33">
        <x:v>362500</x:v>
      </x:c>
      <x:c r="G218" s="32" t="n">
        <x:f t="shared" si="0">AVERAGE(E19:E218)</x:f>
        <x:v>270.61600000000004</x:v>
      </x:c>
      <x:c r="H218" s="37" t="n">
        <x:f t="shared" si="1">IFERROR(E218/G218-1,"")</x:f>
        <x:v>-0.07267123895113392</x:v>
      </x:c>
      <x:c r="I218" s="38" t="b">
        <x:f t="shared" si="2">E218&lt;G218</x:f>
        <x:v>1</x:v>
      </x:c>
    </x:row>
    <x:row r="219">
      <x:c r="A219" s="31">
        <x:v>37249</x:v>
      </x:c>
      <x:c r="B219" s="32">
        <x:v>248.05</x:v>
      </x:c>
      <x:c r="C219" s="32">
        <x:v>248.05</x:v>
      </x:c>
      <x:c r="D219" s="32">
        <x:v>248.05</x:v>
      </x:c>
      <x:c r="E219" s="32">
        <x:v>248.05</x:v>
      </x:c>
      <x:c r="F219" s="33">
        <x:v>174900</x:v>
      </x:c>
      <x:c r="G219" s="32" t="n">
        <x:f t="shared" si="0">AVERAGE(E20:E219)</x:f>
        <x:v>271.27125000000007</x:v>
      </x:c>
      <x:c r="H219" s="37" t="n">
        <x:f t="shared" si="1">IFERROR(E219/G219-1,"")</x:f>
        <x:v>-0.08560158881562296</x:v>
      </x:c>
      <x:c r="I219" s="38" t="b">
        <x:f t="shared" si="2">E219&lt;G219</x:f>
        <x:v>1</x:v>
      </x:c>
    </x:row>
    <x:row r="220">
      <x:c r="A220" s="31">
        <x:v>37251</x:v>
      </x:c>
      <x:c r="B220" s="32">
        <x:v>242.75</x:v>
      </x:c>
      <x:c r="C220" s="32">
        <x:v>242.75</x:v>
      </x:c>
      <x:c r="D220" s="32">
        <x:v>242.75</x:v>
      </x:c>
      <x:c r="E220" s="32">
        <x:v>242.75</x:v>
      </x:c>
      <x:c r="F220" s="33">
        <x:v>145400</x:v>
      </x:c>
      <x:c r="G220" s="32" t="n">
        <x:f t="shared" si="0">AVERAGE(E21:E220)</x:f>
        <x:v>271.90925000000004</x:v>
      </x:c>
      <x:c r="H220" s="37" t="n">
        <x:f t="shared" si="1">IFERROR(E220/G220-1,"")</x:f>
        <x:v>-0.107238904156442</x:v>
      </x:c>
      <x:c r="I220" s="38" t="b">
        <x:f t="shared" si="2">E220&lt;G220</x:f>
        <x:v>1</x:v>
      </x:c>
    </x:row>
    <x:row r="221">
      <x:c r="A221" s="31">
        <x:v>37253</x:v>
      </x:c>
      <x:c r="B221" s="32">
        <x:v>239.27</x:v>
      </x:c>
      <x:c r="C221" s="32">
        <x:v>239.27</x:v>
      </x:c>
      <x:c r="D221" s="32">
        <x:v>239.27</x:v>
      </x:c>
      <x:c r="E221" s="32">
        <x:v>239.27</x:v>
      </x:c>
      <x:c r="F221" s="33">
        <x:v>72700</x:v>
      </x:c>
      <x:c r="G221" s="32" t="n">
        <x:f t="shared" si="0">AVERAGE(E22:E221)</x:f>
        <x:v>272.53875000000005</x:v>
      </x:c>
      <x:c r="H221" s="37" t="n">
        <x:f t="shared" si="1">IFERROR(E221/G221-1,"")</x:f>
        <x:v>-0.12206979741412927</x:v>
      </x:c>
      <x:c r="I221" s="38" t="b">
        <x:f t="shared" si="2">E221&lt;G221</x:f>
        <x:v>1</x:v>
      </x:c>
    </x:row>
    <x:row r="222">
      <x:c r="A222" s="31">
        <x:v>37256</x:v>
      </x:c>
      <x:c r="B222" s="32">
        <x:v>235.4</x:v>
      </x:c>
      <x:c r="C222" s="32">
        <x:v>235.4</x:v>
      </x:c>
      <x:c r="D222" s="32">
        <x:v>235.4</x:v>
      </x:c>
      <x:c r="E222" s="32">
        <x:v>235.4</x:v>
      </x:c>
      <x:c r="F222" s="33">
        <x:v>43500</x:v>
      </x:c>
      <x:c r="G222" s="32" t="n">
        <x:f t="shared" si="0">AVERAGE(E23:E222)</x:f>
        <x:v>273.1532000000001</x:v>
      </x:c>
      <x:c r="H222" s="37" t="n">
        <x:f t="shared" si="1">IFERROR(E222/G222-1,"")</x:f>
        <x:v>-0.13821254885536782</x:v>
      </x:c>
      <x:c r="I222" s="38" t="b">
        <x:f t="shared" si="2">E222&lt;G222</x:f>
        <x:v>1</x:v>
      </x:c>
    </x:row>
    <x:row r="223">
      <x:c r="A223" s="31">
        <x:v>37258</x:v>
      </x:c>
      <x:c r="B223" s="32">
        <x:v>231.7</x:v>
      </x:c>
      <x:c r="C223" s="32">
        <x:v>231.7</x:v>
      </x:c>
      <x:c r="D223" s="32">
        <x:v>231.7</x:v>
      </x:c>
      <x:c r="E223" s="32">
        <x:v>231.7</x:v>
      </x:c>
      <x:c r="F223" s="33">
        <x:v>64100</x:v>
      </x:c>
      <x:c r="G223" s="32" t="n">
        <x:f t="shared" si="0">AVERAGE(E24:E223)</x:f>
        <x:v>273.74975000000006</x:v>
      </x:c>
      <x:c r="H223" s="37" t="n">
        <x:f t="shared" si="1">IFERROR(E223/G223-1,"")</x:f>
        <x:v>-0.15360653297400295</x:v>
      </x:c>
      <x:c r="I223" s="38" t="b">
        <x:f t="shared" si="2">E223&lt;G223</x:f>
        <x:v>1</x:v>
      </x:c>
    </x:row>
    <x:row r="224">
      <x:c r="A224" s="31">
        <x:v>37260</x:v>
      </x:c>
      <x:c r="B224" s="32">
        <x:v>227.79</x:v>
      </x:c>
      <x:c r="C224" s="32">
        <x:v>227.79</x:v>
      </x:c>
      <x:c r="D224" s="32">
        <x:v>227.79</x:v>
      </x:c>
      <x:c r="E224" s="32">
        <x:v>227.79</x:v>
      </x:c>
      <x:c r="F224" s="33">
        <x:v>41400</x:v>
      </x:c>
      <x:c r="G224" s="32" t="n">
        <x:f t="shared" si="0">AVERAGE(E25:E224)</x:f>
        <x:v>274.31815000000006</x:v>
      </x:c>
      <x:c r="H224" s="37" t="n">
        <x:f t="shared" si="1">IFERROR(E224/G224-1,"")</x:f>
        <x:v>-0.16961382249041868</x:v>
      </x:c>
      <x:c r="I224" s="38" t="b">
        <x:f t="shared" si="2">E224&lt;G224</x:f>
        <x:v>1</x:v>
      </x:c>
    </x:row>
    <x:row r="225">
      <x:c r="A225" s="31">
        <x:v>37263</x:v>
      </x:c>
      <x:c r="B225" s="32">
        <x:v>225.95</x:v>
      </x:c>
      <x:c r="C225" s="32">
        <x:v>225.95</x:v>
      </x:c>
      <x:c r="D225" s="32">
        <x:v>225.95</x:v>
      </x:c>
      <x:c r="E225" s="32">
        <x:v>225.95</x:v>
      </x:c>
      <x:c r="F225" s="33">
        <x:v>284000</x:v>
      </x:c>
      <x:c r="G225" s="32" t="n">
        <x:f t="shared" si="0">AVERAGE(E26:E225)</x:f>
        <x:v>274.86750000000006</x:v>
      </x:c>
      <x:c r="H225" s="37" t="n">
        <x:f t="shared" si="1">IFERROR(E225/G225-1,"")</x:f>
        <x:v>-0.1779675661909832</x:v>
      </x:c>
      <x:c r="I225" s="38" t="b">
        <x:f t="shared" si="2">E225&lt;G225</x:f>
        <x:v>1</x:v>
      </x:c>
    </x:row>
    <x:row r="226">
      <x:c r="A226" s="31">
        <x:v>37265</x:v>
      </x:c>
      <x:c r="B226" s="32">
        <x:v>222.9</x:v>
      </x:c>
      <x:c r="C226" s="32">
        <x:v>222.9</x:v>
      </x:c>
      <x:c r="D226" s="32">
        <x:v>222.9</x:v>
      </x:c>
      <x:c r="E226" s="32">
        <x:v>222.9</x:v>
      </x:c>
      <x:c r="F226" s="33">
        <x:v>188700</x:v>
      </x:c>
      <x:c r="G226" s="32" t="n">
        <x:f t="shared" si="0">AVERAGE(E27:E226)</x:f>
        <x:v>275.3918000000001</x:v>
      </x:c>
      <x:c r="H226" s="37" t="n">
        <x:f t="shared" si="1">IFERROR(E226/G226-1,"")</x:f>
        <x:v>-0.19060770872625865</x:v>
      </x:c>
      <x:c r="I226" s="38" t="b">
        <x:f t="shared" si="2">E226&lt;G226</x:f>
        <x:v>1</x:v>
      </x:c>
    </x:row>
    <x:row r="227">
      <x:c r="A227" s="31">
        <x:v>37267</x:v>
      </x:c>
      <x:c r="B227" s="32">
        <x:v>219.22</x:v>
      </x:c>
      <x:c r="C227" s="32">
        <x:v>219.22</x:v>
      </x:c>
      <x:c r="D227" s="32">
        <x:v>219.22</x:v>
      </x:c>
      <x:c r="E227" s="32">
        <x:v>219.22</x:v>
      </x:c>
      <x:c r="F227" s="33">
        <x:v>79200</x:v>
      </x:c>
      <x:c r="G227" s="32" t="n">
        <x:f t="shared" si="0">AVERAGE(E28:E227)</x:f>
        <x:v>275.89695000000006</x:v>
      </x:c>
      <x:c r="H227" s="37" t="n">
        <x:f t="shared" si="1">IFERROR(E227/G227-1,"")</x:f>
        <x:v>-0.20542796866728696</x:v>
      </x:c>
      <x:c r="I227" s="38" t="b">
        <x:f t="shared" si="2">E227&lt;G227</x:f>
        <x:v>1</x:v>
      </x:c>
    </x:row>
    <x:row r="228">
      <x:c r="A228" s="31">
        <x:v>37270</x:v>
      </x:c>
      <x:c r="B228" s="32">
        <x:v>214.16</x:v>
      </x:c>
      <x:c r="C228" s="32">
        <x:v>214.16</x:v>
      </x:c>
      <x:c r="D228" s="32">
        <x:v>214.16</x:v>
      </x:c>
      <x:c r="E228" s="32">
        <x:v>214.16</x:v>
      </x:c>
      <x:c r="F228" s="33">
        <x:v>52200</x:v>
      </x:c>
      <x:c r="G228" s="32" t="n">
        <x:f t="shared" si="0">AVERAGE(E29:E228)</x:f>
        <x:v>276.3767000000001</x:v>
      </x:c>
      <x:c r="H228" s="37" t="n">
        <x:f t="shared" si="1">IFERROR(E228/G228-1,"")</x:f>
        <x:v>-0.2251155759512291</x:v>
      </x:c>
      <x:c r="I228" s="38" t="b">
        <x:f t="shared" si="2">E228&lt;G228</x:f>
        <x:v>1</x:v>
      </x:c>
    </x:row>
    <x:row r="229">
      <x:c r="A229" s="31">
        <x:v>37272</x:v>
      </x:c>
      <x:c r="B229" s="32">
        <x:v>210.68</x:v>
      </x:c>
      <x:c r="C229" s="32">
        <x:v>210.68</x:v>
      </x:c>
      <x:c r="D229" s="32">
        <x:v>210.68</x:v>
      </x:c>
      <x:c r="E229" s="32">
        <x:v>210.68</x:v>
      </x:c>
      <x:c r="F229" s="33">
        <x:v>32400</x:v>
      </x:c>
      <x:c r="G229" s="32" t="n">
        <x:f t="shared" si="0">AVERAGE(E30:E229)</x:f>
        <x:v>276.8363000000001</x:v>
      </x:c>
      <x:c r="H229" s="37" t="n">
        <x:f t="shared" si="1">IFERROR(E229/G229-1,"")</x:f>
        <x:v>-0.23897263473034447</x:v>
      </x:c>
      <x:c r="I229" s="38" t="b">
        <x:f t="shared" si="2">E229&lt;G229</x:f>
        <x:v>1</x:v>
      </x:c>
    </x:row>
    <x:row r="230">
      <x:c r="A230" s="31">
        <x:v>37274</x:v>
      </x:c>
      <x:c r="B230" s="32">
        <x:v>206.79</x:v>
      </x:c>
      <x:c r="C230" s="32">
        <x:v>206.79</x:v>
      </x:c>
      <x:c r="D230" s="32">
        <x:v>206.79</x:v>
      </x:c>
      <x:c r="E230" s="32">
        <x:v>206.79</x:v>
      </x:c>
      <x:c r="F230" s="33">
        <x:v>30400</x:v>
      </x:c>
      <x:c r="G230" s="32" t="n">
        <x:f t="shared" si="0">AVERAGE(E31:E230)</x:f>
        <x:v>277.27535000000006</x:v>
      </x:c>
      <x:c r="H230" s="37" t="n">
        <x:f t="shared" si="1">IFERROR(E230/G230-1,"")</x:f>
        <x:v>-0.2542070544676981</x:v>
      </x:c>
      <x:c r="I230" s="38" t="b">
        <x:f t="shared" si="2">E230&lt;G230</x:f>
        <x:v>1</x:v>
      </x:c>
    </x:row>
    <x:row r="231">
      <x:c r="A231" s="31">
        <x:v>37277</x:v>
      </x:c>
      <x:c r="B231" s="32">
        <x:v>203.27</x:v>
      </x:c>
      <x:c r="C231" s="32">
        <x:v>203.27</x:v>
      </x:c>
      <x:c r="D231" s="32">
        <x:v>203.27</x:v>
      </x:c>
      <x:c r="E231" s="32">
        <x:v>203.27</x:v>
      </x:c>
      <x:c r="F231" s="33">
        <x:v>79500</x:v>
      </x:c>
      <x:c r="G231" s="32" t="n">
        <x:f t="shared" si="0">AVERAGE(E32:E231)</x:f>
        <x:v>277.69325000000003</x:v>
      </x:c>
      <x:c r="H231" s="37" t="n">
        <x:f t="shared" si="1">IFERROR(E231/G231-1,"")</x:f>
        <x:v>-0.26800525399879194</x:v>
      </x:c>
      <x:c r="I231" s="38" t="b">
        <x:f t="shared" si="2">E231&lt;G231</x:f>
        <x:v>1</x:v>
      </x:c>
    </x:row>
    <x:row r="232">
      <x:c r="A232" s="31">
        <x:v>37279</x:v>
      </x:c>
      <x:c r="B232" s="32">
        <x:v>206.01</x:v>
      </x:c>
      <x:c r="C232" s="32">
        <x:v>206.01</x:v>
      </x:c>
      <x:c r="D232" s="32">
        <x:v>206.01</x:v>
      </x:c>
      <x:c r="E232" s="32">
        <x:v>206.01</x:v>
      </x:c>
      <x:c r="F232" s="33">
        <x:v>325100</x:v>
      </x:c>
      <x:c r="G232" s="32" t="n">
        <x:f t="shared" si="0">AVERAGE(E33:E232)</x:f>
        <x:v>278.11975000000007</x:v>
      </x:c>
      <x:c r="H232" s="37" t="n">
        <x:f t="shared" si="1">IFERROR(E232/G232-1,"")</x:f>
        <x:v>-0.25927590543282186</x:v>
      </x:c>
      <x:c r="I232" s="38" t="b">
        <x:f t="shared" si="2">E232&lt;G232</x:f>
        <x:v>1</x:v>
      </x:c>
    </x:row>
    <x:row r="233">
      <x:c r="A233" s="31">
        <x:v>37281</x:v>
      </x:c>
      <x:c r="B233" s="32">
        <x:v>209.02</x:v>
      </x:c>
      <x:c r="C233" s="32">
        <x:v>209.02</x:v>
      </x:c>
      <x:c r="D233" s="32">
        <x:v>209.02</x:v>
      </x:c>
      <x:c r="E233" s="32">
        <x:v>209.02</x:v>
      </x:c>
      <x:c r="F233" s="33">
        <x:v>164000</x:v>
      </x:c>
      <x:c r="G233" s="32" t="n">
        <x:f t="shared" si="0">AVERAGE(E34:E233)</x:f>
        <x:v>278.56025000000005</x:v>
      </x:c>
      <x:c r="H233" s="37" t="n">
        <x:f t="shared" si="1">IFERROR(E233/G233-1,"")</x:f>
        <x:v>-0.2496416843393845</x:v>
      </x:c>
      <x:c r="I233" s="38" t="b">
        <x:f t="shared" si="2">E233&lt;G233</x:f>
        <x:v>1</x:v>
      </x:c>
    </x:row>
    <x:row r="234">
      <x:c r="A234" s="31">
        <x:v>37284</x:v>
      </x:c>
      <x:c r="B234" s="32">
        <x:v>210.76</x:v>
      </x:c>
      <x:c r="C234" s="32">
        <x:v>210.76</x:v>
      </x:c>
      <x:c r="D234" s="32">
        <x:v>210.76</x:v>
      </x:c>
      <x:c r="E234" s="32">
        <x:v>210.76</x:v>
      </x:c>
      <x:c r="F234" s="33">
        <x:v>121500</x:v>
      </x:c>
      <x:c r="G234" s="32" t="n">
        <x:f t="shared" si="0">AVERAGE(E35:E234)</x:f>
        <x:v>279.00835000000006</x:v>
      </x:c>
      <x:c r="H234" s="37" t="n">
        <x:f t="shared" si="1">IFERROR(E234/G234-1,"")</x:f>
        <x:v>-0.24461042115764653</x:v>
      </x:c>
      <x:c r="I234" s="38" t="b">
        <x:f t="shared" si="2">E234&lt;G234</x:f>
        <x:v>1</x:v>
      </x:c>
    </x:row>
    <x:row r="235">
      <x:c r="A235" s="31">
        <x:v>37286</x:v>
      </x:c>
      <x:c r="B235" s="32">
        <x:v>207.55</x:v>
      </x:c>
      <x:c r="C235" s="32">
        <x:v>207.55</x:v>
      </x:c>
      <x:c r="D235" s="32">
        <x:v>207.55</x:v>
      </x:c>
      <x:c r="E235" s="32">
        <x:v>207.55</x:v>
      </x:c>
      <x:c r="F235" s="33">
        <x:v>548800</x:v>
      </x:c>
      <x:c r="G235" s="32" t="n">
        <x:f t="shared" si="0">AVERAGE(E36:E235)</x:f>
        <x:v>279.4350500000001</x:v>
      </x:c>
      <x:c r="H235" s="37" t="n">
        <x:f t="shared" si="1">IFERROR(E235/G235-1,"")</x:f>
        <x:v>-0.25725137200934556</x:v>
      </x:c>
      <x:c r="I235" s="38" t="b">
        <x:f t="shared" si="2">E235&lt;G235</x:f>
        <x:v>1</x:v>
      </x:c>
    </x:row>
    <x:row r="236">
      <x:c r="A236" s="31">
        <x:v>37288</x:v>
      </x:c>
      <x:c r="B236" s="32">
        <x:v>204.48</x:v>
      </x:c>
      <x:c r="C236" s="32">
        <x:v>204.48</x:v>
      </x:c>
      <x:c r="D236" s="32">
        <x:v>204.48</x:v>
      </x:c>
      <x:c r="E236" s="32">
        <x:v>204.48</x:v>
      </x:c>
      <x:c r="F236" s="33">
        <x:v>277700</x:v>
      </x:c>
      <x:c r="G236" s="32" t="n">
        <x:f t="shared" si="0">AVERAGE(E37:E236)</x:f>
        <x:v>279.83580000000006</x:v>
      </x:c>
      <x:c r="H236" s="37" t="n">
        <x:f t="shared" si="1">IFERROR(E236/G236-1,"")</x:f>
        <x:v>-0.26928577401461873</x:v>
      </x:c>
      <x:c r="I236" s="38" t="b">
        <x:f t="shared" si="2">E236&lt;G236</x:f>
        <x:v>1</x:v>
      </x:c>
    </x:row>
    <x:row r="237">
      <x:c r="A237" s="31">
        <x:v>37291</x:v>
      </x:c>
      <x:c r="B237" s="32">
        <x:v>203.77</x:v>
      </x:c>
      <x:c r="C237" s="32">
        <x:v>203.77</x:v>
      </x:c>
      <x:c r="D237" s="32">
        <x:v>203.77</x:v>
      </x:c>
      <x:c r="E237" s="32">
        <x:v>203.77</x:v>
      </x:c>
      <x:c r="F237" s="33">
        <x:v>271100</x:v>
      </x:c>
      <x:c r="G237" s="32" t="n">
        <x:f t="shared" si="0">AVERAGE(E38:E237)</x:f>
        <x:v>280.2224000000001</x:v>
      </x:c>
      <x:c r="H237" s="37" t="n">
        <x:f t="shared" si="1">IFERROR(E237/G237-1,"")</x:f>
        <x:v>-0.27282758266291374</x:v>
      </x:c>
      <x:c r="I237" s="38" t="b">
        <x:f t="shared" si="2">E237&lt;G237</x:f>
        <x:v>1</x:v>
      </x:c>
    </x:row>
    <x:row r="238">
      <x:c r="A238" s="31">
        <x:v>37293</x:v>
      </x:c>
      <x:c r="B238" s="32">
        <x:v>205.37</x:v>
      </x:c>
      <x:c r="C238" s="32">
        <x:v>205.37</x:v>
      </x:c>
      <x:c r="D238" s="32">
        <x:v>205.37</x:v>
      </x:c>
      <x:c r="E238" s="32">
        <x:v>205.37</x:v>
      </x:c>
      <x:c r="F238" s="33">
        <x:v>183300</x:v>
      </x:c>
      <x:c r="G238" s="32" t="n">
        <x:f t="shared" si="0">AVERAGE(E39:E238)</x:f>
        <x:v>280.6064000000001</x:v>
      </x:c>
      <x:c r="H238" s="37" t="n">
        <x:f t="shared" si="1">IFERROR(E238/G238-1,"")</x:f>
        <x:v>-0.2681207556206846</x:v>
      </x:c>
      <x:c r="I238" s="38" t="b">
        <x:f t="shared" si="2">E238&lt;G238</x:f>
        <x:v>1</x:v>
      </x:c>
    </x:row>
    <x:row r="239">
      <x:c r="A239" s="31">
        <x:v>37295</x:v>
      </x:c>
      <x:c r="B239" s="32">
        <x:v>205.2</x:v>
      </x:c>
      <x:c r="C239" s="32">
        <x:v>205.2</x:v>
      </x:c>
      <x:c r="D239" s="32">
        <x:v>205.2</x:v>
      </x:c>
      <x:c r="E239" s="32">
        <x:v>205.2</x:v>
      </x:c>
      <x:c r="F239" s="33">
        <x:v>266800</x:v>
      </x:c>
      <x:c r="G239" s="32" t="n">
        <x:f t="shared" si="0">AVERAGE(E40:E239)</x:f>
        <x:v>280.9788500000001</x:v>
      </x:c>
      <x:c r="H239" s="37" t="n">
        <x:f t="shared" si="1">IFERROR(E239/G239-1,"")</x:f>
        <x:v>-0.26969592195284475</x:v>
      </x:c>
      <x:c r="I239" s="38" t="b">
        <x:f t="shared" si="2">E239&lt;G239</x:f>
        <x:v>1</x:v>
      </x:c>
    </x:row>
    <x:row r="240">
      <x:c r="A240" s="31">
        <x:v>37305</x:v>
      </x:c>
      <x:c r="B240" s="32">
        <x:v>202.89</x:v>
      </x:c>
      <x:c r="C240" s="32">
        <x:v>202.89</x:v>
      </x:c>
      <x:c r="D240" s="32">
        <x:v>202.89</x:v>
      </x:c>
      <x:c r="E240" s="32">
        <x:v>202.89</x:v>
      </x:c>
      <x:c r="F240" s="33">
        <x:v>58500</x:v>
      </x:c>
      <x:c r="G240" s="32" t="n">
        <x:f t="shared" si="0">AVERAGE(E41:E240)</x:f>
        <x:v>281.32905000000005</x:v>
      </x:c>
      <x:c r="H240" s="37" t="n">
        <x:f t="shared" si="1">IFERROR(E240/G240-1,"")</x:f>
        <x:v>-0.27881603410668054</x:v>
      </x:c>
      <x:c r="I240" s="38" t="b">
        <x:f t="shared" si="2">E240&lt;G240</x:f>
        <x:v>1</x:v>
      </x:c>
    </x:row>
    <x:row r="241">
      <x:c r="A241" s="31">
        <x:v>37307</x:v>
      </x:c>
      <x:c r="B241" s="32">
        <x:v>199.52</x:v>
      </x:c>
      <x:c r="C241" s="32">
        <x:v>199.52</x:v>
      </x:c>
      <x:c r="D241" s="32">
        <x:v>199.52</x:v>
      </x:c>
      <x:c r="E241" s="32">
        <x:v>199.52</x:v>
      </x:c>
      <x:c r="F241" s="33">
        <x:v>91700</x:v>
      </x:c>
      <x:c r="G241" s="32" t="n">
        <x:f t="shared" si="0">AVERAGE(E42:E241)</x:f>
        <x:v>281.65145000000007</x:v>
      </x:c>
      <x:c r="H241" s="37" t="n">
        <x:f t="shared" si="1">IFERROR(E241/G241-1,"")</x:f>
        <x:v>-0.29160670040931813</x:v>
      </x:c>
      <x:c r="I241" s="38" t="b">
        <x:f t="shared" si="2">E241&lt;G241</x:f>
        <x:v>1</x:v>
      </x:c>
    </x:row>
    <x:row r="242">
      <x:c r="A242" s="31">
        <x:v>37309</x:v>
      </x:c>
      <x:c r="B242" s="32">
        <x:v>196.58</x:v>
      </x:c>
      <x:c r="C242" s="32">
        <x:v>196.58</x:v>
      </x:c>
      <x:c r="D242" s="32">
        <x:v>196.58</x:v>
      </x:c>
      <x:c r="E242" s="32">
        <x:v>196.58</x:v>
      </x:c>
      <x:c r="F242" s="33">
        <x:v>122000</x:v>
      </x:c>
      <x:c r="G242" s="32" t="n">
        <x:f t="shared" si="0">AVERAGE(E43:E242)</x:f>
        <x:v>281.9516000000001</x:v>
      </x:c>
      <x:c r="H242" s="37" t="n">
        <x:f t="shared" si="1">IFERROR(E242/G242-1,"")</x:f>
        <x:v>-0.30278813810597305</x:v>
      </x:c>
      <x:c r="I242" s="38" t="b">
        <x:f t="shared" si="2">E242&lt;G242</x:f>
        <x:v>1</x:v>
      </x:c>
    </x:row>
    <x:row r="243">
      <x:c r="A243" s="31">
        <x:v>37312</x:v>
      </x:c>
      <x:c r="B243" s="32">
        <x:v>193.79</x:v>
      </x:c>
      <x:c r="C243" s="32">
        <x:v>193.79</x:v>
      </x:c>
      <x:c r="D243" s="32">
        <x:v>193.79</x:v>
      </x:c>
      <x:c r="E243" s="32">
        <x:v>193.79</x:v>
      </x:c>
      <x:c r="F243" s="33">
        <x:v>81400</x:v>
      </x:c>
      <x:c r="G243" s="32" t="n">
        <x:f t="shared" si="0">AVERAGE(E44:E243)</x:f>
        <x:v>282.2351500000001</x:v>
      </x:c>
      <x:c r="H243" s="37" t="n">
        <x:f t="shared" si="1">IFERROR(E243/G243-1,"")</x:f>
        <x:v>-0.3133739720229747</x:v>
      </x:c>
      <x:c r="I243" s="38" t="b">
        <x:f t="shared" si="2">E243&lt;G243</x:f>
        <x:v>1</x:v>
      </x:c>
    </x:row>
    <x:row r="244">
      <x:c r="A244" s="31">
        <x:v>37314</x:v>
      </x:c>
      <x:c r="B244" s="32">
        <x:v>191.1</x:v>
      </x:c>
      <x:c r="C244" s="32">
        <x:v>191.1</x:v>
      </x:c>
      <x:c r="D244" s="32">
        <x:v>191.1</x:v>
      </x:c>
      <x:c r="E244" s="32">
        <x:v>191.1</x:v>
      </x:c>
      <x:c r="F244" s="33">
        <x:v>85400</x:v>
      </x:c>
      <x:c r="G244" s="32" t="n">
        <x:f t="shared" si="0">AVERAGE(E45:E244)</x:f>
        <x:v>282.49280000000005</x:v>
      </x:c>
      <x:c r="H244" s="37" t="n">
        <x:f t="shared" si="1">IFERROR(E244/G244-1,"")</x:f>
        <x:v>-0.3235225818144747</x:v>
      </x:c>
      <x:c r="I244" s="38" t="b">
        <x:f t="shared" si="2">E244&lt;G244</x:f>
        <x:v>1</x:v>
      </x:c>
    </x:row>
    <x:row r="245">
      <x:c r="A245" s="31">
        <x:v>37316</x:v>
      </x:c>
      <x:c r="B245" s="32">
        <x:v>193.59</x:v>
      </x:c>
      <x:c r="C245" s="32">
        <x:v>193.59</x:v>
      </x:c>
      <x:c r="D245" s="32">
        <x:v>193.59</x:v>
      </x:c>
      <x:c r="E245" s="32">
        <x:v>193.59</x:v>
      </x:c>
      <x:c r="F245" s="33">
        <x:v>432100</x:v>
      </x:c>
      <x:c r="G245" s="32" t="n">
        <x:f t="shared" si="0">AVERAGE(E46:E245)</x:f>
        <x:v>282.75655</x:v>
      </x:c>
      <x:c r="H245" s="37" t="n">
        <x:f t="shared" si="1">IFERROR(E245/G245-1,"")</x:f>
        <x:v>-0.315347425196693</x:v>
      </x:c>
      <x:c r="I245" s="38" t="b">
        <x:f t="shared" si="2">E245&lt;G245</x:f>
        <x:v>1</x:v>
      </x:c>
    </x:row>
    <x:row r="246">
      <x:c r="A246" s="31">
        <x:v>37319</x:v>
      </x:c>
      <x:c r="B246" s="32">
        <x:v>190.98</x:v>
      </x:c>
      <x:c r="C246" s="32">
        <x:v>190.98</x:v>
      </x:c>
      <x:c r="D246" s="32">
        <x:v>190.98</x:v>
      </x:c>
      <x:c r="E246" s="32">
        <x:v>190.98</x:v>
      </x:c>
      <x:c r="F246" s="33">
        <x:v>170800</x:v>
      </x:c>
      <x:c r="G246" s="32" t="n">
        <x:f t="shared" si="0">AVERAGE(E47:E246)</x:f>
        <x:v>282.99480000000005</x:v>
      </x:c>
      <x:c r="H246" s="37" t="n">
        <x:f t="shared" si="1">IFERROR(E246/G246-1,"")</x:f>
        <x:v>-0.3251466104677544</x:v>
      </x:c>
      <x:c r="I246" s="38" t="b">
        <x:f t="shared" si="2">E246&lt;G246</x:f>
        <x:v>1</x:v>
      </x:c>
    </x:row>
    <x:row r="247">
      <x:c r="A247" s="31">
        <x:v>37320</x:v>
      </x:c>
      <x:c r="B247" s="32">
        <x:v>188.22</x:v>
      </x:c>
      <x:c r="C247" s="32">
        <x:v>188.22</x:v>
      </x:c>
      <x:c r="D247" s="32">
        <x:v>188.22</x:v>
      </x:c>
      <x:c r="E247" s="32">
        <x:v>188.22</x:v>
      </x:c>
      <x:c r="F247" s="33">
        <x:v>136800</x:v>
      </x:c>
      <x:c r="G247" s="32" t="n">
        <x:f t="shared" si="0">AVERAGE(E48:E247)</x:f>
        <x:v>283.20675000000006</x:v>
      </x:c>
      <x:c r="H247" s="37" t="n">
        <x:f t="shared" si="1">IFERROR(E247/G247-1,"")</x:f>
        <x:v>-0.3353971965710565</x:v>
      </x:c>
      <x:c r="I247" s="38" t="b">
        <x:f t="shared" si="2">E247&lt;G247</x:f>
        <x:v>1</x:v>
      </x:c>
    </x:row>
    <x:row r="248">
      <x:c r="A248" s="31">
        <x:v>37321</x:v>
      </x:c>
      <x:c r="B248" s="32">
        <x:v>185.74</x:v>
      </x:c>
      <x:c r="C248" s="32">
        <x:v>185.74</x:v>
      </x:c>
      <x:c r="D248" s="32">
        <x:v>185.74</x:v>
      </x:c>
      <x:c r="E248" s="32">
        <x:v>185.74</x:v>
      </x:c>
      <x:c r="F248" s="33">
        <x:v>150700</x:v>
      </x:c>
      <x:c r="G248" s="32" t="n">
        <x:f t="shared" si="0">AVERAGE(E49:E248)</x:f>
        <x:v>283.3926000000001</x:v>
      </x:c>
      <x:c r="H248" s="37" t="n">
        <x:f t="shared" si="1">IFERROR(E248/G248-1,"")</x:f>
        <x:v>-0.3445841563964621</x:v>
      </x:c>
      <x:c r="I248" s="38" t="b">
        <x:f t="shared" si="2">E248&lt;G248</x:f>
        <x:v>1</x:v>
      </x:c>
    </x:row>
    <x:row r="249">
      <x:c r="A249" s="31">
        <x:v>37322</x:v>
      </x:c>
      <x:c r="B249" s="32">
        <x:v>183.2</x:v>
      </x:c>
      <x:c r="C249" s="32">
        <x:v>183.2</x:v>
      </x:c>
      <x:c r="D249" s="32">
        <x:v>183.2</x:v>
      </x:c>
      <x:c r="E249" s="32">
        <x:v>183.2</x:v>
      </x:c>
      <x:c r="F249" s="33">
        <x:v>140700</x:v>
      </x:c>
      <x:c r="G249" s="32" t="n">
        <x:f t="shared" si="0">AVERAGE(E50:E249)</x:f>
        <x:v>283.552</x:v>
      </x:c>
      <x:c r="H249" s="37" t="n">
        <x:f t="shared" si="1">IFERROR(E249/G249-1,"")</x:f>
        <x:v>-0.3539103938607382</x:v>
      </x:c>
      <x:c r="I249" s="38" t="b">
        <x:f t="shared" si="2">E249&lt;G249</x:f>
        <x:v>1</x:v>
      </x:c>
    </x:row>
    <x:row r="250">
      <x:c r="A250" s="31">
        <x:v>37323</x:v>
      </x:c>
      <x:c r="B250" s="32">
        <x:v>181.2</x:v>
      </x:c>
      <x:c r="C250" s="32">
        <x:v>181.2</x:v>
      </x:c>
      <x:c r="D250" s="32">
        <x:v>181.2</x:v>
      </x:c>
      <x:c r="E250" s="32">
        <x:v>181.2</x:v>
      </x:c>
      <x:c r="F250" s="33">
        <x:v>181400</x:v>
      </x:c>
      <x:c r="G250" s="32" t="n">
        <x:f t="shared" si="0">AVERAGE(E51:E250)</x:f>
        <x:v>283.68760000000003</x:v>
      </x:c>
      <x:c r="H250" s="37" t="n">
        <x:f t="shared" si="1">IFERROR(E250/G250-1,"")</x:f>
        <x:v>-0.3612692271357649</x:v>
      </x:c>
      <x:c r="I250" s="38" t="b">
        <x:f t="shared" si="2">E250&lt;G250</x:f>
        <x:v>1</x:v>
      </x:c>
    </x:row>
    <x:row r="251">
      <x:c r="A251" s="31">
        <x:v>37326</x:v>
      </x:c>
      <x:c r="B251" s="32">
        <x:v>180.73</x:v>
      </x:c>
      <x:c r="C251" s="32">
        <x:v>180.73</x:v>
      </x:c>
      <x:c r="D251" s="32">
        <x:v>180.73</x:v>
      </x:c>
      <x:c r="E251" s="32">
        <x:v>180.73</x:v>
      </x:c>
      <x:c r="F251" s="33">
        <x:v>347800</x:v>
      </x:c>
      <x:c r="G251" s="32" t="n">
        <x:f t="shared" si="0">AVERAGE(E52:E251)</x:f>
        <x:v>283.80705</x:v>
      </x:c>
      <x:c r="H251" s="37" t="n">
        <x:f t="shared" si="1">IFERROR(E251/G251-1,"")</x:f>
        <x:v>-0.36319411374735056</x:v>
      </x:c>
      <x:c r="I251" s="38" t="b">
        <x:f t="shared" si="2">E251&lt;G251</x:f>
        <x:v>1</x:v>
      </x:c>
    </x:row>
    <x:row r="252">
      <x:c r="A252" s="31">
        <x:v>37327</x:v>
      </x:c>
      <x:c r="B252" s="32">
        <x:v>182.92</x:v>
      </x:c>
      <x:c r="C252" s="32">
        <x:v>182.92</x:v>
      </x:c>
      <x:c r="D252" s="32">
        <x:v>182.92</x:v>
      </x:c>
      <x:c r="E252" s="32">
        <x:v>182.92</x:v>
      </x:c>
      <x:c r="F252" s="33">
        <x:v>128500</x:v>
      </x:c>
      <x:c r="G252" s="32" t="n">
        <x:f t="shared" si="0">AVERAGE(E53:E252)</x:f>
        <x:v>283.92365</x:v>
      </x:c>
      <x:c r="H252" s="37" t="n">
        <x:f t="shared" si="1">IFERROR(E252/G252-1,"")</x:f>
        <x:v>-0.35574229198589136</x:v>
      </x:c>
      <x:c r="I252" s="38" t="b">
        <x:f t="shared" si="2">E252&lt;G252</x:f>
        <x:v>1</x:v>
      </x:c>
    </x:row>
    <x:row r="253">
      <x:c r="A253" s="31">
        <x:v>37328</x:v>
      </x:c>
      <x:c r="B253" s="32">
        <x:v>185.66</x:v>
      </x:c>
      <x:c r="C253" s="32">
        <x:v>185.66</x:v>
      </x:c>
      <x:c r="D253" s="32">
        <x:v>185.66</x:v>
      </x:c>
      <x:c r="E253" s="32">
        <x:v>185.66</x:v>
      </x:c>
      <x:c r="F253" s="33">
        <x:v>79000</x:v>
      </x:c>
      <x:c r="G253" s="32" t="n">
        <x:f t="shared" si="0">AVERAGE(E54:E253)</x:f>
        <x:v>284.04015000000004</x:v>
      </x:c>
      <x:c r="H253" s="37" t="n">
        <x:f t="shared" si="1">IFERROR(E253/G253-1,"")</x:f>
        <x:v>-0.34636001283621354</x:v>
      </x:c>
      <x:c r="I253" s="38" t="b">
        <x:f t="shared" si="2">E253&lt;G253</x:f>
        <x:v>1</x:v>
      </x:c>
    </x:row>
    <x:row r="254">
      <x:c r="A254" s="31">
        <x:v>37329</x:v>
      </x:c>
      <x:c r="B254" s="32">
        <x:v>188.97</x:v>
      </x:c>
      <x:c r="C254" s="32">
        <x:v>188.97</x:v>
      </x:c>
      <x:c r="D254" s="32">
        <x:v>188.97</x:v>
      </x:c>
      <x:c r="E254" s="32">
        <x:v>188.97</x:v>
      </x:c>
      <x:c r="F254" s="33">
        <x:v>85900</x:v>
      </x:c>
      <x:c r="G254" s="32" t="n">
        <x:f t="shared" si="0">AVERAGE(E55:E254)</x:f>
        <x:v>284.15650000000005</x:v>
      </x:c>
      <x:c r="H254" s="37" t="n">
        <x:f t="shared" si="1">IFERROR(E254/G254-1,"")</x:f>
        <x:v>-0.33497914001615314</x:v>
      </x:c>
      <x:c r="I254" s="38" t="b">
        <x:f t="shared" si="2">E254&lt;G254</x:f>
        <x:v>1</x:v>
      </x:c>
    </x:row>
    <x:row r="255">
      <x:c r="A255" s="31">
        <x:v>37330</x:v>
      </x:c>
      <x:c r="B255" s="32">
        <x:v>192.39</x:v>
      </x:c>
      <x:c r="C255" s="32">
        <x:v>192.39</x:v>
      </x:c>
      <x:c r="D255" s="32">
        <x:v>192.39</x:v>
      </x:c>
      <x:c r="E255" s="32">
        <x:v>192.39</x:v>
      </x:c>
      <x:c r="F255" s="33">
        <x:v>194700</x:v>
      </x:c>
      <x:c r="G255" s="32" t="n">
        <x:f t="shared" si="0">AVERAGE(E56:E255)</x:f>
        <x:v>284.29085000000003</x:v>
      </x:c>
      <x:c r="H255" s="37" t="n">
        <x:f t="shared" si="1">IFERROR(E255/G255-1,"")</x:f>
        <x:v>-0.32326348174765396</x:v>
      </x:c>
      <x:c r="I255" s="38" t="b">
        <x:f t="shared" si="2">E255&lt;G255</x:f>
        <x:v>1</x:v>
      </x:c>
    </x:row>
    <x:row r="256">
      <x:c r="A256" s="31">
        <x:v>37333</x:v>
      </x:c>
      <x:c r="B256" s="32">
        <x:v>190.3</x:v>
      </x:c>
      <x:c r="C256" s="32">
        <x:v>190.3</x:v>
      </x:c>
      <x:c r="D256" s="32">
        <x:v>190.3</x:v>
      </x:c>
      <x:c r="E256" s="32">
        <x:v>190.3</x:v>
      </x:c>
      <x:c r="F256" s="33">
        <x:v>376300</x:v>
      </x:c>
      <x:c r="G256" s="32" t="n">
        <x:f t="shared" si="0">AVERAGE(E57:E256)</x:f>
        <x:v>284.41150000000005</x:v>
      </x:c>
      <x:c r="H256" s="37" t="n">
        <x:f t="shared" si="1">IFERROR(E256/G256-1,"")</x:f>
        <x:v>-0.33089906702084837</x:v>
      </x:c>
      <x:c r="I256" s="38" t="b">
        <x:f t="shared" si="2">E256&lt;G256</x:f>
        <x:v>1</x:v>
      </x:c>
    </x:row>
    <x:row r="257">
      <x:c r="A257" s="31">
        <x:v>37334</x:v>
      </x:c>
      <x:c r="B257" s="32">
        <x:v>187.06</x:v>
      </x:c>
      <x:c r="C257" s="32">
        <x:v>187.06</x:v>
      </x:c>
      <x:c r="D257" s="32">
        <x:v>187.06</x:v>
      </x:c>
      <x:c r="E257" s="32">
        <x:v>187.06</x:v>
      </x:c>
      <x:c r="F257" s="33">
        <x:v>140700</x:v>
      </x:c>
      <x:c r="G257" s="32" t="n">
        <x:f t="shared" si="0">AVERAGE(E58:E257)</x:f>
        <x:v>284.5188</x:v>
      </x:c>
      <x:c r="H257" s="37" t="n">
        <x:f t="shared" si="1">IFERROR(E257/G257-1,"")</x:f>
        <x:v>-0.342539051900964</x:v>
      </x:c>
      <x:c r="I257" s="38" t="b">
        <x:f t="shared" si="2">E257&lt;G257</x:f>
        <x:v>1</x:v>
      </x:c>
    </x:row>
    <x:row r="258">
      <x:c r="A258" s="31">
        <x:v>37335</x:v>
      </x:c>
      <x:c r="B258" s="32">
        <x:v>189.05</x:v>
      </x:c>
      <x:c r="C258" s="32">
        <x:v>189.05</x:v>
      </x:c>
      <x:c r="D258" s="32">
        <x:v>189.05</x:v>
      </x:c>
      <x:c r="E258" s="32">
        <x:v>189.05</x:v>
      </x:c>
      <x:c r="F258" s="33">
        <x:v>366400</x:v>
      </x:c>
      <x:c r="G258" s="32" t="n">
        <x:f t="shared" si="0">AVERAGE(E59:E258)</x:f>
        <x:v>284.6204</x:v>
      </x:c>
      <x:c r="H258" s="37" t="n">
        <x:f t="shared" si="1">IFERROR(E258/G258-1,"")</x:f>
        <x:v>-0.3357819748689834</x:v>
      </x:c>
      <x:c r="I258" s="38" t="b">
        <x:f t="shared" si="2">E258&lt;G258</x:f>
        <x:v>1</x:v>
      </x:c>
    </x:row>
    <x:row r="259">
      <x:c r="A259" s="31">
        <x:v>37336</x:v>
      </x:c>
      <x:c r="B259" s="32">
        <x:v>189.26</x:v>
      </x:c>
      <x:c r="C259" s="32">
        <x:v>189.26</x:v>
      </x:c>
      <x:c r="D259" s="32">
        <x:v>189.26</x:v>
      </x:c>
      <x:c r="E259" s="32">
        <x:v>189.26</x:v>
      </x:c>
      <x:c r="F259" s="33">
        <x:v>109300</x:v>
      </x:c>
      <x:c r="G259" s="32" t="n">
        <x:f t="shared" si="0">AVERAGE(E60:E259)</x:f>
        <x:v>284.70735</x:v>
      </x:c>
      <x:c r="H259" s="37" t="n">
        <x:f t="shared" si="1">IFERROR(E259/G259-1,"")</x:f>
        <x:v>-0.335247228425961</x:v>
      </x:c>
      <x:c r="I259" s="38" t="b">
        <x:f t="shared" si="2">E259&lt;G259</x:f>
        <x:v>1</x:v>
      </x:c>
    </x:row>
    <x:row r="260">
      <x:c r="A260" s="31">
        <x:v>37337</x:v>
      </x:c>
      <x:c r="B260" s="32">
        <x:v>187.67</x:v>
      </x:c>
      <x:c r="C260" s="32">
        <x:v>187.67</x:v>
      </x:c>
      <x:c r="D260" s="32">
        <x:v>187.67</x:v>
      </x:c>
      <x:c r="E260" s="32">
        <x:v>187.67</x:v>
      </x:c>
      <x:c r="F260" s="33">
        <x:v>136300</x:v>
      </x:c>
      <x:c r="G260" s="32" t="n">
        <x:f t="shared" si="0">AVERAGE(E61:E260)</x:f>
        <x:v>284.77070000000003</x:v>
      </x:c>
      <x:c r="H260" s="37" t="n">
        <x:f t="shared" si="1">IFERROR(E260/G260-1,"")</x:f>
        <x:v>-0.34097854870602917</x:v>
      </x:c>
      <x:c r="I260" s="38" t="b">
        <x:f t="shared" si="2">E260&lt;G260</x:f>
        <x:v>1</x:v>
      </x:c>
    </x:row>
    <x:row r="261">
      <x:c r="A261" s="31">
        <x:v>37340</x:v>
      </x:c>
      <x:c r="B261" s="32">
        <x:v>188.71</x:v>
      </x:c>
      <x:c r="C261" s="32">
        <x:v>188.71</x:v>
      </x:c>
      <x:c r="D261" s="32">
        <x:v>188.71</x:v>
      </x:c>
      <x:c r="E261" s="32">
        <x:v>188.71</x:v>
      </x:c>
      <x:c r="F261" s="33">
        <x:v>97400</x:v>
      </x:c>
      <x:c r="G261" s="32" t="n">
        <x:f t="shared" si="0">AVERAGE(E62:E261)</x:f>
        <x:v>284.8236</x:v>
      </x:c>
      <x:c r="H261" s="37" t="n">
        <x:f t="shared" si="1">IFERROR(E261/G261-1,"")</x:f>
        <x:v>-0.33744956527478764</x:v>
      </x:c>
      <x:c r="I261" s="38" t="b">
        <x:f t="shared" si="2">E261&lt;G261</x:f>
        <x:v>1</x:v>
      </x:c>
    </x:row>
    <x:row r="262">
      <x:c r="A262" s="31">
        <x:v>37341</x:v>
      </x:c>
      <x:c r="B262" s="32">
        <x:v>191.97</x:v>
      </x:c>
      <x:c r="C262" s="32">
        <x:v>191.97</x:v>
      </x:c>
      <x:c r="D262" s="32">
        <x:v>191.97</x:v>
      </x:c>
      <x:c r="E262" s="32">
        <x:v>191.97</x:v>
      </x:c>
      <x:c r="F262" s="33">
        <x:v>117000</x:v>
      </x:c>
      <x:c r="G262" s="32" t="n">
        <x:f t="shared" si="0">AVERAGE(E63:E262)</x:f>
        <x:v>284.87715000000003</x:v>
      </x:c>
      <x:c r="H262" s="37" t="n">
        <x:f t="shared" si="1">IFERROR(E262/G262-1,"")</x:f>
        <x:v>-0.32613057944450796</x:v>
      </x:c>
      <x:c r="I262" s="38" t="b">
        <x:f t="shared" si="2">E262&lt;G262</x:f>
        <x:v>1</x:v>
      </x:c>
    </x:row>
    <x:row r="263">
      <x:c r="A263" s="31">
        <x:v>37342</x:v>
      </x:c>
      <x:c r="B263" s="32">
        <x:v>195.11</x:v>
      </x:c>
      <x:c r="C263" s="32">
        <x:v>195.11</x:v>
      </x:c>
      <x:c r="D263" s="32">
        <x:v>195.11</x:v>
      </x:c>
      <x:c r="E263" s="32">
        <x:v>195.11</x:v>
      </x:c>
      <x:c r="F263" s="33">
        <x:v>126300</x:v>
      </x:c>
      <x:c r="G263" s="32" t="n">
        <x:f t="shared" si="0">AVERAGE(E64:E263)</x:f>
        <x:v>284.903</x:v>
      </x:c>
      <x:c r="H263" s="37" t="n">
        <x:f t="shared" si="1">IFERROR(E263/G263-1,"")</x:f>
        <x:v>-0.31517042642583615</x:v>
      </x:c>
      <x:c r="I263" s="38" t="b">
        <x:f t="shared" si="2">E263&lt;G263</x:f>
        <x:v>1</x:v>
      </x:c>
    </x:row>
    <x:row r="264">
      <x:c r="A264" s="31">
        <x:v>37343</x:v>
      </x:c>
      <x:c r="B264" s="32">
        <x:v>197.89</x:v>
      </x:c>
      <x:c r="C264" s="32">
        <x:v>197.89</x:v>
      </x:c>
      <x:c r="D264" s="32">
        <x:v>197.89</x:v>
      </x:c>
      <x:c r="E264" s="32">
        <x:v>197.89</x:v>
      </x:c>
      <x:c r="F264" s="33">
        <x:v>138000</x:v>
      </x:c>
      <x:c r="G264" s="32" t="n">
        <x:f t="shared" si="0">AVERAGE(E65:E264)</x:f>
        <x:v>284.97005000000007</x:v>
      </x:c>
      <x:c r="H264" s="37" t="n">
        <x:f t="shared" si="1">IFERROR(E264/G264-1,"")</x:f>
        <x:v>-0.30557614738812044</x:v>
      </x:c>
      <x:c r="I264" s="38" t="b">
        <x:f t="shared" si="2">E264&lt;G264</x:f>
        <x:v>1</x:v>
      </x:c>
    </x:row>
    <x:row r="265">
      <x:c r="A265" s="31">
        <x:v>37344</x:v>
      </x:c>
      <x:c r="B265" s="32">
        <x:v>200.15</x:v>
      </x:c>
      <x:c r="C265" s="32">
        <x:v>200.15</x:v>
      </x:c>
      <x:c r="D265" s="32">
        <x:v>200.15</x:v>
      </x:c>
      <x:c r="E265" s="32">
        <x:v>200.15</x:v>
      </x:c>
      <x:c r="F265" s="33">
        <x:v>118200</x:v>
      </x:c>
      <x:c r="G265" s="32" t="n">
        <x:f t="shared" si="0">AVERAGE(E66:E265)</x:f>
        <x:v>285.03270000000003</x:v>
      </x:c>
      <x:c r="H265" s="37" t="n">
        <x:f t="shared" si="1">IFERROR(E265/G265-1,"")</x:f>
        <x:v>-0.29779986647146106</x:v>
      </x:c>
      <x:c r="I265" s="38" t="b">
        <x:f t="shared" si="2">E265&lt;G265</x:f>
        <x:v>1</x:v>
      </x:c>
    </x:row>
    <x:row r="266">
      <x:c r="A266" s="31">
        <x:v>37347</x:v>
      </x:c>
      <x:c r="B266" s="32">
        <x:v>203.14</x:v>
      </x:c>
      <x:c r="C266" s="32">
        <x:v>203.14</x:v>
      </x:c>
      <x:c r="D266" s="32">
        <x:v>203.14</x:v>
      </x:c>
      <x:c r="E266" s="32">
        <x:v>203.14</x:v>
      </x:c>
      <x:c r="F266" s="33">
        <x:v>144200</x:v>
      </x:c>
      <x:c r="G266" s="32" t="n">
        <x:f t="shared" si="0">AVERAGE(E67:E266)</x:f>
        <x:v>285.09285000000006</x:v>
      </x:c>
      <x:c r="H266" s="37" t="n">
        <x:f t="shared" si="1">IFERROR(E266/G266-1,"")</x:f>
        <x:v>-0.28746020813920814</x:v>
      </x:c>
      <x:c r="I266" s="38" t="b">
        <x:f t="shared" si="2">E266&lt;G266</x:f>
        <x:v>1</x:v>
      </x:c>
    </x:row>
    <x:row r="267">
      <x:c r="A267" s="31">
        <x:v>37348</x:v>
      </x:c>
      <x:c r="B267" s="32">
        <x:v>203.22</x:v>
      </x:c>
      <x:c r="C267" s="32">
        <x:v>203.22</x:v>
      </x:c>
      <x:c r="D267" s="32">
        <x:v>203.22</x:v>
      </x:c>
      <x:c r="E267" s="32">
        <x:v>203.22</x:v>
      </x:c>
      <x:c r="F267" s="33">
        <x:v>174400</x:v>
      </x:c>
      <x:c r="G267" s="32" t="n">
        <x:f t="shared" si="0">AVERAGE(E68:E267)</x:f>
        <x:v>285.13470000000007</x:v>
      </x:c>
      <x:c r="H267" s="37" t="n">
        <x:f t="shared" si="1">IFERROR(E267/G267-1,"")</x:f>
        <x:v>-0.2872842204053033</x:v>
      </x:c>
      <x:c r="I267" s="38" t="b">
        <x:f t="shared" si="2">E267&lt;G267</x:f>
        <x:v>1</x:v>
      </x:c>
    </x:row>
    <x:row r="268">
      <x:c r="A268" s="31">
        <x:v>37349</x:v>
      </x:c>
      <x:c r="B268" s="32">
        <x:v>202.16</x:v>
      </x:c>
      <x:c r="C268" s="32">
        <x:v>202.16</x:v>
      </x:c>
      <x:c r="D268" s="32">
        <x:v>202.16</x:v>
      </x:c>
      <x:c r="E268" s="32">
        <x:v>202.16</x:v>
      </x:c>
      <x:c r="F268" s="33">
        <x:v>325800</x:v>
      </x:c>
      <x:c r="G268" s="32" t="n">
        <x:f t="shared" si="0">AVERAGE(E69:E268)</x:f>
        <x:v>285.1526000000001</x:v>
      </x:c>
      <x:c r="H268" s="37" t="n">
        <x:f t="shared" si="1">IFERROR(E268/G268-1,"")</x:f>
        <x:v>-0.29104626785798227</x:v>
      </x:c>
      <x:c r="I268" s="38" t="b">
        <x:f t="shared" si="2">E268&lt;G268</x:f>
        <x:v>1</x:v>
      </x:c>
    </x:row>
    <x:row r="269">
      <x:c r="A269" s="31">
        <x:v>37350</x:v>
      </x:c>
      <x:c r="B269" s="32">
        <x:v>201.38</x:v>
      </x:c>
      <x:c r="C269" s="32">
        <x:v>201.38</x:v>
      </x:c>
      <x:c r="D269" s="32">
        <x:v>201.38</x:v>
      </x:c>
      <x:c r="E269" s="32">
        <x:v>201.38</x:v>
      </x:c>
      <x:c r="F269" s="33">
        <x:v>157900</x:v>
      </x:c>
      <x:c r="G269" s="32" t="n">
        <x:f t="shared" ref="G269:G332" si="3">AVERAGE(E70:E269)</x:f>
        <x:v>285.14790000000005</x:v>
      </x:c>
      <x:c r="H269" s="37" t="n">
        <x:f t="shared" ref="H269:H332" si="4">IFERROR(E269/G269-1,"")</x:f>
        <x:v>-0.29377000496935113</x:v>
      </x:c>
      <x:c r="I269" s="38" t="b">
        <x:f t="shared" ref="I269:I332" si="5">E269&lt;G269</x:f>
        <x:v>1</x:v>
      </x:c>
    </x:row>
    <x:row r="270">
      <x:c r="A270" s="31">
        <x:v>37351</x:v>
      </x:c>
      <x:c r="B270" s="32">
        <x:v>198.77</x:v>
      </x:c>
      <x:c r="C270" s="32">
        <x:v>198.77</x:v>
      </x:c>
      <x:c r="D270" s="32">
        <x:v>198.77</x:v>
      </x:c>
      <x:c r="E270" s="32">
        <x:v>198.77</x:v>
      </x:c>
      <x:c r="F270" s="33">
        <x:v>113900</x:v>
      </x:c>
      <x:c r="G270" s="32" t="n">
        <x:f t="shared" si="3">AVERAGE(E71:E270)</x:f>
        <x:v>285.1263</x:v>
      </x:c>
      <x:c r="H270" s="37" t="n">
        <x:f t="shared" si="4">IFERROR(E270/G270-1,"")</x:f>
        <x:v>-0.3028703420203608</x:v>
      </x:c>
      <x:c r="I270" s="38" t="b">
        <x:f t="shared" si="5">E270&lt;G270</x:f>
        <x:v>1</x:v>
      </x:c>
    </x:row>
    <x:row r="271">
      <x:c r="A271" s="31">
        <x:v>37354</x:v>
      </x:c>
      <x:c r="B271" s="32">
        <x:v>198.52</x:v>
      </x:c>
      <x:c r="C271" s="32">
        <x:v>198.52</x:v>
      </x:c>
      <x:c r="D271" s="32">
        <x:v>198.52</x:v>
      </x:c>
      <x:c r="E271" s="32">
        <x:v>198.52</x:v>
      </x:c>
      <x:c r="F271" s="33">
        <x:v>148400</x:v>
      </x:c>
      <x:c r="G271" s="32" t="n">
        <x:f t="shared" si="3">AVERAGE(E72:E271)</x:f>
        <x:v>285.08475</x:v>
      </x:c>
      <x:c r="H271" s="37" t="n">
        <x:f t="shared" si="4">IFERROR(E271/G271-1,"")</x:f>
        <x:v>-0.30364567027875033</x:v>
      </x:c>
      <x:c r="I271" s="38" t="b">
        <x:f t="shared" si="5">E271&lt;G271</x:f>
        <x:v>1</x:v>
      </x:c>
    </x:row>
    <x:row r="272">
      <x:c r="A272" s="31">
        <x:v>37355</x:v>
      </x:c>
      <x:c r="B272" s="32">
        <x:v>200.48</x:v>
      </x:c>
      <x:c r="C272" s="32">
        <x:v>200.48</x:v>
      </x:c>
      <x:c r="D272" s="32">
        <x:v>200.48</x:v>
      </x:c>
      <x:c r="E272" s="32">
        <x:v>200.48</x:v>
      </x:c>
      <x:c r="F272" s="33">
        <x:v>139300</x:v>
      </x:c>
      <x:c r="G272" s="32" t="n">
        <x:f t="shared" si="3">AVERAGE(E73:E272)</x:f>
        <x:v>285.03435</x:v>
      </x:c>
      <x:c r="H272" s="37" t="n">
        <x:f t="shared" si="4">IFERROR(E272/G272-1,"")</x:f>
        <x:v>-0.2966461761538566</x:v>
      </x:c>
      <x:c r="I272" s="38" t="b">
        <x:f t="shared" si="5">E272&lt;G272</x:f>
        <x:v>1</x:v>
      </x:c>
    </x:row>
    <x:row r="273">
      <x:c r="A273" s="31">
        <x:v>37356</x:v>
      </x:c>
      <x:c r="B273" s="32">
        <x:v>200.85</x:v>
      </x:c>
      <x:c r="C273" s="32">
        <x:v>200.85</x:v>
      </x:c>
      <x:c r="D273" s="32">
        <x:v>200.85</x:v>
      </x:c>
      <x:c r="E273" s="32">
        <x:v>200.85</x:v>
      </x:c>
      <x:c r="F273" s="33">
        <x:v>124600</x:v>
      </x:c>
      <x:c r="G273" s="32" t="n">
        <x:f t="shared" si="3">AVERAGE(E74:E273)</x:f>
        <x:v>284.967</x:v>
      </x:c>
      <x:c r="H273" s="37" t="n">
        <x:f t="shared" si="4">IFERROR(E273/G273-1,"")</x:f>
        <x:v>-0.29518154733706004</x:v>
      </x:c>
      <x:c r="I273" s="38" t="b">
        <x:f t="shared" si="5">E273&lt;G273</x:f>
        <x:v>1</x:v>
      </x:c>
    </x:row>
    <x:row r="274">
      <x:c r="A274" s="31">
        <x:v>37357</x:v>
      </x:c>
      <x:c r="B274" s="32">
        <x:v>200.36</x:v>
      </x:c>
      <x:c r="C274" s="32">
        <x:v>200.36</x:v>
      </x:c>
      <x:c r="D274" s="32">
        <x:v>200.36</x:v>
      </x:c>
      <x:c r="E274" s="32">
        <x:v>200.36</x:v>
      </x:c>
      <x:c r="F274" s="33">
        <x:v>145800</x:v>
      </x:c>
      <x:c r="G274" s="32" t="n">
        <x:f t="shared" si="3">AVERAGE(E75:E274)</x:f>
        <x:v>284.87820000000005</x:v>
      </x:c>
      <x:c r="H274" s="37" t="n">
        <x:f t="shared" si="4">IFERROR(E274/G274-1,"")</x:f>
        <x:v>-0.2966818801859883</x:v>
      </x:c>
      <x:c r="I274" s="38" t="b">
        <x:f t="shared" si="5">E274&lt;G274</x:f>
        <x:v>1</x:v>
      </x:c>
    </x:row>
    <x:row r="275">
      <x:c r="A275" s="31">
        <x:v>37358</x:v>
      </x:c>
      <x:c r="B275" s="32">
        <x:v>199.69</x:v>
      </x:c>
      <x:c r="C275" s="32">
        <x:v>199.69</x:v>
      </x:c>
      <x:c r="D275" s="32">
        <x:v>199.69</x:v>
      </x:c>
      <x:c r="E275" s="32">
        <x:v>199.69</x:v>
      </x:c>
      <x:c r="F275" s="33">
        <x:v>107700</x:v>
      </x:c>
      <x:c r="G275" s="32" t="n">
        <x:f t="shared" si="3">AVERAGE(E76:E275)</x:f>
        <x:v>284.76590000000004</x:v>
      </x:c>
      <x:c r="H275" s="37" t="n">
        <x:f t="shared" si="4">IFERROR(E275/G275-1,"")</x:f>
        <x:v>-0.298757330143813</x:v>
      </x:c>
      <x:c r="I275" s="38" t="b">
        <x:f t="shared" si="5">E275&lt;G275</x:f>
        <x:v>1</x:v>
      </x:c>
    </x:row>
    <x:row r="276">
      <x:c r="A276" s="31">
        <x:v>37361</x:v>
      </x:c>
      <x:c r="B276" s="32">
        <x:v>200.4</x:v>
      </x:c>
      <x:c r="C276" s="32">
        <x:v>200.4</x:v>
      </x:c>
      <x:c r="D276" s="32">
        <x:v>200.4</x:v>
      </x:c>
      <x:c r="E276" s="32">
        <x:v>200.4</x:v>
      </x:c>
      <x:c r="F276" s="33">
        <x:v>105700</x:v>
      </x:c>
      <x:c r="G276" s="32" t="n">
        <x:f t="shared" si="3">AVERAGE(E77:E276)</x:f>
        <x:v>284.63955000000004</x:v>
      </x:c>
      <x:c r="H276" s="37" t="n">
        <x:f t="shared" si="4">IFERROR(E276/G276-1,"")</x:f>
        <x:v>-0.2959516694008265</x:v>
      </x:c>
      <x:c r="I276" s="38" t="b">
        <x:f t="shared" si="5">E276&lt;G276</x:f>
        <x:v>1</x:v>
      </x:c>
    </x:row>
    <x:row r="277">
      <x:c r="A277" s="31">
        <x:v>37362</x:v>
      </x:c>
      <x:c r="B277" s="32">
        <x:v>198.44</x:v>
      </x:c>
      <x:c r="C277" s="32">
        <x:v>198.44</x:v>
      </x:c>
      <x:c r="D277" s="32">
        <x:v>198.44</x:v>
      </x:c>
      <x:c r="E277" s="32">
        <x:v>198.44</x:v>
      </x:c>
      <x:c r="F277" s="33">
        <x:v>116100</x:v>
      </x:c>
      <x:c r="G277" s="32" t="n">
        <x:f t="shared" si="3">AVERAGE(E78:E277)</x:f>
        <x:v>284.49</x:v>
      </x:c>
      <x:c r="H277" s="37" t="n">
        <x:f t="shared" si="4">IFERROR(E277/G277-1,"")</x:f>
        <x:v>-0.30247108861471406</x:v>
      </x:c>
      <x:c r="I277" s="38" t="b">
        <x:f t="shared" si="5">E277&lt;G277</x:f>
        <x:v>1</x:v>
      </x:c>
    </x:row>
    <x:row r="278">
      <x:c r="A278" s="31">
        <x:v>37363</x:v>
      </x:c>
      <x:c r="B278" s="32">
        <x:v>197.12</x:v>
      </x:c>
      <x:c r="C278" s="32">
        <x:v>197.12</x:v>
      </x:c>
      <x:c r="D278" s="32">
        <x:v>197.12</x:v>
      </x:c>
      <x:c r="E278" s="32">
        <x:v>197.12</x:v>
      </x:c>
      <x:c r="F278" s="33">
        <x:v>99500</x:v>
      </x:c>
      <x:c r="G278" s="32" t="n">
        <x:f t="shared" si="3">AVERAGE(E79:E278)</x:f>
        <x:v>284.3122000000001</x:v>
      </x:c>
      <x:c r="H278" s="37" t="n">
        <x:f t="shared" si="4">IFERROR(E278/G278-1,"")</x:f>
        <x:v>-0.306677659277372</x:v>
      </x:c>
      <x:c r="I278" s="38" t="b">
        <x:f t="shared" si="5">E278&lt;G278</x:f>
        <x:v>1</x:v>
      </x:c>
    </x:row>
    <x:row r="279">
      <x:c r="A279" s="31">
        <x:v>37364</x:v>
      </x:c>
      <x:c r="B279" s="32">
        <x:v>199.31</x:v>
      </x:c>
      <x:c r="C279" s="32">
        <x:v>199.31</x:v>
      </x:c>
      <x:c r="D279" s="32">
        <x:v>199.31</x:v>
      </x:c>
      <x:c r="E279" s="32">
        <x:v>199.31</x:v>
      </x:c>
      <x:c r="F279" s="33">
        <x:v>160300</x:v>
      </x:c>
      <x:c r="G279" s="32" t="n">
        <x:f t="shared" si="3">AVERAGE(E80:E279)</x:f>
        <x:v>284.12390000000005</x:v>
      </x:c>
      <x:c r="H279" s="37" t="n">
        <x:f t="shared" si="4">IFERROR(E279/G279-1,"")</x:f>
        <x:v>-0.29851026260022484</x:v>
      </x:c>
      <x:c r="I279" s="38" t="b">
        <x:f t="shared" si="5">E279&lt;G279</x:f>
        <x:v>1</x:v>
      </x:c>
    </x:row>
    <x:row r="280">
      <x:c r="A280" s="31">
        <x:v>37365</x:v>
      </x:c>
      <x:c r="B280" s="32">
        <x:v>201.43</x:v>
      </x:c>
      <x:c r="C280" s="32">
        <x:v>201.43</x:v>
      </x:c>
      <x:c r="D280" s="32">
        <x:v>201.43</x:v>
      </x:c>
      <x:c r="E280" s="32">
        <x:v>201.43</x:v>
      </x:c>
      <x:c r="F280" s="33">
        <x:v>164700</x:v>
      </x:c>
      <x:c r="G280" s="32" t="n">
        <x:f t="shared" si="3">AVERAGE(E81:E280)</x:f>
        <x:v>283.92425</x:v>
      </x:c>
      <x:c r="H280" s="37" t="n">
        <x:f t="shared" si="4">IFERROR(E280/G280-1,"")</x:f>
        <x:v>-0.2905502083742406</x:v>
      </x:c>
      <x:c r="I280" s="38" t="b">
        <x:f t="shared" si="5">E280&lt;G280</x:f>
        <x:v>1</x:v>
      </x:c>
    </x:row>
    <x:row r="281">
      <x:c r="A281" s="31">
        <x:v>37368</x:v>
      </x:c>
      <x:c r="B281" s="32">
        <x:v>201.14</x:v>
      </x:c>
      <x:c r="C281" s="32">
        <x:v>201.14</x:v>
      </x:c>
      <x:c r="D281" s="32">
        <x:v>201.14</x:v>
      </x:c>
      <x:c r="E281" s="32">
        <x:v>201.14</x:v>
      </x:c>
      <x:c r="F281" s="33">
        <x:v>148400</x:v>
      </x:c>
      <x:c r="G281" s="32" t="n">
        <x:f t="shared" si="3">AVERAGE(E82:E281)</x:f>
        <x:v>283.70095000000003</x:v>
      </x:c>
      <x:c r="H281" s="37" t="n">
        <x:f t="shared" si="4">IFERROR(E281/G281-1,"")</x:f>
        <x:v>-0.291014006121587</x:v>
      </x:c>
      <x:c r="I281" s="38" t="b">
        <x:f t="shared" si="5">E281&lt;G281</x:f>
        <x:v>1</x:v>
      </x:c>
    </x:row>
    <x:row r="282">
      <x:c r="A282" s="31">
        <x:v>37369</x:v>
      </x:c>
      <x:c r="B282" s="32">
        <x:v>202.81</x:v>
      </x:c>
      <x:c r="C282" s="32">
        <x:v>202.81</x:v>
      </x:c>
      <x:c r="D282" s="32">
        <x:v>202.81</x:v>
      </x:c>
      <x:c r="E282" s="32">
        <x:v>202.81</x:v>
      </x:c>
      <x:c r="F282" s="33">
        <x:v>218800</x:v>
      </x:c>
      <x:c r="G282" s="32" t="n">
        <x:f t="shared" si="3">AVERAGE(E83:E282)</x:f>
        <x:v>283.46385</x:v>
      </x:c>
      <x:c r="H282" s="37" t="n">
        <x:f t="shared" si="4">IFERROR(E282/G282-1,"")</x:f>
        <x:v>-0.28452957934494993</x:v>
      </x:c>
      <x:c r="I282" s="38" t="b">
        <x:f t="shared" si="5">E282&lt;G282</x:f>
        <x:v>1</x:v>
      </x:c>
    </x:row>
    <x:row r="283">
      <x:c r="A283" s="31">
        <x:v>37370</x:v>
      </x:c>
      <x:c r="B283" s="32">
        <x:v>205.65</x:v>
      </x:c>
      <x:c r="C283" s="32">
        <x:v>205.65</x:v>
      </x:c>
      <x:c r="D283" s="32">
        <x:v>205.65</x:v>
      </x:c>
      <x:c r="E283" s="32">
        <x:v>205.65</x:v>
      </x:c>
      <x:c r="F283" s="33">
        <x:v>193600</x:v>
      </x:c>
      <x:c r="G283" s="32" t="n">
        <x:f t="shared" si="3">AVERAGE(E84:E283)</x:f>
        <x:v>283.2173</x:v>
      </x:c>
      <x:c r="H283" s="37" t="n">
        <x:f t="shared" si="4">IFERROR(E283/G283-1,"")</x:f>
        <x:v>-0.27387910272430394</x:v>
      </x:c>
      <x:c r="I283" s="38" t="b">
        <x:f t="shared" si="5">E283&lt;G283</x:f>
        <x:v>1</x:v>
      </x:c>
    </x:row>
    <x:row r="284">
      <x:c r="A284" s="31">
        <x:v>37371</x:v>
      </x:c>
      <x:c r="B284" s="32">
        <x:v>207.06</x:v>
      </x:c>
      <x:c r="C284" s="32">
        <x:v>207.06</x:v>
      </x:c>
      <x:c r="D284" s="32">
        <x:v>207.06</x:v>
      </x:c>
      <x:c r="E284" s="32">
        <x:v>207.06</x:v>
      </x:c>
      <x:c r="F284" s="33">
        <x:v>228800</x:v>
      </x:c>
      <x:c r="G284" s="32" t="n">
        <x:f t="shared" si="3">AVERAGE(E85:E284)</x:f>
        <x:v>282.95295</x:v>
      </x:c>
      <x:c r="H284" s="37" t="n">
        <x:f t="shared" si="4">IFERROR(E284/G284-1,"")</x:f>
        <x:v>-0.26821756055202817</x:v>
      </x:c>
      <x:c r="I284" s="38" t="b">
        <x:f t="shared" si="5">E284&lt;G284</x:f>
        <x:v>1</x:v>
      </x:c>
    </x:row>
    <x:row r="285">
      <x:c r="A285" s="31">
        <x:v>37372</x:v>
      </x:c>
      <x:c r="B285" s="32">
        <x:v>208.48</x:v>
      </x:c>
      <x:c r="C285" s="32">
        <x:v>208.48</x:v>
      </x:c>
      <x:c r="D285" s="32">
        <x:v>208.48</x:v>
      </x:c>
      <x:c r="E285" s="32">
        <x:v>208.48</x:v>
      </x:c>
      <x:c r="F285" s="33">
        <x:v>214500</x:v>
      </x:c>
      <x:c r="G285" s="32" t="n">
        <x:f t="shared" si="3">AVERAGE(E86:E285)</x:f>
        <x:v>282.69460000000004</x:v>
      </x:c>
      <x:c r="H285" s="37" t="n">
        <x:f t="shared" si="4">IFERROR(E285/G285-1,"")</x:f>
        <x:v>-0.2625257079548037</x:v>
      </x:c>
      <x:c r="I285" s="38" t="b">
        <x:f t="shared" si="5">E285&lt;G285</x:f>
        <x:v>1</x:v>
      </x:c>
    </x:row>
    <x:row r="286">
      <x:c r="A286" s="31">
        <x:v>37378</x:v>
      </x:c>
      <x:c r="B286" s="32">
        <x:v>209.52</x:v>
      </x:c>
      <x:c r="C286" s="32">
        <x:v>209.52</x:v>
      </x:c>
      <x:c r="D286" s="32">
        <x:v>209.52</x:v>
      </x:c>
      <x:c r="E286" s="32">
        <x:v>209.52</x:v>
      </x:c>
      <x:c r="F286" s="33">
        <x:v>260300</x:v>
      </x:c>
      <x:c r="G286" s="32" t="n">
        <x:f t="shared" si="3">AVERAGE(E87:E286)</x:f>
        <x:v>282.4613</x:v>
      </x:c>
      <x:c r="H286" s="37" t="n">
        <x:f t="shared" si="4">IFERROR(E286/G286-1,"")</x:f>
        <x:v>-0.2582346678996379</x:v>
      </x:c>
      <x:c r="I286" s="38" t="b">
        <x:f t="shared" si="5">E286&lt;G286</x:f>
        <x:v>1</x:v>
      </x:c>
    </x:row>
    <x:row r="287">
      <x:c r="A287" s="31">
        <x:v>37379</x:v>
      </x:c>
      <x:c r="B287" s="32">
        <x:v>212.95</x:v>
      </x:c>
      <x:c r="C287" s="32">
        <x:v>212.95</x:v>
      </x:c>
      <x:c r="D287" s="32">
        <x:v>212.95</x:v>
      </x:c>
      <x:c r="E287" s="32">
        <x:v>212.95</x:v>
      </x:c>
      <x:c r="F287" s="33">
        <x:v>230400</x:v>
      </x:c>
      <x:c r="G287" s="32" t="n">
        <x:f t="shared" si="3">AVERAGE(E88:E287)</x:f>
        <x:v>282.265</x:v>
      </x:c>
      <x:c r="H287" s="37" t="n">
        <x:f t="shared" si="4">IFERROR(E287/G287-1,"")</x:f>
        <x:v>-0.24556710892246647</x:v>
      </x:c>
      <x:c r="I287" s="38" t="b">
        <x:f t="shared" si="5">E287&lt;G287</x:f>
        <x:v>1</x:v>
      </x:c>
    </x:row>
    <x:row r="288">
      <x:c r="A288" s="31">
        <x:v>37382</x:v>
      </x:c>
      <x:c r="B288" s="32">
        <x:v>214.23</x:v>
      </x:c>
      <x:c r="C288" s="32">
        <x:v>214.23</x:v>
      </x:c>
      <x:c r="D288" s="32">
        <x:v>214.23</x:v>
      </x:c>
      <x:c r="E288" s="32">
        <x:v>214.23</x:v>
      </x:c>
      <x:c r="F288" s="33">
        <x:v>274100</x:v>
      </x:c>
      <x:c r="G288" s="32" t="n">
        <x:f t="shared" si="3">AVERAGE(E89:E288)</x:f>
        <x:v>282.09125</x:v>
      </x:c>
      <x:c r="H288" s="37" t="n">
        <x:f t="shared" si="4">IFERROR(E288/G288-1,"")</x:f>
        <x:v>-0.24056488813460186</x:v>
      </x:c>
      <x:c r="I288" s="38" t="b">
        <x:f t="shared" si="5">E288&lt;G288</x:f>
        <x:v>1</x:v>
      </x:c>
    </x:row>
    <x:row r="289">
      <x:c r="A289" s="31">
        <x:v>37383</x:v>
      </x:c>
      <x:c r="B289" s="32">
        <x:v>210.43</x:v>
      </x:c>
      <x:c r="C289" s="32">
        <x:v>210.43</x:v>
      </x:c>
      <x:c r="D289" s="32">
        <x:v>210.43</x:v>
      </x:c>
      <x:c r="E289" s="32">
        <x:v>210.43</x:v>
      </x:c>
      <x:c r="F289" s="33">
        <x:v>239700</x:v>
      </x:c>
      <x:c r="G289" s="32" t="n">
        <x:f t="shared" si="3">AVERAGE(E90:E289)</x:f>
        <x:v>281.91345</x:v>
      </x:c>
      <x:c r="H289" s="37" t="n">
        <x:f t="shared" si="4">IFERROR(E289/G289-1,"")</x:f>
        <x:v>-0.25356523429442623</x:v>
      </x:c>
      <x:c r="I289" s="38" t="b">
        <x:f t="shared" si="5">E289&lt;G289</x:f>
        <x:v>1</x:v>
      </x:c>
    </x:row>
    <x:row r="290">
      <x:c r="A290" s="31">
        <x:v>37384</x:v>
      </x:c>
      <x:c r="B290" s="32">
        <x:v>207.05</x:v>
      </x:c>
      <x:c r="C290" s="32">
        <x:v>207.05</x:v>
      </x:c>
      <x:c r="D290" s="32">
        <x:v>207.05</x:v>
      </x:c>
      <x:c r="E290" s="32">
        <x:v>207.05</x:v>
      </x:c>
      <x:c r="F290" s="33">
        <x:v>225300</x:v>
      </x:c>
      <x:c r="G290" s="32" t="n">
        <x:f t="shared" si="3">AVERAGE(E91:E290)</x:f>
        <x:v>281.71495000000004</x:v>
      </x:c>
      <x:c r="H290" s="37" t="n">
        <x:f t="shared" si="4">IFERROR(E290/G290-1,"")</x:f>
        <x:v>-0.26503723000856017</x:v>
      </x:c>
      <x:c r="I290" s="38" t="b">
        <x:f t="shared" si="5">E290&lt;G290</x:f>
        <x:v>1</x:v>
      </x:c>
    </x:row>
    <x:row r="291">
      <x:c r="A291" s="31">
        <x:v>37385</x:v>
      </x:c>
      <x:c r="B291" s="32">
        <x:v>208.85</x:v>
      </x:c>
      <x:c r="C291" s="32">
        <x:v>208.85</x:v>
      </x:c>
      <x:c r="D291" s="32">
        <x:v>208.85</x:v>
      </x:c>
      <x:c r="E291" s="32">
        <x:v>208.85</x:v>
      </x:c>
      <x:c r="F291" s="33">
        <x:v>155400</x:v>
      </x:c>
      <x:c r="G291" s="32" t="n">
        <x:f t="shared" si="3">AVERAGE(E92:E291)</x:f>
        <x:v>281.5031</x:v>
      </x:c>
      <x:c r="H291" s="37" t="n">
        <x:f t="shared" si="4">IFERROR(E291/G291-1,"")</x:f>
        <x:v>-0.2580898753868075</x:v>
      </x:c>
      <x:c r="I291" s="38" t="b">
        <x:f t="shared" si="5">E291&lt;G291</x:f>
        <x:v>1</x:v>
      </x:c>
    </x:row>
    <x:row r="292">
      <x:c r="A292" s="31">
        <x:v>37386</x:v>
      </x:c>
      <x:c r="B292" s="32">
        <x:v>211.88</x:v>
      </x:c>
      <x:c r="C292" s="32">
        <x:v>211.88</x:v>
      </x:c>
      <x:c r="D292" s="32">
        <x:v>211.88</x:v>
      </x:c>
      <x:c r="E292" s="32">
        <x:v>211.88</x:v>
      </x:c>
      <x:c r="F292" s="33">
        <x:v>206100</x:v>
      </x:c>
      <x:c r="G292" s="32" t="n">
        <x:f t="shared" si="3">AVERAGE(E93:E292)</x:f>
        <x:v>281.28444999999994</x:v>
      </x:c>
      <x:c r="H292" s="37" t="n">
        <x:f t="shared" si="4">IFERROR(E292/G292-1,"")</x:f>
        <x:v>-0.24674115472789182</x:v>
      </x:c>
      <x:c r="I292" s="38" t="b">
        <x:f t="shared" si="5">E292&lt;G292</x:f>
        <x:v>1</x:v>
      </x:c>
    </x:row>
    <x:row r="293">
      <x:c r="A293" s="31">
        <x:v>37389</x:v>
      </x:c>
      <x:c r="B293" s="32">
        <x:v>209.62</x:v>
      </x:c>
      <x:c r="C293" s="32">
        <x:v>209.62</x:v>
      </x:c>
      <x:c r="D293" s="32">
        <x:v>209.62</x:v>
      </x:c>
      <x:c r="E293" s="32">
        <x:v>209.62</x:v>
      </x:c>
      <x:c r="F293" s="33">
        <x:v>281800</x:v>
      </x:c>
      <x:c r="G293" s="32" t="n">
        <x:f t="shared" si="3">AVERAGE(E94:E293)</x:f>
        <x:v>281.07055</x:v>
      </x:c>
      <x:c r="H293" s="37" t="n">
        <x:f t="shared" si="4">IFERROR(E293/G293-1,"")</x:f>
        <x:v>-0.25420859638265203</x:v>
      </x:c>
      <x:c r="I293" s="38" t="b">
        <x:f t="shared" si="5">E293&lt;G293</x:f>
        <x:v>1</x:v>
      </x:c>
    </x:row>
    <x:row r="294">
      <x:c r="A294" s="31">
        <x:v>37390</x:v>
      </x:c>
      <x:c r="B294" s="32">
        <x:v>209.88</x:v>
      </x:c>
      <x:c r="C294" s="32">
        <x:v>209.88</x:v>
      </x:c>
      <x:c r="D294" s="32">
        <x:v>209.88</x:v>
      </x:c>
      <x:c r="E294" s="32">
        <x:v>209.88</x:v>
      </x:c>
      <x:c r="F294" s="33">
        <x:v>188800</x:v>
      </x:c>
      <x:c r="G294" s="32" t="n">
        <x:f t="shared" si="3">AVERAGE(E95:E294)</x:f>
        <x:v>280.85175000000004</x:v>
      </x:c>
      <x:c r="H294" s="37" t="n">
        <x:f t="shared" si="4">IFERROR(E294/G294-1,"")</x:f>
        <x:v>-0.2527018257853121</x:v>
      </x:c>
      <x:c r="I294" s="38" t="b">
        <x:f t="shared" si="5">E294&lt;G294</x:f>
        <x:v>1</x:v>
      </x:c>
    </x:row>
    <x:row r="295">
      <x:c r="A295" s="31">
        <x:v>37391</x:v>
      </x:c>
      <x:c r="B295" s="32">
        <x:v>209.82</x:v>
      </x:c>
      <x:c r="C295" s="32">
        <x:v>209.82</x:v>
      </x:c>
      <x:c r="D295" s="32">
        <x:v>209.82</x:v>
      </x:c>
      <x:c r="E295" s="32">
        <x:v>209.82</x:v>
      </x:c>
      <x:c r="F295" s="33">
        <x:v>236400</x:v>
      </x:c>
      <x:c r="G295" s="32" t="n">
        <x:f t="shared" si="3">AVERAGE(E96:E295)</x:f>
        <x:v>280.6472</x:v>
      </x:c>
      <x:c r="H295" s="37" t="n">
        <x:f t="shared" si="4">IFERROR(E295/G295-1,"")</x:f>
        <x:v>-0.2523709482938009</x:v>
      </x:c>
      <x:c r="I295" s="38" t="b">
        <x:f t="shared" si="5">E295&lt;G295</x:f>
        <x:v>1</x:v>
      </x:c>
    </x:row>
    <x:row r="296">
      <x:c r="A296" s="31">
        <x:v>37392</x:v>
      </x:c>
      <x:c r="B296" s="32">
        <x:v>209.08</x:v>
      </x:c>
      <x:c r="C296" s="32">
        <x:v>209.08</x:v>
      </x:c>
      <x:c r="D296" s="32">
        <x:v>209.08</x:v>
      </x:c>
      <x:c r="E296" s="32">
        <x:v>209.08</x:v>
      </x:c>
      <x:c r="F296" s="33">
        <x:v>209800</x:v>
      </x:c>
      <x:c r="G296" s="32" t="n">
        <x:f t="shared" si="3">AVERAGE(E97:E296)</x:f>
        <x:v>280.45235</x:v>
      </x:c>
      <x:c r="H296" s="37" t="n">
        <x:f t="shared" si="4">IFERROR(E296/G296-1,"")</x:f>
        <x:v>-0.25449011213491346</x:v>
      </x:c>
      <x:c r="I296" s="38" t="b">
        <x:f t="shared" si="5">E296&lt;G296</x:f>
        <x:v>1</x:v>
      </x:c>
    </x:row>
    <x:row r="297">
      <x:c r="A297" s="31">
        <x:v>37393</x:v>
      </x:c>
      <x:c r="B297" s="32">
        <x:v>209.79</x:v>
      </x:c>
      <x:c r="C297" s="32">
        <x:v>209.79</x:v>
      </x:c>
      <x:c r="D297" s="32">
        <x:v>209.79</x:v>
      </x:c>
      <x:c r="E297" s="32">
        <x:v>209.79</x:v>
      </x:c>
      <x:c r="F297" s="33">
        <x:v>179100</x:v>
      </x:c>
      <x:c r="G297" s="32" t="n">
        <x:f t="shared" si="3">AVERAGE(E98:E297)</x:f>
        <x:v>280.23825</x:v>
      </x:c>
      <x:c r="H297" s="37" t="n">
        <x:f t="shared" si="4">IFERROR(E297/G297-1,"")</x:f>
        <x:v>-0.25138698946342974</x:v>
      </x:c>
      <x:c r="I297" s="38" t="b">
        <x:f t="shared" si="5">E297&lt;G297</x:f>
        <x:v>1</x:v>
      </x:c>
    </x:row>
    <x:row r="298">
      <x:c r="A298" s="31">
        <x:v>37396</x:v>
      </x:c>
      <x:c r="B298" s="32">
        <x:v>208.14</x:v>
      </x:c>
      <x:c r="C298" s="32">
        <x:v>208.14</x:v>
      </x:c>
      <x:c r="D298" s="32">
        <x:v>208.14</x:v>
      </x:c>
      <x:c r="E298" s="32">
        <x:v>208.14</x:v>
      </x:c>
      <x:c r="F298" s="33">
        <x:v>173500</x:v>
      </x:c>
      <x:c r="G298" s="32" t="n">
        <x:f t="shared" si="3">AVERAGE(E99:E298)</x:f>
        <x:v>279.99899999999997</x:v>
      </x:c>
      <x:c r="H298" s="37" t="n">
        <x:f t="shared" si="4">IFERROR(E298/G298-1,"")</x:f>
        <x:v>-0.2566402022864367</x:v>
      </x:c>
      <x:c r="I298" s="38" t="b">
        <x:f t="shared" si="5">E298&lt;G298</x:f>
        <x:v>1</x:v>
      </x:c>
    </x:row>
    <x:row r="299">
      <x:c r="A299" s="31">
        <x:v>37397</x:v>
      </x:c>
      <x:c r="B299" s="32">
        <x:v>208.93</x:v>
      </x:c>
      <x:c r="C299" s="32">
        <x:v>208.93</x:v>
      </x:c>
      <x:c r="D299" s="32">
        <x:v>208.93</x:v>
      </x:c>
      <x:c r="E299" s="32">
        <x:v>208.93</x:v>
      </x:c>
      <x:c r="F299" s="33">
        <x:v>179200</x:v>
      </x:c>
      <x:c r="G299" s="32" t="n">
        <x:f t="shared" si="3">AVERAGE(E100:E299)</x:f>
        <x:v>279.75514999999996</x:v>
      </x:c>
      <x:c r="H299" s="37" t="n">
        <x:f t="shared" si="4">IFERROR(E299/G299-1,"")</x:f>
        <x:v>-0.25316835096690793</x:v>
      </x:c>
      <x:c r="I299" s="38" t="b">
        <x:f t="shared" si="5">E299&lt;G299</x:f>
        <x:v>1</x:v>
      </x:c>
    </x:row>
    <x:row r="300">
      <x:c r="A300" s="31">
        <x:v>37398</x:v>
      </x:c>
      <x:c r="B300" s="32">
        <x:v>209.66</x:v>
      </x:c>
      <x:c r="C300" s="32">
        <x:v>209.66</x:v>
      </x:c>
      <x:c r="D300" s="32">
        <x:v>209.66</x:v>
      </x:c>
      <x:c r="E300" s="32">
        <x:v>209.66</x:v>
      </x:c>
      <x:c r="F300" s="33">
        <x:v>153600</x:v>
      </x:c>
      <x:c r="G300" s="32" t="n">
        <x:f t="shared" si="3">AVERAGE(E101:E300)</x:f>
        <x:v>279.51085</x:v>
      </x:c>
      <x:c r="H300" s="37" t="n">
        <x:f t="shared" si="4">IFERROR(E300/G300-1,"")</x:f>
        <x:v>-0.24990389460731133</x:v>
      </x:c>
      <x:c r="I300" s="38" t="b">
        <x:f t="shared" si="5">E300&lt;G300</x:f>
        <x:v>1</x:v>
      </x:c>
    </x:row>
    <x:row r="301">
      <x:c r="A301" s="31">
        <x:v>37399</x:v>
      </x:c>
      <x:c r="B301" s="32">
        <x:v>208.93</x:v>
      </x:c>
      <x:c r="C301" s="32">
        <x:v>208.93</x:v>
      </x:c>
      <x:c r="D301" s="32">
        <x:v>208.93</x:v>
      </x:c>
      <x:c r="E301" s="32">
        <x:v>208.93</x:v>
      </x:c>
      <x:c r="F301" s="33">
        <x:v>124900</x:v>
      </x:c>
      <x:c r="G301" s="32" t="n">
        <x:f t="shared" si="3">AVERAGE(E102:E301)</x:f>
        <x:v>279.25404999999995</x:v>
      </x:c>
      <x:c r="H301" s="37" t="n">
        <x:f t="shared" si="4">IFERROR(E301/G301-1,"")</x:f>
        <x:v>-0.2518282187850094</x:v>
      </x:c>
      <x:c r="I301" s="38" t="b">
        <x:f t="shared" si="5">E301&lt;G301</x:f>
        <x:v>1</x:v>
      </x:c>
    </x:row>
    <x:row r="302">
      <x:c r="A302" s="31">
        <x:v>37400</x:v>
      </x:c>
      <x:c r="B302" s="32">
        <x:v>208.04</x:v>
      </x:c>
      <x:c r="C302" s="32">
        <x:v>208.04</x:v>
      </x:c>
      <x:c r="D302" s="32">
        <x:v>208.04</x:v>
      </x:c>
      <x:c r="E302" s="32">
        <x:v>208.04</x:v>
      </x:c>
      <x:c r="F302" s="33">
        <x:v>192900</x:v>
      </x:c>
      <x:c r="G302" s="32" t="n">
        <x:f t="shared" si="3">AVERAGE(E103:E302)</x:f>
        <x:v>278.9887</x:v>
      </x:c>
      <x:c r="H302" s="37" t="n">
        <x:f t="shared" si="4">IFERROR(E302/G302-1,"")</x:f>
        <x:v>-0.25430671564833984</x:v>
      </x:c>
      <x:c r="I302" s="38" t="b">
        <x:f t="shared" si="5">E302&lt;G302</x:f>
        <x:v>1</x:v>
      </x:c>
    </x:row>
    <x:row r="303">
      <x:c r="A303" s="31">
        <x:v>37403</x:v>
      </x:c>
      <x:c r="B303" s="32">
        <x:v>206.3</x:v>
      </x:c>
      <x:c r="C303" s="32">
        <x:v>206.3</x:v>
      </x:c>
      <x:c r="D303" s="32">
        <x:v>206.3</x:v>
      </x:c>
      <x:c r="E303" s="32">
        <x:v>206.3</x:v>
      </x:c>
      <x:c r="F303" s="33">
        <x:v>186100</x:v>
      </x:c>
      <x:c r="G303" s="32" t="n">
        <x:f t="shared" si="3">AVERAGE(E104:E303)</x:f>
        <x:v>278.7222</x:v>
      </x:c>
      <x:c r="H303" s="37" t="n">
        <x:f t="shared" si="4">IFERROR(E303/G303-1,"")</x:f>
        <x:v>-0.259836496698146</x:v>
      </x:c>
      <x:c r="I303" s="38" t="b">
        <x:f t="shared" si="5">E303&lt;G303</x:f>
        <x:v>1</x:v>
      </x:c>
    </x:row>
    <x:row r="304">
      <x:c r="A304" s="31">
        <x:v>37404</x:v>
      </x:c>
      <x:c r="B304" s="32">
        <x:v>205.02</x:v>
      </x:c>
      <x:c r="C304" s="32">
        <x:v>205.02</x:v>
      </x:c>
      <x:c r="D304" s="32">
        <x:v>205.02</x:v>
      </x:c>
      <x:c r="E304" s="32">
        <x:v>205.02</x:v>
      </x:c>
      <x:c r="F304" s="33">
        <x:v>221400</x:v>
      </x:c>
      <x:c r="G304" s="32" t="n">
        <x:f t="shared" si="3">AVERAGE(E105:E304)</x:f>
        <x:v>278.44675</x:v>
      </x:c>
      <x:c r="H304" s="37" t="n">
        <x:f t="shared" si="4">IFERROR(E304/G304-1,"")</x:f>
        <x:v>-0.26370122833180853</x:v>
      </x:c>
      <x:c r="I304" s="38" t="b">
        <x:f t="shared" si="5">E304&lt;G304</x:f>
        <x:v>1</x:v>
      </x:c>
    </x:row>
    <x:row r="305">
      <x:c r="A305" s="31">
        <x:v>37405</x:v>
      </x:c>
      <x:c r="B305" s="32">
        <x:v>203.65</x:v>
      </x:c>
      <x:c r="C305" s="32">
        <x:v>203.65</x:v>
      </x:c>
      <x:c r="D305" s="32">
        <x:v>203.65</x:v>
      </x:c>
      <x:c r="E305" s="32">
        <x:v>203.65</x:v>
      </x:c>
      <x:c r="F305" s="33">
        <x:v>170500</x:v>
      </x:c>
      <x:c r="G305" s="32" t="n">
        <x:f t="shared" si="3">AVERAGE(E106:E305)</x:f>
        <x:v>278.1415</x:v>
      </x:c>
      <x:c r="H305" s="37" t="n">
        <x:f t="shared" si="4">IFERROR(E305/G305-1,"")</x:f>
        <x:v>-0.2678187181704277</x:v>
      </x:c>
      <x:c r="I305" s="38" t="b">
        <x:f t="shared" si="5">E305&lt;G305</x:f>
        <x:v>1</x:v>
      </x:c>
    </x:row>
    <x:row r="306">
      <x:c r="A306" s="31">
        <x:v>37406</x:v>
      </x:c>
      <x:c r="B306" s="32">
        <x:v>203.77</x:v>
      </x:c>
      <x:c r="C306" s="32">
        <x:v>203.77</x:v>
      </x:c>
      <x:c r="D306" s="32">
        <x:v>203.77</x:v>
      </x:c>
      <x:c r="E306" s="32">
        <x:v>203.77</x:v>
      </x:c>
      <x:c r="F306" s="33">
        <x:v>128600</x:v>
      </x:c>
      <x:c r="G306" s="32" t="n">
        <x:f t="shared" si="3">AVERAGE(E107:E306)</x:f>
        <x:v>277.81385</x:v>
      </x:c>
      <x:c r="H306" s="37" t="n">
        <x:f t="shared" si="4">IFERROR(E306/G306-1,"")</x:f>
        <x:v>-0.26652324929084703</x:v>
      </x:c>
      <x:c r="I306" s="38" t="b">
        <x:f t="shared" si="5">E306&lt;G306</x:f>
        <x:v>1</x:v>
      </x:c>
    </x:row>
    <x:row r="307">
      <x:c r="A307" s="31">
        <x:v>37407</x:v>
      </x:c>
      <x:c r="B307" s="32">
        <x:v>207.12</x:v>
      </x:c>
      <x:c r="C307" s="32">
        <x:v>207.12</x:v>
      </x:c>
      <x:c r="D307" s="32">
        <x:v>207.12</x:v>
      </x:c>
      <x:c r="E307" s="32">
        <x:v>207.12</x:v>
      </x:c>
      <x:c r="F307" s="33">
        <x:v>139200</x:v>
      </x:c>
      <x:c r="G307" s="32" t="n">
        <x:f t="shared" si="3">AVERAGE(E108:E307)</x:f>
        <x:v>277.4773</x:v>
      </x:c>
      <x:c r="H307" s="37" t="n">
        <x:f t="shared" si="4">IFERROR(E307/G307-1,"")</x:f>
        <x:v>-0.2535605615306189</x:v>
      </x:c>
      <x:c r="I307" s="38" t="b">
        <x:f t="shared" si="5">E307&lt;G307</x:f>
        <x:v>1</x:v>
      </x:c>
    </x:row>
    <x:row r="308">
      <x:c r="A308" s="31">
        <x:v>37410</x:v>
      </x:c>
      <x:c r="B308" s="32">
        <x:v>207.81</x:v>
      </x:c>
      <x:c r="C308" s="32">
        <x:v>207.81</x:v>
      </x:c>
      <x:c r="D308" s="32">
        <x:v>207.81</x:v>
      </x:c>
      <x:c r="E308" s="32">
        <x:v>207.81</x:v>
      </x:c>
      <x:c r="F308" s="33">
        <x:v>131800</x:v>
      </x:c>
      <x:c r="G308" s="32" t="n">
        <x:f t="shared" si="3">AVERAGE(E109:E308)</x:f>
        <x:v>277.11854999999997</x:v>
      </x:c>
      <x:c r="H308" s="37" t="n">
        <x:f t="shared" si="4">IFERROR(E308/G308-1,"")</x:f>
        <x:v>-0.25010433260422293</x:v>
      </x:c>
      <x:c r="I308" s="38" t="b">
        <x:f t="shared" si="5">E308&lt;G308</x:f>
        <x:v>1</x:v>
      </x:c>
    </x:row>
    <x:row r="309">
      <x:c r="A309" s="31">
        <x:v>37411</x:v>
      </x:c>
      <x:c r="B309" s="32">
        <x:v>205.68</x:v>
      </x:c>
      <x:c r="C309" s="32">
        <x:v>205.68</x:v>
      </x:c>
      <x:c r="D309" s="32">
        <x:v>205.68</x:v>
      </x:c>
      <x:c r="E309" s="32">
        <x:v>205.68</x:v>
      </x:c>
      <x:c r="F309" s="33">
        <x:v>73400</x:v>
      </x:c>
      <x:c r="G309" s="32" t="n">
        <x:f t="shared" si="3">AVERAGE(E110:E309)</x:f>
        <x:v>276.7235</x:v>
      </x:c>
      <x:c r="H309" s="37" t="n">
        <x:f t="shared" si="4">IFERROR(E309/G309-1,"")</x:f>
        <x:v>-0.25673099682535094</x:v>
      </x:c>
      <x:c r="I309" s="38" t="b">
        <x:f t="shared" si="5">E309&lt;G309</x:f>
        <x:v>1</x:v>
      </x:c>
    </x:row>
    <x:row r="310">
      <x:c r="A310" s="31">
        <x:v>37412</x:v>
      </x:c>
      <x:c r="B310" s="32">
        <x:v>205.48</x:v>
      </x:c>
      <x:c r="C310" s="32">
        <x:v>205.48</x:v>
      </x:c>
      <x:c r="D310" s="32">
        <x:v>205.48</x:v>
      </x:c>
      <x:c r="E310" s="32">
        <x:v>205.48</x:v>
      </x:c>
      <x:c r="F310" s="33">
        <x:v>53900</x:v>
      </x:c>
      <x:c r="G310" s="32" t="n">
        <x:f t="shared" si="3">AVERAGE(E111:E310)</x:f>
        <x:v>276.3018</x:v>
      </x:c>
      <x:c r="H310" s="37" t="n">
        <x:f t="shared" si="4">IFERROR(E310/G310-1,"")</x:f>
        <x:v>-0.25632044380456454</x:v>
      </x:c>
      <x:c r="I310" s="38" t="b">
        <x:f t="shared" si="5">E310&lt;G310</x:f>
        <x:v>1</x:v>
      </x:c>
    </x:row>
    <x:row r="311">
      <x:c r="A311" s="31">
        <x:v>37413</x:v>
      </x:c>
      <x:c r="B311" s="32">
        <x:v>205.07</x:v>
      </x:c>
      <x:c r="C311" s="32">
        <x:v>205.07</x:v>
      </x:c>
      <x:c r="D311" s="32">
        <x:v>205.07</x:v>
      </x:c>
      <x:c r="E311" s="32">
        <x:v>205.07</x:v>
      </x:c>
      <x:c r="F311" s="33">
        <x:v>84600</x:v>
      </x:c>
      <x:c r="G311" s="32" t="n">
        <x:f t="shared" si="3">AVERAGE(E112:E311)</x:f>
        <x:v>275.8517</x:v>
      </x:c>
      <x:c r="H311" s="37" t="n">
        <x:f t="shared" si="4">IFERROR(E311/G311-1,"")</x:f>
        <x:v>-0.25659330720093443</x:v>
      </x:c>
      <x:c r="I311" s="38" t="b">
        <x:f t="shared" si="5">E311&lt;G311</x:f>
        <x:v>1</x:v>
      </x:c>
    </x:row>
    <x:row r="312">
      <x:c r="A312" s="31">
        <x:v>37414</x:v>
      </x:c>
      <x:c r="B312" s="32">
        <x:v>203.06</x:v>
      </x:c>
      <x:c r="C312" s="32">
        <x:v>203.06</x:v>
      </x:c>
      <x:c r="D312" s="32">
        <x:v>203.06</x:v>
      </x:c>
      <x:c r="E312" s="32">
        <x:v>203.06</x:v>
      </x:c>
      <x:c r="F312" s="33">
        <x:v>84600</x:v>
      </x:c>
      <x:c r="G312" s="32" t="n">
        <x:f t="shared" si="3">AVERAGE(E113:E312)</x:f>
        <x:v>275.36519999999996</x:v>
      </x:c>
      <x:c r="H312" s="37" t="n">
        <x:f t="shared" si="4">IFERROR(E312/G312-1,"")</x:f>
        <x:v>-0.26257929469664276</x:v>
      </x:c>
      <x:c r="I312" s="38" t="b">
        <x:f t="shared" si="5">E312&lt;G312</x:f>
        <x:v>1</x:v>
      </x:c>
    </x:row>
    <x:row r="313">
      <x:c r="A313" s="31">
        <x:v>37417</x:v>
      </x:c>
      <x:c r="B313" s="32">
        <x:v>204.88</x:v>
      </x:c>
      <x:c r="C313" s="32">
        <x:v>204.88</x:v>
      </x:c>
      <x:c r="D313" s="32">
        <x:v>204.88</x:v>
      </x:c>
      <x:c r="E313" s="32">
        <x:v>204.88</x:v>
      </x:c>
      <x:c r="F313" s="33">
        <x:v>88700</x:v>
      </x:c>
      <x:c r="G313" s="32" t="n">
        <x:f t="shared" si="3">AVERAGE(E114:E313)</x:f>
        <x:v>274.85880000000003</x:v>
      </x:c>
      <x:c r="H313" s="37" t="n">
        <x:f t="shared" si="4">IFERROR(E313/G313-1,"")</x:f>
        <x:v>-0.2545990886957231</x:v>
      </x:c>
      <x:c r="I313" s="38" t="b">
        <x:f t="shared" si="5">E313&lt;G313</x:f>
        <x:v>1</x:v>
      </x:c>
    </x:row>
    <x:row r="314">
      <x:c r="A314" s="31">
        <x:v>37418</x:v>
      </x:c>
      <x:c r="B314" s="32">
        <x:v>203.53</x:v>
      </x:c>
      <x:c r="C314" s="32">
        <x:v>203.53</x:v>
      </x:c>
      <x:c r="D314" s="32">
        <x:v>203.53</x:v>
      </x:c>
      <x:c r="E314" s="32">
        <x:v>203.53</x:v>
      </x:c>
      <x:c r="F314" s="33">
        <x:v>40000</x:v>
      </x:c>
      <x:c r="G314" s="32" t="n">
        <x:f t="shared" si="3">AVERAGE(E115:E314)</x:f>
        <x:v>274.31665</x:v>
      </x:c>
      <x:c r="H314" s="37" t="n">
        <x:f t="shared" si="4">IFERROR(E314/G314-1,"")</x:f>
        <x:v>-0.2580472238925343</x:v>
      </x:c>
      <x:c r="I314" s="38" t="b">
        <x:f t="shared" si="5">E314&lt;G314</x:f>
        <x:v>1</x:v>
      </x:c>
    </x:row>
    <x:row r="315">
      <x:c r="A315" s="31">
        <x:v>37419</x:v>
      </x:c>
      <x:c r="B315" s="32">
        <x:v>203.79</x:v>
      </x:c>
      <x:c r="C315" s="32">
        <x:v>203.79</x:v>
      </x:c>
      <x:c r="D315" s="32">
        <x:v>203.79</x:v>
      </x:c>
      <x:c r="E315" s="32">
        <x:v>203.79</x:v>
      </x:c>
      <x:c r="F315" s="33">
        <x:v>78700</x:v>
      </x:c>
      <x:c r="G315" s="32" t="n">
        <x:f t="shared" si="3">AVERAGE(E116:E315)</x:f>
        <x:v>273.7468</x:v>
      </x:c>
      <x:c r="H315" s="37" t="n">
        <x:f t="shared" si="4">IFERROR(E315/G315-1,"")</x:f>
        <x:v>-0.25555294162342723</x:v>
      </x:c>
      <x:c r="I315" s="38" t="b">
        <x:f t="shared" si="5">E315&lt;G315</x:f>
        <x:v>1</x:v>
      </x:c>
    </x:row>
    <x:row r="316">
      <x:c r="A316" s="31">
        <x:v>37420</x:v>
      </x:c>
      <x:c r="B316" s="32">
        <x:v>202.35</x:v>
      </x:c>
      <x:c r="C316" s="32">
        <x:v>202.35</x:v>
      </x:c>
      <x:c r="D316" s="32">
        <x:v>202.35</x:v>
      </x:c>
      <x:c r="E316" s="32">
        <x:v>202.35</x:v>
      </x:c>
      <x:c r="F316" s="33">
        <x:v>65500</x:v>
      </x:c>
      <x:c r="G316" s="32" t="n">
        <x:f t="shared" si="3">AVERAGE(E117:E316)</x:f>
        <x:v>273.18985</x:v>
      </x:c>
      <x:c r="H316" s="37" t="n">
        <x:f t="shared" si="4">IFERROR(E316/G316-1,"")</x:f>
        <x:v>-0.25930630292450463</x:v>
      </x:c>
      <x:c r="I316" s="38" t="b">
        <x:f t="shared" si="5">E316&lt;G316</x:f>
        <x:v>1</x:v>
      </x:c>
    </x:row>
    <x:row r="317">
      <x:c r="A317" s="31">
        <x:v>37421</x:v>
      </x:c>
      <x:c r="B317" s="32">
        <x:v>200.75</x:v>
      </x:c>
      <x:c r="C317" s="32">
        <x:v>200.75</x:v>
      </x:c>
      <x:c r="D317" s="32">
        <x:v>200.75</x:v>
      </x:c>
      <x:c r="E317" s="32">
        <x:v>200.75</x:v>
      </x:c>
      <x:c r="F317" s="33">
        <x:v>116900</x:v>
      </x:c>
      <x:c r="G317" s="32" t="n">
        <x:f t="shared" si="3">AVERAGE(E118:E317)</x:f>
        <x:v>272.61725</x:v>
      </x:c>
      <x:c r="H317" s="37" t="n">
        <x:f t="shared" si="4">IFERROR(E317/G317-1,"")</x:f>
        <x:v>-0.26361959853971095</x:v>
      </x:c>
      <x:c r="I317" s="38" t="b">
        <x:f t="shared" si="5">E317&lt;G317</x:f>
        <x:v>1</x:v>
      </x:c>
    </x:row>
    <x:row r="318">
      <x:c r="A318" s="31">
        <x:v>37424</x:v>
      </x:c>
      <x:c r="B318" s="32">
        <x:v>197.77</x:v>
      </x:c>
      <x:c r="C318" s="32">
        <x:v>197.77</x:v>
      </x:c>
      <x:c r="D318" s="32">
        <x:v>197.77</x:v>
      </x:c>
      <x:c r="E318" s="32">
        <x:v>197.77</x:v>
      </x:c>
      <x:c r="F318" s="33">
        <x:v>118000</x:v>
      </x:c>
      <x:c r="G318" s="32" t="n">
        <x:f t="shared" si="3">AVERAGE(E119:E318)</x:f>
        <x:v>272.00075</x:v>
      </x:c>
      <x:c r="H318" s="37" t="n">
        <x:f t="shared" si="4">IFERROR(E318/G318-1,"")</x:f>
        <x:v>-0.2729064166183365</x:v>
      </x:c>
      <x:c r="I318" s="38" t="b">
        <x:f t="shared" si="5">E318&lt;G318</x:f>
        <x:v>1</x:v>
      </x:c>
    </x:row>
    <x:row r="319">
      <x:c r="A319" s="31">
        <x:v>37425</x:v>
      </x:c>
      <x:c r="B319" s="32">
        <x:v>195.59</x:v>
      </x:c>
      <x:c r="C319" s="32">
        <x:v>195.59</x:v>
      </x:c>
      <x:c r="D319" s="32">
        <x:v>195.59</x:v>
      </x:c>
      <x:c r="E319" s="32">
        <x:v>195.59</x:v>
      </x:c>
      <x:c r="F319" s="33">
        <x:v>71900</x:v>
      </x:c>
      <x:c r="G319" s="32" t="n">
        <x:f t="shared" si="3">AVERAGE(E120:E319)</x:f>
        <x:v>271.34305</x:v>
      </x:c>
      <x:c r="H319" s="37" t="n">
        <x:f t="shared" si="4">IFERROR(E319/G319-1,"")</x:f>
        <x:v>-0.27917814736732705</x:v>
      </x:c>
      <x:c r="I319" s="38" t="b">
        <x:f t="shared" si="5">E319&lt;G319</x:f>
        <x:v>1</x:v>
      </x:c>
    </x:row>
    <x:row r="320">
      <x:c r="A320" s="31">
        <x:v>37426</x:v>
      </x:c>
      <x:c r="B320" s="32">
        <x:v>192.13</x:v>
      </x:c>
      <x:c r="C320" s="32">
        <x:v>192.13</x:v>
      </x:c>
      <x:c r="D320" s="32">
        <x:v>192.13</x:v>
      </x:c>
      <x:c r="E320" s="32">
        <x:v>192.13</x:v>
      </x:c>
      <x:c r="F320" s="33">
        <x:v>76300</x:v>
      </x:c>
      <x:c r="G320" s="32" t="n">
        <x:f t="shared" si="3">AVERAGE(E121:E320)</x:f>
        <x:v>270.64369999999997</x:v>
      </x:c>
      <x:c r="H320" s="37" t="n">
        <x:f t="shared" si="4">IFERROR(E320/G320-1,"")</x:f>
        <x:v>-0.2900998619217813</x:v>
      </x:c>
      <x:c r="I320" s="38" t="b">
        <x:f t="shared" si="5">E320&lt;G320</x:f>
        <x:v>1</x:v>
      </x:c>
    </x:row>
    <x:row r="321">
      <x:c r="A321" s="31">
        <x:v>37427</x:v>
      </x:c>
      <x:c r="B321" s="32">
        <x:v>193.32</x:v>
      </x:c>
      <x:c r="C321" s="32">
        <x:v>193.32</x:v>
      </x:c>
      <x:c r="D321" s="32">
        <x:v>193.32</x:v>
      </x:c>
      <x:c r="E321" s="32">
        <x:v>193.32</x:v>
      </x:c>
      <x:c r="F321" s="33">
        <x:v>188400</x:v>
      </x:c>
      <x:c r="G321" s="32" t="n">
        <x:f t="shared" si="3">AVERAGE(E122:E321)</x:f>
        <x:v>269.91855</x:v>
      </x:c>
      <x:c r="H321" s="37" t="n">
        <x:f t="shared" si="4">IFERROR(E321/G321-1,"")</x:f>
        <x:v>-0.28378394148901587</x:v>
      </x:c>
      <x:c r="I321" s="38" t="b">
        <x:f t="shared" si="5">E321&lt;G321</x:f>
        <x:v>1</x:v>
      </x:c>
    </x:row>
    <x:row r="322">
      <x:c r="A322" s="31">
        <x:v>37428</x:v>
      </x:c>
      <x:c r="B322" s="32">
        <x:v>196.89</x:v>
      </x:c>
      <x:c r="C322" s="32">
        <x:v>196.89</x:v>
      </x:c>
      <x:c r="D322" s="32">
        <x:v>196.89</x:v>
      </x:c>
      <x:c r="E322" s="32">
        <x:v>196.89</x:v>
      </x:c>
      <x:c r="F322" s="33">
        <x:v>33000</x:v>
      </x:c>
      <x:c r="G322" s="32" t="n">
        <x:f t="shared" si="3">AVERAGE(E123:E322)</x:f>
        <x:v>269.18065</x:v>
      </x:c>
      <x:c r="H322" s="37" t="n">
        <x:f t="shared" si="4">IFERROR(E322/G322-1,"")</x:f>
        <x:v>-0.26855812258422007</x:v>
      </x:c>
      <x:c r="I322" s="38" t="b">
        <x:f t="shared" si="5">E322&lt;G322</x:f>
        <x:v>1</x:v>
      </x:c>
    </x:row>
    <x:row r="323">
      <x:c r="A323" s="31">
        <x:v>37431</x:v>
      </x:c>
      <x:c r="B323" s="32">
        <x:v>200.5</x:v>
      </x:c>
      <x:c r="C323" s="32">
        <x:v>200.5</x:v>
      </x:c>
      <x:c r="D323" s="32">
        <x:v>200.5</x:v>
      </x:c>
      <x:c r="E323" s="32">
        <x:v>200.5</x:v>
      </x:c>
      <x:c r="F323" s="33">
        <x:v>38300</x:v>
      </x:c>
      <x:c r="G323" s="32" t="n">
        <x:f t="shared" si="3">AVERAGE(E124:E323)</x:f>
        <x:v>268.42785</x:v>
      </x:c>
      <x:c r="H323" s="37" t="n">
        <x:f t="shared" si="4">IFERROR(E323/G323-1,"")</x:f>
        <x:v>-0.25305813089066576</x:v>
      </x:c>
      <x:c r="I323" s="38" t="b">
        <x:f t="shared" si="5">E323&lt;G323</x:f>
        <x:v>1</x:v>
      </x:c>
    </x:row>
    <x:row r="324">
      <x:c r="A324" s="31">
        <x:v>37432</x:v>
      </x:c>
      <x:c r="B324" s="32">
        <x:v>202.4</x:v>
      </x:c>
      <x:c r="C324" s="32">
        <x:v>202.4</x:v>
      </x:c>
      <x:c r="D324" s="32">
        <x:v>202.4</x:v>
      </x:c>
      <x:c r="E324" s="32">
        <x:v>202.4</x:v>
      </x:c>
      <x:c r="F324" s="33">
        <x:v>106200</x:v>
      </x:c>
      <x:c r="G324" s="32" t="n">
        <x:f t="shared" si="3">AVERAGE(E125:E324)</x:f>
        <x:v>267.6516</x:v>
      </x:c>
      <x:c r="H324" s="37" t="n">
        <x:f t="shared" si="4">IFERROR(E324/G324-1,"")</x:f>
        <x:v>-0.243793050368464</x:v>
      </x:c>
      <x:c r="I324" s="38" t="b">
        <x:f t="shared" si="5">E324&lt;G324</x:f>
        <x:v>1</x:v>
      </x:c>
    </x:row>
    <x:row r="325">
      <x:c r="A325" s="31">
        <x:v>37433</x:v>
      </x:c>
      <x:c r="B325" s="32">
        <x:v>200.5</x:v>
      </x:c>
      <x:c r="C325" s="32">
        <x:v>200.5</x:v>
      </x:c>
      <x:c r="D325" s="32">
        <x:v>200.5</x:v>
      </x:c>
      <x:c r="E325" s="32">
        <x:v>200.5</x:v>
      </x:c>
      <x:c r="F325" s="33">
        <x:v>189200</x:v>
      </x:c>
      <x:c r="G325" s="32" t="n">
        <x:f t="shared" si="3">AVERAGE(E126:E325)</x:f>
        <x:v>266.83275</x:v>
      </x:c>
      <x:c r="H325" s="37" t="n">
        <x:f t="shared" si="4">IFERROR(E325/G325-1,"")</x:f>
        <x:v>-0.24859298568110544</x:v>
      </x:c>
      <x:c r="I325" s="38" t="b">
        <x:f t="shared" si="5">E325&lt;G325</x:f>
        <x:v>1</x:v>
      </x:c>
    </x:row>
    <x:row r="326">
      <x:c r="A326" s="31">
        <x:v>37434</x:v>
      </x:c>
      <x:c r="B326" s="32">
        <x:v>199.61</x:v>
      </x:c>
      <x:c r="C326" s="32">
        <x:v>199.61</x:v>
      </x:c>
      <x:c r="D326" s="32">
        <x:v>199.61</x:v>
      </x:c>
      <x:c r="E326" s="32">
        <x:v>199.61</x:v>
      </x:c>
      <x:c r="F326" s="33">
        <x:v>108100</x:v>
      </x:c>
      <x:c r="G326" s="32" t="n">
        <x:f t="shared" si="3">AVERAGE(E127:E326)</x:f>
        <x:v>265.97630000000004</x:v>
      </x:c>
      <x:c r="H326" s="37" t="n">
        <x:f t="shared" si="4">IFERROR(E326/G326-1,"")</x:f>
        <x:v>-0.2495196000545914</x:v>
      </x:c>
      <x:c r="I326" s="38" t="b">
        <x:f t="shared" si="5">E326&lt;G326</x:f>
        <x:v>1</x:v>
      </x:c>
    </x:row>
    <x:row r="327">
      <x:c r="A327" s="31">
        <x:v>37435</x:v>
      </x:c>
      <x:c r="B327" s="32">
        <x:v>202.06</x:v>
      </x:c>
      <x:c r="C327" s="32">
        <x:v>202.06</x:v>
      </x:c>
      <x:c r="D327" s="32">
        <x:v>202.06</x:v>
      </x:c>
      <x:c r="E327" s="32">
        <x:v>202.06</x:v>
      </x:c>
      <x:c r="F327" s="33">
        <x:v>135600</x:v>
      </x:c>
      <x:c r="G327" s="32" t="n">
        <x:f t="shared" si="3">AVERAGE(E128:E327)</x:f>
        <x:v>265.09944999999993</x:v>
      </x:c>
      <x:c r="H327" s="37" t="n">
        <x:f t="shared" si="4">IFERROR(E327/G327-1,"")</x:f>
        <x:v>-0.23779547637688403</x:v>
      </x:c>
      <x:c r="I327" s="38" t="b">
        <x:f t="shared" si="5">E327&lt;G327</x:f>
        <x:v>1</x:v>
      </x:c>
    </x:row>
    <x:row r="328">
      <x:c r="A328" s="31">
        <x:v>37438</x:v>
      </x:c>
      <x:c r="B328" s="32">
        <x:v>200.26</x:v>
      </x:c>
      <x:c r="C328" s="32">
        <x:v>200.26</x:v>
      </x:c>
      <x:c r="D328" s="32">
        <x:v>200.26</x:v>
      </x:c>
      <x:c r="E328" s="32">
        <x:v>200.26</x:v>
      </x:c>
      <x:c r="F328" s="33">
        <x:v>98900</x:v>
      </x:c>
      <x:c r="G328" s="32" t="n">
        <x:f t="shared" si="3">AVERAGE(E129:E328)</x:f>
        <x:v>264.17994999999996</x:v>
      </x:c>
      <x:c r="H328" s="37" t="n">
        <x:f t="shared" si="4">IFERROR(E328/G328-1,"")</x:f>
        <x:v>-0.24195609848514232</x:v>
      </x:c>
      <x:c r="I328" s="38" t="b">
        <x:f t="shared" si="5">E328&lt;G328</x:f>
        <x:v>1</x:v>
      </x:c>
    </x:row>
    <x:row r="329">
      <x:c r="A329" s="31">
        <x:v>37439</x:v>
      </x:c>
      <x:c r="B329" s="32">
        <x:v>199.94</x:v>
      </x:c>
      <x:c r="C329" s="32">
        <x:v>199.94</x:v>
      </x:c>
      <x:c r="D329" s="32">
        <x:v>199.94</x:v>
      </x:c>
      <x:c r="E329" s="32">
        <x:v>199.94</x:v>
      </x:c>
      <x:c r="F329" s="33">
        <x:v>130400</x:v>
      </x:c>
      <x:c r="G329" s="32" t="n">
        <x:f t="shared" si="3">AVERAGE(E130:E329)</x:f>
        <x:v>263.22524999999996</x:v>
      </x:c>
      <x:c r="H329" s="37" t="n">
        <x:f t="shared" si="4">IFERROR(E329/G329-1,"")</x:f>
        <x:v>-0.24042241388316654</x:v>
      </x:c>
      <x:c r="I329" s="38" t="b">
        <x:f t="shared" si="5">E329&lt;G329</x:f>
        <x:v>1</x:v>
      </x:c>
    </x:row>
    <x:row r="330">
      <x:c r="A330" s="31">
        <x:v>37440</x:v>
      </x:c>
      <x:c r="B330" s="32">
        <x:v>199.61</x:v>
      </x:c>
      <x:c r="C330" s="32">
        <x:v>199.61</x:v>
      </x:c>
      <x:c r="D330" s="32">
        <x:v>199.61</x:v>
      </x:c>
      <x:c r="E330" s="32">
        <x:v>199.61</x:v>
      </x:c>
      <x:c r="F330" s="33">
        <x:v>92600</x:v>
      </x:c>
      <x:c r="G330" s="32" t="n">
        <x:f t="shared" si="3">AVERAGE(E131:E330)</x:f>
        <x:v>262.23580000000004</x:v>
      </x:c>
      <x:c r="H330" s="37" t="n">
        <x:f t="shared" si="4">IFERROR(E330/G330-1,"")</x:f>
        <x:v>-0.23881483763849187</x:v>
      </x:c>
      <x:c r="I330" s="38" t="b">
        <x:f t="shared" si="5">E330&lt;G330</x:f>
        <x:v>1</x:v>
      </x:c>
    </x:row>
    <x:row r="331">
      <x:c r="A331" s="31">
        <x:v>37441</x:v>
      </x:c>
      <x:c r="B331" s="32">
        <x:v>199.7</x:v>
      </x:c>
      <x:c r="C331" s="32">
        <x:v>199.7</x:v>
      </x:c>
      <x:c r="D331" s="32">
        <x:v>199.7</x:v>
      </x:c>
      <x:c r="E331" s="32">
        <x:v>199.7</x:v>
      </x:c>
      <x:c r="F331" s="33">
        <x:v>117500</x:v>
      </x:c>
      <x:c r="G331" s="32" t="n">
        <x:f t="shared" si="3">AVERAGE(E132:E331)</x:f>
        <x:v>261.21299999999997</x:v>
      </x:c>
      <x:c r="H331" s="37" t="n">
        <x:f t="shared" si="4">IFERROR(E331/G331-1,"")</x:f>
        <x:v>-0.2354898109971555</x:v>
      </x:c>
      <x:c r="I331" s="38" t="b">
        <x:f t="shared" si="5">E331&lt;G331</x:f>
        <x:v>1</x:v>
      </x:c>
    </x:row>
    <x:row r="332">
      <x:c r="A332" s="31">
        <x:v>37442</x:v>
      </x:c>
      <x:c r="B332" s="32">
        <x:v>200.5</x:v>
      </x:c>
      <x:c r="C332" s="32">
        <x:v>200.5</x:v>
      </x:c>
      <x:c r="D332" s="32">
        <x:v>200.5</x:v>
      </x:c>
      <x:c r="E332" s="32">
        <x:v>200.5</x:v>
      </x:c>
      <x:c r="F332" s="33">
        <x:v>108800</x:v>
      </x:c>
      <x:c r="G332" s="32" t="n">
        <x:f t="shared" si="3">AVERAGE(E133:E332)</x:f>
        <x:v>260.16034999999994</x:v>
      </x:c>
      <x:c r="H332" s="37" t="n">
        <x:f t="shared" si="4">IFERROR(E332/G332-1,"")</x:f>
        <x:v>-0.22932145501803003</x:v>
      </x:c>
      <x:c r="I332" s="38" t="b">
        <x:f t="shared" si="5">E332&lt;G332</x:f>
        <x:v>1</x:v>
      </x:c>
    </x:row>
    <x:row r="333">
      <x:c r="A333" s="31">
        <x:v>37445</x:v>
      </x:c>
      <x:c r="B333" s="32">
        <x:v>200.19</x:v>
      </x:c>
      <x:c r="C333" s="32">
        <x:v>200.19</x:v>
      </x:c>
      <x:c r="D333" s="32">
        <x:v>200.19</x:v>
      </x:c>
      <x:c r="E333" s="32">
        <x:v>200.19</x:v>
      </x:c>
      <x:c r="F333" s="33">
        <x:v>89200</x:v>
      </x:c>
      <x:c r="G333" s="32" t="n">
        <x:f t="shared" ref="G333:G396" si="6">AVERAGE(E134:E333)</x:f>
        <x:v>259.07235</x:v>
      </x:c>
      <x:c r="H333" s="37" t="n">
        <x:f t="shared" ref="H333:H396" si="7">IFERROR(E333/G333-1,"")</x:f>
        <x:v>-0.2272814910583857</x:v>
      </x:c>
      <x:c r="I333" s="38" t="b">
        <x:f t="shared" ref="I333:I396" si="8">E333&lt;G333</x:f>
        <x:v>1</x:v>
      </x:c>
    </x:row>
    <x:row r="334">
      <x:c r="A334" s="31">
        <x:v>37446</x:v>
      </x:c>
      <x:c r="B334" s="32">
        <x:v>199</x:v>
      </x:c>
      <x:c r="C334" s="32">
        <x:v>199</x:v>
      </x:c>
      <x:c r="D334" s="32">
        <x:v>199</x:v>
      </x:c>
      <x:c r="E334" s="32">
        <x:v>199</x:v>
      </x:c>
      <x:c r="F334" s="33">
        <x:v>137700</x:v>
      </x:c>
      <x:c r="G334" s="32" t="n">
        <x:f t="shared" si="6">AVERAGE(E135:E334)</x:f>
        <x:v>257.94455</x:v>
      </x:c>
      <x:c r="H334" s="37" t="n">
        <x:f t="shared" si="7">IFERROR(E334/G334-1,"")</x:f>
        <x:v>-0.22851636136526243</x:v>
      </x:c>
      <x:c r="I334" s="38" t="b">
        <x:f t="shared" si="8">E334&lt;G334</x:f>
        <x:v>1</x:v>
      </x:c>
    </x:row>
    <x:row r="335">
      <x:c r="A335" s="31">
        <x:v>37447</x:v>
      </x:c>
      <x:c r="B335" s="32">
        <x:v>197.27</x:v>
      </x:c>
      <x:c r="C335" s="32">
        <x:v>197.27</x:v>
      </x:c>
      <x:c r="D335" s="32">
        <x:v>197.27</x:v>
      </x:c>
      <x:c r="E335" s="32">
        <x:v>197.27</x:v>
      </x:c>
      <x:c r="F335" s="33">
        <x:v>131500</x:v>
      </x:c>
      <x:c r="G335" s="32" t="n">
        <x:f t="shared" si="6">AVERAGE(E136:E335)</x:f>
        <x:v>256.798</x:v>
      </x:c>
      <x:c r="H335" s="37" t="n">
        <x:f t="shared" si="7">IFERROR(E335/G335-1,"")</x:f>
        <x:v>-0.23180865894594194</x:v>
      </x:c>
      <x:c r="I335" s="38" t="b">
        <x:f t="shared" si="8">E335&lt;G335</x:f>
        <x:v>1</x:v>
      </x:c>
    </x:row>
    <x:row r="336">
      <x:c r="A336" s="31">
        <x:v>37448</x:v>
      </x:c>
      <x:c r="B336" s="32">
        <x:v>197.25</x:v>
      </x:c>
      <x:c r="C336" s="32">
        <x:v>197.25</x:v>
      </x:c>
      <x:c r="D336" s="32">
        <x:v>197.25</x:v>
      </x:c>
      <x:c r="E336" s="32">
        <x:v>197.25</x:v>
      </x:c>
      <x:c r="F336" s="33">
        <x:v>142800</x:v>
      </x:c>
      <x:c r="G336" s="32" t="n">
        <x:f t="shared" si="6">AVERAGE(E137:E336)</x:f>
        <x:v>255.64414999999997</x:v>
      </x:c>
      <x:c r="H336" s="37" t="n">
        <x:f t="shared" si="7">IFERROR(E336/G336-1,"")</x:f>
        <x:v>-0.22841966068849995</x:v>
      </x:c>
      <x:c r="I336" s="38" t="b">
        <x:f t="shared" si="8">E336&lt;G336</x:f>
        <x:v>1</x:v>
      </x:c>
    </x:row>
    <x:row r="337">
      <x:c r="A337" s="31">
        <x:v>37449</x:v>
      </x:c>
      <x:c r="B337" s="32">
        <x:v>198.17</x:v>
      </x:c>
      <x:c r="C337" s="32">
        <x:v>198.17</x:v>
      </x:c>
      <x:c r="D337" s="32">
        <x:v>198.17</x:v>
      </x:c>
      <x:c r="E337" s="32">
        <x:v>198.17</x:v>
      </x:c>
      <x:c r="F337" s="33">
        <x:v>124000</x:v>
      </x:c>
      <x:c r="G337" s="32" t="n">
        <x:f t="shared" si="6">AVERAGE(E138:E337)</x:f>
        <x:v>254.3541</x:v>
      </x:c>
      <x:c r="H337" s="37" t="n">
        <x:f t="shared" si="7">IFERROR(E337/G337-1,"")</x:f>
        <x:v>-0.22088930353393166</x:v>
      </x:c>
      <x:c r="I337" s="38" t="b">
        <x:f t="shared" si="8">E337&lt;G337</x:f>
        <x:v>1</x:v>
      </x:c>
    </x:row>
    <x:row r="338">
      <x:c r="A338" s="31">
        <x:v>37452</x:v>
      </x:c>
      <x:c r="B338" s="32">
        <x:v>197.37</x:v>
      </x:c>
      <x:c r="C338" s="32">
        <x:v>197.37</x:v>
      </x:c>
      <x:c r="D338" s="32">
        <x:v>197.37</x:v>
      </x:c>
      <x:c r="E338" s="32">
        <x:v>197.37</x:v>
      </x:c>
      <x:c r="F338" s="33">
        <x:v>169100</x:v>
      </x:c>
      <x:c r="G338" s="32" t="n">
        <x:f t="shared" si="6">AVERAGE(E139:E338)</x:f>
        <x:v>252.90925000000004</x:v>
      </x:c>
      <x:c r="H338" s="37" t="n">
        <x:f t="shared" si="7">IFERROR(E338/G338-1,"")</x:f>
        <x:v>-0.21960149737504675</x:v>
      </x:c>
      <x:c r="I338" s="38" t="b">
        <x:f t="shared" si="8">E338&lt;G338</x:f>
        <x:v>1</x:v>
      </x:c>
    </x:row>
    <x:row r="339">
      <x:c r="A339" s="31">
        <x:v>37453</x:v>
      </x:c>
      <x:c r="B339" s="32">
        <x:v>196.85</x:v>
      </x:c>
      <x:c r="C339" s="32">
        <x:v>196.85</x:v>
      </x:c>
      <x:c r="D339" s="32">
        <x:v>196.85</x:v>
      </x:c>
      <x:c r="E339" s="32">
        <x:v>196.85</x:v>
      </x:c>
      <x:c r="F339" s="33">
        <x:v>96000</x:v>
      </x:c>
      <x:c r="G339" s="32" t="n">
        <x:f t="shared" si="6">AVERAGE(E140:E339)</x:f>
        <x:v>251.3004</x:v>
      </x:c>
      <x:c r="H339" s="37" t="n">
        <x:f t="shared" si="7">IFERROR(E339/G339-1,"")</x:f>
        <x:v>-0.21667454568317446</x:v>
      </x:c>
      <x:c r="I339" s="38" t="b">
        <x:f t="shared" si="8">E339&lt;G339</x:f>
        <x:v>1</x:v>
      </x:c>
    </x:row>
    <x:row r="340">
      <x:c r="A340" s="31">
        <x:v>37454</x:v>
      </x:c>
      <x:c r="B340" s="32">
        <x:v>194.3</x:v>
      </x:c>
      <x:c r="C340" s="32">
        <x:v>194.3</x:v>
      </x:c>
      <x:c r="D340" s="32">
        <x:v>194.3</x:v>
      </x:c>
      <x:c r="E340" s="32">
        <x:v>194.3</x:v>
      </x:c>
      <x:c r="F340" s="33">
        <x:v>90400</x:v>
      </x:c>
      <x:c r="G340" s="32" t="n">
        <x:f t="shared" si="6">AVERAGE(E141:E340)</x:f>
        <x:v>249.5041</x:v>
      </x:c>
      <x:c r="H340" s="37" t="n">
        <x:f t="shared" si="7">IFERROR(E340/G340-1,"")</x:f>
        <x:v>-0.22125528197733013</x:v>
      </x:c>
      <x:c r="I340" s="38" t="b">
        <x:f t="shared" si="8">E340&lt;G340</x:f>
        <x:v>1</x:v>
      </x:c>
    </x:row>
    <x:row r="341">
      <x:c r="A341" s="31">
        <x:v>37455</x:v>
      </x:c>
      <x:c r="B341" s="32">
        <x:v>192.42</x:v>
      </x:c>
      <x:c r="C341" s="32">
        <x:v>192.42</x:v>
      </x:c>
      <x:c r="D341" s="32">
        <x:v>192.42</x:v>
      </x:c>
      <x:c r="E341" s="32">
        <x:v>192.42</x:v>
      </x:c>
      <x:c r="F341" s="33">
        <x:v>74000</x:v>
      </x:c>
      <x:c r="G341" s="32" t="n">
        <x:f t="shared" si="6">AVERAGE(E142:E341)</x:f>
        <x:v>247.6512</x:v>
      </x:c>
      <x:c r="H341" s="37" t="n">
        <x:f t="shared" si="7">IFERROR(E341/G341-1,"")</x:f>
        <x:v>-0.22302011861844406</x:v>
      </x:c>
      <x:c r="I341" s="38" t="b">
        <x:f t="shared" si="8">E341&lt;G341</x:f>
        <x:v>1</x:v>
      </x:c>
    </x:row>
    <x:row r="342">
      <x:c r="A342" s="31">
        <x:v>37456</x:v>
      </x:c>
      <x:c r="B342" s="32">
        <x:v>191.25</x:v>
      </x:c>
      <x:c r="C342" s="32">
        <x:v>191.25</x:v>
      </x:c>
      <x:c r="D342" s="32">
        <x:v>191.25</x:v>
      </x:c>
      <x:c r="E342" s="32">
        <x:v>191.25</x:v>
      </x:c>
      <x:c r="F342" s="33">
        <x:v>125600</x:v>
      </x:c>
      <x:c r="G342" s="32" t="n">
        <x:f t="shared" si="6">AVERAGE(E143:E342)</x:f>
        <x:v>245.75224999999998</x:v>
      </x:c>
      <x:c r="H342" s="37" t="n">
        <x:f t="shared" si="7">IFERROR(E342/G342-1,"")</x:f>
        <x:v>-0.2217772166887586</x:v>
      </x:c>
      <x:c r="I342" s="38" t="b">
        <x:f t="shared" si="8">E342&lt;G342</x:f>
        <x:v>1</x:v>
      </x:c>
    </x:row>
    <x:row r="343">
      <x:c r="A343" s="31">
        <x:v>37459</x:v>
      </x:c>
      <x:c r="B343" s="32">
        <x:v>193.36</x:v>
      </x:c>
      <x:c r="C343" s="32">
        <x:v>193.36</x:v>
      </x:c>
      <x:c r="D343" s="32">
        <x:v>193.36</x:v>
      </x:c>
      <x:c r="E343" s="32">
        <x:v>193.36</x:v>
      </x:c>
      <x:c r="F343" s="33">
        <x:v>133900</x:v>
      </x:c>
      <x:c r="G343" s="32" t="n">
        <x:f t="shared" si="6">AVERAGE(E144:E343)</x:f>
        <x:v>244.0594</x:v>
      </x:c>
      <x:c r="H343" s="37" t="n">
        <x:f t="shared" si="7">IFERROR(E343/G343-1,"")</x:f>
        <x:v>-0.2077338549549822</x:v>
      </x:c>
      <x:c r="I343" s="38" t="b">
        <x:f t="shared" si="8">E343&lt;G343</x:f>
        <x:v>1</x:v>
      </x:c>
    </x:row>
    <x:row r="344">
      <x:c r="A344" s="31">
        <x:v>37460</x:v>
      </x:c>
      <x:c r="B344" s="32">
        <x:v>196.85</x:v>
      </x:c>
      <x:c r="C344" s="32">
        <x:v>196.85</x:v>
      </x:c>
      <x:c r="D344" s="32">
        <x:v>196.85</x:v>
      </x:c>
      <x:c r="E344" s="32">
        <x:v>196.85</x:v>
      </x:c>
      <x:c r="F344" s="33">
        <x:v>66400</x:v>
      </x:c>
      <x:c r="G344" s="32" t="n">
        <x:f t="shared" si="6">AVERAGE(E145:E344)</x:f>
        <x:v>242.54225000000002</x:v>
      </x:c>
      <x:c r="H344" s="37" t="n">
        <x:f t="shared" si="7">IFERROR(E344/G344-1,"")</x:f>
        <x:v>-0.1883888271012577</x:v>
      </x:c>
      <x:c r="I344" s="38" t="b">
        <x:f t="shared" si="8">E344&lt;G344</x:f>
        <x:v>1</x:v>
      </x:c>
    </x:row>
    <x:row r="345">
      <x:c r="A345" s="31">
        <x:v>37461</x:v>
      </x:c>
      <x:c r="B345" s="32">
        <x:v>197.42</x:v>
      </x:c>
      <x:c r="C345" s="32">
        <x:v>197.42</x:v>
      </x:c>
      <x:c r="D345" s="32">
        <x:v>197.42</x:v>
      </x:c>
      <x:c r="E345" s="32">
        <x:v>197.42</x:v>
      </x:c>
      <x:c r="F345" s="33">
        <x:v>179500</x:v>
      </x:c>
      <x:c r="G345" s="32" t="n">
        <x:f t="shared" si="6">AVERAGE(E146:E345)</x:f>
        <x:v>241.07350000000002</x:v>
      </x:c>
      <x:c r="H345" s="37" t="n">
        <x:f t="shared" si="7">IFERROR(E345/G345-1,"")</x:f>
        <x:v>-0.1810796292417044</x:v>
      </x:c>
      <x:c r="I345" s="38" t="b">
        <x:f t="shared" si="8">E345&lt;G345</x:f>
        <x:v>1</x:v>
      </x:c>
    </x:row>
    <x:row r="346">
      <x:c r="A346" s="31">
        <x:v>37462</x:v>
      </x:c>
      <x:c r="B346" s="32">
        <x:v>194.49</x:v>
      </x:c>
      <x:c r="C346" s="32">
        <x:v>194.49</x:v>
      </x:c>
      <x:c r="D346" s="32">
        <x:v>194.49</x:v>
      </x:c>
      <x:c r="E346" s="32">
        <x:v>194.49</x:v>
      </x:c>
      <x:c r="F346" s="33">
        <x:v>184300</x:v>
      </x:c>
      <x:c r="G346" s="32" t="n">
        <x:f t="shared" si="6">AVERAGE(E147:E346)</x:f>
        <x:v>239.48195000000004</x:v>
      </x:c>
      <x:c r="H346" s="37" t="n">
        <x:f t="shared" si="7">IFERROR(E346/G346-1,"")</x:f>
        <x:v>-0.1878719878471009</x:v>
      </x:c>
      <x:c r="I346" s="38" t="b">
        <x:f t="shared" si="8">E346&lt;G346</x:f>
        <x:v>1</x:v>
      </x:c>
    </x:row>
    <x:row r="347">
      <x:c r="A347" s="31">
        <x:v>37463</x:v>
      </x:c>
      <x:c r="B347" s="32">
        <x:v>195.79</x:v>
      </x:c>
      <x:c r="C347" s="32">
        <x:v>195.79</x:v>
      </x:c>
      <x:c r="D347" s="32">
        <x:v>195.79</x:v>
      </x:c>
      <x:c r="E347" s="32">
        <x:v>195.79</x:v>
      </x:c>
      <x:c r="F347" s="33">
        <x:v>106500</x:v>
      </x:c>
      <x:c r="G347" s="32" t="n">
        <x:f t="shared" si="6">AVERAGE(E148:E347)</x:f>
        <x:v>237.94625000000005</x:v>
      </x:c>
      <x:c r="H347" s="37" t="n">
        <x:f t="shared" si="7">IFERROR(E347/G347-1,"")</x:f>
        <x:v>-0.17716711232053473</x:v>
      </x:c>
      <x:c r="I347" s="38" t="b">
        <x:f t="shared" si="8">E347&lt;G347</x:f>
        <x:v>1</x:v>
      </x:c>
    </x:row>
    <x:row r="348">
      <x:c r="A348" s="31">
        <x:v>37466</x:v>
      </x:c>
      <x:c r="B348" s="32">
        <x:v>195.16</x:v>
      </x:c>
      <x:c r="C348" s="32">
        <x:v>195.16</x:v>
      </x:c>
      <x:c r="D348" s="32">
        <x:v>195.16</x:v>
      </x:c>
      <x:c r="E348" s="32">
        <x:v>195.16</x:v>
      </x:c>
      <x:c r="F348" s="33">
        <x:v>132000</x:v>
      </x:c>
      <x:c r="G348" s="32" t="n">
        <x:f t="shared" si="6">AVERAGE(E149:E348)</x:f>
        <x:v>236.5679</x:v>
      </x:c>
      <x:c r="H348" s="37" t="n">
        <x:f t="shared" si="7">IFERROR(E348/G348-1,"")</x:f>
        <x:v>-0.17503600446214385</x:v>
      </x:c>
      <x:c r="I348" s="38" t="b">
        <x:f t="shared" si="8">E348&lt;G348</x:f>
        <x:v>1</x:v>
      </x:c>
    </x:row>
    <x:row r="349">
      <x:c r="A349" s="31">
        <x:v>37467</x:v>
      </x:c>
      <x:c r="B349" s="32">
        <x:v>196.94</x:v>
      </x:c>
      <x:c r="C349" s="32">
        <x:v>196.94</x:v>
      </x:c>
      <x:c r="D349" s="32">
        <x:v>196.94</x:v>
      </x:c>
      <x:c r="E349" s="32">
        <x:v>196.94</x:v>
      </x:c>
      <x:c r="F349" s="33">
        <x:v>105700</x:v>
      </x:c>
      <x:c r="G349" s="32" t="n">
        <x:f t="shared" si="6">AVERAGE(E150:E349)</x:f>
        <x:v>235.37195000000003</x:v>
      </x:c>
      <x:c r="H349" s="37" t="n">
        <x:f t="shared" si="7">IFERROR(E349/G349-1,"")</x:f>
        <x:v>-0.16328177592954485</x:v>
      </x:c>
      <x:c r="I349" s="38" t="b">
        <x:f t="shared" si="8">E349&lt;G349</x:f>
        <x:v>1</x:v>
      </x:c>
    </x:row>
    <x:row r="350">
      <x:c r="A350" s="31">
        <x:v>37468</x:v>
      </x:c>
      <x:c r="B350" s="32">
        <x:v>197.57</x:v>
      </x:c>
      <x:c r="C350" s="32">
        <x:v>197.57</x:v>
      </x:c>
      <x:c r="D350" s="32">
        <x:v>197.57</x:v>
      </x:c>
      <x:c r="E350" s="32">
        <x:v>197.57</x:v>
      </x:c>
      <x:c r="F350" s="33">
        <x:v>151600</x:v>
      </x:c>
      <x:c r="G350" s="32" t="n">
        <x:f t="shared" si="6">AVERAGE(E151:E350)</x:f>
        <x:v>234.27750000000003</x:v>
      </x:c>
      <x:c r="H350" s="37" t="n">
        <x:f t="shared" si="7">IFERROR(E350/G350-1,"")</x:f>
        <x:v>-0.15668384714707995</x:v>
      </x:c>
      <x:c r="I350" s="38" t="b">
        <x:f t="shared" si="8">E350&lt;G350</x:f>
        <x:v>1</x:v>
      </x:c>
    </x:row>
    <x:row r="351">
      <x:c r="A351" s="31">
        <x:v>37469</x:v>
      </x:c>
      <x:c r="B351" s="32">
        <x:v>197.12</x:v>
      </x:c>
      <x:c r="C351" s="32">
        <x:v>197.12</x:v>
      </x:c>
      <x:c r="D351" s="32">
        <x:v>197.12</x:v>
      </x:c>
      <x:c r="E351" s="32">
        <x:v>197.12</x:v>
      </x:c>
      <x:c r="F351" s="33">
        <x:v>74900</x:v>
      </x:c>
      <x:c r="G351" s="32" t="n">
        <x:f t="shared" si="6">AVERAGE(E152:E351)</x:f>
        <x:v>233.20595000000006</x:v>
      </x:c>
      <x:c r="H351" s="37" t="n">
        <x:f t="shared" si="7">IFERROR(E351/G351-1,"")</x:f>
        <x:v>-0.15473854762282024</x:v>
      </x:c>
      <x:c r="I351" s="38" t="b">
        <x:f t="shared" si="8">E351&lt;G351</x:f>
        <x:v>1</x:v>
      </x:c>
    </x:row>
    <x:row r="352">
      <x:c r="A352" s="31">
        <x:v>37470</x:v>
      </x:c>
      <x:c r="B352" s="32">
        <x:v>195.06</x:v>
      </x:c>
      <x:c r="C352" s="32">
        <x:v>195.06</x:v>
      </x:c>
      <x:c r="D352" s="32">
        <x:v>195.06</x:v>
      </x:c>
      <x:c r="E352" s="32">
        <x:v>195.06</x:v>
      </x:c>
      <x:c r="F352" s="33">
        <x:v>92400</x:v>
      </x:c>
      <x:c r="G352" s="32" t="n">
        <x:f t="shared" si="6">AVERAGE(E153:E352)</x:f>
        <x:v>231.99065000000007</x:v>
      </x:c>
      <x:c r="H352" s="37" t="n">
        <x:f t="shared" si="7">IFERROR(E352/G352-1,"")</x:f>
        <x:v>-0.1591902518485122</x:v>
      </x:c>
      <x:c r="I352" s="38" t="b">
        <x:f t="shared" si="8">E352&lt;G352</x:f>
        <x:v>1</x:v>
      </x:c>
    </x:row>
    <x:row r="353">
      <x:c r="A353" s="31">
        <x:v>37473</x:v>
      </x:c>
      <x:c r="B353" s="32">
        <x:v>193.67</x:v>
      </x:c>
      <x:c r="C353" s="32">
        <x:v>193.67</x:v>
      </x:c>
      <x:c r="D353" s="32">
        <x:v>193.67</x:v>
      </x:c>
      <x:c r="E353" s="32">
        <x:v>193.67</x:v>
      </x:c>
      <x:c r="F353" s="33">
        <x:v>127600</x:v>
      </x:c>
      <x:c r="G353" s="32" t="n">
        <x:f t="shared" si="6">AVERAGE(E154:E353)</x:f>
        <x:v>230.62565000000006</x:v>
      </x:c>
      <x:c r="H353" s="37" t="n">
        <x:f t="shared" si="7">IFERROR(E353/G353-1,"")</x:f>
        <x:v>-0.16024084918568282</x:v>
      </x:c>
      <x:c r="I353" s="38" t="b">
        <x:f t="shared" si="8">E353&lt;G353</x:f>
        <x:v>1</x:v>
      </x:c>
    </x:row>
    <x:row r="354">
      <x:c r="A354" s="31">
        <x:v>37474</x:v>
      </x:c>
      <x:c r="B354" s="32">
        <x:v>194.34</x:v>
      </x:c>
      <x:c r="C354" s="32">
        <x:v>194.34</x:v>
      </x:c>
      <x:c r="D354" s="32">
        <x:v>194.34</x:v>
      </x:c>
      <x:c r="E354" s="32">
        <x:v>194.34</x:v>
      </x:c>
      <x:c r="F354" s="33">
        <x:v>86800</x:v>
      </x:c>
      <x:c r="G354" s="32" t="n">
        <x:f t="shared" si="6">AVERAGE(E155:E354)</x:f>
        <x:v>229.40570000000002</x:v>
      </x:c>
      <x:c r="H354" s="37" t="n">
        <x:f t="shared" si="7">IFERROR(E354/G354-1,"")</x:f>
        <x:v>-0.15285452802611277</x:v>
      </x:c>
      <x:c r="I354" s="38" t="b">
        <x:f t="shared" si="8">E354&lt;G354</x:f>
        <x:v>1</x:v>
      </x:c>
    </x:row>
    <x:row r="355">
      <x:c r="A355" s="31">
        <x:v>37475</x:v>
      </x:c>
      <x:c r="B355" s="32">
        <x:v>194.06</x:v>
      </x:c>
      <x:c r="C355" s="32">
        <x:v>194.06</x:v>
      </x:c>
      <x:c r="D355" s="32">
        <x:v>194.06</x:v>
      </x:c>
      <x:c r="E355" s="32">
        <x:v>194.06</x:v>
      </x:c>
      <x:c r="F355" s="33">
        <x:v>106900</x:v>
      </x:c>
      <x:c r="G355" s="32" t="n">
        <x:f t="shared" si="6">AVERAGE(E156:E355)</x:f>
        <x:v>228.12165000000002</x:v>
      </x:c>
      <x:c r="H355" s="37" t="n">
        <x:f t="shared" si="7">IFERROR(E355/G355-1,"")</x:f>
        <x:v>-0.14931353512478984</x:v>
      </x:c>
      <x:c r="I355" s="38" t="b">
        <x:f t="shared" si="8">E355&lt;G355</x:f>
        <x:v>1</x:v>
      </x:c>
    </x:row>
    <x:row r="356">
      <x:c r="A356" s="31">
        <x:v>37476</x:v>
      </x:c>
      <x:c r="B356" s="32">
        <x:v>193.39</x:v>
      </x:c>
      <x:c r="C356" s="32">
        <x:v>193.39</x:v>
      </x:c>
      <x:c r="D356" s="32">
        <x:v>193.39</x:v>
      </x:c>
      <x:c r="E356" s="32">
        <x:v>193.39</x:v>
      </x:c>
      <x:c r="F356" s="33">
        <x:v>110300</x:v>
      </x:c>
      <x:c r="G356" s="32" t="n">
        <x:f t="shared" si="6">AVERAGE(E157:E356)</x:f>
        <x:v>226.86175000000003</x:v>
      </x:c>
      <x:c r="H356" s="37" t="n">
        <x:f t="shared" si="7">IFERROR(E356/G356-1,"")</x:f>
        <x:v>-0.14754250110474787</x:v>
      </x:c>
      <x:c r="I356" s="38" t="b">
        <x:f t="shared" si="8">E356&lt;G356</x:f>
        <x:v>1</x:v>
      </x:c>
    </x:row>
    <x:row r="357">
      <x:c r="A357" s="31">
        <x:v>37477</x:v>
      </x:c>
      <x:c r="B357" s="32">
        <x:v>192.49</x:v>
      </x:c>
      <x:c r="C357" s="32">
        <x:v>192.49</x:v>
      </x:c>
      <x:c r="D357" s="32">
        <x:v>192.49</x:v>
      </x:c>
      <x:c r="E357" s="32">
        <x:v>192.49</x:v>
      </x:c>
      <x:c r="F357" s="33">
        <x:v>140800</x:v>
      </x:c>
      <x:c r="G357" s="32" t="n">
        <x:f t="shared" si="6">AVERAGE(E158:E357)</x:f>
        <x:v>225.71189999999999</x:v>
      </x:c>
      <x:c r="H357" s="37" t="n">
        <x:f t="shared" si="7">IFERROR(E357/G357-1,"")</x:f>
        <x:v>-0.1471871886240822</x:v>
      </x:c>
      <x:c r="I357" s="38" t="b">
        <x:f t="shared" si="8">E357&lt;G357</x:f>
        <x:v>1</x:v>
      </x:c>
    </x:row>
    <x:row r="358">
      <x:c r="A358" s="31">
        <x:v>37480</x:v>
      </x:c>
      <x:c r="B358" s="32">
        <x:v>191.53</x:v>
      </x:c>
      <x:c r="C358" s="32">
        <x:v>191.53</x:v>
      </x:c>
      <x:c r="D358" s="32">
        <x:v>191.53</x:v>
      </x:c>
      <x:c r="E358" s="32">
        <x:v>191.53</x:v>
      </x:c>
      <x:c r="F358" s="33">
        <x:v>95700</x:v>
      </x:c>
      <x:c r="G358" s="32" t="n">
        <x:f t="shared" si="6">AVERAGE(E159:E358)</x:f>
        <x:v>224.6914</x:v>
      </x:c>
      <x:c r="H358" s="37" t="n">
        <x:f t="shared" si="7">IFERROR(E358/G358-1,"")</x:f>
        <x:v>-0.14758642297836044</x:v>
      </x:c>
      <x:c r="I358" s="38" t="b">
        <x:f t="shared" si="8">E358&lt;G358</x:f>
        <x:v>1</x:v>
      </x:c>
    </x:row>
    <x:row r="359">
      <x:c r="A359" s="31">
        <x:v>37481</x:v>
      </x:c>
      <x:c r="B359" s="32">
        <x:v>189.78</x:v>
      </x:c>
      <x:c r="C359" s="32">
        <x:v>189.78</x:v>
      </x:c>
      <x:c r="D359" s="32">
        <x:v>189.78</x:v>
      </x:c>
      <x:c r="E359" s="32">
        <x:v>189.78</x:v>
      </x:c>
      <x:c r="F359" s="33">
        <x:v>147800</x:v>
      </x:c>
      <x:c r="G359" s="32" t="n">
        <x:f t="shared" si="6">AVERAGE(E160:E359)</x:f>
        <x:v>223.78149999999997</x:v>
      </x:c>
      <x:c r="H359" s="37" t="n">
        <x:f t="shared" si="7">IFERROR(E359/G359-1,"")</x:f>
        <x:v>-0.15194062065005365</x:v>
      </x:c>
      <x:c r="I359" s="38" t="b">
        <x:f t="shared" si="8">E359&lt;G359</x:f>
        <x:v>1</x:v>
      </x:c>
    </x:row>
    <x:row r="360">
      <x:c r="A360" s="31">
        <x:v>37482</x:v>
      </x:c>
      <x:c r="B360" s="32">
        <x:v>188.73</x:v>
      </x:c>
      <x:c r="C360" s="32">
        <x:v>188.73</x:v>
      </x:c>
      <x:c r="D360" s="32">
        <x:v>188.73</x:v>
      </x:c>
      <x:c r="E360" s="32">
        <x:v>188.73</x:v>
      </x:c>
      <x:c r="F360" s="33">
        <x:v>118500</x:v>
      </x:c>
      <x:c r="G360" s="32" t="n">
        <x:f t="shared" si="6">AVERAGE(E161:E360)</x:f>
        <x:v>222.97169999999997</x:v>
      </x:c>
      <x:c r="H360" s="37" t="n">
        <x:f t="shared" si="7">IFERROR(E360/G360-1,"")</x:f>
        <x:v>-0.15356971310708933</x:v>
      </x:c>
      <x:c r="I360" s="38" t="b">
        <x:f t="shared" si="8">E360&lt;G360</x:f>
        <x:v>1</x:v>
      </x:c>
    </x:row>
    <x:row r="361">
      <x:c r="A361" s="31">
        <x:v>37483</x:v>
      </x:c>
      <x:c r="B361" s="32">
        <x:v>189.55</x:v>
      </x:c>
      <x:c r="C361" s="32">
        <x:v>189.55</x:v>
      </x:c>
      <x:c r="D361" s="32">
        <x:v>189.55</x:v>
      </x:c>
      <x:c r="E361" s="32">
        <x:v>189.55</x:v>
      </x:c>
      <x:c r="F361" s="33">
        <x:v>165400</x:v>
      </x:c>
      <x:c r="G361" s="32" t="n">
        <x:f t="shared" si="6">AVERAGE(E162:E361)</x:f>
        <x:v>222.05129999999997</x:v>
      </x:c>
      <x:c r="H361" s="37" t="n">
        <x:f t="shared" si="7">IFERROR(E361/G361-1,"")</x:f>
        <x:v>-0.14636842927737848</x:v>
      </x:c>
      <x:c r="I361" s="38" t="b">
        <x:f t="shared" si="8">E361&lt;G361</x:f>
        <x:v>1</x:v>
      </x:c>
    </x:row>
    <x:row r="362">
      <x:c r="A362" s="31">
        <x:v>37484</x:v>
      </x:c>
      <x:c r="B362" s="32">
        <x:v>191.67</x:v>
      </x:c>
      <x:c r="C362" s="32">
        <x:v>191.67</x:v>
      </x:c>
      <x:c r="D362" s="32">
        <x:v>191.67</x:v>
      </x:c>
      <x:c r="E362" s="32">
        <x:v>191.67</x:v>
      </x:c>
      <x:c r="F362" s="33">
        <x:v>105300</x:v>
      </x:c>
      <x:c r="G362" s="32" t="n">
        <x:f t="shared" si="6">AVERAGE(E163:E362)</x:f>
        <x:v>221.03874999999996</x:v>
      </x:c>
      <x:c r="H362" s="37" t="n">
        <x:f t="shared" si="7">IFERROR(E362/G362-1,"")</x:f>
        <x:v>-0.132866974682041</x:v>
      </x:c>
      <x:c r="I362" s="38" t="b">
        <x:f t="shared" si="8">E362&lt;G362</x:f>
        <x:v>1</x:v>
      </x:c>
    </x:row>
    <x:row r="363">
      <x:c r="A363" s="31">
        <x:v>37487</x:v>
      </x:c>
      <x:c r="B363" s="32">
        <x:v>192.67</x:v>
      </x:c>
      <x:c r="C363" s="32">
        <x:v>192.67</x:v>
      </x:c>
      <x:c r="D363" s="32">
        <x:v>192.67</x:v>
      </x:c>
      <x:c r="E363" s="32">
        <x:v>192.67</x:v>
      </x:c>
      <x:c r="F363" s="33">
        <x:v>125700</x:v>
      </x:c>
      <x:c r="G363" s="32" t="n">
        <x:f t="shared" si="6">AVERAGE(E164:E363)</x:f>
        <x:v>220.16039999999998</x:v>
      </x:c>
      <x:c r="H363" s="37" t="n">
        <x:f t="shared" si="7">IFERROR(E363/G363-1,"")</x:f>
        <x:v>-0.12486532546270812</x:v>
      </x:c>
      <x:c r="I363" s="38" t="b">
        <x:f t="shared" si="8">E363&lt;G363</x:f>
        <x:v>1</x:v>
      </x:c>
    </x:row>
    <x:row r="364">
      <x:c r="A364" s="31">
        <x:v>37488</x:v>
      </x:c>
      <x:c r="B364" s="32">
        <x:v>190.96</x:v>
      </x:c>
      <x:c r="C364" s="32">
        <x:v>190.96</x:v>
      </x:c>
      <x:c r="D364" s="32">
        <x:v>190.96</x:v>
      </x:c>
      <x:c r="E364" s="32">
        <x:v>190.96</x:v>
      </x:c>
      <x:c r="F364" s="33">
        <x:v>108000</x:v>
      </x:c>
      <x:c r="G364" s="32" t="n">
        <x:f t="shared" si="6">AVERAGE(E165:E364)</x:f>
        <x:v>219.39364999999995</x:v>
      </x:c>
      <x:c r="H364" s="37" t="n">
        <x:f t="shared" si="7">IFERROR(E364/G364-1,"")</x:f>
        <x:v>-0.12960106183565456</x:v>
      </x:c>
      <x:c r="I364" s="38" t="b">
        <x:f t="shared" si="8">E364&lt;G364</x:f>
        <x:v>1</x:v>
      </x:c>
    </x:row>
    <x:row r="365">
      <x:c r="A365" s="31">
        <x:v>37489</x:v>
      </x:c>
      <x:c r="B365" s="32">
        <x:v>190.9</x:v>
      </x:c>
      <x:c r="C365" s="32">
        <x:v>190.9</x:v>
      </x:c>
      <x:c r="D365" s="32">
        <x:v>190.9</x:v>
      </x:c>
      <x:c r="E365" s="32">
        <x:v>190.9</x:v>
      </x:c>
      <x:c r="F365" s="33">
        <x:v>173800</x:v>
      </x:c>
      <x:c r="G365" s="32" t="n">
        <x:f t="shared" si="6">AVERAGE(E166:E365)</x:f>
        <x:v>218.73899999999998</x:v>
      </x:c>
      <x:c r="H365" s="37" t="n">
        <x:f t="shared" si="7">IFERROR(E365/G365-1,"")</x:f>
        <x:v>-0.1272703998829654</x:v>
      </x:c>
      <x:c r="I365" s="38" t="b">
        <x:f t="shared" si="8">E365&lt;G365</x:f>
        <x:v>1</x:v>
      </x:c>
    </x:row>
    <x:row r="366">
      <x:c r="A366" s="31">
        <x:v>37490</x:v>
      </x:c>
      <x:c r="B366" s="32">
        <x:v>190.95</x:v>
      </x:c>
      <x:c r="C366" s="32">
        <x:v>190.95</x:v>
      </x:c>
      <x:c r="D366" s="32">
        <x:v>190.95</x:v>
      </x:c>
      <x:c r="E366" s="32">
        <x:v>190.95</x:v>
      </x:c>
      <x:c r="F366" s="33">
        <x:v>169500</x:v>
      </x:c>
      <x:c r="G366" s="32" t="n">
        <x:f t="shared" si="6">AVERAGE(E167:E366)</x:f>
        <x:v>218.18249999999992</x:v>
      </x:c>
      <x:c r="H366" s="37" t="n">
        <x:f t="shared" si="7">IFERROR(E366/G366-1,"")</x:f>
        <x:v>-0.12481523495239055</x:v>
      </x:c>
      <x:c r="I366" s="38" t="b">
        <x:f t="shared" si="8">E366&lt;G366</x:f>
        <x:v>1</x:v>
      </x:c>
    </x:row>
    <x:row r="367">
      <x:c r="A367" s="31">
        <x:v>37491</x:v>
      </x:c>
      <x:c r="B367" s="32">
        <x:v>190.21</x:v>
      </x:c>
      <x:c r="C367" s="32">
        <x:v>190.21</x:v>
      </x:c>
      <x:c r="D367" s="32">
        <x:v>190.21</x:v>
      </x:c>
      <x:c r="E367" s="32">
        <x:v>190.21</x:v>
      </x:c>
      <x:c r="F367" s="33">
        <x:v>149200</x:v>
      </x:c>
      <x:c r="G367" s="32" t="n">
        <x:f t="shared" si="6">AVERAGE(E168:E367)</x:f>
        <x:v>217.52864999999994</x:v>
      </x:c>
      <x:c r="H367" s="37" t="n">
        <x:f t="shared" si="7">IFERROR(E367/G367-1,"")</x:f>
        <x:v>-0.125586445739446</x:v>
      </x:c>
      <x:c r="I367" s="38" t="b">
        <x:f t="shared" si="8">E367&lt;G367</x:f>
        <x:v>1</x:v>
      </x:c>
    </x:row>
    <x:row r="368">
      <x:c r="A368" s="31">
        <x:v>37494</x:v>
      </x:c>
      <x:c r="B368" s="32">
        <x:v>189.97</x:v>
      </x:c>
      <x:c r="C368" s="32">
        <x:v>189.97</x:v>
      </x:c>
      <x:c r="D368" s="32">
        <x:v>189.97</x:v>
      </x:c>
      <x:c r="E368" s="32">
        <x:v>189.97</x:v>
      </x:c>
      <x:c r="F368" s="33">
        <x:v>134000</x:v>
      </x:c>
      <x:c r="G368" s="32" t="n">
        <x:f t="shared" si="6">AVERAGE(E169:E368)</x:f>
        <x:v>216.97834999999998</x:v>
      </x:c>
      <x:c r="H368" s="37" t="n">
        <x:f t="shared" si="7">IFERROR(E368/G368-1,"")</x:f>
        <x:v>-0.12447486120158979</x:v>
      </x:c>
      <x:c r="I368" s="38" t="b">
        <x:f t="shared" si="8">E368&lt;G368</x:f>
        <x:v>1</x:v>
      </x:c>
    </x:row>
    <x:row r="369">
      <x:c r="A369" s="31">
        <x:v>37495</x:v>
      </x:c>
      <x:c r="B369" s="32">
        <x:v>189.32</x:v>
      </x:c>
      <x:c r="C369" s="32">
        <x:v>189.32</x:v>
      </x:c>
      <x:c r="D369" s="32">
        <x:v>189.32</x:v>
      </x:c>
      <x:c r="E369" s="32">
        <x:v>189.32</x:v>
      </x:c>
      <x:c r="F369" s="33">
        <x:v>110800</x:v>
      </x:c>
      <x:c r="G369" s="32" t="n">
        <x:f t="shared" si="6">AVERAGE(E170:E369)</x:f>
        <x:v>216.52669999999998</x:v>
      </x:c>
      <x:c r="H369" s="37" t="n">
        <x:f t="shared" si="7">IFERROR(E369/G369-1,"")</x:f>
        <x:v>-0.12565055487383303</x:v>
      </x:c>
      <x:c r="I369" s="38" t="b">
        <x:f t="shared" si="8">E369&lt;G369</x:f>
        <x:v>1</x:v>
      </x:c>
    </x:row>
    <x:row r="370">
      <x:c r="A370" s="31">
        <x:v>37496</x:v>
      </x:c>
      <x:c r="B370" s="32">
        <x:v>190.54</x:v>
      </x:c>
      <x:c r="C370" s="32">
        <x:v>190.54</x:v>
      </x:c>
      <x:c r="D370" s="32">
        <x:v>190.54</x:v>
      </x:c>
      <x:c r="E370" s="32">
        <x:v>190.54</x:v>
      </x:c>
      <x:c r="F370" s="33">
        <x:v>125300</x:v>
      </x:c>
      <x:c r="G370" s="32" t="n">
        <x:f t="shared" si="6">AVERAGE(E171:E370)</x:f>
        <x:v>216.17265</x:v>
      </x:c>
      <x:c r="H370" s="37" t="n">
        <x:f t="shared" si="7">IFERROR(E370/G370-1,"")</x:f>
        <x:v>-0.1185748983509246</x:v>
      </x:c>
      <x:c r="I370" s="38" t="b">
        <x:f t="shared" si="8">E370&lt;G370</x:f>
        <x:v>1</x:v>
      </x:c>
    </x:row>
    <x:row r="371">
      <x:c r="A371" s="31">
        <x:v>37497</x:v>
      </x:c>
      <x:c r="B371" s="32">
        <x:v>191.28</x:v>
      </x:c>
      <x:c r="C371" s="32">
        <x:v>191.28</x:v>
      </x:c>
      <x:c r="D371" s="32">
        <x:v>191.28</x:v>
      </x:c>
      <x:c r="E371" s="32">
        <x:v>191.28</x:v>
      </x:c>
      <x:c r="F371" s="33">
        <x:v>159500</x:v>
      </x:c>
      <x:c r="G371" s="32" t="n">
        <x:f t="shared" si="6">AVERAGE(E172:E371)</x:f>
        <x:v>215.74204999999998</x:v>
      </x:c>
      <x:c r="H371" s="37" t="n">
        <x:f t="shared" si="7">IFERROR(E371/G371-1,"")</x:f>
        <x:v>-0.11338563808029067</x:v>
      </x:c>
      <x:c r="I371" s="38" t="b">
        <x:f t="shared" si="8">E371&lt;G371</x:f>
        <x:v>1</x:v>
      </x:c>
    </x:row>
    <x:row r="372">
      <x:c r="A372" s="31">
        <x:v>37498</x:v>
      </x:c>
      <x:c r="B372" s="32">
        <x:v>191.66</x:v>
      </x:c>
      <x:c r="C372" s="32">
        <x:v>191.66</x:v>
      </x:c>
      <x:c r="D372" s="32">
        <x:v>191.66</x:v>
      </x:c>
      <x:c r="E372" s="32">
        <x:v>191.66</x:v>
      </x:c>
      <x:c r="F372" s="33">
        <x:v>181600</x:v>
      </x:c>
      <x:c r="G372" s="32" t="n">
        <x:f t="shared" si="6">AVERAGE(E173:E372)</x:f>
        <x:v>215.21820000000002</x:v>
      </x:c>
      <x:c r="H372" s="37" t="n">
        <x:f t="shared" si="7">IFERROR(E372/G372-1,"")</x:f>
        <x:v>-0.10946193212284105</x:v>
      </x:c>
      <x:c r="I372" s="38" t="b">
        <x:f t="shared" si="8">E372&lt;G372</x:f>
        <x:v>1</x:v>
      </x:c>
    </x:row>
    <x:row r="373">
      <x:c r="A373" s="31">
        <x:v>37502</x:v>
      </x:c>
      <x:c r="B373" s="32">
        <x:v>191.43</x:v>
      </x:c>
      <x:c r="C373" s="32">
        <x:v>191.43</x:v>
      </x:c>
      <x:c r="D373" s="32">
        <x:v>191.43</x:v>
      </x:c>
      <x:c r="E373" s="32">
        <x:v>191.43</x:v>
      </x:c>
      <x:c r="F373" s="33">
        <x:v>58200</x:v>
      </x:c>
      <x:c r="G373" s="32" t="n">
        <x:f t="shared" si="6">AVERAGE(E174:E373)</x:f>
        <x:v>214.63655000000008</x:v>
      </x:c>
      <x:c r="H373" s="37" t="n">
        <x:f t="shared" si="7">IFERROR(E373/G373-1,"")</x:f>
        <x:v>-0.10812021531281635</x:v>
      </x:c>
      <x:c r="I373" s="38" t="b">
        <x:f t="shared" si="8">E373&lt;G373</x:f>
        <x:v>1</x:v>
      </x:c>
    </x:row>
    <x:row r="374">
      <x:c r="A374" s="31">
        <x:v>37503</x:v>
      </x:c>
      <x:c r="B374" s="32">
        <x:v>190.59</x:v>
      </x:c>
      <x:c r="C374" s="32">
        <x:v>190.59</x:v>
      </x:c>
      <x:c r="D374" s="32">
        <x:v>190.59</x:v>
      </x:c>
      <x:c r="E374" s="32">
        <x:v>190.59</x:v>
      </x:c>
      <x:c r="F374" s="33">
        <x:v>115100</x:v>
      </x:c>
      <x:c r="G374" s="32" t="n">
        <x:f t="shared" si="6">AVERAGE(E175:E374)</x:f>
        <x:v>214.15675000000002</x:v>
      </x:c>
      <x:c r="H374" s="37" t="n">
        <x:f t="shared" si="7">IFERROR(E374/G374-1,"")</x:f>
        <x:v>-0.11004439505175534</x:v>
      </x:c>
      <x:c r="I374" s="38" t="b">
        <x:f t="shared" si="8">E374&lt;G374</x:f>
        <x:v>1</x:v>
      </x:c>
    </x:row>
    <x:row r="375">
      <x:c r="A375" s="31">
        <x:v>37504</x:v>
      </x:c>
      <x:c r="B375" s="32">
        <x:v>190.54</x:v>
      </x:c>
      <x:c r="C375" s="32">
        <x:v>190.54</x:v>
      </x:c>
      <x:c r="D375" s="32">
        <x:v>190.54</x:v>
      </x:c>
      <x:c r="E375" s="32">
        <x:v>190.54</x:v>
      </x:c>
      <x:c r="F375" s="33">
        <x:v>81900</x:v>
      </x:c>
      <x:c r="G375" s="32" t="n">
        <x:f t="shared" si="6">AVERAGE(E176:E375)</x:f>
        <x:v>213.68605000000002</x:v>
      </x:c>
      <x:c r="H375" s="37" t="n">
        <x:f t="shared" si="7">IFERROR(E375/G375-1,"")</x:f>
        <x:v>-0.10831802075989527</x:v>
      </x:c>
      <x:c r="I375" s="38" t="b">
        <x:f t="shared" si="8">E375&lt;G375</x:f>
        <x:v>1</x:v>
      </x:c>
    </x:row>
    <x:row r="376">
      <x:c r="A376" s="31">
        <x:v>37505</x:v>
      </x:c>
      <x:c r="B376" s="32">
        <x:v>190.45</x:v>
      </x:c>
      <x:c r="C376" s="32">
        <x:v>190.45</x:v>
      </x:c>
      <x:c r="D376" s="32">
        <x:v>190.45</x:v>
      </x:c>
      <x:c r="E376" s="32">
        <x:v>190.45</x:v>
      </x:c>
      <x:c r="F376" s="33">
        <x:v>82200</x:v>
      </x:c>
      <x:c r="G376" s="32" t="n">
        <x:f t="shared" si="6">AVERAGE(E177:E376)</x:f>
        <x:v>213.26510000000002</x:v>
      </x:c>
      <x:c r="H376" s="37" t="n">
        <x:f t="shared" si="7">IFERROR(E376/G376-1,"")</x:f>
        <x:v>-0.10697999813377823</x:v>
      </x:c>
      <x:c r="I376" s="38" t="b">
        <x:f t="shared" si="8">E376&lt;G376</x:f>
        <x:v>1</x:v>
      </x:c>
    </x:row>
    <x:row r="377">
      <x:c r="A377" s="31">
        <x:v>37508</x:v>
      </x:c>
      <x:c r="B377" s="32">
        <x:v>190.21</x:v>
      </x:c>
      <x:c r="C377" s="32">
        <x:v>190.21</x:v>
      </x:c>
      <x:c r="D377" s="32">
        <x:v>190.21</x:v>
      </x:c>
      <x:c r="E377" s="32">
        <x:v>190.21</x:v>
      </x:c>
      <x:c r="F377" s="33">
        <x:v>72700</x:v>
      </x:c>
      <x:c r="G377" s="32" t="n">
        <x:f t="shared" si="6">AVERAGE(E178:E377)</x:f>
        <x:v>212.88570000000004</x:v>
      </x:c>
      <x:c r="H377" s="37" t="n">
        <x:f t="shared" si="7">IFERROR(E377/G377-1,"")</x:f>
        <x:v>-0.10651584394818459</x:v>
      </x:c>
      <x:c r="I377" s="38" t="b">
        <x:f t="shared" si="8">E377&lt;G377</x:f>
        <x:v>1</x:v>
      </x:c>
    </x:row>
    <x:row r="378">
      <x:c r="A378" s="31">
        <x:v>37509</x:v>
      </x:c>
      <x:c r="B378" s="32">
        <x:v>189.86</x:v>
      </x:c>
      <x:c r="C378" s="32">
        <x:v>189.86</x:v>
      </x:c>
      <x:c r="D378" s="32">
        <x:v>189.86</x:v>
      </x:c>
      <x:c r="E378" s="32">
        <x:v>189.86</x:v>
      </x:c>
      <x:c r="F378" s="33">
        <x:v>75300</x:v>
      </x:c>
      <x:c r="G378" s="32" t="n">
        <x:f t="shared" si="6">AVERAGE(E179:E378)</x:f>
        <x:v>212.46815000000004</x:v>
      </x:c>
      <x:c r="H378" s="37" t="n">
        <x:f t="shared" si="7">IFERROR(E378/G378-1,"")</x:f>
        <x:v>-0.1064072426855508</x:v>
      </x:c>
      <x:c r="I378" s="38" t="b">
        <x:f t="shared" si="8">E378&lt;G378</x:f>
        <x:v>1</x:v>
      </x:c>
    </x:row>
    <x:row r="379">
      <x:c r="A379" s="31">
        <x:v>37510</x:v>
      </x:c>
      <x:c r="B379" s="32">
        <x:v>189.4</x:v>
      </x:c>
      <x:c r="C379" s="32">
        <x:v>189.4</x:v>
      </x:c>
      <x:c r="D379" s="32">
        <x:v>189.4</x:v>
      </x:c>
      <x:c r="E379" s="32">
        <x:v>189.4</x:v>
      </x:c>
      <x:c r="F379" s="33">
        <x:v>75200</x:v>
      </x:c>
      <x:c r="G379" s="32" t="n">
        <x:f t="shared" si="6">AVERAGE(E180:E379)</x:f>
        <x:v>212.055</x:v>
      </x:c>
      <x:c r="H379" s="37" t="n">
        <x:f t="shared" si="7">IFERROR(E379/G379-1,"")</x:f>
        <x:v>-0.10683549079248311</x:v>
      </x:c>
      <x:c r="I379" s="38" t="b">
        <x:f t="shared" si="8">E379&lt;G379</x:f>
        <x:v>1</x:v>
      </x:c>
    </x:row>
    <x:row r="380">
      <x:c r="A380" s="31">
        <x:v>37511</x:v>
      </x:c>
      <x:c r="B380" s="32">
        <x:v>189.14</x:v>
      </x:c>
      <x:c r="C380" s="32">
        <x:v>189.14</x:v>
      </x:c>
      <x:c r="D380" s="32">
        <x:v>189.14</x:v>
      </x:c>
      <x:c r="E380" s="32">
        <x:v>189.14</x:v>
      </x:c>
      <x:c r="F380" s="33">
        <x:v>80000</x:v>
      </x:c>
      <x:c r="G380" s="32" t="n">
        <x:f t="shared" si="6">AVERAGE(E181:E380)</x:f>
        <x:v>211.70195</x:v>
      </x:c>
      <x:c r="H380" s="37" t="n">
        <x:f t="shared" si="7">IFERROR(E380/G380-1,"")</x:f>
        <x:v>-0.10657412461245641</x:v>
      </x:c>
      <x:c r="I380" s="38" t="b">
        <x:f t="shared" si="8">E380&lt;G380</x:f>
        <x:v>1</x:v>
      </x:c>
    </x:row>
    <x:row r="381">
      <x:c r="A381" s="31">
        <x:v>37512</x:v>
      </x:c>
      <x:c r="B381" s="32">
        <x:v>188.72</x:v>
      </x:c>
      <x:c r="C381" s="32">
        <x:v>188.72</x:v>
      </x:c>
      <x:c r="D381" s="32">
        <x:v>188.72</x:v>
      </x:c>
      <x:c r="E381" s="32">
        <x:v>188.72</x:v>
      </x:c>
      <x:c r="F381" s="33">
        <x:v>78400</x:v>
      </x:c>
      <x:c r="G381" s="32" t="n">
        <x:f t="shared" si="6">AVERAGE(E182:E381)</x:f>
        <x:v>211.39695000000003</x:v>
      </x:c>
      <x:c r="H381" s="37" t="n">
        <x:f t="shared" si="7">IFERROR(E381/G381-1,"")</x:f>
        <x:v>-0.10727188826518086</x:v>
      </x:c>
      <x:c r="I381" s="38" t="b">
        <x:f t="shared" si="8">E381&lt;G381</x:f>
        <x:v>1</x:v>
      </x:c>
    </x:row>
    <x:row r="382">
      <x:c r="A382" s="31">
        <x:v>37515</x:v>
      </x:c>
      <x:c r="B382" s="32">
        <x:v>188.66</x:v>
      </x:c>
      <x:c r="C382" s="32">
        <x:v>188.66</x:v>
      </x:c>
      <x:c r="D382" s="32">
        <x:v>188.66</x:v>
      </x:c>
      <x:c r="E382" s="32">
        <x:v>188.66</x:v>
      </x:c>
      <x:c r="F382" s="33">
        <x:v>116100</x:v>
      </x:c>
      <x:c r="G382" s="32" t="n">
        <x:f t="shared" si="6">AVERAGE(E183:E382)</x:f>
        <x:v>211.11795</x:v>
      </x:c>
      <x:c r="H382" s="37" t="n">
        <x:f t="shared" si="7">IFERROR(E382/G382-1,"")</x:f>
        <x:v>-0.10637631712509532</x:v>
      </x:c>
      <x:c r="I382" s="38" t="b">
        <x:f t="shared" si="8">E382&lt;G382</x:f>
        <x:v>1</x:v>
      </x:c>
    </x:row>
    <x:row r="383">
      <x:c r="A383" s="31">
        <x:v>37516</x:v>
      </x:c>
      <x:c r="B383" s="32">
        <x:v>186.87</x:v>
      </x:c>
      <x:c r="C383" s="32">
        <x:v>186.87</x:v>
      </x:c>
      <x:c r="D383" s="32">
        <x:v>186.87</x:v>
      </x:c>
      <x:c r="E383" s="32">
        <x:v>186.87</x:v>
      </x:c>
      <x:c r="F383" s="33">
        <x:v>110500</x:v>
      </x:c>
      <x:c r="G383" s="32" t="n">
        <x:f t="shared" si="6">AVERAGE(E184:E383)</x:f>
        <x:v>210.90700000000004</x:v>
      </x:c>
      <x:c r="H383" s="37" t="n">
        <x:f t="shared" si="7">IFERROR(E383/G383-1,"")</x:f>
        <x:v>-0.11396966435443123</x:v>
      </x:c>
      <x:c r="I383" s="38" t="b">
        <x:f t="shared" si="8">E383&lt;G383</x:f>
        <x:v>1</x:v>
      </x:c>
    </x:row>
    <x:row r="384">
      <x:c r="A384" s="31">
        <x:v>37517</x:v>
      </x:c>
      <x:c r="B384" s="32">
        <x:v>185</x:v>
      </x:c>
      <x:c r="C384" s="32">
        <x:v>185</x:v>
      </x:c>
      <x:c r="D384" s="32">
        <x:v>185</x:v>
      </x:c>
      <x:c r="E384" s="32">
        <x:v>185</x:v>
      </x:c>
      <x:c r="F384" s="33">
        <x:v>109400</x:v>
      </x:c>
      <x:c r="G384" s="32" t="n">
        <x:f t="shared" si="6">AVERAGE(E185:E384)</x:f>
        <x:v>210.76055000000005</x:v>
      </x:c>
      <x:c r="H384" s="37" t="n">
        <x:f t="shared" si="7">IFERROR(E384/G384-1,"")</x:f>
        <x:v>-0.12222662163293863</x:v>
      </x:c>
      <x:c r="I384" s="38" t="b">
        <x:f t="shared" si="8">E384&lt;G384</x:f>
        <x:v>1</x:v>
      </x:c>
    </x:row>
    <x:row r="385">
      <x:c r="A385" s="31">
        <x:v>37518</x:v>
      </x:c>
      <x:c r="B385" s="32">
        <x:v>184.69</x:v>
      </x:c>
      <x:c r="C385" s="32">
        <x:v>184.69</x:v>
      </x:c>
      <x:c r="D385" s="32">
        <x:v>184.69</x:v>
      </x:c>
      <x:c r="E385" s="32">
        <x:v>184.69</x:v>
      </x:c>
      <x:c r="F385" s="33">
        <x:v>111100</x:v>
      </x:c>
      <x:c r="G385" s="32" t="n">
        <x:f t="shared" si="6">AVERAGE(E186:E385)</x:f>
        <x:v>210.66840000000008</x:v>
      </x:c>
      <x:c r="H385" s="37" t="n">
        <x:f t="shared" si="7">IFERROR(E385/G385-1,"")</x:f>
        <x:v>-0.12331417526311528</x:v>
      </x:c>
      <x:c r="I385" s="38" t="b">
        <x:f t="shared" si="8">E385&lt;G385</x:f>
        <x:v>1</x:v>
      </x:c>
    </x:row>
    <x:row r="386">
      <x:c r="A386" s="31">
        <x:v>37519</x:v>
      </x:c>
      <x:c r="B386" s="32">
        <x:v>183.83</x:v>
      </x:c>
      <x:c r="C386" s="32">
        <x:v>183.83</x:v>
      </x:c>
      <x:c r="D386" s="32">
        <x:v>183.83</x:v>
      </x:c>
      <x:c r="E386" s="32">
        <x:v>183.83</x:v>
      </x:c>
      <x:c r="F386" s="33">
        <x:v>116500</x:v>
      </x:c>
      <x:c r="G386" s="32" t="n">
        <x:f t="shared" si="6">AVERAGE(E187:E386)</x:f>
        <x:v>210.50205000000005</x:v>
      </x:c>
      <x:c r="H386" s="37" t="n">
        <x:f t="shared" si="7">IFERROR(E386/G386-1,"")</x:f>
        <x:v>-0.1267068420473817</x:v>
      </x:c>
      <x:c r="I386" s="38" t="b">
        <x:f t="shared" si="8">E386&lt;G386</x:f>
        <x:v>1</x:v>
      </x:c>
    </x:row>
    <x:row r="387">
      <x:c r="A387" s="31">
        <x:v>37522</x:v>
      </x:c>
      <x:c r="B387" s="32">
        <x:v>182.33</x:v>
      </x:c>
      <x:c r="C387" s="32">
        <x:v>182.33</x:v>
      </x:c>
      <x:c r="D387" s="32">
        <x:v>182.33</x:v>
      </x:c>
      <x:c r="E387" s="32">
        <x:v>182.33</x:v>
      </x:c>
      <x:c r="F387" s="33">
        <x:v>69500</x:v>
      </x:c>
      <x:c r="G387" s="32" t="n">
        <x:f t="shared" si="6">AVERAGE(E188:E387)</x:f>
        <x:v>210.30780000000007</x:v>
      </x:c>
      <x:c r="H387" s="37" t="n">
        <x:f t="shared" si="7">IFERROR(E387/G387-1,"")</x:f>
        <x:v>-0.13303263121957454</x:v>
      </x:c>
      <x:c r="I387" s="38" t="b">
        <x:f t="shared" si="8">E387&lt;G387</x:f>
        <x:v>1</x:v>
      </x:c>
    </x:row>
    <x:row r="388">
      <x:c r="A388" s="31">
        <x:v>37523</x:v>
      </x:c>
      <x:c r="B388" s="32">
        <x:v>179.93</x:v>
      </x:c>
      <x:c r="C388" s="32">
        <x:v>179.93</x:v>
      </x:c>
      <x:c r="D388" s="32">
        <x:v>179.93</x:v>
      </x:c>
      <x:c r="E388" s="32">
        <x:v>179.93</x:v>
      </x:c>
      <x:c r="F388" s="33">
        <x:v>116500</x:v>
      </x:c>
      <x:c r="G388" s="32" t="n">
        <x:f t="shared" si="6">AVERAGE(E189:E388)</x:f>
        <x:v>210.08110000000005</x:v>
      </x:c>
      <x:c r="H388" s="37" t="n">
        <x:f t="shared" si="7">IFERROR(E388/G388-1,"")</x:f>
        <x:v>-0.1435212401305973</x:v>
      </x:c>
      <x:c r="I388" s="38" t="b">
        <x:f t="shared" si="8">E388&lt;G388</x:f>
        <x:v>1</x:v>
      </x:c>
    </x:row>
    <x:row r="389">
      <x:c r="A389" s="31">
        <x:v>37524</x:v>
      </x:c>
      <x:c r="B389" s="32">
        <x:v>181.66</x:v>
      </x:c>
      <x:c r="C389" s="32">
        <x:v>181.66</x:v>
      </x:c>
      <x:c r="D389" s="32">
        <x:v>181.66</x:v>
      </x:c>
      <x:c r="E389" s="32">
        <x:v>181.66</x:v>
      </x:c>
      <x:c r="F389" s="33">
        <x:v>116100</x:v>
      </x:c>
      <x:c r="G389" s="32" t="n">
        <x:f t="shared" si="6">AVERAGE(E190:E389)</x:f>
        <x:v>209.84265000000008</x:v>
      </x:c>
      <x:c r="H389" s="37" t="n">
        <x:f t="shared" si="7">IFERROR(E389/G389-1,"")</x:f>
        <x:v>-0.13430372710218852</x:v>
      </x:c>
      <x:c r="I389" s="38" t="b">
        <x:f t="shared" si="8">E389&lt;G389</x:f>
        <x:v>1</x:v>
      </x:c>
    </x:row>
    <x:row r="390">
      <x:c r="A390" s="31">
        <x:v>37525</x:v>
      </x:c>
      <x:c r="B390" s="32">
        <x:v>183.67</x:v>
      </x:c>
      <x:c r="C390" s="32">
        <x:v>183.67</x:v>
      </x:c>
      <x:c r="D390" s="32">
        <x:v>183.67</x:v>
      </x:c>
      <x:c r="E390" s="32">
        <x:v>183.67</x:v>
      </x:c>
      <x:c r="F390" s="33">
        <x:v>123000</x:v>
      </x:c>
      <x:c r="G390" s="32" t="n">
        <x:f t="shared" si="6">AVERAGE(E191:E390)</x:f>
        <x:v>209.59360000000004</x:v>
      </x:c>
      <x:c r="H390" s="37" t="n">
        <x:f t="shared" si="7">IFERROR(E390/G390-1,"")</x:f>
        <x:v>-0.12368507435341558</x:v>
      </x:c>
      <x:c r="I390" s="38" t="b">
        <x:f t="shared" si="8">E390&lt;G390</x:f>
        <x:v>1</x:v>
      </x:c>
    </x:row>
    <x:row r="391">
      <x:c r="A391" s="31">
        <x:v>37526</x:v>
      </x:c>
      <x:c r="B391" s="32">
        <x:v>182.62</x:v>
      </x:c>
      <x:c r="C391" s="32">
        <x:v>182.62</x:v>
      </x:c>
      <x:c r="D391" s="32">
        <x:v>182.62</x:v>
      </x:c>
      <x:c r="E391" s="32">
        <x:v>182.62</x:v>
      </x:c>
      <x:c r="F391" s="33">
        <x:v>102600</x:v>
      </x:c>
      <x:c r="G391" s="32" t="n">
        <x:f t="shared" si="6">AVERAGE(E192:E391)</x:f>
        <x:v>209.31860000000003</x:v>
      </x:c>
      <x:c r="H391" s="37" t="n">
        <x:f t="shared" si="7">IFERROR(E391/G391-1,"")</x:f>
        <x:v>-0.12755006005199743</x:v>
      </x:c>
      <x:c r="I391" s="38" t="b">
        <x:f t="shared" si="8">E391&lt;G391</x:f>
        <x:v>1</x:v>
      </x:c>
    </x:row>
    <x:row r="392">
      <x:c r="A392" s="31">
        <x:v>37529</x:v>
      </x:c>
      <x:c r="B392" s="32">
        <x:v>182.13</x:v>
      </x:c>
      <x:c r="C392" s="32">
        <x:v>182.13</x:v>
      </x:c>
      <x:c r="D392" s="32">
        <x:v>182.13</x:v>
      </x:c>
      <x:c r="E392" s="32">
        <x:v>182.13</x:v>
      </x:c>
      <x:c r="F392" s="33">
        <x:v>76200</x:v>
      </x:c>
      <x:c r="G392" s="32" t="n">
        <x:f t="shared" si="6">AVERAGE(E193:E392)</x:f>
        <x:v>209.01920000000007</x:v>
      </x:c>
      <x:c r="H392" s="37" t="n">
        <x:f t="shared" si="7">IFERROR(E392/G392-1,"")</x:f>
        <x:v>-0.12864464125783692</x:v>
      </x:c>
      <x:c r="I392" s="38" t="b">
        <x:f t="shared" si="8">E392&lt;G392</x:f>
        <x:v>1</x:v>
      </x:c>
    </x:row>
    <x:row r="393">
      <x:c r="A393" s="31">
        <x:v>37530</x:v>
      </x:c>
      <x:c r="B393" s="32">
        <x:v>182.97</x:v>
      </x:c>
      <x:c r="C393" s="32">
        <x:v>182.97</x:v>
      </x:c>
      <x:c r="D393" s="32">
        <x:v>182.97</x:v>
      </x:c>
      <x:c r="E393" s="32">
        <x:v>182.97</x:v>
      </x:c>
      <x:c r="F393" s="33">
        <x:v>56500</x:v>
      </x:c>
      <x:c r="G393" s="32" t="n">
        <x:f t="shared" si="6">AVERAGE(E194:E393)</x:f>
        <x:v>208.70200000000006</x:v>
      </x:c>
      <x:c r="H393" s="37" t="n">
        <x:f t="shared" si="7">IFERROR(E393/G393-1,"")</x:f>
        <x:v>-0.12329541643108377</x:v>
      </x:c>
      <x:c r="I393" s="38" t="b">
        <x:f t="shared" si="8">E393&lt;G393</x:f>
        <x:v>1</x:v>
      </x:c>
    </x:row>
    <x:row r="394">
      <x:c r="A394" s="31">
        <x:v>37531</x:v>
      </x:c>
      <x:c r="B394" s="32">
        <x:v>182.84</x:v>
      </x:c>
      <x:c r="C394" s="32">
        <x:v>182.84</x:v>
      </x:c>
      <x:c r="D394" s="32">
        <x:v>182.84</x:v>
      </x:c>
      <x:c r="E394" s="32">
        <x:v>182.84</x:v>
      </x:c>
      <x:c r="F394" s="33">
        <x:v>53300</x:v>
      </x:c>
      <x:c r="G394" s="32" t="n">
        <x:f t="shared" si="6">AVERAGE(E195:E394)</x:f>
        <x:v>208.36195000000004</x:v>
      </x:c>
      <x:c r="H394" s="37" t="n">
        <x:f t="shared" si="7">IFERROR(E394/G394-1,"")</x:f>
        <x:v>-0.12248853497483603</x:v>
      </x:c>
      <x:c r="I394" s="38" t="b">
        <x:f t="shared" si="8">E394&lt;G394</x:f>
        <x:v>1</x:v>
      </x:c>
    </x:row>
    <x:row r="395">
      <x:c r="A395" s="31">
        <x:v>37532</x:v>
      </x:c>
      <x:c r="B395" s="32">
        <x:v>183.4</x:v>
      </x:c>
      <x:c r="C395" s="32">
        <x:v>183.4</x:v>
      </x:c>
      <x:c r="D395" s="32">
        <x:v>183.4</x:v>
      </x:c>
      <x:c r="E395" s="32">
        <x:v>183.4</x:v>
      </x:c>
      <x:c r="F395" s="33">
        <x:v>88100</x:v>
      </x:c>
      <x:c r="G395" s="32" t="n">
        <x:f t="shared" si="6">AVERAGE(E196:E395)</x:f>
        <x:v>208.00119999999998</x:v>
      </x:c>
      <x:c r="H395" s="37" t="n">
        <x:f t="shared" si="7">IFERROR(E395/G395-1,"")</x:f>
        <x:v>-0.11827431764816732</x:v>
      </x:c>
      <x:c r="I395" s="38" t="b">
        <x:f t="shared" si="8">E395&lt;G395</x:f>
        <x:v>1</x:v>
      </x:c>
    </x:row>
    <x:row r="396">
      <x:c r="A396" s="31">
        <x:v>37533</x:v>
      </x:c>
      <x:c r="B396" s="32">
        <x:v>182.49</x:v>
      </x:c>
      <x:c r="C396" s="32">
        <x:v>182.49</x:v>
      </x:c>
      <x:c r="D396" s="32">
        <x:v>182.49</x:v>
      </x:c>
      <x:c r="E396" s="32">
        <x:v>182.49</x:v>
      </x:c>
      <x:c r="F396" s="33">
        <x:v>71900</x:v>
      </x:c>
      <x:c r="G396" s="32" t="n">
        <x:f t="shared" si="6">AVERAGE(E197:E396)</x:f>
        <x:v>207.61219999999997</x:v>
      </x:c>
      <x:c r="H396" s="37" t="n">
        <x:f t="shared" si="7">IFERROR(E396/G396-1,"")</x:f>
        <x:v>-0.12100541297669387</x:v>
      </x:c>
      <x:c r="I396" s="38" t="b">
        <x:f t="shared" si="8">E396&lt;G396</x:f>
        <x:v>1</x:v>
      </x:c>
    </x:row>
    <x:row r="397">
      <x:c r="A397" s="31">
        <x:v>37536</x:v>
      </x:c>
      <x:c r="B397" s="32">
        <x:v>181.71</x:v>
      </x:c>
      <x:c r="C397" s="32">
        <x:v>181.71</x:v>
      </x:c>
      <x:c r="D397" s="32">
        <x:v>181.71</x:v>
      </x:c>
      <x:c r="E397" s="32">
        <x:v>181.71</x:v>
      </x:c>
      <x:c r="F397" s="33">
        <x:v>78500</x:v>
      </x:c>
      <x:c r="G397" s="32" t="n">
        <x:f t="shared" ref="G397:G460" si="9">AVERAGE(E198:E397)</x:f>
        <x:v>207.19559999999993</x:v>
      </x:c>
      <x:c r="H397" s="37" t="n">
        <x:f t="shared" ref="H397:H460" si="10">IFERROR(E397/G397-1,"")</x:f>
        <x:v>-0.1230026120245793</x:v>
      </x:c>
      <x:c r="I397" s="38" t="b">
        <x:f t="shared" ref="I397:I460" si="11">E397&lt;G397</x:f>
        <x:v>1</x:v>
      </x:c>
    </x:row>
    <x:row r="398">
      <x:c r="A398" s="31">
        <x:v>37537</x:v>
      </x:c>
      <x:c r="B398" s="32">
        <x:v>180.02</x:v>
      </x:c>
      <x:c r="C398" s="32">
        <x:v>180.02</x:v>
      </x:c>
      <x:c r="D398" s="32">
        <x:v>180.02</x:v>
      </x:c>
      <x:c r="E398" s="32">
        <x:v>180.02</x:v>
      </x:c>
      <x:c r="F398" s="33">
        <x:v>78600</x:v>
      </x:c>
      <x:c r="G398" s="32" t="n">
        <x:f t="shared" si="9">AVERAGE(E199:E398)</x:f>
        <x:v>206.74684999999997</x:v>
      </x:c>
      <x:c r="H398" s="37" t="n">
        <x:f t="shared" si="10">IFERROR(E398/G398-1,"")</x:f>
        <x:v>-0.12927331178201729</x:v>
      </x:c>
      <x:c r="I398" s="38" t="b">
        <x:f t="shared" si="11">E398&lt;G398</x:f>
        <x:v>1</x:v>
      </x:c>
    </x:row>
    <x:row r="399">
      <x:c r="A399" s="31">
        <x:v>37538</x:v>
      </x:c>
      <x:c r="B399" s="32">
        <x:v>178.85</x:v>
      </x:c>
      <x:c r="C399" s="32">
        <x:v>178.85</x:v>
      </x:c>
      <x:c r="D399" s="32">
        <x:v>178.85</x:v>
      </x:c>
      <x:c r="E399" s="32">
        <x:v>178.85</x:v>
      </x:c>
      <x:c r="F399" s="33">
        <x:v>114400</x:v>
      </x:c>
      <x:c r="G399" s="32" t="n">
        <x:f t="shared" si="9">AVERAGE(E200:E399)</x:f>
        <x:v>206.26664999999997</x:v>
      </x:c>
      <x:c r="H399" s="37" t="n">
        <x:f t="shared" si="10">IFERROR(E399/G399-1,"")</x:f>
        <x:v>-0.13291848197466716</x:v>
      </x:c>
      <x:c r="I399" s="38" t="b">
        <x:f t="shared" si="11">E399&lt;G399</x:f>
        <x:v>1</x:v>
      </x:c>
    </x:row>
    <x:row r="400">
      <x:c r="A400" s="31">
        <x:v>37539</x:v>
      </x:c>
      <x:c r="B400" s="32">
        <x:v>179.1</x:v>
      </x:c>
      <x:c r="C400" s="32">
        <x:v>179.1</x:v>
      </x:c>
      <x:c r="D400" s="32">
        <x:v>179.1</x:v>
      </x:c>
      <x:c r="E400" s="32">
        <x:v>179.1</x:v>
      </x:c>
      <x:c r="F400" s="33">
        <x:v>123900</x:v>
      </x:c>
      <x:c r="G400" s="32" t="n">
        <x:f t="shared" si="9">AVERAGE(E201:E400)</x:f>
        <x:v>205.762</x:v>
      </x:c>
      <x:c r="H400" s="37" t="n">
        <x:f t="shared" si="10">IFERROR(E400/G400-1,"")</x:f>
        <x:v>-0.12957688980472593</x:v>
      </x:c>
      <x:c r="I400" s="38" t="b">
        <x:f t="shared" si="11">E400&lt;G400</x:f>
        <x:v>1</x:v>
      </x:c>
    </x:row>
    <x:row r="401">
      <x:c r="A401" s="31">
        <x:v>37540</x:v>
      </x:c>
      <x:c r="B401" s="32">
        <x:v>179.33</x:v>
      </x:c>
      <x:c r="C401" s="32">
        <x:v>179.33</x:v>
      </x:c>
      <x:c r="D401" s="32">
        <x:v>179.33</x:v>
      </x:c>
      <x:c r="E401" s="32">
        <x:v>179.33</x:v>
      </x:c>
      <x:c r="F401" s="33">
        <x:v>36100</x:v>
      </x:c>
      <x:c r="G401" s="32" t="n">
        <x:f t="shared" si="9">AVERAGE(E202:E401)</x:f>
        <x:v>205.23335</x:v>
      </x:c>
      <x:c r="H401" s="37" t="n">
        <x:f t="shared" si="10">IFERROR(E401/G401-1,"")</x:f>
        <x:v>-0.1262141362502731</x:v>
      </x:c>
      <x:c r="I401" s="38" t="b">
        <x:f t="shared" si="11">E401&lt;G401</x:f>
        <x:v>1</x:v>
      </x:c>
    </x:row>
    <x:row r="402">
      <x:c r="A402" s="31">
        <x:v>37543</x:v>
      </x:c>
      <x:c r="B402" s="32">
        <x:v>180.1</x:v>
      </x:c>
      <x:c r="C402" s="32">
        <x:v>180.1</x:v>
      </x:c>
      <x:c r="D402" s="32">
        <x:v>180.1</x:v>
      </x:c>
      <x:c r="E402" s="32">
        <x:v>180.1</x:v>
      </x:c>
      <x:c r="F402" s="33">
        <x:v>54300</x:v>
      </x:c>
      <x:c r="G402" s="32" t="n">
        <x:f t="shared" si="9">AVERAGE(E203:E402)</x:f>
        <x:v>204.68130000000002</x:v>
      </x:c>
      <x:c r="H402" s="37" t="n">
        <x:f t="shared" si="10">IFERROR(E402/G402-1,"")</x:f>
        <x:v>-0.1200954850296535</x:v>
      </x:c>
      <x:c r="I402" s="38" t="b">
        <x:f t="shared" si="11">E402&lt;G402</x:f>
        <x:v>1</x:v>
      </x:c>
    </x:row>
    <x:row r="403">
      <x:c r="A403" s="31">
        <x:v>37544</x:v>
      </x:c>
      <x:c r="B403" s="32">
        <x:v>180.63</x:v>
      </x:c>
      <x:c r="C403" s="32">
        <x:v>180.63</x:v>
      </x:c>
      <x:c r="D403" s="32">
        <x:v>180.63</x:v>
      </x:c>
      <x:c r="E403" s="32">
        <x:v>180.63</x:v>
      </x:c>
      <x:c r="F403" s="33">
        <x:v>122400</x:v>
      </x:c>
      <x:c r="G403" s="32" t="n">
        <x:f t="shared" si="9">AVERAGE(E204:E403)</x:f>
        <x:v>204.1046</x:v>
      </x:c>
      <x:c r="H403" s="37" t="n">
        <x:f t="shared" si="10">IFERROR(E403/G403-1,"")</x:f>
        <x:v>-0.11501259648239193</x:v>
      </x:c>
      <x:c r="I403" s="38" t="b">
        <x:f t="shared" si="11">E403&lt;G403</x:f>
        <x:v>1</x:v>
      </x:c>
    </x:row>
    <x:row r="404">
      <x:c r="A404" s="31">
        <x:v>37545</x:v>
      </x:c>
      <x:c r="B404" s="32">
        <x:v>180.13</x:v>
      </x:c>
      <x:c r="C404" s="32">
        <x:v>180.13</x:v>
      </x:c>
      <x:c r="D404" s="32">
        <x:v>180.13</x:v>
      </x:c>
      <x:c r="E404" s="32">
        <x:v>180.13</x:v>
      </x:c>
      <x:c r="F404" s="33">
        <x:v>58200</x:v>
      </x:c>
      <x:c r="G404" s="32" t="n">
        <x:f t="shared" si="9">AVERAGE(E205:E404)</x:f>
        <x:v>203.49979999999996</x:v>
      </x:c>
      <x:c r="H404" s="37" t="n">
        <x:f t="shared" si="10">IFERROR(E404/G404-1,"")</x:f>
        <x:v>-0.11483942490361154</x:v>
      </x:c>
      <x:c r="I404" s="38" t="b">
        <x:f t="shared" si="11">E404&lt;G404</x:f>
        <x:v>1</x:v>
      </x:c>
    </x:row>
    <x:row r="405">
      <x:c r="A405" s="31">
        <x:v>37546</x:v>
      </x:c>
      <x:c r="B405" s="32">
        <x:v>179.66</x:v>
      </x:c>
      <x:c r="C405" s="32">
        <x:v>179.66</x:v>
      </x:c>
      <x:c r="D405" s="32">
        <x:v>179.66</x:v>
      </x:c>
      <x:c r="E405" s="32">
        <x:v>179.66</x:v>
      </x:c>
      <x:c r="F405" s="33">
        <x:v>81100</x:v>
      </x:c>
      <x:c r="G405" s="32" t="n">
        <x:f t="shared" si="9">AVERAGE(E206:E405)</x:f>
        <x:v>202.91754999999998</x:v>
      </x:c>
      <x:c r="H405" s="37" t="n">
        <x:f t="shared" si="10">IFERROR(E405/G405-1,"")</x:f>
        <x:v>-0.11461576389030903</x:v>
      </x:c>
      <x:c r="I405" s="38" t="b">
        <x:f t="shared" si="11">E405&lt;G405</x:f>
        <x:v>1</x:v>
      </x:c>
    </x:row>
    <x:row r="406">
      <x:c r="A406" s="31">
        <x:v>37547</x:v>
      </x:c>
      <x:c r="B406" s="32">
        <x:v>178.64</x:v>
      </x:c>
      <x:c r="C406" s="32">
        <x:v>178.64</x:v>
      </x:c>
      <x:c r="D406" s="32">
        <x:v>178.64</x:v>
      </x:c>
      <x:c r="E406" s="32">
        <x:v>178.64</x:v>
      </x:c>
      <x:c r="F406" s="33">
        <x:v>114600</x:v>
      </x:c>
      <x:c r="G406" s="32" t="n">
        <x:f t="shared" si="9">AVERAGE(E207:E406)</x:f>
        <x:v>202.34989999999993</x:v>
      </x:c>
      <x:c r="H406" s="37" t="n">
        <x:f t="shared" si="10">IFERROR(E406/G406-1,"")</x:f>
        <x:v>-0.11717277843972229</x:v>
      </x:c>
      <x:c r="I406" s="38" t="b">
        <x:f t="shared" si="11">E406&lt;G406</x:f>
        <x:v>1</x:v>
      </x:c>
    </x:row>
    <x:row r="407">
      <x:c r="A407" s="31">
        <x:v>37550</x:v>
      </x:c>
      <x:c r="B407" s="32">
        <x:v>178.66</x:v>
      </x:c>
      <x:c r="C407" s="32">
        <x:v>178.66</x:v>
      </x:c>
      <x:c r="D407" s="32">
        <x:v>178.66</x:v>
      </x:c>
      <x:c r="E407" s="32">
        <x:v>178.66</x:v>
      </x:c>
      <x:c r="F407" s="33">
        <x:v>66600</x:v>
      </x:c>
      <x:c r="G407" s="32" t="n">
        <x:f t="shared" si="9">AVERAGE(E208:E407)</x:f>
        <x:v>201.75869999999995</x:v>
      </x:c>
      <x:c r="H407" s="37" t="n">
        <x:f t="shared" si="10">IFERROR(E407/G407-1,"")</x:f>
        <x:v>-0.1144867606700477</x:v>
      </x:c>
      <x:c r="I407" s="38" t="b">
        <x:f t="shared" si="11">E407&lt;G407</x:f>
        <x:v>1</x:v>
      </x:c>
    </x:row>
    <x:row r="408">
      <x:c r="A408" s="31">
        <x:v>37551</x:v>
      </x:c>
      <x:c r="B408" s="32">
        <x:v>179.39</x:v>
      </x:c>
      <x:c r="C408" s="32">
        <x:v>179.39</x:v>
      </x:c>
      <x:c r="D408" s="32">
        <x:v>179.39</x:v>
      </x:c>
      <x:c r="E408" s="32">
        <x:v>179.39</x:v>
      </x:c>
      <x:c r="F408" s="33">
        <x:v>99600</x:v>
      </x:c>
      <x:c r="G408" s="32" t="n">
        <x:f t="shared" si="9">AVERAGE(E209:E408)</x:f>
        <x:v>201.19049999999996</x:v>
      </x:c>
      <x:c r="H408" s="37" t="n">
        <x:f t="shared" si="10">IFERROR(E408/G408-1,"")</x:f>
        <x:v>-0.10835750196952632</x:v>
      </x:c>
      <x:c r="I408" s="38" t="b">
        <x:f t="shared" si="11">E408&lt;G408</x:f>
        <x:v>1</x:v>
      </x:c>
    </x:row>
    <x:row r="409">
      <x:c r="A409" s="31">
        <x:v>37552</x:v>
      </x:c>
      <x:c r="B409" s="32">
        <x:v>179.1</x:v>
      </x:c>
      <x:c r="C409" s="32">
        <x:v>179.1</x:v>
      </x:c>
      <x:c r="D409" s="32">
        <x:v>179.1</x:v>
      </x:c>
      <x:c r="E409" s="32">
        <x:v>179.1</x:v>
      </x:c>
      <x:c r="F409" s="33">
        <x:v>70400</x:v>
      </x:c>
      <x:c r="G409" s="32" t="n">
        <x:f t="shared" si="9">AVERAGE(E210:E409)</x:f>
        <x:v>200.64339999999993</x:v>
      </x:c>
      <x:c r="H409" s="37" t="n">
        <x:f t="shared" si="10">IFERROR(E409/G409-1,"")</x:f>
        <x:v>-0.10737158560909521</x:v>
      </x:c>
      <x:c r="I409" s="38" t="b">
        <x:f t="shared" si="11">E409&lt;G409</x:f>
        <x:v>1</x:v>
      </x:c>
    </x:row>
    <x:row r="410">
      <x:c r="A410" s="31">
        <x:v>37553</x:v>
      </x:c>
      <x:c r="B410" s="32">
        <x:v>178.94</x:v>
      </x:c>
      <x:c r="C410" s="32">
        <x:v>178.94</x:v>
      </x:c>
      <x:c r="D410" s="32">
        <x:v>178.94</x:v>
      </x:c>
      <x:c r="E410" s="32">
        <x:v>178.94</x:v>
      </x:c>
      <x:c r="F410" s="33">
        <x:v>90900</x:v>
      </x:c>
      <x:c r="G410" s="32" t="n">
        <x:f t="shared" si="9">AVERAGE(E211:E410)</x:f>
        <x:v>200.123</x:v>
      </x:c>
      <x:c r="H410" s="37" t="n">
        <x:f t="shared" si="10">IFERROR(E410/G410-1,"")</x:f>
        <x:v>-0.10584990231007929</x:v>
      </x:c>
      <x:c r="I410" s="38" t="b">
        <x:f t="shared" si="11">E410&lt;G410</x:f>
        <x:v>1</x:v>
      </x:c>
    </x:row>
    <x:row r="411">
      <x:c r="A411" s="31">
        <x:v>37554</x:v>
      </x:c>
      <x:c r="B411" s="32">
        <x:v>178.81</x:v>
      </x:c>
      <x:c r="C411" s="32">
        <x:v>178.81</x:v>
      </x:c>
      <x:c r="D411" s="32">
        <x:v>178.81</x:v>
      </x:c>
      <x:c r="E411" s="32">
        <x:v>178.81</x:v>
      </x:c>
      <x:c r="F411" s="33">
        <x:v>68600</x:v>
      </x:c>
      <x:c r="G411" s="32" t="n">
        <x:f t="shared" si="9">AVERAGE(E212:E411)</x:f>
        <x:v>199.62129999999993</x:v>
      </x:c>
      <x:c r="H411" s="37" t="n">
        <x:f t="shared" si="10">IFERROR(E411/G411-1,"")</x:f>
        <x:v>-0.10425390476867924</x:v>
      </x:c>
      <x:c r="I411" s="38" t="b">
        <x:f t="shared" si="11">E411&lt;G411</x:f>
        <x:v>1</x:v>
      </x:c>
    </x:row>
    <x:row r="412">
      <x:c r="A412" s="31">
        <x:v>37557</x:v>
      </x:c>
      <x:c r="B412" s="32">
        <x:v>178.8</x:v>
      </x:c>
      <x:c r="C412" s="32">
        <x:v>178.8</x:v>
      </x:c>
      <x:c r="D412" s="32">
        <x:v>178.8</x:v>
      </x:c>
      <x:c r="E412" s="32">
        <x:v>178.8</x:v>
      </x:c>
      <x:c r="F412" s="33">
        <x:v>82600</x:v>
      </x:c>
      <x:c r="G412" s="32" t="n">
        <x:f t="shared" si="9">AVERAGE(E213:E412)</x:f>
        <x:v>199.13784999999996</x:v>
      </x:c>
      <x:c r="H412" s="37" t="n">
        <x:f t="shared" si="10">IFERROR(E412/G412-1,"")</x:f>
        <x:v>-0.10212950476265537</x:v>
      </x:c>
      <x:c r="I412" s="38" t="b">
        <x:f t="shared" si="11">E412&lt;G412</x:f>
        <x:v>1</x:v>
      </x:c>
    </x:row>
    <x:row r="413">
      <x:c r="A413" s="31">
        <x:v>37558</x:v>
      </x:c>
      <x:c r="B413" s="32">
        <x:v>177.92</x:v>
      </x:c>
      <x:c r="C413" s="32">
        <x:v>177.92</x:v>
      </x:c>
      <x:c r="D413" s="32">
        <x:v>177.92</x:v>
      </x:c>
      <x:c r="E413" s="32">
        <x:v>177.92</x:v>
      </x:c>
      <x:c r="F413" s="33">
        <x:v>100400</x:v>
      </x:c>
      <x:c r="G413" s="32" t="n">
        <x:f t="shared" si="9">AVERAGE(E214:E413)</x:f>
        <x:v>198.66934999999995</x:v>
      </x:c>
      <x:c r="H413" s="37" t="n">
        <x:f t="shared" si="10">IFERROR(E413/G413-1,"")</x:f>
        <x:v>-0.10444162624984665</x:v>
      </x:c>
      <x:c r="I413" s="38" t="b">
        <x:f t="shared" si="11">E413&lt;G413</x:f>
        <x:v>1</x:v>
      </x:c>
    </x:row>
    <x:row r="414">
      <x:c r="A414" s="31">
        <x:v>37559</x:v>
      </x:c>
      <x:c r="B414" s="32">
        <x:v>177.61</x:v>
      </x:c>
      <x:c r="C414" s="32">
        <x:v>177.61</x:v>
      </x:c>
      <x:c r="D414" s="32">
        <x:v>177.61</x:v>
      </x:c>
      <x:c r="E414" s="32">
        <x:v>177.61</x:v>
      </x:c>
      <x:c r="F414" s="33">
        <x:v>52700</x:v>
      </x:c>
      <x:c r="G414" s="32" t="n">
        <x:f t="shared" si="9">AVERAGE(E215:E414)</x:f>
        <x:v>198.21825</x:v>
      </x:c>
      <x:c r="H414" s="37" t="n">
        <x:f t="shared" si="10">IFERROR(E414/G414-1,"")</x:f>
        <x:v>-0.10396747020014552</x:v>
      </x:c>
      <x:c r="I414" s="38" t="b">
        <x:f t="shared" si="11">E414&lt;G414</x:f>
        <x:v>1</x:v>
      </x:c>
    </x:row>
    <x:row r="415">
      <x:c r="A415" s="31">
        <x:v>37560</x:v>
      </x:c>
      <x:c r="B415" s="32">
        <x:v>177.61</x:v>
      </x:c>
      <x:c r="C415" s="32">
        <x:v>177.61</x:v>
      </x:c>
      <x:c r="D415" s="32">
        <x:v>177.61</x:v>
      </x:c>
      <x:c r="E415" s="32">
        <x:v>177.61</x:v>
      </x:c>
      <x:c r="F415" s="33">
        <x:v>53700</x:v>
      </x:c>
      <x:c r="G415" s="32" t="n">
        <x:f t="shared" si="9">AVERAGE(E216:E415)</x:f>
        <x:v>197.79109999999997</x:v>
      </x:c>
      <x:c r="H415" s="37" t="n">
        <x:f t="shared" si="10">IFERROR(E415/G415-1,"")</x:f>
        <x:v>-0.10203239680652954</x:v>
      </x:c>
      <x:c r="I415" s="38" t="b">
        <x:f t="shared" si="11">E415&lt;G415</x:f>
        <x:v>1</x:v>
      </x:c>
    </x:row>
    <x:row r="416">
      <x:c r="A416" s="31">
        <x:v>37561</x:v>
      </x:c>
      <x:c r="B416" s="32">
        <x:v>177.35</x:v>
      </x:c>
      <x:c r="C416" s="32">
        <x:v>177.35</x:v>
      </x:c>
      <x:c r="D416" s="32">
        <x:v>177.35</x:v>
      </x:c>
      <x:c r="E416" s="32">
        <x:v>177.35</x:v>
      </x:c>
      <x:c r="F416" s="33">
        <x:v>78400</x:v>
      </x:c>
      <x:c r="G416" s="32" t="n">
        <x:f t="shared" si="9">AVERAGE(E217:E416)</x:f>
        <x:v>197.38244999999998</x:v>
      </x:c>
      <x:c r="H416" s="37" t="n">
        <x:f t="shared" si="10">IFERROR(E416/G416-1,"")</x:f>
        <x:v>-0.10149053271960085</x:v>
      </x:c>
      <x:c r="I416" s="38" t="b">
        <x:f t="shared" si="11">E416&lt;G416</x:f>
        <x:v>1</x:v>
      </x:c>
    </x:row>
    <x:row r="417">
      <x:c r="A417" s="31">
        <x:v>37564</x:v>
      </x:c>
      <x:c r="B417" s="32">
        <x:v>176.57</x:v>
      </x:c>
      <x:c r="C417" s="32">
        <x:v>176.57</x:v>
      </x:c>
      <x:c r="D417" s="32">
        <x:v>176.57</x:v>
      </x:c>
      <x:c r="E417" s="32">
        <x:v>176.57</x:v>
      </x:c>
      <x:c r="F417" s="33">
        <x:v>56900</x:v>
      </x:c>
      <x:c r="G417" s="32" t="n">
        <x:f t="shared" si="9">AVERAGE(E218:E417)</x:f>
        <x:v>197.02899999999997</x:v>
      </x:c>
      <x:c r="H417" s="37" t="n">
        <x:f t="shared" si="10">IFERROR(E417/G417-1,"")</x:f>
        <x:v>-0.10383750615391629</x:v>
      </x:c>
      <x:c r="I417" s="38" t="b">
        <x:f t="shared" si="11">E417&lt;G417</x:f>
        <x:v>1</x:v>
      </x:c>
    </x:row>
    <x:row r="418">
      <x:c r="A418" s="31">
        <x:v>37565</x:v>
      </x:c>
      <x:c r="B418" s="32">
        <x:v>175.02</x:v>
      </x:c>
      <x:c r="C418" s="32">
        <x:v>175.02</x:v>
      </x:c>
      <x:c r="D418" s="32">
        <x:v>175.02</x:v>
      </x:c>
      <x:c r="E418" s="32">
        <x:v>175.02</x:v>
      </x:c>
      <x:c r="F418" s="33">
        <x:v>58200</x:v>
      </x:c>
      <x:c r="G418" s="32" t="n">
        <x:f t="shared" si="9">AVERAGE(E219:E418)</x:f>
        <x:v>196.64934999999994</x:v>
      </x:c>
      <x:c r="H418" s="37" t="n">
        <x:f t="shared" si="10">IFERROR(E418/G418-1,"")</x:f>
        <x:v>-0.10998943042527187</x:v>
      </x:c>
      <x:c r="I418" s="38" t="b">
        <x:f t="shared" si="11">E418&lt;G418</x:f>
        <x:v>1</x:v>
      </x:c>
    </x:row>
    <x:row r="419">
      <x:c r="A419" s="31">
        <x:v>37566</x:v>
      </x:c>
      <x:c r="B419" s="32">
        <x:v>174.84</x:v>
      </x:c>
      <x:c r="C419" s="32">
        <x:v>174.84</x:v>
      </x:c>
      <x:c r="D419" s="32">
        <x:v>174.84</x:v>
      </x:c>
      <x:c r="E419" s="32">
        <x:v>174.84</x:v>
      </x:c>
      <x:c r="F419" s="33">
        <x:v>57100</x:v>
      </x:c>
      <x:c r="G419" s="32" t="n">
        <x:f t="shared" si="9">AVERAGE(E220:E419)</x:f>
        <x:v>196.2832999999999</x:v>
      </x:c>
      <x:c r="H419" s="37" t="n">
        <x:f t="shared" si="10">IFERROR(E419/G419-1,"")</x:f>
        <x:v>-0.10924668578529051</x:v>
      </x:c>
      <x:c r="I419" s="38" t="b">
        <x:f t="shared" si="11">E419&lt;G419</x:f>
        <x:v>1</x:v>
      </x:c>
    </x:row>
    <x:row r="420">
      <x:c r="A420" s="31">
        <x:v>37567</x:v>
      </x:c>
      <x:c r="B420" s="32">
        <x:v>174.62</x:v>
      </x:c>
      <x:c r="C420" s="32">
        <x:v>174.62</x:v>
      </x:c>
      <x:c r="D420" s="32">
        <x:v>174.62</x:v>
      </x:c>
      <x:c r="E420" s="32">
        <x:v>174.62</x:v>
      </x:c>
      <x:c r="F420" s="33">
        <x:v>87000</x:v>
      </x:c>
      <x:c r="G420" s="32" t="n">
        <x:f t="shared" si="9">AVERAGE(E221:E420)</x:f>
        <x:v>195.94264999999993</x:v>
      </x:c>
      <x:c r="H420" s="37" t="n">
        <x:f t="shared" si="10">IFERROR(E420/G420-1,"")</x:f>
        <x:v>-0.10882087182142286</x:v>
      </x:c>
      <x:c r="I420" s="38" t="b">
        <x:f t="shared" si="11">E420&lt;G420</x:f>
        <x:v>1</x:v>
      </x:c>
    </x:row>
    <x:row r="421">
      <x:c r="A421" s="31">
        <x:v>37568</x:v>
      </x:c>
      <x:c r="B421" s="32">
        <x:v>174.88</x:v>
      </x:c>
      <x:c r="C421" s="32">
        <x:v>174.88</x:v>
      </x:c>
      <x:c r="D421" s="32">
        <x:v>174.88</x:v>
      </x:c>
      <x:c r="E421" s="32">
        <x:v>174.88</x:v>
      </x:c>
      <x:c r="F421" s="33">
        <x:v>64600</x:v>
      </x:c>
      <x:c r="G421" s="32" t="n">
        <x:f t="shared" si="9">AVERAGE(E222:E421)</x:f>
        <x:v>195.62069999999989</x:v>
      </x:c>
      <x:c r="H421" s="37" t="n">
        <x:f t="shared" si="10">IFERROR(E421/G421-1,"")</x:f>
        <x:v>-0.10602507812312245</x:v>
      </x:c>
      <x:c r="I421" s="38" t="b">
        <x:f t="shared" si="11">E421&lt;G421</x:f>
        <x:v>1</x:v>
      </x:c>
    </x:row>
    <x:row r="422">
      <x:c r="A422" s="31">
        <x:v>37571</x:v>
      </x:c>
      <x:c r="B422" s="32">
        <x:v>175.19</x:v>
      </x:c>
      <x:c r="C422" s="32">
        <x:v>175.19</x:v>
      </x:c>
      <x:c r="D422" s="32">
        <x:v>175.19</x:v>
      </x:c>
      <x:c r="E422" s="32">
        <x:v>175.19</x:v>
      </x:c>
      <x:c r="F422" s="33">
        <x:v>49800</x:v>
      </x:c>
      <x:c r="G422" s="32" t="n">
        <x:f t="shared" si="9">AVERAGE(E223:E422)</x:f>
        <x:v>195.31964999999988</x:v>
      </x:c>
      <x:c r="H422" s="37" t="n">
        <x:f t="shared" si="10">IFERROR(E422/G422-1,"")</x:f>
        <x:v>-0.1030600351782317</x:v>
      </x:c>
      <x:c r="I422" s="38" t="b">
        <x:f t="shared" si="11">E422&lt;G422</x:f>
        <x:v>1</x:v>
      </x:c>
    </x:row>
    <x:row r="423">
      <x:c r="A423" s="31">
        <x:v>37572</x:v>
      </x:c>
      <x:c r="B423" s="32">
        <x:v>175.27</x:v>
      </x:c>
      <x:c r="C423" s="32">
        <x:v>175.27</x:v>
      </x:c>
      <x:c r="D423" s="32">
        <x:v>175.27</x:v>
      </x:c>
      <x:c r="E423" s="32">
        <x:v>175.27</x:v>
      </x:c>
      <x:c r="F423" s="33">
        <x:v>58200</x:v>
      </x:c>
      <x:c r="G423" s="32" t="n">
        <x:f t="shared" si="9">AVERAGE(E224:E423)</x:f>
        <x:v>195.03749999999988</x:v>
      </x:c>
      <x:c r="H423" s="37" t="n">
        <x:f t="shared" si="10">IFERROR(E423/G423-1,"")</x:f>
        <x:v>-0.10135230404409346</x:v>
      </x:c>
      <x:c r="I423" s="38" t="b">
        <x:f t="shared" si="11">E423&lt;G423</x:f>
        <x:v>1</x:v>
      </x:c>
    </x:row>
    <x:row r="424">
      <x:c r="A424" s="31">
        <x:v>37573</x:v>
      </x:c>
      <x:c r="B424" s="32">
        <x:v>175.63</x:v>
      </x:c>
      <x:c r="C424" s="32">
        <x:v>175.63</x:v>
      </x:c>
      <x:c r="D424" s="32">
        <x:v>175.63</x:v>
      </x:c>
      <x:c r="E424" s="32">
        <x:v>175.63</x:v>
      </x:c>
      <x:c r="F424" s="33">
        <x:v>65300</x:v>
      </x:c>
      <x:c r="G424" s="32" t="n">
        <x:f t="shared" si="9">AVERAGE(E225:E424)</x:f>
        <x:v>194.77669999999986</x:v>
      </x:c>
      <x:c r="H424" s="37" t="n">
        <x:f t="shared" si="10">IFERROR(E424/G424-1,"")</x:f>
        <x:v>-0.09830077211493926</x:v>
      </x:c>
      <x:c r="I424" s="38" t="b">
        <x:f t="shared" si="11">E424&lt;G424</x:f>
        <x:v>1</x:v>
      </x:c>
    </x:row>
    <x:row r="425">
      <x:c r="A425" s="31">
        <x:v>37574</x:v>
      </x:c>
      <x:c r="B425" s="32">
        <x:v>175.42</x:v>
      </x:c>
      <x:c r="C425" s="32">
        <x:v>175.42</x:v>
      </x:c>
      <x:c r="D425" s="32">
        <x:v>175.42</x:v>
      </x:c>
      <x:c r="E425" s="32">
        <x:v>175.42</x:v>
      </x:c>
      <x:c r="F425" s="33">
        <x:v>81600</x:v>
      </x:c>
      <x:c r="G425" s="32" t="n">
        <x:f t="shared" si="9">AVERAGE(E226:E425)</x:f>
        <x:v>194.52404999999985</x:v>
      </x:c>
      <x:c r="H425" s="37" t="n">
        <x:f t="shared" si="10">IFERROR(E425/G425-1,"")</x:f>
        <x:v>-0.09820919315632115</x:v>
      </x:c>
      <x:c r="I425" s="38" t="b">
        <x:f t="shared" si="11">E425&lt;G425</x:f>
        <x:v>1</x:v>
      </x:c>
    </x:row>
    <x:row r="426">
      <x:c r="A426" s="31">
        <x:v>37575</x:v>
      </x:c>
      <x:c r="B426" s="32">
        <x:v>175.77</x:v>
      </x:c>
      <x:c r="C426" s="32">
        <x:v>175.77</x:v>
      </x:c>
      <x:c r="D426" s="32">
        <x:v>175.77</x:v>
      </x:c>
      <x:c r="E426" s="32">
        <x:v>175.77</x:v>
      </x:c>
      <x:c r="F426" s="33">
        <x:v>70700</x:v>
      </x:c>
      <x:c r="G426" s="32" t="n">
        <x:f t="shared" si="9">AVERAGE(E227:E426)</x:f>
        <x:v>194.28839999999983</x:v>
      </x:c>
      <x:c r="H426" s="37" t="n">
        <x:f t="shared" si="10">IFERROR(E426/G426-1,"")</x:f>
        <x:v>-0.09531397654208806</x:v>
      </x:c>
      <x:c r="I426" s="38" t="b">
        <x:f t="shared" si="11">E426&lt;G426</x:f>
        <x:v>1</x:v>
      </x:c>
    </x:row>
    <x:row r="427">
      <x:c r="A427" s="31">
        <x:v>37578</x:v>
      </x:c>
      <x:c r="B427" s="32">
        <x:v>175.73</x:v>
      </x:c>
      <x:c r="C427" s="32">
        <x:v>175.73</x:v>
      </x:c>
      <x:c r="D427" s="32">
        <x:v>175.73</x:v>
      </x:c>
      <x:c r="E427" s="32">
        <x:v>175.73</x:v>
      </x:c>
      <x:c r="F427" s="33">
        <x:v>76300</x:v>
      </x:c>
      <x:c r="G427" s="32" t="n">
        <x:f t="shared" si="9">AVERAGE(E228:E427)</x:f>
        <x:v>194.07094999999987</x:v>
      </x:c>
      <x:c r="H427" s="37" t="n">
        <x:f t="shared" si="10">IFERROR(E427/G427-1,"")</x:f>
        <x:v>-0.09450641633897239</x:v>
      </x:c>
      <x:c r="I427" s="38" t="b">
        <x:f t="shared" si="11">E427&lt;G427</x:f>
        <x:v>1</x:v>
      </x:c>
    </x:row>
    <x:row r="428">
      <x:c r="A428" s="31">
        <x:v>37579</x:v>
      </x:c>
      <x:c r="B428" s="32">
        <x:v>175.54</x:v>
      </x:c>
      <x:c r="C428" s="32">
        <x:v>175.54</x:v>
      </x:c>
      <x:c r="D428" s="32">
        <x:v>175.54</x:v>
      </x:c>
      <x:c r="E428" s="32">
        <x:v>175.54</x:v>
      </x:c>
      <x:c r="F428" s="33">
        <x:v>64400</x:v>
      </x:c>
      <x:c r="G428" s="32" t="n">
        <x:f t="shared" si="9">AVERAGE(E229:E428)</x:f>
        <x:v>193.87784999999988</x:v>
      </x:c>
      <x:c r="H428" s="37" t="n">
        <x:f t="shared" si="10">IFERROR(E428/G428-1,"")</x:f>
        <x:v>-0.09458455414066069</x:v>
      </x:c>
      <x:c r="I428" s="38" t="b">
        <x:f t="shared" si="11">E428&lt;G428</x:f>
        <x:v>1</x:v>
      </x:c>
    </x:row>
    <x:row r="429">
      <x:c r="A429" s="31">
        <x:v>37580</x:v>
      </x:c>
      <x:c r="B429" s="32">
        <x:v>176.08</x:v>
      </x:c>
      <x:c r="C429" s="32">
        <x:v>176.08</x:v>
      </x:c>
      <x:c r="D429" s="32">
        <x:v>176.08</x:v>
      </x:c>
      <x:c r="E429" s="32">
        <x:v>176.08</x:v>
      </x:c>
      <x:c r="F429" s="33">
        <x:v>41100</x:v>
      </x:c>
      <x:c r="G429" s="32" t="n">
        <x:f t="shared" si="9">AVERAGE(E230:E429)</x:f>
        <x:v>193.7048499999999</x:v>
      </x:c>
      <x:c r="H429" s="37" t="n">
        <x:f t="shared" si="10">IFERROR(E429/G429-1,"")</x:f>
        <x:v>-0.09098817092086187</x:v>
      </x:c>
      <x:c r="I429" s="38" t="b">
        <x:f t="shared" si="11">E429&lt;G429</x:f>
        <x:v>1</x:v>
      </x:c>
    </x:row>
    <x:row r="430">
      <x:c r="A430" s="31">
        <x:v>37581</x:v>
      </x:c>
      <x:c r="B430" s="32">
        <x:v>176.47</x:v>
      </x:c>
      <x:c r="C430" s="32">
        <x:v>176.47</x:v>
      </x:c>
      <x:c r="D430" s="32">
        <x:v>176.47</x:v>
      </x:c>
      <x:c r="E430" s="32">
        <x:v>176.47</x:v>
      </x:c>
      <x:c r="F430" s="33">
        <x:v>80100</x:v>
      </x:c>
      <x:c r="G430" s="32" t="n">
        <x:f t="shared" si="9">AVERAGE(E231:E430)</x:f>
        <x:v>193.55324999999993</x:v>
      </x:c>
      <x:c r="H430" s="37" t="n">
        <x:f t="shared" si="10">IFERROR(E430/G430-1,"")</x:f>
        <x:v>-0.08826124076965869</x:v>
      </x:c>
      <x:c r="I430" s="38" t="b">
        <x:f t="shared" si="11">E430&lt;G430</x:f>
        <x:v>1</x:v>
      </x:c>
    </x:row>
    <x:row r="431">
      <x:c r="A431" s="31">
        <x:v>37582</x:v>
      </x:c>
      <x:c r="B431" s="32">
        <x:v>175.24</x:v>
      </x:c>
      <x:c r="C431" s="32">
        <x:v>175.24</x:v>
      </x:c>
      <x:c r="D431" s="32">
        <x:v>175.24</x:v>
      </x:c>
      <x:c r="E431" s="32">
        <x:v>175.24</x:v>
      </x:c>
      <x:c r="F431" s="33">
        <x:v>54300</x:v>
      </x:c>
      <x:c r="G431" s="32" t="n">
        <x:f t="shared" si="9">AVERAGE(E232:E431)</x:f>
        <x:v>193.4130999999999</x:v>
      </x:c>
      <x:c r="H431" s="37" t="n">
        <x:f t="shared" si="10">IFERROR(E431/G431-1,"")</x:f>
        <x:v>-0.09396002649251733</x:v>
      </x:c>
      <x:c r="I431" s="38" t="b">
        <x:f t="shared" si="11">E431&lt;G431</x:f>
        <x:v>1</x:v>
      </x:c>
    </x:row>
    <x:row r="432">
      <x:c r="A432" s="31">
        <x:v>37585</x:v>
      </x:c>
      <x:c r="B432" s="32">
        <x:v>176.47</x:v>
      </x:c>
      <x:c r="C432" s="32">
        <x:v>176.47</x:v>
      </x:c>
      <x:c r="D432" s="32">
        <x:v>176.47</x:v>
      </x:c>
      <x:c r="E432" s="32">
        <x:v>176.47</x:v>
      </x:c>
      <x:c r="F432" s="33">
        <x:v>54500</x:v>
      </x:c>
      <x:c r="G432" s="32" t="n">
        <x:f t="shared" si="9">AVERAGE(E233:E432)</x:f>
        <x:v>193.26539999999994</x:v>
      </x:c>
      <x:c r="H432" s="37" t="n">
        <x:f t="shared" si="10">IFERROR(E432/G432-1,"")</x:f>
        <x:v>-0.08690329464042679</x:v>
      </x:c>
      <x:c r="I432" s="38" t="b">
        <x:f t="shared" si="11">E432&lt;G432</x:f>
        <x:v>1</x:v>
      </x:c>
    </x:row>
    <x:row r="433">
      <x:c r="A433" s="31">
        <x:v>37586</x:v>
      </x:c>
      <x:c r="B433" s="32">
        <x:v>176.5</x:v>
      </x:c>
      <x:c r="C433" s="32">
        <x:v>176.5</x:v>
      </x:c>
      <x:c r="D433" s="32">
        <x:v>176.5</x:v>
      </x:c>
      <x:c r="E433" s="32">
        <x:v>176.5</x:v>
      </x:c>
      <x:c r="F433" s="33">
        <x:v>88200</x:v>
      </x:c>
      <x:c r="G433" s="32" t="n">
        <x:f t="shared" si="9">AVERAGE(E234:E433)</x:f>
        <x:v>193.10279999999992</x:v>
      </x:c>
      <x:c r="H433" s="37" t="n">
        <x:f t="shared" si="10">IFERROR(E433/G433-1,"")</x:f>
        <x:v>-0.08597907435832064</x:v>
      </x:c>
      <x:c r="I433" s="38" t="b">
        <x:f t="shared" si="11">E433&lt;G433</x:f>
        <x:v>1</x:v>
      </x:c>
    </x:row>
    <x:row r="434">
      <x:c r="A434" s="31">
        <x:v>37587</x:v>
      </x:c>
      <x:c r="B434" s="32">
        <x:v>176.44</x:v>
      </x:c>
      <x:c r="C434" s="32">
        <x:v>176.44</x:v>
      </x:c>
      <x:c r="D434" s="32">
        <x:v>176.44</x:v>
      </x:c>
      <x:c r="E434" s="32">
        <x:v>176.44</x:v>
      </x:c>
      <x:c r="F434" s="33">
        <x:v>80100</x:v>
      </x:c>
      <x:c r="G434" s="32" t="n">
        <x:f t="shared" si="9">AVERAGE(E235:E434)</x:f>
        <x:v>192.9311999999999</x:v>
      </x:c>
      <x:c r="H434" s="37" t="n">
        <x:f t="shared" si="10">IFERROR(E434/G434-1,"")</x:f>
        <x:v>-0.08547710271848163</x:v>
      </x:c>
      <x:c r="I434" s="38" t="b">
        <x:f t="shared" si="11">E434&lt;G434</x:f>
        <x:v>1</x:v>
      </x:c>
    </x:row>
    <x:row r="435">
      <x:c r="A435" s="31">
        <x:v>37588</x:v>
      </x:c>
      <x:c r="B435" s="32">
        <x:v>177.25</x:v>
      </x:c>
      <x:c r="C435" s="32">
        <x:v>177.25</x:v>
      </x:c>
      <x:c r="D435" s="32">
        <x:v>177.25</x:v>
      </x:c>
      <x:c r="E435" s="32">
        <x:v>177.25</x:v>
      </x:c>
      <x:c r="F435" s="33">
        <x:v>79300</x:v>
      </x:c>
      <x:c r="G435" s="32" t="n">
        <x:f t="shared" si="9">AVERAGE(E236:E435)</x:f>
        <x:v>192.77969999999993</x:v>
      </x:c>
      <x:c r="H435" s="37" t="n">
        <x:f t="shared" si="10">IFERROR(E435/G435-1,"")</x:f>
        <x:v>-0.08055671836816813</x:v>
      </x:c>
      <x:c r="I435" s="38" t="b">
        <x:f t="shared" si="11">E435&lt;G435</x:f>
        <x:v>1</x:v>
      </x:c>
    </x:row>
    <x:row r="436">
      <x:c r="A436" s="31">
        <x:v>37589</x:v>
      </x:c>
      <x:c r="B436" s="32">
        <x:v>177.87</x:v>
      </x:c>
      <x:c r="C436" s="32">
        <x:v>177.87</x:v>
      </x:c>
      <x:c r="D436" s="32">
        <x:v>177.87</x:v>
      </x:c>
      <x:c r="E436" s="32">
        <x:v>177.87</x:v>
      </x:c>
      <x:c r="F436" s="33">
        <x:v>69000</x:v>
      </x:c>
      <x:c r="G436" s="32" t="n">
        <x:f t="shared" si="9">AVERAGE(E237:E436)</x:f>
        <x:v>192.64664999999997</x:v>
      </x:c>
      <x:c r="H436" s="37" t="n">
        <x:f t="shared" si="10">IFERROR(E436/G436-1,"")</x:f>
        <x:v>-0.07670338414916622</x:v>
      </x:c>
      <x:c r="I436" s="38" t="b">
        <x:f t="shared" si="11">E436&lt;G436</x:f>
        <x:v>1</x:v>
      </x:c>
    </x:row>
    <x:row r="437">
      <x:c r="A437" s="31">
        <x:v>37592</x:v>
      </x:c>
      <x:c r="B437" s="32">
        <x:v>179.27</x:v>
      </x:c>
      <x:c r="C437" s="32">
        <x:v>179.27</x:v>
      </x:c>
      <x:c r="D437" s="32">
        <x:v>179.27</x:v>
      </x:c>
      <x:c r="E437" s="32">
        <x:v>179.27</x:v>
      </x:c>
      <x:c r="F437" s="33">
        <x:v>84200</x:v>
      </x:c>
      <x:c r="G437" s="32" t="n">
        <x:f t="shared" si="9">AVERAGE(E238:E437)</x:f>
        <x:v>192.52414999999993</x:v>
      </x:c>
      <x:c r="H437" s="37" t="n">
        <x:f t="shared" si="10">IFERROR(E437/G437-1,"")</x:f>
        <x:v>-0.06884409046864992</x:v>
      </x:c>
      <x:c r="I437" s="38" t="b">
        <x:f t="shared" si="11">E437&lt;G437</x:f>
        <x:v>1</x:v>
      </x:c>
    </x:row>
    <x:row r="438">
      <x:c r="A438" s="31">
        <x:v>37593</x:v>
      </x:c>
      <x:c r="B438" s="32">
        <x:v>183.56</x:v>
      </x:c>
      <x:c r="C438" s="32">
        <x:v>183.56</x:v>
      </x:c>
      <x:c r="D438" s="32">
        <x:v>183.56</x:v>
      </x:c>
      <x:c r="E438" s="32">
        <x:v>183.56</x:v>
      </x:c>
      <x:c r="F438" s="33">
        <x:v>79300</x:v>
      </x:c>
      <x:c r="G438" s="32" t="n">
        <x:f t="shared" si="9">AVERAGE(E239:E438)</x:f>
        <x:v>192.41509999999994</x:v>
      </x:c>
      <x:c r="H438" s="37" t="n">
        <x:f t="shared" si="10">IFERROR(E438/G438-1,"")</x:f>
        <x:v>-0.046020816453594016</x:v>
      </x:c>
      <x:c r="I438" s="38" t="b">
        <x:f t="shared" si="11">E438&lt;G438</x:f>
        <x:v>1</x:v>
      </x:c>
    </x:row>
    <x:row r="439">
      <x:c r="A439" s="31">
        <x:v>37594</x:v>
      </x:c>
      <x:c r="B439" s="32">
        <x:v>187.21</x:v>
      </x:c>
      <x:c r="C439" s="32">
        <x:v>187.21</x:v>
      </x:c>
      <x:c r="D439" s="32">
        <x:v>187.21</x:v>
      </x:c>
      <x:c r="E439" s="32">
        <x:v>187.21</x:v>
      </x:c>
      <x:c r="F439" s="33">
        <x:v>155500</x:v>
      </x:c>
      <x:c r="G439" s="32" t="n">
        <x:f t="shared" si="9">AVERAGE(E240:E439)</x:f>
        <x:v>192.32514999999992</x:v>
      </x:c>
      <x:c r="H439" s="37" t="n">
        <x:f t="shared" si="10">IFERROR(E439/G439-1,"")</x:f>
        <x:v>-0.026596365581932013</x:v>
      </x:c>
      <x:c r="I439" s="38" t="b">
        <x:f t="shared" si="11">E439&lt;G439</x:f>
        <x:v>1</x:v>
      </x:c>
    </x:row>
    <x:row r="440">
      <x:c r="A440" s="31">
        <x:v>37595</x:v>
      </x:c>
      <x:c r="B440" s="32">
        <x:v>186.83</x:v>
      </x:c>
      <x:c r="C440" s="32">
        <x:v>186.83</x:v>
      </x:c>
      <x:c r="D440" s="32">
        <x:v>186.83</x:v>
      </x:c>
      <x:c r="E440" s="32">
        <x:v>186.83</x:v>
      </x:c>
      <x:c r="F440" s="33">
        <x:v>235500</x:v>
      </x:c>
      <x:c r="G440" s="32" t="n">
        <x:f t="shared" si="9">AVERAGE(E241:E440)</x:f>
        <x:v>192.24484999999993</x:v>
      </x:c>
      <x:c r="H440" s="37" t="n">
        <x:f t="shared" si="10">IFERROR(E440/G440-1,"")</x:f>
        <x:v>-0.028166424224107534</x:v>
      </x:c>
      <x:c r="I440" s="38" t="b">
        <x:f t="shared" si="11">E440&lt;G440</x:f>
        <x:v>1</x:v>
      </x:c>
    </x:row>
    <x:row r="441">
      <x:c r="A441" s="31">
        <x:v>37596</x:v>
      </x:c>
      <x:c r="B441" s="32">
        <x:v>184.55</x:v>
      </x:c>
      <x:c r="C441" s="32">
        <x:v>184.55</x:v>
      </x:c>
      <x:c r="D441" s="32">
        <x:v>184.55</x:v>
      </x:c>
      <x:c r="E441" s="32">
        <x:v>184.55</x:v>
      </x:c>
      <x:c r="F441" s="33">
        <x:v>136700</x:v>
      </x:c>
      <x:c r="G441" s="32" t="n">
        <x:f t="shared" si="9">AVERAGE(E242:E441)</x:f>
        <x:v>192.16999999999993</x:v>
      </x:c>
      <x:c r="H441" s="37" t="n">
        <x:f t="shared" si="10">IFERROR(E441/G441-1,"")</x:f>
        <x:v>-0.03965239111203578</x:v>
      </x:c>
      <x:c r="I441" s="38" t="b">
        <x:f t="shared" si="11">E441&lt;G441</x:f>
        <x:v>1</x:v>
      </x:c>
    </x:row>
    <x:row r="442">
      <x:c r="A442" s="31">
        <x:v>37599</x:v>
      </x:c>
      <x:c r="B442" s="32">
        <x:v>183.62</x:v>
      </x:c>
      <x:c r="C442" s="32">
        <x:v>183.62</x:v>
      </x:c>
      <x:c r="D442" s="32">
        <x:v>183.62</x:v>
      </x:c>
      <x:c r="E442" s="32">
        <x:v>183.62</x:v>
      </x:c>
      <x:c r="F442" s="33">
        <x:v>124600</x:v>
      </x:c>
      <x:c r="G442" s="32" t="n">
        <x:f t="shared" si="9">AVERAGE(E243:E442)</x:f>
        <x:v>192.10519999999994</x:v>
      </x:c>
      <x:c r="H442" s="37" t="n">
        <x:f t="shared" si="10">IFERROR(E442/G442-1,"")</x:f>
        <x:v>-0.044169548768070555</x:v>
      </x:c>
      <x:c r="I442" s="38" t="b">
        <x:f t="shared" si="11">E442&lt;G442</x:f>
        <x:v>1</x:v>
      </x:c>
    </x:row>
    <x:row r="443">
      <x:c r="A443" s="31">
        <x:v>37600</x:v>
      </x:c>
      <x:c r="B443" s="32">
        <x:v>184.75</x:v>
      </x:c>
      <x:c r="C443" s="32">
        <x:v>184.75</x:v>
      </x:c>
      <x:c r="D443" s="32">
        <x:v>184.75</x:v>
      </x:c>
      <x:c r="E443" s="32">
        <x:v>184.75</x:v>
      </x:c>
      <x:c r="F443" s="33">
        <x:v>74300</x:v>
      </x:c>
      <x:c r="G443" s="32" t="n">
        <x:f t="shared" si="9">AVERAGE(E244:E443)</x:f>
        <x:v>192.05999999999992</x:v>
      </x:c>
      <x:c r="H443" s="37" t="n">
        <x:f t="shared" si="10">IFERROR(E443/G443-1,"")</x:f>
        <x:v>-0.03806102259710464</x:v>
      </x:c>
      <x:c r="I443" s="38" t="b">
        <x:f t="shared" si="11">E443&lt;G443</x:f>
        <x:v>1</x:v>
      </x:c>
    </x:row>
    <x:row r="444">
      <x:c r="A444" s="31">
        <x:v>37601</x:v>
      </x:c>
      <x:c r="B444" s="32">
        <x:v>184.34</x:v>
      </x:c>
      <x:c r="C444" s="32">
        <x:v>184.34</x:v>
      </x:c>
      <x:c r="D444" s="32">
        <x:v>184.34</x:v>
      </x:c>
      <x:c r="E444" s="32">
        <x:v>184.34</x:v>
      </x:c>
      <x:c r="F444" s="33">
        <x:v>102900</x:v>
      </x:c>
      <x:c r="G444" s="32" t="n">
        <x:f t="shared" si="9">AVERAGE(E245:E444)</x:f>
        <x:v>192.0261999999999</x:v>
      </x:c>
      <x:c r="H444" s="37" t="n">
        <x:f t="shared" si="10">IFERROR(E444/G444-1,"")</x:f>
        <x:v>-0.040026829672200503</x:v>
      </x:c>
      <x:c r="I444" s="38" t="b">
        <x:f t="shared" si="11">E444&lt;G444</x:f>
        <x:v>1</x:v>
      </x:c>
    </x:row>
    <x:row r="445">
      <x:c r="A445" s="31">
        <x:v>37602</x:v>
      </x:c>
      <x:c r="B445" s="32">
        <x:v>183.69</x:v>
      </x:c>
      <x:c r="C445" s="32">
        <x:v>183.69</x:v>
      </x:c>
      <x:c r="D445" s="32">
        <x:v>183.69</x:v>
      </x:c>
      <x:c r="E445" s="32">
        <x:v>183.69</x:v>
      </x:c>
      <x:c r="F445" s="33">
        <x:v>68400</x:v>
      </x:c>
      <x:c r="G445" s="32" t="n">
        <x:f t="shared" si="9">AVERAGE(E246:E445)</x:f>
        <x:v>191.9766999999999</x:v>
      </x:c>
      <x:c r="H445" s="37" t="n">
        <x:f t="shared" si="10">IFERROR(E445/G445-1,"")</x:f>
        <x:v>-0.0431651341022109</x:v>
      </x:c>
      <x:c r="I445" s="38" t="b">
        <x:f t="shared" si="11">E445&lt;G445</x:f>
        <x:v>1</x:v>
      </x:c>
    </x:row>
    <x:row r="446">
      <x:c r="A446" s="31">
        <x:v>37603</x:v>
      </x:c>
      <x:c r="B446" s="32">
        <x:v>184.15</x:v>
      </x:c>
      <x:c r="C446" s="32">
        <x:v>184.15</x:v>
      </x:c>
      <x:c r="D446" s="32">
        <x:v>184.15</x:v>
      </x:c>
      <x:c r="E446" s="32">
        <x:v>184.15</x:v>
      </x:c>
      <x:c r="F446" s="33">
        <x:v>46000</x:v>
      </x:c>
      <x:c r="G446" s="32" t="n">
        <x:f t="shared" si="9">AVERAGE(E247:E446)</x:f>
        <x:v>191.9425499999999</x:v>
      </x:c>
      <x:c r="H446" s="37" t="n">
        <x:f t="shared" si="10">IFERROR(E446/G446-1,"")</x:f>
        <x:v>-0.040598345702919425</x:v>
      </x:c>
      <x:c r="I446" s="38" t="b">
        <x:f t="shared" si="11">E446&lt;G446</x:f>
        <x:v>1</x:v>
      </x:c>
    </x:row>
    <x:row r="447">
      <x:c r="A447" s="31">
        <x:v>37606</x:v>
      </x:c>
      <x:c r="B447" s="32">
        <x:v>184.74</x:v>
      </x:c>
      <x:c r="C447" s="32">
        <x:v>184.74</x:v>
      </x:c>
      <x:c r="D447" s="32">
        <x:v>184.74</x:v>
      </x:c>
      <x:c r="E447" s="32">
        <x:v>184.74</x:v>
      </x:c>
      <x:c r="F447" s="33">
        <x:v>76700</x:v>
      </x:c>
      <x:c r="G447" s="32" t="n">
        <x:f t="shared" si="9">AVERAGE(E248:E447)</x:f>
        <x:v>191.92514999999992</x:v>
      </x:c>
      <x:c r="H447" s="37" t="n">
        <x:f t="shared" si="10">IFERROR(E447/G447-1,"")</x:f>
        <x:v>-0.03743725092829109</x:v>
      </x:c>
      <x:c r="I447" s="38" t="b">
        <x:f t="shared" si="11">E447&lt;G447</x:f>
        <x:v>1</x:v>
      </x:c>
    </x:row>
    <x:row r="448">
      <x:c r="A448" s="31">
        <x:v>37607</x:v>
      </x:c>
      <x:c r="B448" s="32">
        <x:v>185.37</x:v>
      </x:c>
      <x:c r="C448" s="32">
        <x:v>185.37</x:v>
      </x:c>
      <x:c r="D448" s="32">
        <x:v>185.37</x:v>
      </x:c>
      <x:c r="E448" s="32">
        <x:v>185.37</x:v>
      </x:c>
      <x:c r="F448" s="33">
        <x:v>138200</x:v>
      </x:c>
      <x:c r="G448" s="32" t="n">
        <x:f t="shared" si="9">AVERAGE(E249:E448)</x:f>
        <x:v>191.92329999999995</x:v>
      </x:c>
      <x:c r="H448" s="37" t="n">
        <x:f t="shared" si="10">IFERROR(E448/G448-1,"")</x:f>
        <x:v>-0.034145411213750254</x:v>
      </x:c>
      <x:c r="I448" s="38" t="b">
        <x:f t="shared" si="11">E448&lt;G448</x:f>
        <x:v>1</x:v>
      </x:c>
    </x:row>
    <x:row r="449">
      <x:c r="A449" s="31">
        <x:v>37608</x:v>
      </x:c>
      <x:c r="B449" s="32">
        <x:v>185.96</x:v>
      </x:c>
      <x:c r="C449" s="32">
        <x:v>185.96</x:v>
      </x:c>
      <x:c r="D449" s="32">
        <x:v>185.96</x:v>
      </x:c>
      <x:c r="E449" s="32">
        <x:v>185.96</x:v>
      </x:c>
      <x:c r="F449" s="33">
        <x:v>140300</x:v>
      </x:c>
      <x:c r="G449" s="32" t="n">
        <x:f t="shared" si="9">AVERAGE(E250:E449)</x:f>
        <x:v>191.93709999999993</x:v>
      </x:c>
      <x:c r="H449" s="37" t="n">
        <x:f t="shared" si="10">IFERROR(E449/G449-1,"")</x:f>
        <x:v>-0.03114093106543714</x:v>
      </x:c>
      <x:c r="I449" s="38" t="b">
        <x:f t="shared" si="11">E449&lt;G449</x:f>
        <x:v>1</x:v>
      </x:c>
    </x:row>
    <x:row r="450">
      <x:c r="A450" s="31">
        <x:v>37609</x:v>
      </x:c>
      <x:c r="B450" s="32">
        <x:v>186.18</x:v>
      </x:c>
      <x:c r="C450" s="32">
        <x:v>186.18</x:v>
      </x:c>
      <x:c r="D450" s="32">
        <x:v>186.18</x:v>
      </x:c>
      <x:c r="E450" s="32">
        <x:v>186.18</x:v>
      </x:c>
      <x:c r="F450" s="33">
        <x:v>128900</x:v>
      </x:c>
      <x:c r="G450" s="32" t="n">
        <x:f t="shared" si="9">AVERAGE(E251:E450)</x:f>
        <x:v>191.96199999999996</x:v>
      </x:c>
      <x:c r="H450" s="37" t="n">
        <x:f t="shared" si="10">IFERROR(E450/G450-1,"")</x:f>
        <x:v>-0.030120544691136564</x:v>
      </x:c>
      <x:c r="I450" s="38" t="b">
        <x:f t="shared" si="11">E450&lt;G450</x:f>
        <x:v>1</x:v>
      </x:c>
    </x:row>
    <x:row r="451">
      <x:c r="A451" s="31">
        <x:v>37610</x:v>
      </x:c>
      <x:c r="B451" s="32">
        <x:v>184.94</x:v>
      </x:c>
      <x:c r="C451" s="32">
        <x:v>184.94</x:v>
      </x:c>
      <x:c r="D451" s="32">
        <x:v>184.94</x:v>
      </x:c>
      <x:c r="E451" s="32">
        <x:v>184.94</x:v>
      </x:c>
      <x:c r="F451" s="33">
        <x:v>115700</x:v>
      </x:c>
      <x:c r="G451" s="32" t="n">
        <x:f t="shared" si="9">AVERAGE(E252:E451)</x:f>
        <x:v>191.98304999999996</x:v>
      </x:c>
      <x:c r="H451" s="37" t="n">
        <x:f t="shared" si="10">IFERROR(E451/G451-1,"")</x:f>
        <x:v>-0.03668579075079792</x:v>
      </x:c>
      <x:c r="I451" s="38" t="b">
        <x:f t="shared" si="11">E451&lt;G451</x:f>
        <x:v>1</x:v>
      </x:c>
    </x:row>
    <x:row r="452">
      <x:c r="A452" s="31">
        <x:v>37613</x:v>
      </x:c>
      <x:c r="B452" s="32">
        <x:v>184.23</x:v>
      </x:c>
      <x:c r="C452" s="32">
        <x:v>184.23</x:v>
      </x:c>
      <x:c r="D452" s="32">
        <x:v>184.23</x:v>
      </x:c>
      <x:c r="E452" s="32">
        <x:v>184.23</x:v>
      </x:c>
      <x:c r="F452" s="33">
        <x:v>73400</x:v>
      </x:c>
      <x:c r="G452" s="32" t="n">
        <x:f t="shared" si="9">AVERAGE(E253:E452)</x:f>
        <x:v>191.9896</x:v>
      </x:c>
      <x:c r="H452" s="37" t="n">
        <x:f t="shared" si="10">IFERROR(E452/G452-1,"")</x:f>
        <x:v>-0.04041677257518117</x:v>
      </x:c>
      <x:c r="I452" s="38" t="b">
        <x:f t="shared" si="11">E452&lt;G452</x:f>
        <x:v>1</x:v>
      </x:c>
    </x:row>
    <x:row r="453">
      <x:c r="A453" s="31">
        <x:v>37614</x:v>
      </x:c>
      <x:c r="B453" s="32">
        <x:v>184.18</x:v>
      </x:c>
      <x:c r="C453" s="32">
        <x:v>184.18</x:v>
      </x:c>
      <x:c r="D453" s="32">
        <x:v>184.18</x:v>
      </x:c>
      <x:c r="E453" s="32">
        <x:v>184.18</x:v>
      </x:c>
      <x:c r="F453" s="33">
        <x:v>92500</x:v>
      </x:c>
      <x:c r="G453" s="32" t="n">
        <x:f t="shared" si="9">AVERAGE(E254:E453)</x:f>
        <x:v>191.98219999999998</x:v>
      </x:c>
      <x:c r="H453" s="37" t="n">
        <x:f t="shared" si="10">IFERROR(E453/G453-1,"")</x:f>
        <x:v>-0.04064022602095385</x:v>
      </x:c>
      <x:c r="I453" s="38" t="b">
        <x:f t="shared" si="11">E453&lt;G453</x:f>
        <x:v>1</x:v>
      </x:c>
    </x:row>
    <x:row r="454">
      <x:c r="A454" s="31">
        <x:v>37615</x:v>
      </x:c>
      <x:c r="B454" s="32">
        <x:v>184.14</x:v>
      </x:c>
      <x:c r="C454" s="32">
        <x:v>184.14</x:v>
      </x:c>
      <x:c r="D454" s="32">
        <x:v>184.14</x:v>
      </x:c>
      <x:c r="E454" s="32">
        <x:v>184.14</x:v>
      </x:c>
      <x:c r="F454" s="33">
        <x:v>92900</x:v>
      </x:c>
      <x:c r="G454" s="32" t="n">
        <x:f t="shared" si="9">AVERAGE(E255:E454)</x:f>
        <x:v>191.95805000000001</x:v>
      </x:c>
      <x:c r="H454" s="37" t="n">
        <x:f t="shared" si="10">IFERROR(E454/G454-1,"")</x:f>
        <x:v>-0.04072790904054313</x:v>
      </x:c>
      <x:c r="I454" s="38" t="b">
        <x:f t="shared" si="11">E454&lt;G454</x:f>
        <x:v>1</x:v>
      </x:c>
    </x:row>
    <x:row r="455">
      <x:c r="A455" s="31">
        <x:v>37616</x:v>
      </x:c>
      <x:c r="B455" s="32">
        <x:v>183.78</x:v>
      </x:c>
      <x:c r="C455" s="32">
        <x:v>183.78</x:v>
      </x:c>
      <x:c r="D455" s="32">
        <x:v>183.78</x:v>
      </x:c>
      <x:c r="E455" s="32">
        <x:v>183.78</x:v>
      </x:c>
      <x:c r="F455" s="33">
        <x:v>90400</x:v>
      </x:c>
      <x:c r="G455" s="32" t="n">
        <x:f t="shared" si="9">AVERAGE(E256:E455)</x:f>
        <x:v>191.91500000000005</x:v>
      </x:c>
      <x:c r="H455" s="37" t="n">
        <x:f t="shared" si="10">IFERROR(E455/G455-1,"")</x:f>
        <x:v>-0.04238855743428105</x:v>
      </x:c>
      <x:c r="I455" s="38" t="b">
        <x:f t="shared" si="11">E455&lt;G455</x:f>
        <x:v>1</x:v>
      </x:c>
    </x:row>
    <x:row r="456">
      <x:c r="A456" s="31">
        <x:v>37617</x:v>
      </x:c>
      <x:c r="B456" s="32">
        <x:v>183.05</x:v>
      </x:c>
      <x:c r="C456" s="32">
        <x:v>183.05</x:v>
      </x:c>
      <x:c r="D456" s="32">
        <x:v>183.05</x:v>
      </x:c>
      <x:c r="E456" s="32">
        <x:v>183.05</x:v>
      </x:c>
      <x:c r="F456" s="33">
        <x:v>50700</x:v>
      </x:c>
      <x:c r="G456" s="32" t="n">
        <x:f t="shared" si="9">AVERAGE(E257:E456)</x:f>
        <x:v>191.87875000000003</x:v>
      </x:c>
      <x:c r="H456" s="37" t="n">
        <x:f t="shared" si="10">IFERROR(E456/G456-1,"")</x:f>
        <x:v>-0.04601213005609017</x:v>
      </x:c>
      <x:c r="I456" s="38" t="b">
        <x:f t="shared" si="11">E456&lt;G456</x:f>
        <x:v>1</x:v>
      </x:c>
    </x:row>
    <x:row r="457">
      <x:c r="A457" s="31">
        <x:v>37620</x:v>
      </x:c>
      <x:c r="B457" s="32">
        <x:v>182.65</x:v>
      </x:c>
      <x:c r="C457" s="32">
        <x:v>182.65</x:v>
      </x:c>
      <x:c r="D457" s="32">
        <x:v>182.65</x:v>
      </x:c>
      <x:c r="E457" s="32">
        <x:v>182.65</x:v>
      </x:c>
      <x:c r="F457" s="33">
        <x:v>54700</x:v>
      </x:c>
      <x:c r="G457" s="32" t="n">
        <x:f t="shared" si="9">AVERAGE(E258:E457)</x:f>
        <x:v>191.85670000000005</x:v>
      </x:c>
      <x:c r="H457" s="37" t="n">
        <x:f t="shared" si="10">IFERROR(E457/G457-1,"")</x:f>
        <x:v>-0.047987378079577314</x:v>
      </x:c>
      <x:c r="I457" s="38" t="b">
        <x:f t="shared" si="11">E457&lt;G457</x:f>
        <x:v>1</x:v>
      </x:c>
    </x:row>
    <x:row r="458">
      <x:c r="A458" s="31">
        <x:v>37621</x:v>
      </x:c>
      <x:c r="B458" s="32">
        <x:v>183.33</x:v>
      </x:c>
      <x:c r="C458" s="32">
        <x:v>183.33</x:v>
      </x:c>
      <x:c r="D458" s="32">
        <x:v>183.33</x:v>
      </x:c>
      <x:c r="E458" s="32">
        <x:v>183.33</x:v>
      </x:c>
      <x:c r="F458" s="33">
        <x:v>65900</x:v>
      </x:c>
      <x:c r="G458" s="32" t="n">
        <x:f t="shared" si="9">AVERAGE(E259:E458)</x:f>
        <x:v>191.8281000000001</x:v>
      </x:c>
      <x:c r="H458" s="37" t="n">
        <x:f t="shared" si="10">IFERROR(E458/G458-1,"")</x:f>
        <x:v>-0.044300600381279254</x:v>
      </x:c>
      <x:c r="I458" s="38" t="b">
        <x:f t="shared" si="11">E458&lt;G458</x:f>
        <x:v>1</x:v>
      </x:c>
    </x:row>
    <x:row r="459">
      <x:c r="A459" s="31">
        <x:v>37623</x:v>
      </x:c>
      <x:c r="B459" s="32">
        <x:v>183.41</x:v>
      </x:c>
      <x:c r="C459" s="32">
        <x:v>183.41</x:v>
      </x:c>
      <x:c r="D459" s="32">
        <x:v>183.41</x:v>
      </x:c>
      <x:c r="E459" s="32">
        <x:v>183.41</x:v>
      </x:c>
      <x:c r="F459" s="33">
        <x:v>30300</x:v>
      </x:c>
      <x:c r="G459" s="32" t="n">
        <x:f t="shared" si="9">AVERAGE(E260:E459)</x:f>
        <x:v>191.7988500000001</x:v>
      </x:c>
      <x:c r="H459" s="37" t="n">
        <x:f t="shared" si="10">IFERROR(E459/G459-1,"")</x:f>
        <x:v>-0.04373774920965423</x:v>
      </x:c>
      <x:c r="I459" s="38" t="b">
        <x:f t="shared" si="11">E459&lt;G459</x:f>
        <x:v>1</x:v>
      </x:c>
    </x:row>
    <x:row r="460">
      <x:c r="A460" s="31">
        <x:v>37624</x:v>
      </x:c>
      <x:c r="B460" s="32">
        <x:v>182.39</x:v>
      </x:c>
      <x:c r="C460" s="32">
        <x:v>182.39</x:v>
      </x:c>
      <x:c r="D460" s="32">
        <x:v>182.39</x:v>
      </x:c>
      <x:c r="E460" s="32">
        <x:v>182.39</x:v>
      </x:c>
      <x:c r="F460" s="33">
        <x:v>48100</x:v>
      </x:c>
      <x:c r="G460" s="32" t="n">
        <x:f t="shared" si="9">AVERAGE(E261:E460)</x:f>
        <x:v>191.77245000000005</x:v>
      </x:c>
      <x:c r="H460" s="37" t="n">
        <x:f t="shared" si="10">IFERROR(E460/G460-1,"")</x:f>
        <x:v>-0.04892491074708627</x:v>
      </x:c>
      <x:c r="I460" s="38" t="b">
        <x:f t="shared" si="11">E460&lt;G460</x:f>
        <x:v>1</x:v>
      </x:c>
    </x:row>
    <x:row r="461">
      <x:c r="A461" s="31">
        <x:v>37627</x:v>
      </x:c>
      <x:c r="B461" s="32">
        <x:v>181.76</x:v>
      </x:c>
      <x:c r="C461" s="32">
        <x:v>181.76</x:v>
      </x:c>
      <x:c r="D461" s="32">
        <x:v>181.76</x:v>
      </x:c>
      <x:c r="E461" s="32">
        <x:v>181.76</x:v>
      </x:c>
      <x:c r="F461" s="33">
        <x:v>52400</x:v>
      </x:c>
      <x:c r="G461" s="32" t="n">
        <x:f t="shared" ref="G461:G524" si="12">AVERAGE(E262:E461)</x:f>
        <x:v>191.7377000000001</x:v>
      </x:c>
      <x:c r="H461" s="37" t="n">
        <x:f t="shared" ref="H461:H524" si="13">IFERROR(E461/G461-1,"")</x:f>
        <x:v>-0.052038279378547436</x:v>
      </x:c>
      <x:c r="I461" s="38" t="b">
        <x:f t="shared" ref="I461:I524" si="14">E461&lt;G461</x:f>
        <x:v>1</x:v>
      </x:c>
    </x:row>
    <x:row r="462">
      <x:c r="A462" s="31">
        <x:v>37628</x:v>
      </x:c>
      <x:c r="B462" s="32">
        <x:v>180.63</x:v>
      </x:c>
      <x:c r="C462" s="32">
        <x:v>180.63</x:v>
      </x:c>
      <x:c r="D462" s="32">
        <x:v>180.63</x:v>
      </x:c>
      <x:c r="E462" s="32">
        <x:v>180.63</x:v>
      </x:c>
      <x:c r="F462" s="33">
        <x:v>67400</x:v>
      </x:c>
      <x:c r="G462" s="32" t="n">
        <x:f t="shared" si="12">AVERAGE(E263:E462)</x:f>
        <x:v>191.6810000000001</x:v>
      </x:c>
      <x:c r="H462" s="37" t="n">
        <x:f t="shared" si="13">IFERROR(E462/G462-1,"")</x:f>
        <x:v>-0.05765307985663726</x:v>
      </x:c>
      <x:c r="I462" s="38" t="b">
        <x:f t="shared" si="14">E462&lt;G462</x:f>
        <x:v>1</x:v>
      </x:c>
    </x:row>
    <x:row r="463">
      <x:c r="A463" s="31">
        <x:v>37629</x:v>
      </x:c>
      <x:c r="B463" s="32">
        <x:v>179.79</x:v>
      </x:c>
      <x:c r="C463" s="32">
        <x:v>179.79</x:v>
      </x:c>
      <x:c r="D463" s="32">
        <x:v>179.79</x:v>
      </x:c>
      <x:c r="E463" s="32">
        <x:v>179.79</x:v>
      </x:c>
      <x:c r="F463" s="33">
        <x:v>42500</x:v>
      </x:c>
      <x:c r="G463" s="32" t="n">
        <x:f t="shared" si="12">AVERAGE(E264:E463)</x:f>
        <x:v>191.60440000000014</x:v>
      </x:c>
      <x:c r="H463" s="37" t="n">
        <x:f t="shared" si="13">IFERROR(E463/G463-1,"")</x:f>
        <x:v>-0.06166037940673674</x:v>
      </x:c>
      <x:c r="I463" s="38" t="b">
        <x:f t="shared" si="14">E463&lt;G463</x:f>
        <x:v>1</x:v>
      </x:c>
    </x:row>
    <x:row r="464">
      <x:c r="A464" s="31">
        <x:v>37630</x:v>
      </x:c>
      <x:c r="B464" s="32">
        <x:v>178.93</x:v>
      </x:c>
      <x:c r="C464" s="32">
        <x:v>178.93</x:v>
      </x:c>
      <x:c r="D464" s="32">
        <x:v>178.93</x:v>
      </x:c>
      <x:c r="E464" s="32">
        <x:v>178.93</x:v>
      </x:c>
      <x:c r="F464" s="33">
        <x:v>47400</x:v>
      </x:c>
      <x:c r="G464" s="32" t="n">
        <x:f t="shared" si="12">AVERAGE(E265:E464)</x:f>
        <x:v>191.5096000000001</x:v>
      </x:c>
      <x:c r="H464" s="37" t="n">
        <x:f t="shared" si="13">IFERROR(E464/G464-1,"")</x:f>
        <x:v>-0.06568652433089561</x:v>
      </x:c>
      <x:c r="I464" s="38" t="b">
        <x:f t="shared" si="14">E464&lt;G464</x:f>
        <x:v>1</x:v>
      </x:c>
    </x:row>
    <x:row r="465">
      <x:c r="A465" s="31">
        <x:v>37631</x:v>
      </x:c>
      <x:c r="B465" s="32">
        <x:v>178.67</x:v>
      </x:c>
      <x:c r="C465" s="32">
        <x:v>178.67</x:v>
      </x:c>
      <x:c r="D465" s="32">
        <x:v>178.67</x:v>
      </x:c>
      <x:c r="E465" s="32">
        <x:v>178.67</x:v>
      </x:c>
      <x:c r="F465" s="33">
        <x:v>41500</x:v>
      </x:c>
      <x:c r="G465" s="32" t="n">
        <x:f t="shared" si="12">AVERAGE(E266:E465)</x:f>
        <x:v>191.40220000000008</x:v>
      </x:c>
      <x:c r="H465" s="37" t="n">
        <x:f t="shared" si="13">IFERROR(E465/G465-1,"")</x:f>
        <x:v>-0.06652065650238126</x:v>
      </x:c>
      <x:c r="I465" s="38" t="b">
        <x:f t="shared" si="14">E465&lt;G465</x:f>
        <x:v>1</x:v>
      </x:c>
    </x:row>
    <x:row r="466">
      <x:c r="A466" s="31">
        <x:v>37634</x:v>
      </x:c>
      <x:c r="B466" s="32">
        <x:v>178.03</x:v>
      </x:c>
      <x:c r="C466" s="32">
        <x:v>178.03</x:v>
      </x:c>
      <x:c r="D466" s="32">
        <x:v>178.03</x:v>
      </x:c>
      <x:c r="E466" s="32">
        <x:v>178.03</x:v>
      </x:c>
      <x:c r="F466" s="33">
        <x:v>69900</x:v>
      </x:c>
      <x:c r="G466" s="32" t="n">
        <x:f t="shared" si="12">AVERAGE(E267:E466)</x:f>
        <x:v>191.27665000000007</x:v>
      </x:c>
      <x:c r="H466" s="37" t="n">
        <x:f t="shared" si="13">IFERROR(E466/G466-1,"")</x:f>
        <x:v>-0.06925387913265979</x:v>
      </x:c>
      <x:c r="I466" s="38" t="b">
        <x:f t="shared" si="14">E466&lt;G466</x:f>
        <x:v>1</x:v>
      </x:c>
    </x:row>
    <x:row r="467">
      <x:c r="A467" s="31">
        <x:v>37635</x:v>
      </x:c>
      <x:c r="B467" s="32">
        <x:v>177.31</x:v>
      </x:c>
      <x:c r="C467" s="32">
        <x:v>177.31</x:v>
      </x:c>
      <x:c r="D467" s="32">
        <x:v>177.31</x:v>
      </x:c>
      <x:c r="E467" s="32">
        <x:v>177.31</x:v>
      </x:c>
      <x:c r="F467" s="33">
        <x:v>37700</x:v>
      </x:c>
      <x:c r="G467" s="32" t="n">
        <x:f t="shared" si="12">AVERAGE(E268:E467)</x:f>
        <x:v>191.1471000000001</x:v>
      </x:c>
      <x:c r="H467" s="37" t="n">
        <x:f t="shared" si="13">IFERROR(E467/G467-1,"")</x:f>
        <x:v>-0.07238979822346292</x:v>
      </x:c>
      <x:c r="I467" s="38" t="b">
        <x:f t="shared" si="14">E467&lt;G467</x:f>
        <x:v>1</x:v>
      </x:c>
    </x:row>
    <x:row r="468">
      <x:c r="A468" s="31">
        <x:v>37636</x:v>
      </x:c>
      <x:c r="B468" s="32">
        <x:v>176.43</x:v>
      </x:c>
      <x:c r="C468" s="32">
        <x:v>176.43</x:v>
      </x:c>
      <x:c r="D468" s="32">
        <x:v>176.43</x:v>
      </x:c>
      <x:c r="E468" s="32">
        <x:v>176.43</x:v>
      </x:c>
      <x:c r="F468" s="33">
        <x:v>62700</x:v>
      </x:c>
      <x:c r="G468" s="32" t="n">
        <x:f t="shared" si="12">AVERAGE(E269:E468)</x:f>
        <x:v>191.01845000000012</x:v>
      </x:c>
      <x:c r="H468" s="37" t="n">
        <x:f t="shared" si="13">IFERROR(E468/G468-1,"")</x:f>
        <x:v>-0.07637194208203502</x:v>
      </x:c>
      <x:c r="I468" s="38" t="b">
        <x:f t="shared" si="14">E468&lt;G468</x:f>
        <x:v>1</x:v>
      </x:c>
    </x:row>
    <x:row r="469">
      <x:c r="A469" s="31">
        <x:v>37637</x:v>
      </x:c>
      <x:c r="B469" s="32">
        <x:v>173.11</x:v>
      </x:c>
      <x:c r="C469" s="32">
        <x:v>173.11</x:v>
      </x:c>
      <x:c r="D469" s="32">
        <x:v>173.11</x:v>
      </x:c>
      <x:c r="E469" s="32">
        <x:v>173.11</x:v>
      </x:c>
      <x:c r="F469" s="33">
        <x:v>104600</x:v>
      </x:c>
      <x:c r="G469" s="32" t="n">
        <x:f t="shared" si="12">AVERAGE(E270:E469)</x:f>
        <x:v>190.8771000000001</x:v>
      </x:c>
      <x:c r="H469" s="37" t="n">
        <x:f t="shared" si="13">IFERROR(E469/G469-1,"")</x:f>
        <x:v>-0.09308135968117748</x:v>
      </x:c>
      <x:c r="I469" s="38" t="b">
        <x:f t="shared" si="14">E469&lt;G469</x:f>
        <x:v>1</x:v>
      </x:c>
    </x:row>
    <x:row r="470">
      <x:c r="A470" s="31">
        <x:v>37638</x:v>
      </x:c>
      <x:c r="B470" s="32">
        <x:v>173.05</x:v>
      </x:c>
      <x:c r="C470" s="32">
        <x:v>173.05</x:v>
      </x:c>
      <x:c r="D470" s="32">
        <x:v>173.05</x:v>
      </x:c>
      <x:c r="E470" s="32">
        <x:v>173.05</x:v>
      </x:c>
      <x:c r="F470" s="33">
        <x:v>62700</x:v>
      </x:c>
      <x:c r="G470" s="32" t="n">
        <x:f t="shared" si="12">AVERAGE(E271:E470)</x:f>
        <x:v>190.74850000000012</x:v>
      </x:c>
      <x:c r="H470" s="37" t="n">
        <x:f t="shared" si="13">IFERROR(E470/G470-1,"")</x:f>
        <x:v>-0.09278447799065315</x:v>
      </x:c>
      <x:c r="I470" s="38" t="b">
        <x:f t="shared" si="14">E470&lt;G470</x:f>
        <x:v>1</x:v>
      </x:c>
    </x:row>
    <x:row r="471">
      <x:c r="A471" s="31">
        <x:v>37641</x:v>
      </x:c>
      <x:c r="B471" s="32">
        <x:v>171.4</x:v>
      </x:c>
      <x:c r="C471" s="32">
        <x:v>171.4</x:v>
      </x:c>
      <x:c r="D471" s="32">
        <x:v>171.4</x:v>
      </x:c>
      <x:c r="E471" s="32">
        <x:v>171.4</x:v>
      </x:c>
      <x:c r="F471" s="33">
        <x:v>65500</x:v>
      </x:c>
      <x:c r="G471" s="32" t="n">
        <x:f t="shared" si="12">AVERAGE(E272:E471)</x:f>
        <x:v>190.6129000000001</x:v>
      </x:c>
      <x:c r="H471" s="37" t="n">
        <x:f t="shared" si="13">IFERROR(E471/G471-1,"")</x:f>
        <x:v>-0.10079538163471669</x:v>
      </x:c>
      <x:c r="I471" s="38" t="b">
        <x:f t="shared" si="14">E471&lt;G471</x:f>
        <x:v>1</x:v>
      </x:c>
    </x:row>
    <x:row r="472">
      <x:c r="A472" s="31">
        <x:v>37642</x:v>
      </x:c>
      <x:c r="B472" s="32">
        <x:v>171.36</x:v>
      </x:c>
      <x:c r="C472" s="32">
        <x:v>171.36</x:v>
      </x:c>
      <x:c r="D472" s="32">
        <x:v>171.36</x:v>
      </x:c>
      <x:c r="E472" s="32">
        <x:v>171.36</x:v>
      </x:c>
      <x:c r="F472" s="33">
        <x:v>71300</x:v>
      </x:c>
      <x:c r="G472" s="32" t="n">
        <x:f t="shared" si="12">AVERAGE(E273:E472)</x:f>
        <x:v>190.4673000000001</x:v>
      </x:c>
      <x:c r="H472" s="37" t="n">
        <x:f t="shared" si="13">IFERROR(E472/G472-1,"")</x:f>
        <x:v>-0.10031800734299312</x:v>
      </x:c>
      <x:c r="I472" s="38" t="b">
        <x:f t="shared" si="14">E472&lt;G472</x:f>
        <x:v>1</x:v>
      </x:c>
    </x:row>
    <x:row r="473">
      <x:c r="A473" s="31">
        <x:v>37643</x:v>
      </x:c>
      <x:c r="B473" s="32">
        <x:v>170.55</x:v>
      </x:c>
      <x:c r="C473" s="32">
        <x:v>170.55</x:v>
      </x:c>
      <x:c r="D473" s="32">
        <x:v>170.55</x:v>
      </x:c>
      <x:c r="E473" s="32">
        <x:v>170.55</x:v>
      </x:c>
      <x:c r="F473" s="33">
        <x:v>92700</x:v>
      </x:c>
      <x:c r="G473" s="32" t="n">
        <x:f t="shared" si="12">AVERAGE(E274:E473)</x:f>
        <x:v>190.31580000000014</x:v>
      </x:c>
      <x:c r="H473" s="37" t="n">
        <x:f t="shared" si="13">IFERROR(E473/G473-1,"")</x:f>
        <x:v>-0.10385790354768287</x:v>
      </x:c>
      <x:c r="I473" s="38" t="b">
        <x:f t="shared" si="14">E473&lt;G473</x:f>
        <x:v>1</x:v>
      </x:c>
    </x:row>
    <x:row r="474">
      <x:c r="A474" s="31">
        <x:v>37644</x:v>
      </x:c>
      <x:c r="B474" s="32">
        <x:v>172.03</x:v>
      </x:c>
      <x:c r="C474" s="32">
        <x:v>172.03</x:v>
      </x:c>
      <x:c r="D474" s="32">
        <x:v>172.03</x:v>
      </x:c>
      <x:c r="E474" s="32">
        <x:v>172.03</x:v>
      </x:c>
      <x:c r="F474" s="33">
        <x:v>62200</x:v>
      </x:c>
      <x:c r="G474" s="32" t="n">
        <x:f t="shared" si="12">AVERAGE(E275:E474)</x:f>
        <x:v>190.1741500000001</x:v>
      </x:c>
      <x:c r="H474" s="37" t="n">
        <x:f t="shared" si="13">IFERROR(E474/G474-1,"")</x:f>
        <x:v>-0.09540807728074552</x:v>
      </x:c>
      <x:c r="I474" s="38" t="b">
        <x:f t="shared" si="14">E474&lt;G474</x:f>
        <x:v>1</x:v>
      </x:c>
    </x:row>
    <x:row r="475">
      <x:c r="A475" s="31">
        <x:v>37645</x:v>
      </x:c>
      <x:c r="B475" s="32">
        <x:v>172.66</x:v>
      </x:c>
      <x:c r="C475" s="32">
        <x:v>172.66</x:v>
      </x:c>
      <x:c r="D475" s="32">
        <x:v>172.66</x:v>
      </x:c>
      <x:c r="E475" s="32">
        <x:v>172.66</x:v>
      </x:c>
      <x:c r="F475" s="33">
        <x:v>66800</x:v>
      </x:c>
      <x:c r="G475" s="32" t="n">
        <x:f t="shared" si="12">AVERAGE(E276:E475)</x:f>
        <x:v>190.03900000000013</x:v>
      </x:c>
      <x:c r="H475" s="37" t="n">
        <x:f t="shared" si="13">IFERROR(E475/G475-1,"")</x:f>
        <x:v>-0.09144964980872405</x:v>
      </x:c>
      <x:c r="I475" s="38" t="b">
        <x:f t="shared" si="14">E475&lt;G475</x:f>
        <x:v>1</x:v>
      </x:c>
    </x:row>
    <x:row r="476">
      <x:c r="A476" s="31">
        <x:v>37648</x:v>
      </x:c>
      <x:c r="B476" s="32">
        <x:v>172.3</x:v>
      </x:c>
      <x:c r="C476" s="32">
        <x:v>172.3</x:v>
      </x:c>
      <x:c r="D476" s="32">
        <x:v>172.3</x:v>
      </x:c>
      <x:c r="E476" s="32">
        <x:v>172.3</x:v>
      </x:c>
      <x:c r="F476" s="33">
        <x:v>96300</x:v>
      </x:c>
      <x:c r="G476" s="32" t="n">
        <x:f t="shared" si="12">AVERAGE(E277:E476)</x:f>
        <x:v>189.89850000000013</x:v>
      </x:c>
      <x:c r="H476" s="37" t="n">
        <x:f t="shared" si="13">IFERROR(E476/G476-1,"")</x:f>
        <x:v>-0.09267319120477568</x:v>
      </x:c>
      <x:c r="I476" s="38" t="b">
        <x:f t="shared" si="14">E476&lt;G476</x:f>
        <x:v>1</x:v>
      </x:c>
    </x:row>
    <x:row r="477">
      <x:c r="A477" s="31">
        <x:v>37649</x:v>
      </x:c>
      <x:c r="B477" s="32">
        <x:v>172.38</x:v>
      </x:c>
      <x:c r="C477" s="32">
        <x:v>172.38</x:v>
      </x:c>
      <x:c r="D477" s="32">
        <x:v>172.38</x:v>
      </x:c>
      <x:c r="E477" s="32">
        <x:v>172.38</x:v>
      </x:c>
      <x:c r="F477" s="33">
        <x:v>106000</x:v>
      </x:c>
      <x:c r="G477" s="32" t="n">
        <x:f t="shared" si="12">AVERAGE(E278:E477)</x:f>
        <x:v>189.76820000000015</x:v>
      </x:c>
      <x:c r="H477" s="37" t="n">
        <x:f t="shared" si="13">IFERROR(E477/G477-1,"")</x:f>
        <x:v>-0.09162862903268376</x:v>
      </x:c>
      <x:c r="I477" s="38" t="b">
        <x:f t="shared" si="14">E477&lt;G477</x:f>
        <x:v>1</x:v>
      </x:c>
    </x:row>
    <x:row r="478">
      <x:c r="A478" s="31">
        <x:v>37662</x:v>
      </x:c>
      <x:c r="B478" s="32">
        <x:v>170.94</x:v>
      </x:c>
      <x:c r="C478" s="32">
        <x:v>170.94</x:v>
      </x:c>
      <x:c r="D478" s="32">
        <x:v>170.94</x:v>
      </x:c>
      <x:c r="E478" s="32">
        <x:v>170.94</x:v>
      </x:c>
      <x:c r="F478" s="33">
        <x:v>76800</x:v>
      </x:c>
      <x:c r="G478" s="32" t="n">
        <x:f t="shared" si="12">AVERAGE(E279:E478)</x:f>
        <x:v>189.63730000000015</x:v>
      </x:c>
      <x:c r="H478" s="37" t="n">
        <x:f t="shared" si="13">IFERROR(E478/G478-1,"")</x:f>
        <x:v>-0.09859505487580844</x:v>
      </x:c>
      <x:c r="I478" s="38" t="b">
        <x:f t="shared" si="14">E478&lt;G478</x:f>
        <x:v>1</x:v>
      </x:c>
    </x:row>
    <x:row r="479">
      <x:c r="A479" s="31">
        <x:v>37663</x:v>
      </x:c>
      <x:c r="B479" s="32">
        <x:v>167.59</x:v>
      </x:c>
      <x:c r="C479" s="32">
        <x:v>167.59</x:v>
      </x:c>
      <x:c r="D479" s="32">
        <x:v>167.59</x:v>
      </x:c>
      <x:c r="E479" s="32">
        <x:v>167.59</x:v>
      </x:c>
      <x:c r="F479" s="33">
        <x:v>141600</x:v>
      </x:c>
      <x:c r="G479" s="32" t="n">
        <x:f t="shared" si="12">AVERAGE(E280:E479)</x:f>
        <x:v>189.47870000000015</x:v>
      </x:c>
      <x:c r="H479" s="37" t="n">
        <x:f t="shared" si="13">IFERROR(E479/G479-1,"")</x:f>
        <x:v>-0.11552063635648824</x:v>
      </x:c>
      <x:c r="I479" s="38" t="b">
        <x:f t="shared" si="14">E479&lt;G479</x:f>
        <x:v>1</x:v>
      </x:c>
    </x:row>
    <x:row r="480">
      <x:c r="A480" s="31">
        <x:v>37664</x:v>
      </x:c>
      <x:c r="B480" s="32">
        <x:v>163.91</x:v>
      </x:c>
      <x:c r="C480" s="32">
        <x:v>163.91</x:v>
      </x:c>
      <x:c r="D480" s="32">
        <x:v>163.91</x:v>
      </x:c>
      <x:c r="E480" s="32">
        <x:v>163.91</x:v>
      </x:c>
      <x:c r="F480" s="33">
        <x:v>192800</x:v>
      </x:c>
      <x:c r="G480" s="32" t="n">
        <x:f t="shared" si="12">AVERAGE(E281:E480)</x:f>
        <x:v>189.2911000000001</x:v>
      </x:c>
      <x:c r="H480" s="37" t="n">
        <x:f t="shared" si="13">IFERROR(E480/G480-1,"")</x:f>
        <x:v>-0.13408501509051451</x:v>
      </x:c>
      <x:c r="I480" s="38" t="b">
        <x:f t="shared" si="14">E480&lt;G480</x:f>
        <x:v>1</x:v>
      </x:c>
    </x:row>
    <x:row r="481">
      <x:c r="A481" s="31">
        <x:v>37665</x:v>
      </x:c>
      <x:c r="B481" s="32">
        <x:v>167.07</x:v>
      </x:c>
      <x:c r="C481" s="32">
        <x:v>167.07</x:v>
      </x:c>
      <x:c r="D481" s="32">
        <x:v>167.07</x:v>
      </x:c>
      <x:c r="E481" s="32">
        <x:v>167.07</x:v>
      </x:c>
      <x:c r="F481" s="33">
        <x:v>97900</x:v>
      </x:c>
      <x:c r="G481" s="32" t="n">
        <x:f t="shared" si="12">AVERAGE(E282:E481)</x:f>
        <x:v>189.12075000000013</x:v>
      </x:c>
      <x:c r="H481" s="37" t="n">
        <x:f t="shared" si="13">IFERROR(E481/G481-1,"")</x:f>
        <x:v>-0.11659614294042364</x:v>
      </x:c>
      <x:c r="I481" s="38" t="b">
        <x:f t="shared" si="14">E481&lt;G481</x:f>
        <x:v>1</x:v>
      </x:c>
    </x:row>
    <x:row r="482">
      <x:c r="A482" s="31">
        <x:v>37666</x:v>
      </x:c>
      <x:c r="B482" s="32">
        <x:v>168.73</x:v>
      </x:c>
      <x:c r="C482" s="32">
        <x:v>168.73</x:v>
      </x:c>
      <x:c r="D482" s="32">
        <x:v>168.73</x:v>
      </x:c>
      <x:c r="E482" s="32">
        <x:v>168.73</x:v>
      </x:c>
      <x:c r="F482" s="33">
        <x:v>85400</x:v>
      </x:c>
      <x:c r="G482" s="32" t="n">
        <x:f t="shared" si="12">AVERAGE(E283:E482)</x:f>
        <x:v>188.95035000000016</x:v>
      </x:c>
      <x:c r="H482" s="37" t="n">
        <x:f t="shared" si="13">IFERROR(E482/G482-1,"")</x:f>
        <x:v>-0.10701409126789208</x:v>
      </x:c>
      <x:c r="I482" s="38" t="b">
        <x:f t="shared" si="14">E482&lt;G482</x:f>
        <x:v>1</x:v>
      </x:c>
    </x:row>
    <x:row r="483">
      <x:c r="A483" s="31">
        <x:v>37669</x:v>
      </x:c>
      <x:c r="B483" s="32">
        <x:v>168.49</x:v>
      </x:c>
      <x:c r="C483" s="32">
        <x:v>168.49</x:v>
      </x:c>
      <x:c r="D483" s="32">
        <x:v>168.49</x:v>
      </x:c>
      <x:c r="E483" s="32">
        <x:v>168.49</x:v>
      </x:c>
      <x:c r="F483" s="33">
        <x:v>70700</x:v>
      </x:c>
      <x:c r="G483" s="32" t="n">
        <x:f t="shared" si="12">AVERAGE(E284:E483)</x:f>
        <x:v>188.76455000000013</x:v>
      </x:c>
      <x:c r="H483" s="37" t="n">
        <x:f t="shared" si="13">IFERROR(E483/G483-1,"")</x:f>
        <x:v>-0.10740655488543849</x:v>
      </x:c>
      <x:c r="I483" s="38" t="b">
        <x:f t="shared" si="14">E483&lt;G483</x:f>
        <x:v>1</x:v>
      </x:c>
    </x:row>
    <x:row r="484">
      <x:c r="A484" s="31">
        <x:v>37670</x:v>
      </x:c>
      <x:c r="B484" s="32">
        <x:v>167.23</x:v>
      </x:c>
      <x:c r="C484" s="32">
        <x:v>167.23</x:v>
      </x:c>
      <x:c r="D484" s="32">
        <x:v>167.23</x:v>
      </x:c>
      <x:c r="E484" s="32">
        <x:v>167.23</x:v>
      </x:c>
      <x:c r="F484" s="33">
        <x:v>70800</x:v>
      </x:c>
      <x:c r="G484" s="32" t="n">
        <x:f t="shared" si="12">AVERAGE(E285:E484)</x:f>
        <x:v>188.56540000000012</x:v>
      </x:c>
      <x:c r="H484" s="37" t="n">
        <x:f t="shared" si="13">IFERROR(E484/G484-1,"")</x:f>
        <x:v>-0.11314588996708896</x:v>
      </x:c>
      <x:c r="I484" s="38" t="b">
        <x:f t="shared" si="14">E484&lt;G484</x:f>
        <x:v>1</x:v>
      </x:c>
    </x:row>
    <x:row r="485">
      <x:c r="A485" s="31">
        <x:v>37671</x:v>
      </x:c>
      <x:c r="B485" s="32">
        <x:v>166.31</x:v>
      </x:c>
      <x:c r="C485" s="32">
        <x:v>166.31</x:v>
      </x:c>
      <x:c r="D485" s="32">
        <x:v>166.31</x:v>
      </x:c>
      <x:c r="E485" s="32">
        <x:v>166.31</x:v>
      </x:c>
      <x:c r="F485" s="33">
        <x:v>64600</x:v>
      </x:c>
      <x:c r="G485" s="32" t="n">
        <x:f t="shared" si="12">AVERAGE(E286:E485)</x:f>
        <x:v>188.3545500000001</x:v>
      </x:c>
      <x:c r="H485" s="37" t="n">
        <x:f t="shared" si="13">IFERROR(E485/G485-1,"")</x:f>
        <x:v>-0.11703752311797133</x:v>
      </x:c>
      <x:c r="I485" s="38" t="b">
        <x:f t="shared" si="14">E485&lt;G485</x:f>
        <x:v>1</x:v>
      </x:c>
    </x:row>
    <x:row r="486">
      <x:c r="A486" s="31">
        <x:v>37672</x:v>
      </x:c>
      <x:c r="B486" s="32">
        <x:v>165.99</x:v>
      </x:c>
      <x:c r="C486" s="32">
        <x:v>165.99</x:v>
      </x:c>
      <x:c r="D486" s="32">
        <x:v>165.99</x:v>
      </x:c>
      <x:c r="E486" s="32">
        <x:v>165.99</x:v>
      </x:c>
      <x:c r="F486" s="33">
        <x:v>83200</x:v>
      </x:c>
      <x:c r="G486" s="32" t="n">
        <x:f t="shared" si="12">AVERAGE(E287:E486)</x:f>
        <x:v>188.13690000000008</x:v>
      </x:c>
      <x:c r="H486" s="37" t="n">
        <x:f t="shared" si="13">IFERROR(E486/G486-1,"")</x:f>
        <x:v>-0.11771693910126113</x:v>
      </x:c>
      <x:c r="I486" s="38" t="b">
        <x:f t="shared" si="14">E486&lt;G486</x:f>
        <x:v>1</x:v>
      </x:c>
    </x:row>
    <x:row r="487">
      <x:c r="A487" s="31">
        <x:v>37673</x:v>
      </x:c>
      <x:c r="B487" s="32">
        <x:v>164.62</x:v>
      </x:c>
      <x:c r="C487" s="32">
        <x:v>164.62</x:v>
      </x:c>
      <x:c r="D487" s="32">
        <x:v>164.62</x:v>
      </x:c>
      <x:c r="E487" s="32">
        <x:v>164.62</x:v>
      </x:c>
      <x:c r="F487" s="33">
        <x:v>92000</x:v>
      </x:c>
      <x:c r="G487" s="32" t="n">
        <x:f t="shared" si="12">AVERAGE(E288:E487)</x:f>
        <x:v>187.8952500000001</x:v>
      </x:c>
      <x:c r="H487" s="37" t="n">
        <x:f t="shared" si="13">IFERROR(E487/G487-1,"")</x:f>
        <x:v>-0.12387354124172945</x:v>
      </x:c>
      <x:c r="I487" s="38" t="b">
        <x:f t="shared" si="14">E487&lt;G487</x:f>
        <x:v>1</x:v>
      </x:c>
    </x:row>
    <x:row r="488">
      <x:c r="A488" s="31">
        <x:v>37676</x:v>
      </x:c>
      <x:c r="B488" s="32">
        <x:v>165.48</x:v>
      </x:c>
      <x:c r="C488" s="32">
        <x:v>165.48</x:v>
      </x:c>
      <x:c r="D488" s="32">
        <x:v>165.48</x:v>
      </x:c>
      <x:c r="E488" s="32">
        <x:v>165.48</x:v>
      </x:c>
      <x:c r="F488" s="33">
        <x:v>79600</x:v>
      </x:c>
      <x:c r="G488" s="32" t="n">
        <x:f t="shared" si="12">AVERAGE(E289:E488)</x:f>
        <x:v>187.65150000000008</x:v>
      </x:c>
      <x:c r="H488" s="37" t="n">
        <x:f t="shared" si="13">IFERROR(E488/G488-1,"")</x:f>
        <x:v>-0.11815253275353554</x:v>
      </x:c>
      <x:c r="I488" s="38" t="b">
        <x:f t="shared" si="14">E488&lt;G488</x:f>
        <x:v>1</x:v>
      </x:c>
    </x:row>
    <x:row r="489">
      <x:c r="A489" s="31">
        <x:v>37677</x:v>
      </x:c>
      <x:c r="B489" s="32">
        <x:v>165.29</x:v>
      </x:c>
      <x:c r="C489" s="32">
        <x:v>165.29</x:v>
      </x:c>
      <x:c r="D489" s="32">
        <x:v>165.29</x:v>
      </x:c>
      <x:c r="E489" s="32">
        <x:v>165.29</x:v>
      </x:c>
      <x:c r="F489" s="33">
        <x:v>70600</x:v>
      </x:c>
      <x:c r="G489" s="32" t="n">
        <x:f t="shared" si="12">AVERAGE(E290:E489)</x:f>
        <x:v>187.4258000000001</x:v>
      </x:c>
      <x:c r="H489" s="37" t="n">
        <x:f t="shared" si="13">IFERROR(E489/G489-1,"")</x:f>
        <x:v>-0.11810433782328844</x:v>
      </x:c>
      <x:c r="I489" s="38" t="b">
        <x:f t="shared" si="14">E489&lt;G489</x:f>
        <x:v>1</x:v>
      </x:c>
    </x:row>
    <x:row r="490">
      <x:c r="A490" s="31">
        <x:v>37678</x:v>
      </x:c>
      <x:c r="B490" s="32">
        <x:v>164.71</x:v>
      </x:c>
      <x:c r="C490" s="32">
        <x:v>164.71</x:v>
      </x:c>
      <x:c r="D490" s="32">
        <x:v>164.71</x:v>
      </x:c>
      <x:c r="E490" s="32">
        <x:v>164.71</x:v>
      </x:c>
      <x:c r="F490" s="33">
        <x:v>44500</x:v>
      </x:c>
      <x:c r="G490" s="32" t="n">
        <x:f t="shared" si="12">AVERAGE(E291:E490)</x:f>
        <x:v>187.21410000000006</x:v>
      </x:c>
      <x:c r="H490" s="37" t="n">
        <x:f t="shared" si="13">IFERROR(E490/G490-1,"")</x:f>
        <x:v>-0.12020515548775468</x:v>
      </x:c>
      <x:c r="I490" s="38" t="b">
        <x:f t="shared" si="14">E490&lt;G490</x:f>
        <x:v>1</x:v>
      </x:c>
    </x:row>
    <x:row r="491">
      <x:c r="A491" s="31">
        <x:v>37679</x:v>
      </x:c>
      <x:c r="B491" s="32">
        <x:v>164.69</x:v>
      </x:c>
      <x:c r="C491" s="32">
        <x:v>164.69</x:v>
      </x:c>
      <x:c r="D491" s="32">
        <x:v>164.69</x:v>
      </x:c>
      <x:c r="E491" s="32">
        <x:v>164.69</x:v>
      </x:c>
      <x:c r="F491" s="33">
        <x:v>43400</x:v>
      </x:c>
      <x:c r="G491" s="32" t="n">
        <x:f t="shared" si="12">AVERAGE(E292:E491)</x:f>
        <x:v>186.9933000000001</x:v>
      </x:c>
      <x:c r="H491" s="37" t="n">
        <x:f t="shared" si="13">IFERROR(E491/G491-1,"")</x:f>
        <x:v>-0.11927325738408856</x:v>
      </x:c>
      <x:c r="I491" s="38" t="b">
        <x:f t="shared" si="14">E491&lt;G491</x:f>
        <x:v>1</x:v>
      </x:c>
    </x:row>
    <x:row r="492">
      <x:c r="A492" s="31">
        <x:v>37680</x:v>
      </x:c>
      <x:c r="B492" s="32">
        <x:v>164.61</x:v>
      </x:c>
      <x:c r="C492" s="32">
        <x:v>164.61</x:v>
      </x:c>
      <x:c r="D492" s="32">
        <x:v>164.61</x:v>
      </x:c>
      <x:c r="E492" s="32">
        <x:v>164.61</x:v>
      </x:c>
      <x:c r="F492" s="33">
        <x:v>80200</x:v>
      </x:c>
      <x:c r="G492" s="32" t="n">
        <x:f t="shared" si="12">AVERAGE(E293:E492)</x:f>
        <x:v>186.7569500000001</x:v>
      </x:c>
      <x:c r="H492" s="37" t="n">
        <x:f t="shared" si="13">IFERROR(E492/G492-1,"")</x:f>
        <x:v>-0.11858701911762892</x:v>
      </x:c>
      <x:c r="I492" s="38" t="b">
        <x:f t="shared" si="14">E492&lt;G492</x:f>
        <x:v>1</x:v>
      </x:c>
    </x:row>
    <x:row r="493">
      <x:c r="A493" s="31">
        <x:v>37683</x:v>
      </x:c>
      <x:c r="B493" s="32">
        <x:v>165.58</x:v>
      </x:c>
      <x:c r="C493" s="32">
        <x:v>165.58</x:v>
      </x:c>
      <x:c r="D493" s="32">
        <x:v>165.58</x:v>
      </x:c>
      <x:c r="E493" s="32">
        <x:v>165.58</x:v>
      </x:c>
      <x:c r="F493" s="33">
        <x:v>70900</x:v>
      </x:c>
      <x:c r="G493" s="32" t="n">
        <x:f t="shared" si="12">AVERAGE(E294:E493)</x:f>
        <x:v>186.53675000000013</x:v>
      </x:c>
      <x:c r="H493" s="37" t="n">
        <x:f t="shared" si="13">IFERROR(E493/G493-1,"")</x:f>
        <x:v>-0.11234649472557068</x:v>
      </x:c>
      <x:c r="I493" s="38" t="b">
        <x:f t="shared" si="14">E493&lt;G493</x:f>
        <x:v>1</x:v>
      </x:c>
    </x:row>
    <x:row r="494">
      <x:c r="A494" s="31">
        <x:v>37684</x:v>
      </x:c>
      <x:c r="B494" s="32">
        <x:v>164.91</x:v>
      </x:c>
      <x:c r="C494" s="32">
        <x:v>164.91</x:v>
      </x:c>
      <x:c r="D494" s="32">
        <x:v>164.91</x:v>
      </x:c>
      <x:c r="E494" s="32">
        <x:v>164.91</x:v>
      </x:c>
      <x:c r="F494" s="33">
        <x:v>66800</x:v>
      </x:c>
      <x:c r="G494" s="32" t="n">
        <x:f t="shared" si="12">AVERAGE(E295:E494)</x:f>
        <x:v>186.31190000000012</x:v>
      </x:c>
      <x:c r="H494" s="37" t="n">
        <x:f t="shared" si="13">IFERROR(E494/G494-1,"")</x:f>
        <x:v>-0.11487135282287453</x:v>
      </x:c>
      <x:c r="I494" s="38" t="b">
        <x:f t="shared" si="14">E494&lt;G494</x:f>
        <x:v>1</x:v>
      </x:c>
    </x:row>
    <x:row r="495">
      <x:c r="A495" s="31">
        <x:v>37685</x:v>
      </x:c>
      <x:c r="B495" s="32">
        <x:v>164.34</x:v>
      </x:c>
      <x:c r="C495" s="32">
        <x:v>164.34</x:v>
      </x:c>
      <x:c r="D495" s="32">
        <x:v>164.34</x:v>
      </x:c>
      <x:c r="E495" s="32">
        <x:v>164.34</x:v>
      </x:c>
      <x:c r="F495" s="33">
        <x:v>90300</x:v>
      </x:c>
      <x:c r="G495" s="32" t="n">
        <x:f t="shared" si="12">AVERAGE(E296:E495)</x:f>
        <x:v>186.0845000000001</x:v>
      </x:c>
      <x:c r="H495" s="37" t="n">
        <x:f t="shared" si="13">IFERROR(E495/G495-1,"")</x:f>
        <x:v>-0.11685282761326221</x:v>
      </x:c>
      <x:c r="I495" s="38" t="b">
        <x:f t="shared" si="14">E495&lt;G495</x:f>
        <x:v>1</x:v>
      </x:c>
    </x:row>
    <x:row r="496">
      <x:c r="A496" s="31">
        <x:v>37686</x:v>
      </x:c>
      <x:c r="B496" s="32">
        <x:v>164.28</x:v>
      </x:c>
      <x:c r="C496" s="32">
        <x:v>164.28</x:v>
      </x:c>
      <x:c r="D496" s="32">
        <x:v>164.28</x:v>
      </x:c>
      <x:c r="E496" s="32">
        <x:v>164.28</x:v>
      </x:c>
      <x:c r="F496" s="33">
        <x:v>67800</x:v>
      </x:c>
      <x:c r="G496" s="32" t="n">
        <x:f t="shared" si="12">AVERAGE(E297:E496)</x:f>
        <x:v>185.86050000000012</x:v>
      </x:c>
      <x:c r="H496" s="37" t="n">
        <x:f t="shared" si="13">IFERROR(E496/G496-1,"")</x:f>
        <x:v>-0.11611127700614221</x:v>
      </x:c>
      <x:c r="I496" s="38" t="b">
        <x:f t="shared" si="14">E496&lt;G496</x:f>
        <x:v>1</x:v>
      </x:c>
    </x:row>
    <x:row r="497">
      <x:c r="A497" s="31">
        <x:v>37687</x:v>
      </x:c>
      <x:c r="B497" s="32">
        <x:v>164.02</x:v>
      </x:c>
      <x:c r="C497" s="32">
        <x:v>164.02</x:v>
      </x:c>
      <x:c r="D497" s="32">
        <x:v>164.02</x:v>
      </x:c>
      <x:c r="E497" s="32">
        <x:v>164.02</x:v>
      </x:c>
      <x:c r="F497" s="33">
        <x:v>60000</x:v>
      </x:c>
      <x:c r="G497" s="32" t="n">
        <x:f t="shared" si="12">AVERAGE(E298:E497)</x:f>
        <x:v>185.6316500000001</x:v>
      </x:c>
      <x:c r="H497" s="37" t="n">
        <x:f t="shared" si="13">IFERROR(E497/G497-1,"")</x:f>
        <x:v>-0.1164222264899335</x:v>
      </x:c>
      <x:c r="I497" s="38" t="b">
        <x:f t="shared" si="14">E497&lt;G497</x:f>
        <x:v>1</x:v>
      </x:c>
    </x:row>
    <x:row r="498">
      <x:c r="A498" s="31">
        <x:v>37690</x:v>
      </x:c>
      <x:c r="B498" s="32">
        <x:v>163.57</x:v>
      </x:c>
      <x:c r="C498" s="32">
        <x:v>163.57</x:v>
      </x:c>
      <x:c r="D498" s="32">
        <x:v>163.57</x:v>
      </x:c>
      <x:c r="E498" s="32">
        <x:v>163.57</x:v>
      </x:c>
      <x:c r="F498" s="33">
        <x:v>71200</x:v>
      </x:c>
      <x:c r="G498" s="32" t="n">
        <x:f t="shared" si="12">AVERAGE(E299:E498)</x:f>
        <x:v>185.40880000000004</x:v>
      </x:c>
      <x:c r="H498" s="37" t="n">
        <x:f t="shared" si="13">IFERROR(E498/G498-1,"")</x:f>
        <x:v>-0.11778728949219264</x:v>
      </x:c>
      <x:c r="I498" s="38" t="b">
        <x:f t="shared" si="14">E498&lt;G498</x:f>
        <x:v>1</x:v>
      </x:c>
    </x:row>
    <x:row r="499">
      <x:c r="A499" s="31">
        <x:v>37691</x:v>
      </x:c>
      <x:c r="B499" s="32">
        <x:v>162.86000000000001</x:v>
      </x:c>
      <x:c r="C499" s="32">
        <x:v>162.86000000000001</x:v>
      </x:c>
      <x:c r="D499" s="32">
        <x:v>162.86000000000001</x:v>
      </x:c>
      <x:c r="E499" s="32">
        <x:v>162.86000000000001</x:v>
      </x:c>
      <x:c r="F499" s="33">
        <x:v>62200</x:v>
      </x:c>
      <x:c r="G499" s="32" t="n">
        <x:f t="shared" si="12">AVERAGE(E300:E499)</x:f>
        <x:v>185.17845000000008</x:v>
      </x:c>
      <x:c r="H499" s="37" t="n">
        <x:f t="shared" si="13">IFERROR(E499/G499-1,"")</x:f>
        <x:v>-0.12052401345836983</x:v>
      </x:c>
      <x:c r="I499" s="38" t="b">
        <x:f t="shared" si="14">E499&lt;G499</x:f>
        <x:v>1</x:v>
      </x:c>
    </x:row>
    <x:row r="500">
      <x:c r="A500" s="31">
        <x:v>37692</x:v>
      </x:c>
      <x:c r="B500" s="32">
        <x:v>162.11000000000001</x:v>
      </x:c>
      <x:c r="C500" s="32">
        <x:v>162.11000000000001</x:v>
      </x:c>
      <x:c r="D500" s="32">
        <x:v>162.11000000000001</x:v>
      </x:c>
      <x:c r="E500" s="32">
        <x:v>162.11000000000001</x:v>
      </x:c>
      <x:c r="F500" s="33">
        <x:v>83700</x:v>
      </x:c>
      <x:c r="G500" s="32" t="n">
        <x:f t="shared" si="12">AVERAGE(E301:E500)</x:f>
        <x:v>184.94070000000008</x:v>
      </x:c>
      <x:c r="H500" s="37" t="n">
        <x:f t="shared" si="13">IFERROR(E500/G500-1,"")</x:f>
        <x:v>-0.12344875952129553</x:v>
      </x:c>
      <x:c r="I500" s="38" t="b">
        <x:f t="shared" si="14">E500&lt;G500</x:f>
        <x:v>1</x:v>
      </x:c>
    </x:row>
    <x:row r="501">
      <x:c r="A501" s="31">
        <x:v>37693</x:v>
      </x:c>
      <x:c r="B501" s="32">
        <x:v>161.63</x:v>
      </x:c>
      <x:c r="C501" s="32">
        <x:v>161.63</x:v>
      </x:c>
      <x:c r="D501" s="32">
        <x:v>161.63</x:v>
      </x:c>
      <x:c r="E501" s="32">
        <x:v>161.63</x:v>
      </x:c>
      <x:c r="F501" s="33">
        <x:v>91300</x:v>
      </x:c>
      <x:c r="G501" s="32" t="n">
        <x:f t="shared" si="12">AVERAGE(E302:E501)</x:f>
        <x:v>184.70420000000004</x:v>
      </x:c>
      <x:c r="H501" s="37" t="n">
        <x:f t="shared" si="13">IFERROR(E501/G501-1,"")</x:f>
        <x:v>-0.12492515059213616</x:v>
      </x:c>
      <x:c r="I501" s="38" t="b">
        <x:f t="shared" si="14">E501&lt;G501</x:f>
        <x:v>1</x:v>
      </x:c>
    </x:row>
    <x:row r="502">
      <x:c r="A502" s="31">
        <x:v>37694</x:v>
      </x:c>
      <x:c r="B502" s="32">
        <x:v>161.30000000000001</x:v>
      </x:c>
      <x:c r="C502" s="32">
        <x:v>161.30000000000001</x:v>
      </x:c>
      <x:c r="D502" s="32">
        <x:v>161.30000000000001</x:v>
      </x:c>
      <x:c r="E502" s="32">
        <x:v>161.30000000000001</x:v>
      </x:c>
      <x:c r="F502" s="33">
        <x:v>65000</x:v>
      </x:c>
      <x:c r="G502" s="32" t="n">
        <x:f t="shared" si="12">AVERAGE(E303:E502)</x:f>
        <x:v>184.47050000000007</x:v>
      </x:c>
      <x:c r="H502" s="37" t="n">
        <x:f t="shared" si="13">IFERROR(E502/G502-1,"")</x:f>
        <x:v>-0.12560544910974958</x:v>
      </x:c>
      <x:c r="I502" s="38" t="b">
        <x:f t="shared" si="14">E502&lt;G502</x:f>
        <x:v>1</x:v>
      </x:c>
    </x:row>
    <x:row r="503">
      <x:c r="A503" s="31">
        <x:v>37697</x:v>
      </x:c>
      <x:c r="B503" s="32">
        <x:v>160.69999999999999</x:v>
      </x:c>
      <x:c r="C503" s="32">
        <x:v>160.69999999999999</x:v>
      </x:c>
      <x:c r="D503" s="32">
        <x:v>160.69999999999999</x:v>
      </x:c>
      <x:c r="E503" s="32">
        <x:v>160.69999999999999</x:v>
      </x:c>
      <x:c r="F503" s="33">
        <x:v>87000</x:v>
      </x:c>
      <x:c r="G503" s="32" t="n">
        <x:f t="shared" si="12">AVERAGE(E304:E503)</x:f>
        <x:v>184.24250000000004</x:v>
      </x:c>
      <x:c r="H503" s="37" t="n">
        <x:f t="shared" si="13">IFERROR(E503/G503-1,"")</x:f>
        <x:v>-0.12777996390626511</x:v>
      </x:c>
      <x:c r="I503" s="38" t="b">
        <x:f t="shared" si="14">E503&lt;G503</x:f>
        <x:v>1</x:v>
      </x:c>
    </x:row>
    <x:row r="504">
      <x:c r="A504" s="31">
        <x:v>37698</x:v>
      </x:c>
      <x:c r="B504" s="32">
        <x:v>157.83000000000001</x:v>
      </x:c>
      <x:c r="C504" s="32">
        <x:v>157.83000000000001</x:v>
      </x:c>
      <x:c r="D504" s="32">
        <x:v>157.83000000000001</x:v>
      </x:c>
      <x:c r="E504" s="32">
        <x:v>157.83000000000001</x:v>
      </x:c>
      <x:c r="F504" s="33">
        <x:v>71200</x:v>
      </x:c>
      <x:c r="G504" s="32" t="n">
        <x:f t="shared" si="12">AVERAGE(E305:E504)</x:f>
        <x:v>184.00655000000003</x:v>
      </x:c>
      <x:c r="H504" s="37" t="n">
        <x:f t="shared" si="13">IFERROR(E504/G504-1,"")</x:f>
        <x:v>-0.142258794591823</x:v>
      </x:c>
      <x:c r="I504" s="38" t="b">
        <x:f t="shared" si="14">E504&lt;G504</x:f>
        <x:v>1</x:v>
      </x:c>
    </x:row>
    <x:row r="505">
      <x:c r="A505" s="31">
        <x:v>37699</x:v>
      </x:c>
      <x:c r="B505" s="32">
        <x:v>157.94999999999999</x:v>
      </x:c>
      <x:c r="C505" s="32">
        <x:v>157.94999999999999</x:v>
      </x:c>
      <x:c r="D505" s="32">
        <x:v>157.94999999999999</x:v>
      </x:c>
      <x:c r="E505" s="32">
        <x:v>157.94999999999999</x:v>
      </x:c>
      <x:c r="F505" s="33">
        <x:v>79900</x:v>
      </x:c>
      <x:c r="G505" s="32" t="n">
        <x:f t="shared" si="12">AVERAGE(E306:E505)</x:f>
        <x:v>183.77805</x:v>
      </x:c>
      <x:c r="H505" s="37" t="n">
        <x:f t="shared" si="13">IFERROR(E505/G505-1,"")</x:f>
        <x:v>-0.140539362562613</x:v>
      </x:c>
      <x:c r="I505" s="38" t="b">
        <x:f t="shared" si="14">E505&lt;G505</x:f>
        <x:v>1</x:v>
      </x:c>
    </x:row>
    <x:row r="506">
      <x:c r="A506" s="31">
        <x:v>37700</x:v>
      </x:c>
      <x:c r="B506" s="32">
        <x:v>156.13999999999999</x:v>
      </x:c>
      <x:c r="C506" s="32">
        <x:v>156.13999999999999</x:v>
      </x:c>
      <x:c r="D506" s="32">
        <x:v>156.13999999999999</x:v>
      </x:c>
      <x:c r="E506" s="32">
        <x:v>156.13999999999999</x:v>
      </x:c>
      <x:c r="F506" s="33">
        <x:v>92400</x:v>
      </x:c>
      <x:c r="G506" s="32" t="n">
        <x:f t="shared" si="12">AVERAGE(E307:E506)</x:f>
        <x:v>183.53990000000002</x:v>
      </x:c>
      <x:c r="H506" s="37" t="n">
        <x:f t="shared" si="13">IFERROR(E506/G506-1,"")</x:f>
        <x:v>-0.14928579562264133</x:v>
      </x:c>
      <x:c r="I506" s="38" t="b">
        <x:f t="shared" si="14">E506&lt;G506</x:f>
        <x:v>1</x:v>
      </x:c>
    </x:row>
    <x:row r="507">
      <x:c r="A507" s="31">
        <x:v>37701</x:v>
      </x:c>
      <x:c r="B507" s="32">
        <x:v>155.24</x:v>
      </x:c>
      <x:c r="C507" s="32">
        <x:v>155.24</x:v>
      </x:c>
      <x:c r="D507" s="32">
        <x:v>155.24</x:v>
      </x:c>
      <x:c r="E507" s="32">
        <x:v>155.24</x:v>
      </x:c>
      <x:c r="F507" s="33">
        <x:v>156000</x:v>
      </x:c>
      <x:c r="G507" s="32" t="n">
        <x:f t="shared" si="12">AVERAGE(E308:E507)</x:f>
        <x:v>183.2805</x:v>
      </x:c>
      <x:c r="H507" s="37" t="n">
        <x:f t="shared" si="13">IFERROR(E507/G507-1,"")</x:f>
        <x:v>-0.1529922714091242</x:v>
      </x:c>
      <x:c r="I507" s="38" t="b">
        <x:f t="shared" si="14">E507&lt;G507</x:f>
        <x:v>1</x:v>
      </x:c>
    </x:row>
    <x:row r="508">
      <x:c r="A508" s="31">
        <x:v>37704</x:v>
      </x:c>
      <x:c r="B508" s="32">
        <x:v>153.94</x:v>
      </x:c>
      <x:c r="C508" s="32">
        <x:v>153.94</x:v>
      </x:c>
      <x:c r="D508" s="32">
        <x:v>153.94</x:v>
      </x:c>
      <x:c r="E508" s="32">
        <x:v>153.94</x:v>
      </x:c>
      <x:c r="F508" s="33">
        <x:v>100200</x:v>
      </x:c>
      <x:c r="G508" s="32" t="n">
        <x:f t="shared" si="12">AVERAGE(E309:E508)</x:f>
        <x:v>183.01115</x:v>
      </x:c>
      <x:c r="H508" s="37" t="n">
        <x:f t="shared" si="13">IFERROR(E508/G508-1,"")</x:f>
        <x:v>-0.1588490646608144</x:v>
      </x:c>
      <x:c r="I508" s="38" t="b">
        <x:f t="shared" si="14">E508&lt;G508</x:f>
        <x:v>1</x:v>
      </x:c>
    </x:row>
    <x:row r="509">
      <x:c r="A509" s="31">
        <x:v>37705</x:v>
      </x:c>
      <x:c r="B509" s="32">
        <x:v>153.07</x:v>
      </x:c>
      <x:c r="C509" s="32">
        <x:v>153.07</x:v>
      </x:c>
      <x:c r="D509" s="32">
        <x:v>153.07</x:v>
      </x:c>
      <x:c r="E509" s="32">
        <x:v>153.07</x:v>
      </x:c>
      <x:c r="F509" s="33">
        <x:v>93200</x:v>
      </x:c>
      <x:c r="G509" s="32" t="n">
        <x:f t="shared" si="12">AVERAGE(E310:E509)</x:f>
        <x:v>182.74809999999997</x:v>
      </x:c>
      <x:c r="H509" s="37" t="n">
        <x:f t="shared" si="13">IFERROR(E509/G509-1,"")</x:f>
        <x:v>-0.1623989524378091</x:v>
      </x:c>
      <x:c r="I509" s="38" t="b">
        <x:f t="shared" si="14">E509&lt;G509</x:f>
        <x:v>1</x:v>
      </x:c>
    </x:row>
    <x:row r="510">
      <x:c r="A510" s="31">
        <x:v>37706</x:v>
      </x:c>
      <x:c r="B510" s="32">
        <x:v>152.36000000000001</x:v>
      </x:c>
      <x:c r="C510" s="32">
        <x:v>152.36000000000001</x:v>
      </x:c>
      <x:c r="D510" s="32">
        <x:v>152.36000000000001</x:v>
      </x:c>
      <x:c r="E510" s="32">
        <x:v>152.36000000000001</x:v>
      </x:c>
      <x:c r="F510" s="33">
        <x:v>105900</x:v>
      </x:c>
      <x:c r="G510" s="32" t="n">
        <x:f t="shared" si="12">AVERAGE(E311:E510)</x:f>
        <x:v>182.4825</x:v>
      </x:c>
      <x:c r="H510" s="37" t="n">
        <x:f t="shared" si="13">IFERROR(E510/G510-1,"")</x:f>
        <x:v>-0.16507062321044474</x:v>
      </x:c>
      <x:c r="I510" s="38" t="b">
        <x:f t="shared" si="14">E510&lt;G510</x:f>
        <x:v>1</x:v>
      </x:c>
    </x:row>
    <x:row r="511">
      <x:c r="A511" s="31">
        <x:v>37707</x:v>
      </x:c>
      <x:c r="B511" s="32">
        <x:v>151.96</x:v>
      </x:c>
      <x:c r="C511" s="32">
        <x:v>151.96</x:v>
      </x:c>
      <x:c r="D511" s="32">
        <x:v>151.96</x:v>
      </x:c>
      <x:c r="E511" s="32">
        <x:v>151.96</x:v>
      </x:c>
      <x:c r="F511" s="33">
        <x:v>92700</x:v>
      </x:c>
      <x:c r="G511" s="32" t="n">
        <x:f t="shared" si="12">AVERAGE(E312:E511)</x:f>
        <x:v>182.21694999999997</x:v>
      </x:c>
      <x:c r="H511" s="37" t="n">
        <x:f t="shared" si="13">IFERROR(E511/G511-1,"")</x:f>
        <x:v>-0.16604904208966276</x:v>
      </x:c>
      <x:c r="I511" s="38" t="b">
        <x:f t="shared" si="14">E511&lt;G511</x:f>
        <x:v>1</x:v>
      </x:c>
    </x:row>
    <x:row r="512">
      <x:c r="A512" s="31">
        <x:v>37708</x:v>
      </x:c>
      <x:c r="B512" s="32">
        <x:v>150.53</x:v>
      </x:c>
      <x:c r="C512" s="32">
        <x:v>150.53</x:v>
      </x:c>
      <x:c r="D512" s="32">
        <x:v>150.53</x:v>
      </x:c>
      <x:c r="E512" s="32">
        <x:v>150.53</x:v>
      </x:c>
      <x:c r="F512" s="33">
        <x:v>107100</x:v>
      </x:c>
      <x:c r="G512" s="32" t="n">
        <x:f t="shared" si="12">AVERAGE(E313:E512)</x:f>
        <x:v>181.95429999999996</x:v>
      </x:c>
      <x:c r="H512" s="37" t="n">
        <x:f t="shared" si="13">IFERROR(E512/G512-1,"")</x:f>
        <x:v>-0.17270435488471536</x:v>
      </x:c>
      <x:c r="I512" s="38" t="b">
        <x:f t="shared" si="14">E512&lt;G512</x:f>
        <x:v>1</x:v>
      </x:c>
    </x:row>
    <x:row r="513">
      <x:c r="A513" s="31">
        <x:v>37711</x:v>
      </x:c>
      <x:c r="B513" s="32">
        <x:v>145.41</x:v>
      </x:c>
      <x:c r="C513" s="32">
        <x:v>145.41</x:v>
      </x:c>
      <x:c r="D513" s="32">
        <x:v>145.41</x:v>
      </x:c>
      <x:c r="E513" s="32">
        <x:v>145.41</x:v>
      </x:c>
      <x:c r="F513" s="33">
        <x:v>89400</x:v>
      </x:c>
      <x:c r="G513" s="32" t="n">
        <x:f t="shared" si="12">AVERAGE(E314:E513)</x:f>
        <x:v>181.65694999999997</x:v>
      </x:c>
      <x:c r="H513" s="37" t="n">
        <x:f t="shared" si="13">IFERROR(E513/G513-1,"")</x:f>
        <x:v>-0.19953516779842428</x:v>
      </x:c>
      <x:c r="I513" s="38" t="b">
        <x:f t="shared" si="14">E513&lt;G513</x:f>
        <x:v>1</x:v>
      </x:c>
    </x:row>
    <x:row r="514">
      <x:c r="A514" s="31">
        <x:v>37712</x:v>
      </x:c>
      <x:c r="B514" s="32">
        <x:v>139.63999999999999</x:v>
      </x:c>
      <x:c r="C514" s="32">
        <x:v>139.63999999999999</x:v>
      </x:c>
      <x:c r="D514" s="32">
        <x:v>139.63999999999999</x:v>
      </x:c>
      <x:c r="E514" s="32">
        <x:v>139.63999999999999</x:v>
      </x:c>
      <x:c r="F514" s="33">
        <x:v>160500</x:v>
      </x:c>
      <x:c r="G514" s="32" t="n">
        <x:f t="shared" si="12">AVERAGE(E315:E514)</x:f>
        <x:v>181.33749999999998</x:v>
      </x:c>
      <x:c r="H514" s="37" t="n">
        <x:f t="shared" si="13">IFERROR(E514/G514-1,"")</x:f>
        <x:v>-0.22994416488591707</x:v>
      </x:c>
      <x:c r="I514" s="38" t="b">
        <x:f t="shared" si="14">E514&lt;G514</x:f>
        <x:v>1</x:v>
      </x:c>
    </x:row>
    <x:row r="515">
      <x:c r="A515" s="31">
        <x:v>37713</x:v>
      </x:c>
      <x:c r="B515" s="32">
        <x:v>144.93</x:v>
      </x:c>
      <x:c r="C515" s="32">
        <x:v>144.93</x:v>
      </x:c>
      <x:c r="D515" s="32">
        <x:v>144.93</x:v>
      </x:c>
      <x:c r="E515" s="32">
        <x:v>144.93</x:v>
      </x:c>
      <x:c r="F515" s="33">
        <x:v>242900</x:v>
      </x:c>
      <x:c r="G515" s="32" t="n">
        <x:f t="shared" si="12">AVERAGE(E316:E515)</x:f>
        <x:v>181.04319999999996</x:v>
      </x:c>
      <x:c r="H515" s="37" t="n">
        <x:f t="shared" si="13">IFERROR(E515/G515-1,"")</x:f>
        <x:v>-0.19947283300339347</x:v>
      </x:c>
      <x:c r="I515" s="38" t="b">
        <x:f t="shared" si="14">E515&lt;G515</x:f>
        <x:v>1</x:v>
      </x:c>
    </x:row>
    <x:row r="516">
      <x:c r="A516" s="31">
        <x:v>37747</x:v>
      </x:c>
      <x:c r="B516" s="32">
        <x:v>153.29</x:v>
      </x:c>
      <x:c r="C516" s="32">
        <x:v>153.29</x:v>
      </x:c>
      <x:c r="D516" s="32">
        <x:v>153.29</x:v>
      </x:c>
      <x:c r="E516" s="32">
        <x:v>153.29</x:v>
      </x:c>
      <x:c r="F516" s="33">
        <x:v>75000</x:v>
      </x:c>
      <x:c r="G516" s="32" t="n">
        <x:f t="shared" si="12">AVERAGE(E317:E516)</x:f>
        <x:v>180.79789999999997</x:v>
      </x:c>
      <x:c r="H516" s="37" t="n">
        <x:f t="shared" si="13">IFERROR(E516/G516-1,"")</x:f>
        <x:v>-0.15214723179859935</x:v>
      </x:c>
      <x:c r="I516" s="38" t="b">
        <x:f t="shared" si="14">E516&lt;G516</x:f>
        <x:v>1</x:v>
      </x:c>
    </x:row>
    <x:row r="517">
      <x:c r="A517" s="31">
        <x:v>37748</x:v>
      </x:c>
      <x:c r="B517" s="32">
        <x:v>154.82</x:v>
      </x:c>
      <x:c r="C517" s="32">
        <x:v>154.82</x:v>
      </x:c>
      <x:c r="D517" s="32">
        <x:v>154.82</x:v>
      </x:c>
      <x:c r="E517" s="32">
        <x:v>154.82</x:v>
      </x:c>
      <x:c r="F517" s="33">
        <x:v>151900</x:v>
      </x:c>
      <x:c r="G517" s="32" t="n">
        <x:f t="shared" si="12">AVERAGE(E318:E517)</x:f>
        <x:v>180.56824999999998</x:v>
      </x:c>
      <x:c r="H517" s="37" t="n">
        <x:f t="shared" si="13">IFERROR(E517/G517-1,"")</x:f>
        <x:v>-0.142595666735431</x:v>
      </x:c>
      <x:c r="I517" s="38" t="b">
        <x:f t="shared" si="14">E517&lt;G517</x:f>
        <x:v>1</x:v>
      </x:c>
    </x:row>
    <x:row r="518">
      <x:c r="A518" s="31">
        <x:v>37749</x:v>
      </x:c>
      <x:c r="B518" s="32">
        <x:v>155.91999999999999</x:v>
      </x:c>
      <x:c r="C518" s="32">
        <x:v>155.91999999999999</x:v>
      </x:c>
      <x:c r="D518" s="32">
        <x:v>155.91999999999999</x:v>
      </x:c>
      <x:c r="E518" s="32">
        <x:v>155.91999999999999</x:v>
      </x:c>
      <x:c r="F518" s="33">
        <x:v>139300</x:v>
      </x:c>
      <x:c r="G518" s="32" t="n">
        <x:f t="shared" si="12">AVERAGE(E319:E518)</x:f>
        <x:v>180.35899999999995</x:v>
      </x:c>
      <x:c r="H518" s="37" t="n">
        <x:f t="shared" si="13">IFERROR(E518/G518-1,"")</x:f>
        <x:v>-0.13550197106881257</x:v>
      </x:c>
      <x:c r="I518" s="38" t="b">
        <x:f t="shared" si="14">E518&lt;G518</x:f>
        <x:v>1</x:v>
      </x:c>
    </x:row>
    <x:row r="519">
      <x:c r="A519" s="31">
        <x:v>37750</x:v>
      </x:c>
      <x:c r="B519" s="32">
        <x:v>156.57</x:v>
      </x:c>
      <x:c r="C519" s="32">
        <x:v>156.57</x:v>
      </x:c>
      <x:c r="D519" s="32">
        <x:v>156.57</x:v>
      </x:c>
      <x:c r="E519" s="32">
        <x:v>156.57</x:v>
      </x:c>
      <x:c r="F519" s="33">
        <x:v>105300</x:v>
      </x:c>
      <x:c r="G519" s="32" t="n">
        <x:f t="shared" si="12">AVERAGE(E320:E519)</x:f>
        <x:v>180.16389999999996</x:v>
      </x:c>
      <x:c r="H519" s="37" t="n">
        <x:f t="shared" si="13">IFERROR(E519/G519-1,"")</x:f>
        <x:v>-0.1309579777080756</x:v>
      </x:c>
      <x:c r="I519" s="38" t="b">
        <x:f t="shared" si="14">E519&lt;G519</x:f>
        <x:v>1</x:v>
      </x:c>
    </x:row>
    <x:row r="520">
      <x:c r="A520" s="31">
        <x:v>37753</x:v>
      </x:c>
      <x:c r="B520" s="32">
        <x:v>157.88999999999999</x:v>
      </x:c>
      <x:c r="C520" s="32">
        <x:v>157.88999999999999</x:v>
      </x:c>
      <x:c r="D520" s="32">
        <x:v>157.88999999999999</x:v>
      </x:c>
      <x:c r="E520" s="32">
        <x:v>157.88999999999999</x:v>
      </x:c>
      <x:c r="F520" s="33">
        <x:v>145200</x:v>
      </x:c>
      <x:c r="G520" s="32" t="n">
        <x:f t="shared" si="12">AVERAGE(E321:E520)</x:f>
        <x:v>179.99269999999993</x:v>
      </x:c>
      <x:c r="H520" s="37" t="n">
        <x:f t="shared" si="13">IFERROR(E520/G520-1,"")</x:f>
        <x:v>-0.12279775790907044</x:v>
      </x:c>
      <x:c r="I520" s="38" t="b">
        <x:f t="shared" si="14">E520&lt;G520</x:f>
        <x:v>1</x:v>
      </x:c>
    </x:row>
    <x:row r="521">
      <x:c r="A521" s="31">
        <x:v>37754</x:v>
      </x:c>
      <x:c r="B521" s="32">
        <x:v>158.54</x:v>
      </x:c>
      <x:c r="C521" s="32">
        <x:v>158.54</x:v>
      </x:c>
      <x:c r="D521" s="32">
        <x:v>158.54</x:v>
      </x:c>
      <x:c r="E521" s="32">
        <x:v>158.54</x:v>
      </x:c>
      <x:c r="F521" s="33">
        <x:v>146600</x:v>
      </x:c>
      <x:c r="G521" s="32" t="n">
        <x:f t="shared" si="12">AVERAGE(E322:E521)</x:f>
        <x:v>179.81879999999998</x:v>
      </x:c>
      <x:c r="H521" s="37" t="n">
        <x:f t="shared" si="13">IFERROR(E521/G521-1,"")</x:f>
        <x:v>-0.11833467913254891</x:v>
      </x:c>
      <x:c r="I521" s="38" t="b">
        <x:f t="shared" si="14">E521&lt;G521</x:f>
        <x:v>1</x:v>
      </x:c>
    </x:row>
    <x:row r="522">
      <x:c r="A522" s="31">
        <x:v>37755</x:v>
      </x:c>
      <x:c r="B522" s="32">
        <x:v>157.4</x:v>
      </x:c>
      <x:c r="C522" s="32">
        <x:v>157.4</x:v>
      </x:c>
      <x:c r="D522" s="32">
        <x:v>157.4</x:v>
      </x:c>
      <x:c r="E522" s="32">
        <x:v>157.4</x:v>
      </x:c>
      <x:c r="F522" s="33">
        <x:v>160600</x:v>
      </x:c>
      <x:c r="G522" s="32" t="n">
        <x:f t="shared" si="12">AVERAGE(E323:E522)</x:f>
        <x:v>179.62134999999998</x:v>
      </x:c>
      <x:c r="H522" s="37" t="n">
        <x:f t="shared" si="13">IFERROR(E522/G522-1,"")</x:f>
        <x:v>-0.1237121867751243</x:v>
      </x:c>
      <x:c r="I522" s="38" t="b">
        <x:f t="shared" si="14">E522&lt;G522</x:f>
        <x:v>1</x:v>
      </x:c>
    </x:row>
    <x:row r="523">
      <x:c r="A523" s="31">
        <x:v>37756</x:v>
      </x:c>
      <x:c r="B523" s="32">
        <x:v>155.66999999999999</x:v>
      </x:c>
      <x:c r="C523" s="32">
        <x:v>155.66999999999999</x:v>
      </x:c>
      <x:c r="D523" s="32">
        <x:v>155.66999999999999</x:v>
      </x:c>
      <x:c r="E523" s="32">
        <x:v>155.66999999999999</x:v>
      </x:c>
      <x:c r="F523" s="33">
        <x:v>147000</x:v>
      </x:c>
      <x:c r="G523" s="32" t="n">
        <x:f t="shared" si="12">AVERAGE(E324:E523)</x:f>
        <x:v>179.39719999999997</x:v>
      </x:c>
      <x:c r="H523" s="37" t="n">
        <x:f t="shared" si="13">IFERROR(E523/G523-1,"")</x:f>
        <x:v>-0.13226070418044422</x:v>
      </x:c>
      <x:c r="I523" s="38" t="b">
        <x:f t="shared" si="14">E523&lt;G523</x:f>
        <x:v>1</x:v>
      </x:c>
    </x:row>
    <x:row r="524">
      <x:c r="A524" s="31">
        <x:v>37757</x:v>
      </x:c>
      <x:c r="B524" s="32">
        <x:v>155.80000000000001</x:v>
      </x:c>
      <x:c r="C524" s="32">
        <x:v>155.80000000000001</x:v>
      </x:c>
      <x:c r="D524" s="32">
        <x:v>155.80000000000001</x:v>
      </x:c>
      <x:c r="E524" s="32">
        <x:v>155.80000000000001</x:v>
      </x:c>
      <x:c r="F524" s="33">
        <x:v>167800</x:v>
      </x:c>
      <x:c r="G524" s="32" t="n">
        <x:f t="shared" si="12">AVERAGE(E325:E524)</x:f>
        <x:v>179.16420000000002</x:v>
      </x:c>
      <x:c r="H524" s="37" t="n">
        <x:f t="shared" si="13">IFERROR(E524/G524-1,"")</x:f>
        <x:v>-0.1304066325750346</x:v>
      </x:c>
      <x:c r="I524" s="38" t="b">
        <x:f t="shared" si="14">E524&lt;G524</x:f>
        <x:v>1</x:v>
      </x:c>
    </x:row>
    <x:row r="525">
      <x:c r="A525" s="31">
        <x:v>37760</x:v>
      </x:c>
      <x:c r="B525" s="32">
        <x:v>154.18</x:v>
      </x:c>
      <x:c r="C525" s="32">
        <x:v>154.18</x:v>
      </x:c>
      <x:c r="D525" s="32">
        <x:v>154.18</x:v>
      </x:c>
      <x:c r="E525" s="32">
        <x:v>154.18</x:v>
      </x:c>
      <x:c r="F525" s="33">
        <x:v>99900</x:v>
      </x:c>
      <x:c r="G525" s="32" t="n">
        <x:f t="shared" ref="G525:G588" si="15">AVERAGE(E326:E525)</x:f>
        <x:v>178.93260000000006</x:v>
      </x:c>
      <x:c r="H525" s="37" t="n">
        <x:f t="shared" ref="H525:H588" si="16">IFERROR(E525/G525-1,"")</x:f>
        <x:v>-0.1383347696283408</x:v>
      </x:c>
      <x:c r="I525" s="38" t="b">
        <x:f t="shared" ref="I525:I588" si="17">E525&lt;G525</x:f>
        <x:v>1</x:v>
      </x:c>
    </x:row>
    <x:row r="526">
      <x:c r="A526" s="31">
        <x:v>37761</x:v>
      </x:c>
      <x:c r="B526" s="32">
        <x:v>153.9</x:v>
      </x:c>
      <x:c r="C526" s="32">
        <x:v>154.18</x:v>
      </x:c>
      <x:c r="D526" s="32">
        <x:v>153.9</x:v>
      </x:c>
      <x:c r="E526" s="32">
        <x:v>154.18</x:v>
      </x:c>
      <x:c r="F526" s="33">
        <x:v>101970</x:v>
      </x:c>
      <x:c r="G526" s="32" t="n">
        <x:f t="shared" si="15">AVERAGE(E327:E526)</x:f>
        <x:v>178.70545000000004</x:v>
      </x:c>
      <x:c r="H526" s="37" t="n">
        <x:f t="shared" si="16">IFERROR(E526/G526-1,"")</x:f>
        <x:v>-0.13723951899620312</x:v>
      </x:c>
      <x:c r="I526" s="38" t="b">
        <x:f t="shared" si="17">E526&lt;G526</x:f>
        <x:v>1</x:v>
      </x:c>
    </x:row>
    <x:row r="527">
      <x:c r="A527" s="31">
        <x:v>37762</x:v>
      </x:c>
      <x:c r="B527" s="32">
        <x:v>154.4</x:v>
      </x:c>
      <x:c r="C527" s="32">
        <x:v>154.4</x:v>
      </x:c>
      <x:c r="D527" s="32">
        <x:v>153.36000000000001</x:v>
      </x:c>
      <x:c r="E527" s="32">
        <x:v>153.36000000000001</x:v>
      </x:c>
      <x:c r="F527" s="33">
        <x:v>71280</x:v>
      </x:c>
      <x:c r="G527" s="32" t="n">
        <x:f t="shared" si="15">AVERAGE(E328:E527)</x:f>
        <x:v>178.46195000000003</x:v>
      </x:c>
      <x:c r="H527" s="37" t="n">
        <x:f t="shared" si="16">IFERROR(E527/G527-1,"")</x:f>
        <x:v>-0.14065715408802837</x:v>
      </x:c>
      <x:c r="I527" s="38" t="b">
        <x:f t="shared" si="17">E527&lt;G527</x:f>
        <x:v>1</x:v>
      </x:c>
    </x:row>
    <x:row r="528">
      <x:c r="A528" s="31">
        <x:v>37763</x:v>
      </x:c>
      <x:c r="B528" s="32">
        <x:v>152.91999999999999</x:v>
      </x:c>
      <x:c r="C528" s="32">
        <x:v>153.18</x:v>
      </x:c>
      <x:c r="D528" s="32">
        <x:v>152.91999999999999</x:v>
      </x:c>
      <x:c r="E528" s="32">
        <x:v>153.18</x:v>
      </x:c>
      <x:c r="F528" s="33">
        <x:v>108830</x:v>
      </x:c>
      <x:c r="G528" s="32" t="n">
        <x:f t="shared" si="15">AVERAGE(E329:E528)</x:f>
        <x:v>178.22655000000003</x:v>
      </x:c>
      <x:c r="H528" s="37" t="n">
        <x:f t="shared" si="16">IFERROR(E528/G528-1,"")</x:f>
        <x:v>-0.1405320924407728</x:v>
      </x:c>
      <x:c r="I528" s="38" t="b">
        <x:f t="shared" si="17">E528&lt;G528</x:f>
        <x:v>1</x:v>
      </x:c>
    </x:row>
    <x:row r="529">
      <x:c r="A529" s="31">
        <x:v>37764</x:v>
      </x:c>
      <x:c r="B529" s="32">
        <x:v>153.32</x:v>
      </x:c>
      <x:c r="C529" s="32">
        <x:v>153.32</x:v>
      </x:c>
      <x:c r="D529" s="32">
        <x:v>152.91999999999999</x:v>
      </x:c>
      <x:c r="E529" s="32">
        <x:v>152.91999999999999</x:v>
      </x:c>
      <x:c r="F529" s="33">
        <x:v>99700</x:v>
      </x:c>
      <x:c r="G529" s="32" t="n">
        <x:f t="shared" si="15">AVERAGE(E330:E529)</x:f>
        <x:v>177.99145000000004</x:v>
      </x:c>
      <x:c r="H529" s="37" t="n">
        <x:f t="shared" si="16">IFERROR(E529/G529-1,"")</x:f>
        <x:v>-0.14085760860985208</x:v>
      </x:c>
      <x:c r="I529" s="38" t="b">
        <x:f t="shared" si="17">E529&lt;G529</x:f>
        <x:v>1</x:v>
      </x:c>
    </x:row>
    <x:row r="530">
      <x:c r="A530" s="31">
        <x:v>37767</x:v>
      </x:c>
      <x:c r="B530" s="32">
        <x:v>153.33000000000001</x:v>
      </x:c>
      <x:c r="C530" s="32">
        <x:v>153.33000000000001</x:v>
      </x:c>
      <x:c r="D530" s="32">
        <x:v>152.78</x:v>
      </x:c>
      <x:c r="E530" s="32">
        <x:v>152.78</x:v>
      </x:c>
      <x:c r="F530" s="33">
        <x:v>131600</x:v>
      </x:c>
      <x:c r="G530" s="32" t="n">
        <x:f t="shared" si="15">AVERAGE(E331:E530)</x:f>
        <x:v>177.75730000000004</x:v>
      </x:c>
      <x:c r="H530" s="37" t="n">
        <x:f t="shared" si="16">IFERROR(E530/G530-1,"")</x:f>
        <x:v>-0.1405134978985394</x:v>
      </x:c>
      <x:c r="I530" s="38" t="b">
        <x:f t="shared" si="17">E530&lt;G530</x:f>
        <x:v>1</x:v>
      </x:c>
    </x:row>
    <x:row r="531">
      <x:c r="A531" s="31">
        <x:v>37768</x:v>
      </x:c>
      <x:c r="B531" s="32">
        <x:v>152.81</x:v>
      </x:c>
      <x:c r="C531" s="32">
        <x:v>152.81</x:v>
      </x:c>
      <x:c r="D531" s="32">
        <x:v>152.56</x:v>
      </x:c>
      <x:c r="E531" s="32">
        <x:v>152.56</x:v>
      </x:c>
      <x:c r="F531" s="33">
        <x:v>118570</x:v>
      </x:c>
      <x:c r="G531" s="32" t="n">
        <x:f t="shared" si="15">AVERAGE(E332:E531)</x:f>
        <x:v>177.5216</x:v>
      </x:c>
      <x:c r="H531" s="37" t="n">
        <x:f t="shared" si="16">IFERROR(E531/G531-1,"")</x:f>
        <x:v>-0.14061162134636007</x:v>
      </x:c>
      <x:c r="I531" s="38" t="b">
        <x:f t="shared" si="17">E531&lt;G531</x:f>
        <x:v>1</x:v>
      </x:c>
    </x:row>
    <x:row r="532">
      <x:c r="A532" s="31">
        <x:v>37769</x:v>
      </x:c>
      <x:c r="B532" s="32">
        <x:v>153.04</x:v>
      </x:c>
      <x:c r="C532" s="32">
        <x:v>153.04</x:v>
      </x:c>
      <x:c r="D532" s="32">
        <x:v>152.74</x:v>
      </x:c>
      <x:c r="E532" s="32">
        <x:v>152.74</x:v>
      </x:c>
      <x:c r="F532" s="33">
        <x:v>105010</x:v>
      </x:c>
      <x:c r="G532" s="32" t="n">
        <x:f t="shared" si="15">AVERAGE(E333:E532)</x:f>
        <x:v>177.28279999999998</x:v>
      </x:c>
      <x:c r="H532" s="37" t="n">
        <x:f t="shared" si="16">IFERROR(E532/G532-1,"")</x:f>
        <x:v>-0.1384386979447525</x:v>
      </x:c>
      <x:c r="I532" s="38" t="b">
        <x:f t="shared" si="17">E532&lt;G532</x:f>
        <x:v>1</x:v>
      </x:c>
    </x:row>
    <x:row r="533">
      <x:c r="A533" s="31">
        <x:v>37770</x:v>
      </x:c>
      <x:c r="B533" s="32">
        <x:v>152.74</x:v>
      </x:c>
      <x:c r="C533" s="32">
        <x:v>152.74</x:v>
      </x:c>
      <x:c r="D533" s="32">
        <x:v>152.32</x:v>
      </x:c>
      <x:c r="E533" s="32">
        <x:v>152.32</x:v>
      </x:c>
      <x:c r="F533" s="33">
        <x:v>106380</x:v>
      </x:c>
      <x:c r="G533" s="32" t="n">
        <x:f t="shared" si="15">AVERAGE(E334:E533)</x:f>
        <x:v>177.04344999999998</x:v>
      </x:c>
      <x:c r="H533" s="37" t="n">
        <x:f t="shared" si="16">IFERROR(E533/G533-1,"")</x:f>
        <x:v>-0.13964622808694693</x:v>
      </x:c>
      <x:c r="I533" s="38" t="b">
        <x:f t="shared" si="17">E533&lt;G533</x:f>
        <x:v>1</x:v>
      </x:c>
    </x:row>
    <x:row r="534">
      <x:c r="A534" s="31">
        <x:v>37771</x:v>
      </x:c>
      <x:c r="B534" s="32">
        <x:v>152.47999999999999</x:v>
      </x:c>
      <x:c r="C534" s="32">
        <x:v>152.47999999999999</x:v>
      </x:c>
      <x:c r="D534" s="32">
        <x:v>152.24</x:v>
      </x:c>
      <x:c r="E534" s="32">
        <x:v>152.24</x:v>
      </x:c>
      <x:c r="F534" s="33">
        <x:v>110860</x:v>
      </x:c>
      <x:c r="G534" s="32" t="n">
        <x:f t="shared" si="15">AVERAGE(E335:E534)</x:f>
        <x:v>176.80965</x:v>
      </x:c>
      <x:c r="H534" s="37" t="n">
        <x:f t="shared" si="16">IFERROR(E534/G534-1,"")</x:f>
        <x:v>-0.13896102390338982</x:v>
      </x:c>
      <x:c r="I534" s="38" t="b">
        <x:f t="shared" si="17">E534&lt;G534</x:f>
        <x:v>1</x:v>
      </x:c>
    </x:row>
    <x:row r="535">
      <x:c r="A535" s="31">
        <x:v>37774</x:v>
      </x:c>
      <x:c r="B535" s="32">
        <x:v>151.44999999999999</x:v>
      </x:c>
      <x:c r="C535" s="32">
        <x:v>151.66</x:v>
      </x:c>
      <x:c r="D535" s="32">
        <x:v>151.44999999999999</x:v>
      </x:c>
      <x:c r="E535" s="32">
        <x:v>151.66</x:v>
      </x:c>
      <x:c r="F535" s="33">
        <x:v>54700</x:v>
      </x:c>
      <x:c r="G535" s="32" t="n">
        <x:f t="shared" si="15">AVERAGE(E336:E535)</x:f>
        <x:v>176.5816</x:v>
      </x:c>
      <x:c r="H535" s="37" t="n">
        <x:f t="shared" si="16">IFERROR(E535/G535-1,"")</x:f>
        <x:v>-0.141133617545656</x:v>
      </x:c>
      <x:c r="I535" s="38" t="b">
        <x:f t="shared" si="17">E535&lt;G535</x:f>
        <x:v>1</x:v>
      </x:c>
    </x:row>
    <x:row r="536">
      <x:c r="A536" s="31">
        <x:v>37775</x:v>
      </x:c>
      <x:c r="B536" s="32">
        <x:v>151.69</x:v>
      </x:c>
      <x:c r="C536" s="32">
        <x:v>151.69</x:v>
      </x:c>
      <x:c r="D536" s="32">
        <x:v>151.6</x:v>
      </x:c>
      <x:c r="E536" s="32">
        <x:v>151.6</x:v>
      </x:c>
      <x:c r="F536" s="33">
        <x:v>91600</x:v>
      </x:c>
      <x:c r="G536" s="32" t="n">
        <x:f t="shared" si="15">AVERAGE(E337:E536)</x:f>
        <x:v>176.35334999999998</x:v>
      </x:c>
      <x:c r="H536" s="37" t="n">
        <x:f t="shared" si="16">IFERROR(E536/G536-1,"")</x:f>
        <x:v>-0.14036223298281536</x:v>
      </x:c>
      <x:c r="I536" s="38" t="b">
        <x:f t="shared" si="17">E536&lt;G536</x:f>
        <x:v>1</x:v>
      </x:c>
    </x:row>
    <x:row r="537">
      <x:c r="A537" s="31">
        <x:v>37776</x:v>
      </x:c>
      <x:c r="B537" s="32">
        <x:v>151.63</x:v>
      </x:c>
      <x:c r="C537" s="32">
        <x:v>151.63</x:v>
      </x:c>
      <x:c r="D537" s="32">
        <x:v>151.61000000000001</x:v>
      </x:c>
      <x:c r="E537" s="32">
        <x:v>151.61000000000001</x:v>
      </x:c>
      <x:c r="F537" s="33">
        <x:v>36640</x:v>
      </x:c>
      <x:c r="G537" s="32" t="n">
        <x:f t="shared" si="15">AVERAGE(E338:E537)</x:f>
        <x:v>176.12054999999998</x:v>
      </x:c>
      <x:c r="H537" s="37" t="n">
        <x:f t="shared" si="16">IFERROR(E537/G537-1,"")</x:f>
        <x:v>-0.13916916566522175</x:v>
      </x:c>
      <x:c r="I537" s="38" t="b">
        <x:f t="shared" si="17">E537&lt;G537</x:f>
        <x:v>1</x:v>
      </x:c>
    </x:row>
    <x:row r="538">
      <x:c r="A538" s="31">
        <x:v>37777</x:v>
      </x:c>
      <x:c r="B538" s="32">
        <x:v>150.79</x:v>
      </x:c>
      <x:c r="C538" s="32">
        <x:v>151.69</x:v>
      </x:c>
      <x:c r="D538" s="32">
        <x:v>150.79</x:v>
      </x:c>
      <x:c r="E538" s="32">
        <x:v>151.69</x:v>
      </x:c>
      <x:c r="F538" s="33">
        <x:v>70850</x:v>
      </x:c>
      <x:c r="G538" s="32" t="n">
        <x:f t="shared" si="15">AVERAGE(E339:E538)</x:f>
        <x:v>175.89215000000004</x:v>
      </x:c>
      <x:c r="H538" s="37" t="n">
        <x:f t="shared" si="16">IFERROR(E538/G538-1,"")</x:f>
        <x:v>-0.1375965328754014</x:v>
      </x:c>
      <x:c r="I538" s="38" t="b">
        <x:f t="shared" si="17">E538&lt;G538</x:f>
        <x:v>1</x:v>
      </x:c>
    </x:row>
    <x:row r="539">
      <x:c r="A539" s="31">
        <x:v>37778</x:v>
      </x:c>
      <x:c r="B539" s="32">
        <x:v>151.47</x:v>
      </x:c>
      <x:c r="C539" s="32">
        <x:v>151.82</x:v>
      </x:c>
      <x:c r="D539" s="32">
        <x:v>151.47</x:v>
      </x:c>
      <x:c r="E539" s="32">
        <x:v>151.82</x:v>
      </x:c>
      <x:c r="F539" s="33">
        <x:v>65730</x:v>
      </x:c>
      <x:c r="G539" s="32" t="n">
        <x:f t="shared" si="15">AVERAGE(E340:E539)</x:f>
        <x:v>175.667</x:v>
      </x:c>
      <x:c r="H539" s="37" t="n">
        <x:f t="shared" si="16">IFERROR(E539/G539-1,"")</x:f>
        <x:v>-0.13575116555756062</x:v>
      </x:c>
      <x:c r="I539" s="38" t="b">
        <x:f t="shared" si="17">E539&lt;G539</x:f>
        <x:v>1</x:v>
      </x:c>
    </x:row>
    <x:row r="540">
      <x:c r="A540" s="31">
        <x:v>37781</x:v>
      </x:c>
      <x:c r="B540" s="32">
        <x:v>152.49</x:v>
      </x:c>
      <x:c r="C540" s="32">
        <x:v>152.49</x:v>
      </x:c>
      <x:c r="D540" s="32">
        <x:v>152.35</x:v>
      </x:c>
      <x:c r="E540" s="32">
        <x:v>152.35</x:v>
      </x:c>
      <x:c r="F540" s="33">
        <x:v>75020</x:v>
      </x:c>
      <x:c r="G540" s="32" t="n">
        <x:f t="shared" si="15">AVERAGE(E341:E540)</x:f>
        <x:v>175.45725</x:v>
      </x:c>
      <x:c r="H540" s="37" t="n">
        <x:f t="shared" si="16">IFERROR(E540/G540-1,"")</x:f>
        <x:v>-0.13169732228220832</x:v>
      </x:c>
      <x:c r="I540" s="38" t="b">
        <x:f t="shared" si="17">E540&lt;G540</x:f>
        <x:v>1</x:v>
      </x:c>
    </x:row>
    <x:row r="541">
      <x:c r="A541" s="31">
        <x:v>37782</x:v>
      </x:c>
      <x:c r="B541" s="32">
        <x:v>152.19999999999999</x:v>
      </x:c>
      <x:c r="C541" s="32">
        <x:v>152.22999999999999</x:v>
      </x:c>
      <x:c r="D541" s="32">
        <x:v>152.19999999999999</x:v>
      </x:c>
      <x:c r="E541" s="32">
        <x:v>152.22999999999999</x:v>
      </x:c>
      <x:c r="F541" s="33">
        <x:v>109630</x:v>
      </x:c>
      <x:c r="G541" s="32" t="n">
        <x:f t="shared" si="15">AVERAGE(E342:E541)</x:f>
        <x:v>175.25629999999998</x:v>
      </x:c>
      <x:c r="H541" s="37" t="n">
        <x:f t="shared" si="16">IFERROR(E541/G541-1,"")</x:f>
        <x:v>-0.13138643232796765</x:v>
      </x:c>
      <x:c r="I541" s="38" t="b">
        <x:f t="shared" si="17">E541&lt;G541</x:f>
        <x:v>1</x:v>
      </x:c>
    </x:row>
    <x:row r="542">
      <x:c r="A542" s="31">
        <x:v>37783</x:v>
      </x:c>
      <x:c r="B542" s="32">
        <x:v>152.21</x:v>
      </x:c>
      <x:c r="C542" s="32">
        <x:v>152.25</x:v>
      </x:c>
      <x:c r="D542" s="32">
        <x:v>152.21</x:v>
      </x:c>
      <x:c r="E542" s="32">
        <x:v>152.25</x:v>
      </x:c>
      <x:c r="F542" s="33">
        <x:v>92660</x:v>
      </x:c>
      <x:c r="G542" s="32" t="n">
        <x:f t="shared" si="15">AVERAGE(E343:E542)</x:f>
        <x:v>175.06129999999996</x:v>
      </x:c>
      <x:c r="H542" s="37" t="n">
        <x:f t="shared" si="16">IFERROR(E542/G542-1,"")</x:f>
        <x:v>-0.1303046418597369</x:v>
      </x:c>
      <x:c r="I542" s="38" t="b">
        <x:f t="shared" si="17">E542&lt;G542</x:f>
        <x:v>1</x:v>
      </x:c>
    </x:row>
    <x:row r="543">
      <x:c r="A543" s="31">
        <x:v>37784</x:v>
      </x:c>
      <x:c r="B543" s="32">
        <x:v>152.43</x:v>
      </x:c>
      <x:c r="C543" s="32">
        <x:v>152.43</x:v>
      </x:c>
      <x:c r="D543" s="32">
        <x:v>152.4</x:v>
      </x:c>
      <x:c r="E543" s="32">
        <x:v>152.4</x:v>
      </x:c>
      <x:c r="F543" s="33">
        <x:v>71600</x:v>
      </x:c>
      <x:c r="G543" s="32" t="n">
        <x:f t="shared" si="15">AVERAGE(E344:E543)</x:f>
        <x:v>174.85649999999998</x:v>
      </x:c>
      <x:c r="H543" s="37" t="n">
        <x:f t="shared" si="16">IFERROR(E543/G543-1,"")</x:f>
        <x:v>-0.1284281682408145</x:v>
      </x:c>
      <x:c r="I543" s="38" t="b">
        <x:f t="shared" si="17">E543&lt;G543</x:f>
        <x:v>1</x:v>
      </x:c>
    </x:row>
    <x:row r="544">
      <x:c r="A544" s="31">
        <x:v>37785</x:v>
      </x:c>
      <x:c r="B544" s="32">
        <x:v>152.59</x:v>
      </x:c>
      <x:c r="C544" s="32">
        <x:v>152.59</x:v>
      </x:c>
      <x:c r="D544" s="32">
        <x:v>152.19999999999999</x:v>
      </x:c>
      <x:c r="E544" s="32">
        <x:v>152.19999999999999</x:v>
      </x:c>
      <x:c r="F544" s="33">
        <x:v>60120</x:v>
      </x:c>
      <x:c r="G544" s="32" t="n">
        <x:f t="shared" si="15">AVERAGE(E345:E544)</x:f>
        <x:v>174.63324999999998</x:v>
      </x:c>
      <x:c r="H544" s="37" t="n">
        <x:f t="shared" si="16">IFERROR(E544/G544-1,"")</x:f>
        <x:v>-0.1284592138095122</x:v>
      </x:c>
      <x:c r="I544" s="38" t="b">
        <x:f t="shared" si="17">E544&lt;G544</x:f>
        <x:v>1</x:v>
      </x:c>
    </x:row>
    <x:row r="545">
      <x:c r="A545" s="31">
        <x:v>37788</x:v>
      </x:c>
      <x:c r="B545" s="32">
        <x:v>151.99</x:v>
      </x:c>
      <x:c r="C545" s="32">
        <x:v>151.99</x:v>
      </x:c>
      <x:c r="D545" s="32">
        <x:v>151.97</x:v>
      </x:c>
      <x:c r="E545" s="32">
        <x:v>151.97</x:v>
      </x:c>
      <x:c r="F545" s="33">
        <x:v>119470</x:v>
      </x:c>
      <x:c r="G545" s="32" t="n">
        <x:f t="shared" si="15">AVERAGE(E346:E545)</x:f>
        <x:v>174.40599999999998</x:v>
      </x:c>
      <x:c r="H545" s="37" t="n">
        <x:f t="shared" si="16">IFERROR(E545/G545-1,"")</x:f>
        <x:v>-0.12864236322144873</x:v>
      </x:c>
      <x:c r="I545" s="38" t="b">
        <x:f t="shared" si="17">E545&lt;G545</x:f>
        <x:v>1</x:v>
      </x:c>
    </x:row>
    <x:row r="546">
      <x:c r="A546" s="31">
        <x:v>37789</x:v>
      </x:c>
      <x:c r="B546" s="32">
        <x:v>151.87</x:v>
      </x:c>
      <x:c r="C546" s="32">
        <x:v>151.87</x:v>
      </x:c>
      <x:c r="D546" s="32">
        <x:v>151.66999999999999</x:v>
      </x:c>
      <x:c r="E546" s="32">
        <x:v>151.66999999999999</x:v>
      </x:c>
      <x:c r="F546" s="33">
        <x:v>92000</x:v>
      </x:c>
      <x:c r="G546" s="32" t="n">
        <x:f t="shared" si="15">AVERAGE(E347:E546)</x:f>
        <x:v>174.19190000000003</x:v>
      </x:c>
      <x:c r="H546" s="37" t="n">
        <x:f t="shared" si="16">IFERROR(E546/G546-1,"")</x:f>
        <x:v>-0.1292936123895545</x:v>
      </x:c>
      <x:c r="I546" s="38" t="b">
        <x:f t="shared" si="17">E546&lt;G546</x:f>
        <x:v>1</x:v>
      </x:c>
    </x:row>
    <x:row r="547">
      <x:c r="A547" s="31">
        <x:v>37790</x:v>
      </x:c>
      <x:c r="B547" s="32">
        <x:v>151.62</x:v>
      </x:c>
      <x:c r="C547" s="32">
        <x:v>151.72999999999999</x:v>
      </x:c>
      <x:c r="D547" s="32">
        <x:v>151.62</x:v>
      </x:c>
      <x:c r="E547" s="32">
        <x:v>151.72999999999999</x:v>
      </x:c>
      <x:c r="F547" s="33">
        <x:v>111120</x:v>
      </x:c>
      <x:c r="G547" s="32" t="n">
        <x:f t="shared" si="15">AVERAGE(E348:E547)</x:f>
        <x:v>173.97160000000002</x:v>
      </x:c>
      <x:c r="H547" s="37" t="n">
        <x:f t="shared" si="16">IFERROR(E547/G547-1,"")</x:f>
        <x:v>-0.1278461541998811</x:v>
      </x:c>
      <x:c r="I547" s="38" t="b">
        <x:f t="shared" si="17">E547&lt;G547</x:f>
        <x:v>1</x:v>
      </x:c>
    </x:row>
    <x:row r="548">
      <x:c r="A548" s="31">
        <x:v>37791</x:v>
      </x:c>
      <x:c r="B548" s="32">
        <x:v>151.97</x:v>
      </x:c>
      <x:c r="C548" s="32">
        <x:v>152.02000000000001</x:v>
      </x:c>
      <x:c r="D548" s="32">
        <x:v>151.97</x:v>
      </x:c>
      <x:c r="E548" s="32">
        <x:v>152.02000000000001</x:v>
      </x:c>
      <x:c r="F548" s="33">
        <x:v>82020</x:v>
      </x:c>
      <x:c r="G548" s="32" t="n">
        <x:f t="shared" si="15">AVERAGE(E349:E548)</x:f>
        <x:v>173.7559</x:v>
      </x:c>
      <x:c r="H548" s="37" t="n">
        <x:f t="shared" si="16">IFERROR(E548/G548-1,"")</x:f>
        <x:v>-0.12509445722418622</x:v>
      </x:c>
      <x:c r="I548" s="38" t="b">
        <x:f t="shared" si="17">E548&lt;G548</x:f>
        <x:v>1</x:v>
      </x:c>
    </x:row>
    <x:row r="549">
      <x:c r="A549" s="31">
        <x:v>37792</x:v>
      </x:c>
      <x:c r="B549" s="32">
        <x:v>152.43</x:v>
      </x:c>
      <x:c r="C549" s="32">
        <x:v>152.43</x:v>
      </x:c>
      <x:c r="D549" s="32">
        <x:v>152.43</x:v>
      </x:c>
      <x:c r="E549" s="32">
        <x:v>152.43</x:v>
      </x:c>
      <x:c r="F549" s="33">
        <x:v>99320</x:v>
      </x:c>
      <x:c r="G549" s="32" t="n">
        <x:f t="shared" si="15">AVERAGE(E350:E549)</x:f>
        <x:v>173.53334999999998</x:v>
      </x:c>
      <x:c r="H549" s="37" t="n">
        <x:f t="shared" si="16">IFERROR(E549/G549-1,"")</x:f>
        <x:v>-0.12160976550040659</x:v>
      </x:c>
      <x:c r="I549" s="38" t="b">
        <x:f t="shared" si="17">E549&lt;G549</x:f>
        <x:v>1</x:v>
      </x:c>
    </x:row>
    <x:row r="550">
      <x:c r="A550" s="31">
        <x:v>37795</x:v>
      </x:c>
      <x:c r="B550" s="32">
        <x:v>152.24</x:v>
      </x:c>
      <x:c r="C550" s="32">
        <x:v>152.24</x:v>
      </x:c>
      <x:c r="D550" s="32">
        <x:v>151.59</x:v>
      </x:c>
      <x:c r="E550" s="32">
        <x:v>151.59</x:v>
      </x:c>
      <x:c r="F550" s="33">
        <x:v>85920</x:v>
      </x:c>
      <x:c r="G550" s="32" t="n">
        <x:f t="shared" si="15">AVERAGE(E351:E550)</x:f>
        <x:v>173.30344999999997</x:v>
      </x:c>
      <x:c r="H550" s="37" t="n">
        <x:f t="shared" si="16">IFERROR(E550/G550-1,"")</x:f>
        <x:v>-0.1252915045834343</x:v>
      </x:c>
      <x:c r="I550" s="38" t="b">
        <x:f t="shared" si="17">E550&lt;G550</x:f>
        <x:v>1</x:v>
      </x:c>
    </x:row>
    <x:row r="551">
      <x:c r="A551" s="31">
        <x:v>37796</x:v>
      </x:c>
      <x:c r="B551" s="32">
        <x:v>151.80000000000001</x:v>
      </x:c>
      <x:c r="C551" s="32">
        <x:v>152.01</x:v>
      </x:c>
      <x:c r="D551" s="32">
        <x:v>151.80000000000001</x:v>
      </x:c>
      <x:c r="E551" s="32">
        <x:v>152.01</x:v>
      </x:c>
      <x:c r="F551" s="33">
        <x:v>40830</x:v>
      </x:c>
      <x:c r="G551" s="32" t="n">
        <x:f t="shared" si="15">AVERAGE(E352:E551)</x:f>
        <x:v>173.07789999999997</x:v>
      </x:c>
      <x:c r="H551" s="37" t="n">
        <x:f t="shared" si="16">IFERROR(E551/G551-1,"")</x:f>
        <x:v>-0.12172495737468492</x:v>
      </x:c>
      <x:c r="I551" s="38" t="b">
        <x:f t="shared" si="17">E551&lt;G551</x:f>
        <x:v>1</x:v>
      </x:c>
    </x:row>
    <x:row r="552">
      <x:c r="A552" s="31">
        <x:v>37797</x:v>
      </x:c>
      <x:c r="B552" s="32">
        <x:v>152.21</x:v>
      </x:c>
      <x:c r="C552" s="32">
        <x:v>152.63999999999999</x:v>
      </x:c>
      <x:c r="D552" s="32">
        <x:v>152.21</x:v>
      </x:c>
      <x:c r="E552" s="32">
        <x:v>152.63999999999999</x:v>
      </x:c>
      <x:c r="F552" s="33">
        <x:v>32410</x:v>
      </x:c>
      <x:c r="G552" s="32" t="n">
        <x:f t="shared" si="15">AVERAGE(E353:E552)</x:f>
        <x:v>172.86579999999995</x:v>
      </x:c>
      <x:c r="H552" s="37" t="n">
        <x:f t="shared" si="16">IFERROR(E552/G552-1,"")</x:f>
        <x:v>-0.11700290051589135</x:v>
      </x:c>
      <x:c r="I552" s="38" t="b">
        <x:f t="shared" si="17">E552&lt;G552</x:f>
        <x:v>1</x:v>
      </x:c>
    </x:row>
    <x:row r="553">
      <x:c r="A553" s="31">
        <x:v>37798</x:v>
      </x:c>
      <x:c r="B553" s="32">
        <x:v>152.4</x:v>
      </x:c>
      <x:c r="C553" s="32">
        <x:v>152.4</x:v>
      </x:c>
      <x:c r="D553" s="32">
        <x:v>151.88</x:v>
      </x:c>
      <x:c r="E553" s="32">
        <x:v>151.88</x:v>
      </x:c>
      <x:c r="F553" s="33">
        <x:v>62480</x:v>
      </x:c>
      <x:c r="G553" s="32" t="n">
        <x:f t="shared" si="15">AVERAGE(E354:E553)</x:f>
        <x:v>172.65684999999993</x:v>
      </x:c>
      <x:c r="H553" s="37" t="n">
        <x:f t="shared" si="16">IFERROR(E553/G553-1,"")</x:f>
        <x:v>-0.12033608860580947</x:v>
      </x:c>
      <x:c r="I553" s="38" t="b">
        <x:f t="shared" si="17">E553&lt;G553</x:f>
        <x:v>1</x:v>
      </x:c>
    </x:row>
    <x:row r="554">
      <x:c r="A554" s="31">
        <x:v>37799</x:v>
      </x:c>
      <x:c r="B554" s="32">
        <x:v>152.16999999999999</x:v>
      </x:c>
      <x:c r="C554" s="32">
        <x:v>152.16999999999999</x:v>
      </x:c>
      <x:c r="D554" s="32">
        <x:v>152</x:v>
      </x:c>
      <x:c r="E554" s="32">
        <x:v>152</x:v>
      </x:c>
      <x:c r="F554" s="33">
        <x:v>31770</x:v>
      </x:c>
      <x:c r="G554" s="32" t="n">
        <x:f t="shared" si="15">AVERAGE(E355:E554)</x:f>
        <x:v>172.44514999999993</x:v>
      </x:c>
      <x:c r="H554" s="37" t="n">
        <x:f t="shared" si="16">IFERROR(E554/G554-1,"")</x:f>
        <x:v>-0.11856030743688606</x:v>
      </x:c>
      <x:c r="I554" s="38" t="b">
        <x:f t="shared" si="17">E554&lt;G554</x:f>
        <x:v>1</x:v>
      </x:c>
    </x:row>
    <x:row r="555">
      <x:c r="A555" s="31">
        <x:v>37802</x:v>
      </x:c>
      <x:c r="B555" s="32">
        <x:v>151.71</x:v>
      </x:c>
      <x:c r="C555" s="32">
        <x:v>152.27000000000001</x:v>
      </x:c>
      <x:c r="D555" s="32">
        <x:v>151.71</x:v>
      </x:c>
      <x:c r="E555" s="32">
        <x:v>152.27000000000001</x:v>
      </x:c>
      <x:c r="F555" s="33">
        <x:v>70500</x:v>
      </x:c>
      <x:c r="G555" s="32" t="n">
        <x:f t="shared" si="15">AVERAGE(E356:E555)</x:f>
        <x:v>172.23619999999994</x:v>
      </x:c>
      <x:c r="H555" s="37" t="n">
        <x:f t="shared" si="16">IFERROR(E555/G555-1,"")</x:f>
        <x:v>-0.11592336570360895</x:v>
      </x:c>
      <x:c r="I555" s="38" t="b">
        <x:f t="shared" si="17">E555&lt;G555</x:f>
        <x:v>1</x:v>
      </x:c>
    </x:row>
    <x:row r="556">
      <x:c r="A556" s="31">
        <x:v>37803</x:v>
      </x:c>
      <x:c r="B556" s="32">
        <x:v>152.29</x:v>
      </x:c>
      <x:c r="C556" s="32">
        <x:v>152.62</x:v>
      </x:c>
      <x:c r="D556" s="32">
        <x:v>152.29</x:v>
      </x:c>
      <x:c r="E556" s="32">
        <x:v>152.62</x:v>
      </x:c>
      <x:c r="F556" s="33">
        <x:v>35020</x:v>
      </x:c>
      <x:c r="G556" s="32" t="n">
        <x:f t="shared" si="15">AVERAGE(E357:E556)</x:f>
        <x:v>172.03234999999998</x:v>
      </x:c>
      <x:c r="H556" s="37" t="n">
        <x:f t="shared" si="16">IFERROR(E556/G556-1,"")</x:f>
        <x:v>-0.11284127665523358</x:v>
      </x:c>
      <x:c r="I556" s="38" t="b">
        <x:f t="shared" si="17">E556&lt;G556</x:f>
        <x:v>1</x:v>
      </x:c>
    </x:row>
    <x:row r="557">
      <x:c r="A557" s="31">
        <x:v>37804</x:v>
      </x:c>
      <x:c r="B557" s="32">
        <x:v>154.13999999999999</x:v>
      </x:c>
      <x:c r="C557" s="32">
        <x:v>154.13999999999999</x:v>
      </x:c>
      <x:c r="D557" s="32">
        <x:v>151.68</x:v>
      </x:c>
      <x:c r="E557" s="32">
        <x:v>151.68</x:v>
      </x:c>
      <x:c r="F557" s="33">
        <x:v>67370</x:v>
      </x:c>
      <x:c r="G557" s="32" t="n">
        <x:f t="shared" si="15">AVERAGE(E358:E557)</x:f>
        <x:v>171.82829999999996</x:v>
      </x:c>
      <x:c r="H557" s="37" t="n">
        <x:f t="shared" si="16">IFERROR(E557/G557-1,"")</x:f>
        <x:v>-0.11725833288230147</x:v>
      </x:c>
      <x:c r="I557" s="38" t="b">
        <x:f t="shared" si="17">E557&lt;G557</x:f>
        <x:v>1</x:v>
      </x:c>
    </x:row>
    <x:row r="558">
      <x:c r="A558" s="31">
        <x:v>37805</x:v>
      </x:c>
      <x:c r="B558" s="32">
        <x:v>151.56</x:v>
      </x:c>
      <x:c r="C558" s="32">
        <x:v>151.84</x:v>
      </x:c>
      <x:c r="D558" s="32">
        <x:v>151.56</x:v>
      </x:c>
      <x:c r="E558" s="32">
        <x:v>151.84</x:v>
      </x:c>
      <x:c r="F558" s="33">
        <x:v>57350</x:v>
      </x:c>
      <x:c r="G558" s="32" t="n">
        <x:f t="shared" si="15">AVERAGE(E359:E558)</x:f>
        <x:v>171.62984999999992</x:v>
      </x:c>
      <x:c r="H558" s="37" t="n">
        <x:f t="shared" si="16">IFERROR(E558/G558-1,"")</x:f>
        <x:v>-0.11530540870367201</x:v>
      </x:c>
      <x:c r="I558" s="38" t="b">
        <x:f t="shared" si="17">E558&lt;G558</x:f>
        <x:v>1</x:v>
      </x:c>
    </x:row>
    <x:row r="559">
      <x:c r="A559" s="31">
        <x:v>37806</x:v>
      </x:c>
      <x:c r="B559" s="32">
        <x:v>152.15</x:v>
      </x:c>
      <x:c r="C559" s="32">
        <x:v>152.18</x:v>
      </x:c>
      <x:c r="D559" s="32">
        <x:v>152.15</x:v>
      </x:c>
      <x:c r="E559" s="32">
        <x:v>152.18</x:v>
      </x:c>
      <x:c r="F559" s="33">
        <x:v>39110</x:v>
      </x:c>
      <x:c r="G559" s="32" t="n">
        <x:f t="shared" si="15">AVERAGE(E360:E559)</x:f>
        <x:v>171.44185</x:v>
      </x:c>
      <x:c r="H559" s="37" t="n">
        <x:f t="shared" si="16">IFERROR(E559/G559-1,"")</x:f>
        <x:v>-0.11235208906110139</x:v>
      </x:c>
      <x:c r="I559" s="38" t="b">
        <x:f t="shared" si="17">E559&lt;G559</x:f>
        <x:v>1</x:v>
      </x:c>
    </x:row>
    <x:row r="560">
      <x:c r="A560" s="31">
        <x:v>37809</x:v>
      </x:c>
      <x:c r="B560" s="32">
        <x:v>152.08000000000001</x:v>
      </x:c>
      <x:c r="C560" s="32">
        <x:v>152.18</x:v>
      </x:c>
      <x:c r="D560" s="32">
        <x:v>152.08000000000001</x:v>
      </x:c>
      <x:c r="E560" s="32">
        <x:v>152.18</x:v>
      </x:c>
      <x:c r="F560" s="33">
        <x:v>61780</x:v>
      </x:c>
      <x:c r="G560" s="32" t="n">
        <x:f t="shared" si="15">AVERAGE(E361:E560)</x:f>
        <x:v>171.25909999999996</x:v>
      </x:c>
      <x:c r="H560" s="37" t="n">
        <x:f t="shared" si="16">IFERROR(E560/G560-1,"")</x:f>
        <x:v>-0.11140488301059603</x:v>
      </x:c>
      <x:c r="I560" s="38" t="b">
        <x:f t="shared" si="17">E560&lt;G560</x:f>
        <x:v>1</x:v>
      </x:c>
    </x:row>
    <x:row r="561">
      <x:c r="A561" s="31">
        <x:v>37810</x:v>
      </x:c>
      <x:c r="B561" s="32">
        <x:v>151.84</x:v>
      </x:c>
      <x:c r="C561" s="32">
        <x:v>152.26</x:v>
      </x:c>
      <x:c r="D561" s="32">
        <x:v>151.84</x:v>
      </x:c>
      <x:c r="E561" s="32">
        <x:v>152.26</x:v>
      </x:c>
      <x:c r="F561" s="33">
        <x:v>54630</x:v>
      </x:c>
      <x:c r="G561" s="32" t="n">
        <x:f t="shared" si="15">AVERAGE(E362:E561)</x:f>
        <x:v>171.07264999999998</x:v>
      </x:c>
      <x:c r="H561" s="37" t="n">
        <x:f t="shared" si="16">IFERROR(E561/G561-1,"")</x:f>
        <x:v>-0.1099687764233499</x:v>
      </x:c>
      <x:c r="I561" s="38" t="b">
        <x:f t="shared" si="17">E561&lt;G561</x:f>
        <x:v>1</x:v>
      </x:c>
    </x:row>
    <x:row r="562">
      <x:c r="A562" s="31">
        <x:v>37811</x:v>
      </x:c>
      <x:c r="B562" s="32">
        <x:v>152.22</x:v>
      </x:c>
      <x:c r="C562" s="32">
        <x:v>152.22</x:v>
      </x:c>
      <x:c r="D562" s="32">
        <x:v>151.1</x:v>
      </x:c>
      <x:c r="E562" s="32">
        <x:v>151.1</x:v>
      </x:c>
      <x:c r="F562" s="33">
        <x:v>54990</x:v>
      </x:c>
      <x:c r="G562" s="32" t="n">
        <x:f t="shared" si="15">AVERAGE(E363:E562)</x:f>
        <x:v>170.8698</x:v>
      </x:c>
      <x:c r="H562" s="37" t="n">
        <x:f t="shared" si="16">IFERROR(E562/G562-1,"")</x:f>
        <x:v>-0.11570096061445623</x:v>
      </x:c>
      <x:c r="I562" s="38" t="b">
        <x:f t="shared" si="17">E562&lt;G562</x:f>
        <x:v>1</x:v>
      </x:c>
    </x:row>
    <x:row r="563">
      <x:c r="A563" s="31">
        <x:v>37812</x:v>
      </x:c>
      <x:c r="B563" s="32">
        <x:v>151.33000000000001</x:v>
      </x:c>
      <x:c r="C563" s="32">
        <x:v>151.33000000000001</x:v>
      </x:c>
      <x:c r="D563" s="32">
        <x:v>151.19999999999999</x:v>
      </x:c>
      <x:c r="E563" s="32">
        <x:v>151.19999999999999</x:v>
      </x:c>
      <x:c r="F563" s="33">
        <x:v>59590</x:v>
      </x:c>
      <x:c r="G563" s="32" t="n">
        <x:f t="shared" si="15">AVERAGE(E364:E563)</x:f>
        <x:v>170.66244999999998</x:v>
      </x:c>
      <x:c r="H563" s="37" t="n">
        <x:f t="shared" si="16">IFERROR(E563/G563-1,"")</x:f>
        <x:v>-0.1140406105736792</x:v>
      </x:c>
      <x:c r="I563" s="38" t="b">
        <x:f t="shared" si="17">E563&lt;G563</x:f>
        <x:v>1</x:v>
      </x:c>
    </x:row>
    <x:row r="564">
      <x:c r="A564" s="31">
        <x:v>37813</x:v>
      </x:c>
      <x:c r="B564" s="32">
        <x:v>151.66</x:v>
      </x:c>
      <x:c r="C564" s="32">
        <x:v>151.66</x:v>
      </x:c>
      <x:c r="D564" s="32">
        <x:v>151.22</x:v>
      </x:c>
      <x:c r="E564" s="32">
        <x:v>151.22</x:v>
      </x:c>
      <x:c r="F564" s="33">
        <x:v>42970</x:v>
      </x:c>
      <x:c r="G564" s="32" t="n">
        <x:f t="shared" si="15">AVERAGE(E365:E564)</x:f>
        <x:v>170.46375</x:v>
      </x:c>
      <x:c r="H564" s="37" t="n">
        <x:f t="shared" si="16">IFERROR(E564/G564-1,"")</x:f>
        <x:v>-0.11289057057585561</x:v>
      </x:c>
      <x:c r="I564" s="38" t="b">
        <x:f t="shared" si="17">E564&lt;G564</x:f>
        <x:v>1</x:v>
      </x:c>
    </x:row>
    <x:row r="565">
      <x:c r="A565" s="31">
        <x:v>37816</x:v>
      </x:c>
      <x:c r="B565" s="32">
        <x:v>151.47999999999999</x:v>
      </x:c>
      <x:c r="C565" s="32">
        <x:v>151.47999999999999</x:v>
      </x:c>
      <x:c r="D565" s="32">
        <x:v>150.81</x:v>
      </x:c>
      <x:c r="E565" s="32">
        <x:v>150.81</x:v>
      </x:c>
      <x:c r="F565" s="33">
        <x:v>25660</x:v>
      </x:c>
      <x:c r="G565" s="32" t="n">
        <x:f t="shared" si="15">AVERAGE(E366:E565)</x:f>
        <x:v>170.2633</x:v>
      </x:c>
      <x:c r="H565" s="37" t="n">
        <x:f t="shared" si="16">IFERROR(E565/G565-1,"")</x:f>
        <x:v>-0.11425421685119452</x:v>
      </x:c>
      <x:c r="I565" s="38" t="b">
        <x:f t="shared" si="17">E565&lt;G565</x:f>
        <x:v>1</x:v>
      </x:c>
    </x:row>
    <x:row r="566">
      <x:c r="A566" s="31">
        <x:v>37817</x:v>
      </x:c>
      <x:c r="B566" s="32">
        <x:v>150.6</x:v>
      </x:c>
      <x:c r="C566" s="32">
        <x:v>150.6</x:v>
      </x:c>
      <x:c r="D566" s="32">
        <x:v>150.59</x:v>
      </x:c>
      <x:c r="E566" s="32">
        <x:v>150.59</x:v>
      </x:c>
      <x:c r="F566" s="33">
        <x:v>30930</x:v>
      </x:c>
      <x:c r="G566" s="32" t="n">
        <x:f t="shared" si="15">AVERAGE(E367:E566)</x:f>
        <x:v>170.06149999999997</x:v>
      </x:c>
      <x:c r="H566" s="37" t="n">
        <x:f t="shared" si="16">IFERROR(E566/G566-1,"")</x:f>
        <x:v>-0.11449681438773596</x:v>
      </x:c>
      <x:c r="I566" s="38" t="b">
        <x:f t="shared" si="17">E566&lt;G566</x:f>
        <x:v>1</x:v>
      </x:c>
    </x:row>
    <x:row r="567">
      <x:c r="A567" s="31">
        <x:v>37818</x:v>
      </x:c>
      <x:c r="B567" s="32">
        <x:v>150.76</x:v>
      </x:c>
      <x:c r="C567" s="32">
        <x:v>150.76</x:v>
      </x:c>
      <x:c r="D567" s="32">
        <x:v>150.68</x:v>
      </x:c>
      <x:c r="E567" s="32">
        <x:v>150.68</x:v>
      </x:c>
      <x:c r="F567" s="33">
        <x:v>47150</x:v>
      </x:c>
      <x:c r="G567" s="32" t="n">
        <x:f t="shared" si="15">AVERAGE(E368:E567)</x:f>
        <x:v>169.86384999999999</x:v>
      </x:c>
      <x:c r="H567" s="37" t="n">
        <x:f t="shared" si="16">IFERROR(E567/G567-1,"")</x:f>
        <x:v>-0.11293662542088845</x:v>
      </x:c>
      <x:c r="I567" s="38" t="b">
        <x:f t="shared" si="17">E567&lt;G567</x:f>
        <x:v>1</x:v>
      </x:c>
    </x:row>
    <x:row r="568">
      <x:c r="A568" s="31">
        <x:v>37819</x:v>
      </x:c>
      <x:c r="B568" s="32">
        <x:v>150.65</x:v>
      </x:c>
      <x:c r="C568" s="32">
        <x:v>150.65</x:v>
      </x:c>
      <x:c r="D568" s="32">
        <x:v>150.27000000000001</x:v>
      </x:c>
      <x:c r="E568" s="32">
        <x:v>150.27000000000001</x:v>
      </x:c>
      <x:c r="F568" s="33">
        <x:v>49220</x:v>
      </x:c>
      <x:c r="G568" s="32" t="n">
        <x:f t="shared" si="15">AVERAGE(E369:E568)</x:f>
        <x:v>169.66534999999996</x:v>
      </x:c>
      <x:c r="H568" s="37" t="n">
        <x:f t="shared" si="16">IFERROR(E568/G568-1,"")</x:f>
        <x:v>-0.11431532720145843</x:v>
      </x:c>
      <x:c r="I568" s="38" t="b">
        <x:f t="shared" si="17">E568&lt;G568</x:f>
        <x:v>1</x:v>
      </x:c>
    </x:row>
    <x:row r="569">
      <x:c r="A569" s="31">
        <x:v>37820</x:v>
      </x:c>
      <x:c r="B569" s="32">
        <x:v>150.75</x:v>
      </x:c>
      <x:c r="C569" s="32">
        <x:v>150.75</x:v>
      </x:c>
      <x:c r="D569" s="32">
        <x:v>150.34</x:v>
      </x:c>
      <x:c r="E569" s="32">
        <x:v>150.34</x:v>
      </x:c>
      <x:c r="F569" s="33">
        <x:v>48190</x:v>
      </x:c>
      <x:c r="G569" s="32" t="n">
        <x:f t="shared" si="15">AVERAGE(E370:E569)</x:f>
        <x:v>169.47044999999994</x:v>
      </x:c>
      <x:c r="H569" s="37" t="n">
        <x:f t="shared" si="16">IFERROR(E569/G569-1,"")</x:f>
        <x:v>-0.11288369152262201</x:v>
      </x:c>
      <x:c r="I569" s="38" t="b">
        <x:f t="shared" si="17">E569&lt;G569</x:f>
        <x:v>1</x:v>
      </x:c>
    </x:row>
    <x:row r="570">
      <x:c r="A570" s="31">
        <x:v>37823</x:v>
      </x:c>
      <x:c r="B570" s="32">
        <x:v>150.12</x:v>
      </x:c>
      <x:c r="C570" s="32">
        <x:v>150.12</x:v>
      </x:c>
      <x:c r="D570" s="32">
        <x:v>149.93</x:v>
      </x:c>
      <x:c r="E570" s="32">
        <x:v>149.93</x:v>
      </x:c>
      <x:c r="F570" s="33">
        <x:v>43210</x:v>
      </x:c>
      <x:c r="G570" s="32" t="n">
        <x:f t="shared" si="15">AVERAGE(E371:E570)</x:f>
        <x:v>169.26739999999995</x:v>
      </x:c>
      <x:c r="H570" s="37" t="n">
        <x:f t="shared" si="16">IFERROR(E570/G570-1,"")</x:f>
        <x:v>-0.11424172640449348</x:v>
      </x:c>
      <x:c r="I570" s="38" t="b">
        <x:f t="shared" si="17">E570&lt;G570</x:f>
        <x:v>1</x:v>
      </x:c>
    </x:row>
    <x:row r="571">
      <x:c r="A571" s="31">
        <x:v>37824</x:v>
      </x:c>
      <x:c r="B571" s="32">
        <x:v>149.74</x:v>
      </x:c>
      <x:c r="C571" s="32">
        <x:v>149.74</x:v>
      </x:c>
      <x:c r="D571" s="32">
        <x:v>149.19999999999999</x:v>
      </x:c>
      <x:c r="E571" s="32">
        <x:v>149.19999999999999</x:v>
      </x:c>
      <x:c r="F571" s="33">
        <x:v>45790</x:v>
      </x:c>
      <x:c r="G571" s="32" t="n">
        <x:f t="shared" si="15">AVERAGE(E372:E571)</x:f>
        <x:v>169.05699999999993</x:v>
      </x:c>
      <x:c r="H571" s="37" t="n">
        <x:f t="shared" si="16">IFERROR(E571/G571-1,"")</x:f>
        <x:v>-0.11745742560201555</x:v>
      </x:c>
      <x:c r="I571" s="38" t="b">
        <x:f t="shared" si="17">E571&lt;G571</x:f>
        <x:v>1</x:v>
      </x:c>
    </x:row>
    <x:row r="572">
      <x:c r="A572" s="31">
        <x:v>37825</x:v>
      </x:c>
      <x:c r="B572" s="32">
        <x:v>149.28</x:v>
      </x:c>
      <x:c r="C572" s="32">
        <x:v>149.63</x:v>
      </x:c>
      <x:c r="D572" s="32">
        <x:v>149.28</x:v>
      </x:c>
      <x:c r="E572" s="32">
        <x:v>149.63</x:v>
      </x:c>
      <x:c r="F572" s="33">
        <x:v>35760</x:v>
      </x:c>
      <x:c r="G572" s="32" t="n">
        <x:f t="shared" si="15">AVERAGE(E373:E572)</x:f>
        <x:v>168.84684999999993</x:v>
      </x:c>
      <x:c r="H572" s="37" t="n">
        <x:f t="shared" si="16">IFERROR(E572/G572-1,"")</x:f>
        <x:v>-0.11381230979434886</x:v>
      </x:c>
      <x:c r="I572" s="38" t="b">
        <x:f t="shared" si="17">E572&lt;G572</x:f>
        <x:v>1</x:v>
      </x:c>
    </x:row>
    <x:row r="573">
      <x:c r="A573" s="31">
        <x:v>37826</x:v>
      </x:c>
      <x:c r="B573" s="32">
        <x:v>150.07</x:v>
      </x:c>
      <x:c r="C573" s="32">
        <x:v>150.07</x:v>
      </x:c>
      <x:c r="D573" s="32">
        <x:v>149.87</x:v>
      </x:c>
      <x:c r="E573" s="32">
        <x:v>149.87</x:v>
      </x:c>
      <x:c r="F573" s="33">
        <x:v>23210</x:v>
      </x:c>
      <x:c r="G573" s="32" t="n">
        <x:f t="shared" si="15">AVERAGE(E374:E573)</x:f>
        <x:v>168.63904999999994</x:v>
      </x:c>
      <x:c r="H573" s="37" t="n">
        <x:f t="shared" si="16">IFERROR(E573/G573-1,"")</x:f>
        <x:v>-0.11129717583205045</x:v>
      </x:c>
      <x:c r="I573" s="38" t="b">
        <x:f t="shared" si="17">E573&lt;G573</x:f>
        <x:v>1</x:v>
      </x:c>
    </x:row>
    <x:row r="574">
      <x:c r="A574" s="31">
        <x:v>37827</x:v>
      </x:c>
      <x:c r="B574" s="32">
        <x:v>149.91999999999999</x:v>
      </x:c>
      <x:c r="C574" s="32">
        <x:v>149.91999999999999</x:v>
      </x:c>
      <x:c r="D574" s="32">
        <x:v>149.29</x:v>
      </x:c>
      <x:c r="E574" s="32">
        <x:v>149.29</x:v>
      </x:c>
      <x:c r="F574" s="33">
        <x:v>23590</x:v>
      </x:c>
      <x:c r="G574" s="32" t="n">
        <x:f t="shared" si="15">AVERAGE(E375:E574)</x:f>
        <x:v>168.43254999999996</x:v>
      </x:c>
      <x:c r="H574" s="37" t="n">
        <x:f t="shared" si="16">IFERROR(E574/G574-1,"")</x:f>
        <x:v>-0.11365113215943101</x:v>
      </x:c>
      <x:c r="I574" s="38" t="b">
        <x:f t="shared" si="17">E574&lt;G574</x:f>
        <x:v>1</x:v>
      </x:c>
    </x:row>
    <x:row r="575">
      <x:c r="A575" s="31">
        <x:v>37830</x:v>
      </x:c>
      <x:c r="B575" s="32">
        <x:v>148.78</x:v>
      </x:c>
      <x:c r="C575" s="32">
        <x:v>148.80000000000001</x:v>
      </x:c>
      <x:c r="D575" s="32">
        <x:v>148.78</x:v>
      </x:c>
      <x:c r="E575" s="32">
        <x:v>148.80000000000001</x:v>
      </x:c>
      <x:c r="F575" s="33">
        <x:v>53200</x:v>
      </x:c>
      <x:c r="G575" s="32" t="n">
        <x:f t="shared" si="15">AVERAGE(E376:E575)</x:f>
        <x:v>168.22385000000003</x:v>
      </x:c>
      <x:c r="H575" s="37" t="n">
        <x:f t="shared" si="16">IFERROR(E575/G575-1,"")</x:f>
        <x:v>-0.11546430544777098</x:v>
      </x:c>
      <x:c r="I575" s="38" t="b">
        <x:f t="shared" si="17">E575&lt;G575</x:f>
        <x:v>1</x:v>
      </x:c>
    </x:row>
    <x:row r="576">
      <x:c r="A576" s="31">
        <x:v>37831</x:v>
      </x:c>
      <x:c r="B576" s="32">
        <x:v>148.69</x:v>
      </x:c>
      <x:c r="C576" s="32">
        <x:v>148.69</x:v>
      </x:c>
      <x:c r="D576" s="32">
        <x:v>148.02000000000001</x:v>
      </x:c>
      <x:c r="E576" s="32">
        <x:v>148.02000000000001</x:v>
      </x:c>
      <x:c r="F576" s="33">
        <x:v>43090</x:v>
      </x:c>
      <x:c r="G576" s="32" t="n">
        <x:f t="shared" si="15">AVERAGE(E377:E576)</x:f>
        <x:v>168.01170000000002</x:v>
      </x:c>
      <x:c r="H576" s="37" t="n">
        <x:f t="shared" si="16">IFERROR(E576/G576-1,"")</x:f>
        <x:v>-0.11898992748719295</x:v>
      </x:c>
      <x:c r="I576" s="38" t="b">
        <x:f t="shared" si="17">E576&lt;G576</x:f>
        <x:v>1</x:v>
      </x:c>
    </x:row>
    <x:row r="577">
      <x:c r="A577" s="31">
        <x:v>37832</x:v>
      </x:c>
      <x:c r="B577" s="32">
        <x:v>147.91</x:v>
      </x:c>
      <x:c r="C577" s="32">
        <x:v>147.91</x:v>
      </x:c>
      <x:c r="D577" s="32">
        <x:v>147.27000000000001</x:v>
      </x:c>
      <x:c r="E577" s="32">
        <x:v>147.27000000000001</x:v>
      </x:c>
      <x:c r="F577" s="33">
        <x:v>48400</x:v>
      </x:c>
      <x:c r="G577" s="32" t="n">
        <x:f t="shared" si="15">AVERAGE(E378:E577)</x:f>
        <x:v>167.797</x:v>
      </x:c>
      <x:c r="H577" s="37" t="n">
        <x:f t="shared" si="16">IFERROR(E577/G577-1,"")</x:f>
        <x:v>-0.12233234205617494</x:v>
      </x:c>
      <x:c r="I577" s="38" t="b">
        <x:f t="shared" si="17">E577&lt;G577</x:f>
        <x:v>1</x:v>
      </x:c>
    </x:row>
    <x:row r="578">
      <x:c r="A578" s="31">
        <x:v>37833</x:v>
      </x:c>
      <x:c r="B578" s="32">
        <x:v>147.13</x:v>
      </x:c>
      <x:c r="C578" s="32">
        <x:v>147.13</x:v>
      </x:c>
      <x:c r="D578" s="32">
        <x:v>146.32</x:v>
      </x:c>
      <x:c r="E578" s="32">
        <x:v>146.32</x:v>
      </x:c>
      <x:c r="F578" s="33">
        <x:v>27610</x:v>
      </x:c>
      <x:c r="G578" s="32" t="n">
        <x:f t="shared" si="15">AVERAGE(E379:E578)</x:f>
        <x:v>167.5793</x:v>
      </x:c>
      <x:c r="H578" s="37" t="n">
        <x:f t="shared" si="16">IFERROR(E578/G578-1,"")</x:f>
        <x:v>-0.1268611338035187</x:v>
      </x:c>
      <x:c r="I578" s="38" t="b">
        <x:f t="shared" si="17">E578&lt;G578</x:f>
        <x:v>1</x:v>
      </x:c>
    </x:row>
    <x:row r="579">
      <x:c r="A579" s="31">
        <x:v>37834</x:v>
      </x:c>
      <x:c r="B579" s="32">
        <x:v>144.99</x:v>
      </x:c>
      <x:c r="C579" s="32">
        <x:v>144.99</x:v>
      </x:c>
      <x:c r="D579" s="32">
        <x:v>144.88999999999999</x:v>
      </x:c>
      <x:c r="E579" s="32">
        <x:v>144.88999999999999</x:v>
      </x:c>
      <x:c r="F579" s="33">
        <x:v>49840</x:v>
      </x:c>
      <x:c r="G579" s="32" t="n">
        <x:f t="shared" si="15">AVERAGE(E380:E579)</x:f>
        <x:v>167.35675</x:v>
      </x:c>
      <x:c r="H579" s="37" t="n">
        <x:f t="shared" si="16">IFERROR(E579/G579-1,"")</x:f>
        <x:v>-0.13424465998533086</x:v>
      </x:c>
      <x:c r="I579" s="38" t="b">
        <x:f t="shared" si="17">E579&lt;G579</x:f>
        <x:v>1</x:v>
      </x:c>
    </x:row>
    <x:row r="580">
      <x:c r="A580" s="31">
        <x:v>37837</x:v>
      </x:c>
      <x:c r="B580" s="32">
        <x:v>144.55000000000001</x:v>
      </x:c>
      <x:c r="C580" s="32">
        <x:v>144.55000000000001</x:v>
      </x:c>
      <x:c r="D580" s="32">
        <x:v>143.88999999999999</x:v>
      </x:c>
      <x:c r="E580" s="32">
        <x:v>143.88999999999999</x:v>
      </x:c>
      <x:c r="F580" s="33">
        <x:v>59470</x:v>
      </x:c>
      <x:c r="G580" s="32" t="n">
        <x:f t="shared" si="15">AVERAGE(E381:E580)</x:f>
        <x:v>167.13049999999998</x:v>
      </x:c>
      <x:c r="H580" s="37" t="n">
        <x:f t="shared" si="16">IFERROR(E580/G580-1,"")</x:f>
        <x:v>-0.13905600713215127</x:v>
      </x:c>
      <x:c r="I580" s="38" t="b">
        <x:f t="shared" si="17">E580&lt;G580</x:f>
        <x:v>1</x:v>
      </x:c>
    </x:row>
    <x:row r="581">
      <x:c r="A581" s="31">
        <x:v>37838</x:v>
      </x:c>
      <x:c r="B581" s="32">
        <x:v>143.19999999999999</x:v>
      </x:c>
      <x:c r="C581" s="32">
        <x:v>143.43</x:v>
      </x:c>
      <x:c r="D581" s="32">
        <x:v>143.19999999999999</x:v>
      </x:c>
      <x:c r="E581" s="32">
        <x:v>143.43</x:v>
      </x:c>
      <x:c r="F581" s="33">
        <x:v>64150</x:v>
      </x:c>
      <x:c r="G581" s="32" t="n">
        <x:f t="shared" si="15">AVERAGE(E382:E581)</x:f>
        <x:v>166.90404999999998</x:v>
      </x:c>
      <x:c r="H581" s="37" t="n">
        <x:f t="shared" si="16">IFERROR(E581/G581-1,"")</x:f>
        <x:v>-0.14064398077817752</x:v>
      </x:c>
      <x:c r="I581" s="38" t="b">
        <x:f t="shared" si="17">E581&lt;G581</x:f>
        <x:v>1</x:v>
      </x:c>
    </x:row>
    <x:row r="582">
      <x:c r="A582" s="31">
        <x:v>37839</x:v>
      </x:c>
      <x:c r="B582" s="32">
        <x:v>143.16999999999999</x:v>
      </x:c>
      <x:c r="C582" s="32">
        <x:v>143.16999999999999</x:v>
      </x:c>
      <x:c r="D582" s="32">
        <x:v>142.66</x:v>
      </x:c>
      <x:c r="E582" s="32">
        <x:v>142.66</x:v>
      </x:c>
      <x:c r="F582" s="33">
        <x:v>48220</x:v>
      </x:c>
      <x:c r="G582" s="32" t="n">
        <x:f t="shared" si="15">AVERAGE(E383:E582)</x:f>
        <x:v>166.67405000000002</x:v>
      </x:c>
      <x:c r="H582" s="37" t="n">
        <x:f t="shared" si="16">IFERROR(E582/G582-1,"")</x:f>
        <x:v>-0.14407791734826159</x:v>
      </x:c>
      <x:c r="I582" s="38" t="b">
        <x:f t="shared" si="17">E582&lt;G582</x:f>
        <x:v>1</x:v>
      </x:c>
    </x:row>
    <x:row r="583">
      <x:c r="A583" s="31">
        <x:v>37840</x:v>
      </x:c>
      <x:c r="B583" s="32">
        <x:v>142.16</x:v>
      </x:c>
      <x:c r="C583" s="32">
        <x:v>142.16</x:v>
      </x:c>
      <x:c r="D583" s="32">
        <x:v>142.12</x:v>
      </x:c>
      <x:c r="E583" s="32">
        <x:v>142.12</x:v>
      </x:c>
      <x:c r="F583" s="33">
        <x:v>126200</x:v>
      </x:c>
      <x:c r="G583" s="32" t="n">
        <x:f t="shared" si="15">AVERAGE(E384:E583)</x:f>
        <x:v>166.45030000000006</x:v>
      </x:c>
      <x:c r="H583" s="37" t="n">
        <x:f t="shared" si="16">IFERROR(E583/G583-1,"")</x:f>
        <x:v>-0.14617155991908726</x:v>
      </x:c>
      <x:c r="I583" s="38" t="b">
        <x:f t="shared" si="17">E583&lt;G583</x:f>
        <x:v>1</x:v>
      </x:c>
    </x:row>
    <x:row r="584">
      <x:c r="A584" s="31">
        <x:v>37841</x:v>
      </x:c>
      <x:c r="B584" s="32">
        <x:v>141.55000000000001</x:v>
      </x:c>
      <x:c r="C584" s="32">
        <x:v>141.55000000000001</x:v>
      </x:c>
      <x:c r="D584" s="32">
        <x:v>140.96</x:v>
      </x:c>
      <x:c r="E584" s="32">
        <x:v>140.96</x:v>
      </x:c>
      <x:c r="F584" s="33">
        <x:v>80720</x:v>
      </x:c>
      <x:c r="G584" s="32" t="n">
        <x:f t="shared" si="15">AVERAGE(E385:E584)</x:f>
        <x:v>166.23010000000002</x:v>
      </x:c>
      <x:c r="H584" s="37" t="n">
        <x:f t="shared" si="16">IFERROR(E584/G584-1,"")</x:f>
        <x:v>-0.15201879803958496</x:v>
      </x:c>
      <x:c r="I584" s="38" t="b">
        <x:f t="shared" si="17">E584&lt;G584</x:f>
        <x:v>1</x:v>
      </x:c>
    </x:row>
    <x:row r="585">
      <x:c r="A585" s="31">
        <x:v>37844</x:v>
      </x:c>
      <x:c r="B585" s="32">
        <x:v>141.26</x:v>
      </x:c>
      <x:c r="C585" s="32">
        <x:v>141.66</x:v>
      </x:c>
      <x:c r="D585" s="32">
        <x:v>141.26</x:v>
      </x:c>
      <x:c r="E585" s="32">
        <x:v>141.66</x:v>
      </x:c>
      <x:c r="F585" s="33">
        <x:v>44880</x:v>
      </x:c>
      <x:c r="G585" s="32" t="n">
        <x:f t="shared" si="15">AVERAGE(E386:E585)</x:f>
        <x:v>166.01495000000003</x:v>
      </x:c>
      <x:c r="H585" s="37" t="n">
        <x:f t="shared" si="16">IFERROR(E585/G585-1,"")</x:f>
        <x:v>-0.14670335412563762</x:v>
      </x:c>
      <x:c r="I585" s="38" t="b">
        <x:f t="shared" si="17">E585&lt;G585</x:f>
        <x:v>1</x:v>
      </x:c>
    </x:row>
    <x:row r="586">
      <x:c r="A586" s="31">
        <x:v>37845</x:v>
      </x:c>
      <x:c r="B586" s="32">
        <x:v>141.80000000000001</x:v>
      </x:c>
      <x:c r="C586" s="32">
        <x:v>141.9</x:v>
      </x:c>
      <x:c r="D586" s="32">
        <x:v>141.80000000000001</x:v>
      </x:c>
      <x:c r="E586" s="32">
        <x:v>141.9</x:v>
      </x:c>
      <x:c r="F586" s="33">
        <x:v>70060</x:v>
      </x:c>
      <x:c r="G586" s="32" t="n">
        <x:f t="shared" si="15">AVERAGE(E387:E586)</x:f>
        <x:v>165.80530000000002</x:v>
      </x:c>
      <x:c r="H586" s="37" t="n">
        <x:f t="shared" si="16">IFERROR(E586/G586-1,"")</x:f>
        <x:v>-0.14417693523669028</x:v>
      </x:c>
      <x:c r="I586" s="38" t="b">
        <x:f t="shared" si="17">E586&lt;G586</x:f>
        <x:v>1</x:v>
      </x:c>
    </x:row>
    <x:row r="587">
      <x:c r="A587" s="31">
        <x:v>37846</x:v>
      </x:c>
      <x:c r="B587" s="32">
        <x:v>140.99</x:v>
      </x:c>
      <x:c r="C587" s="32">
        <x:v>141.88999999999999</x:v>
      </x:c>
      <x:c r="D587" s="32">
        <x:v>140.99</x:v>
      </x:c>
      <x:c r="E587" s="32">
        <x:v>141.88999999999999</x:v>
      </x:c>
      <x:c r="F587" s="33">
        <x:v>51980</x:v>
      </x:c>
      <x:c r="G587" s="32" t="n">
        <x:f t="shared" si="15">AVERAGE(E388:E587)</x:f>
        <x:v>165.6031</x:v>
      </x:c>
      <x:c r="H587" s="37" t="n">
        <x:f t="shared" si="16">IFERROR(E587/G587-1,"")</x:f>
        <x:v>-0.1431923677757242</x:v>
      </x:c>
      <x:c r="I587" s="38" t="b">
        <x:f t="shared" si="17">E587&lt;G587</x:f>
        <x:v>1</x:v>
      </x:c>
    </x:row>
    <x:row r="588">
      <x:c r="A588" s="31">
        <x:v>37847</x:v>
      </x:c>
      <x:c r="B588" s="32">
        <x:v>141.93</x:v>
      </x:c>
      <x:c r="C588" s="32">
        <x:v>142.72999999999999</x:v>
      </x:c>
      <x:c r="D588" s="32">
        <x:v>141.93</x:v>
      </x:c>
      <x:c r="E588" s="32">
        <x:v>142.72999999999999</x:v>
      </x:c>
      <x:c r="F588" s="33">
        <x:v>46180</x:v>
      </x:c>
      <x:c r="G588" s="32" t="n">
        <x:f t="shared" si="15">AVERAGE(E389:E588)</x:f>
        <x:v>165.41710000000003</x:v>
      </x:c>
      <x:c r="H588" s="37" t="n">
        <x:f t="shared" si="16">IFERROR(E588/G588-1,"")</x:f>
        <x:v>-0.13715087497000034</x:v>
      </x:c>
      <x:c r="I588" s="38" t="b">
        <x:f t="shared" si="17">E588&lt;G588</x:f>
        <x:v>1</x:v>
      </x:c>
    </x:row>
    <x:row r="589">
      <x:c r="A589" s="31">
        <x:v>37848</x:v>
      </x:c>
      <x:c r="B589" s="32">
        <x:v>143.49</x:v>
      </x:c>
      <x:c r="C589" s="32">
        <x:v>143.49</x:v>
      </x:c>
      <x:c r="D589" s="32">
        <x:v>142.9</x:v>
      </x:c>
      <x:c r="E589" s="32">
        <x:v>142.9</x:v>
      </x:c>
      <x:c r="F589" s="33">
        <x:v>84400</x:v>
      </x:c>
      <x:c r="G589" s="32" t="n">
        <x:f t="shared" ref="G589:G652" si="18">AVERAGE(E390:E589)</x:f>
        <x:v>165.22330000000002</x:v>
      </x:c>
      <x:c r="H589" s="37" t="n">
        <x:f t="shared" ref="H589:H652" si="19">IFERROR(E589/G589-1,"")</x:f>
        <x:v>-0.13510987857039547</x:v>
      </x:c>
      <x:c r="I589" s="38" t="b">
        <x:f t="shared" ref="I589:I652" si="20">E589&lt;G589</x:f>
        <x:v>1</x:v>
      </x:c>
    </x:row>
    <x:row r="590">
      <x:c r="A590" s="31">
        <x:v>37851</x:v>
      </x:c>
      <x:c r="B590" s="32">
        <x:v>143.25</x:v>
      </x:c>
      <x:c r="C590" s="32">
        <x:v>143.25</x:v>
      </x:c>
      <x:c r="D590" s="32">
        <x:v>143</x:v>
      </x:c>
      <x:c r="E590" s="32">
        <x:v>143</x:v>
      </x:c>
      <x:c r="F590" s="33">
        <x:v>79130</x:v>
      </x:c>
      <x:c r="G590" s="32" t="n">
        <x:f t="shared" si="18">AVERAGE(E391:E590)</x:f>
        <x:v>165.01995</x:v>
      </x:c>
      <x:c r="H590" s="37" t="n">
        <x:f t="shared" si="19">IFERROR(E590/G590-1,"")</x:f>
        <x:v>-0.13343810854384575</x:v>
      </x:c>
      <x:c r="I590" s="38" t="b">
        <x:f t="shared" si="20">E590&lt;G590</x:f>
        <x:v>1</x:v>
      </x:c>
    </x:row>
    <x:row r="591">
      <x:c r="A591" s="31">
        <x:v>37852</x:v>
      </x:c>
      <x:c r="B591" s="32">
        <x:v>142.9</x:v>
      </x:c>
      <x:c r="C591" s="32">
        <x:v>142.9</x:v>
      </x:c>
      <x:c r="D591" s="32">
        <x:v>142.87</x:v>
      </x:c>
      <x:c r="E591" s="32">
        <x:v>142.87</x:v>
      </x:c>
      <x:c r="F591" s="33">
        <x:v>38660</x:v>
      </x:c>
      <x:c r="G591" s="32" t="n">
        <x:f t="shared" si="18">AVERAGE(E392:E591)</x:f>
        <x:v>164.82119999999998</x:v>
      </x:c>
      <x:c r="H591" s="37" t="n">
        <x:f t="shared" si="19">IFERROR(E591/G591-1,"")</x:f>
        <x:v>-0.133181896503605</x:v>
      </x:c>
      <x:c r="I591" s="38" t="b">
        <x:f t="shared" si="20">E591&lt;G591</x:f>
        <x:v>1</x:v>
      </x:c>
    </x:row>
    <x:row r="592">
      <x:c r="A592" s="31">
        <x:v>37853</x:v>
      </x:c>
      <x:c r="B592" s="32">
        <x:v>142.63</x:v>
      </x:c>
      <x:c r="C592" s="32">
        <x:v>142.63</x:v>
      </x:c>
      <x:c r="D592" s="32">
        <x:v>142.25</x:v>
      </x:c>
      <x:c r="E592" s="32">
        <x:v>142.25</x:v>
      </x:c>
      <x:c r="F592" s="33">
        <x:v>63360</x:v>
      </x:c>
      <x:c r="G592" s="32" t="n">
        <x:f t="shared" si="18">AVERAGE(E393:E592)</x:f>
        <x:v>164.6218</x:v>
      </x:c>
      <x:c r="H592" s="37" t="n">
        <x:f t="shared" si="19">IFERROR(E592/G592-1,"")</x:f>
        <x:v>-0.1358981617258468</x:v>
      </x:c>
      <x:c r="I592" s="38" t="b">
        <x:f t="shared" si="20">E592&lt;G592</x:f>
        <x:v>1</x:v>
      </x:c>
    </x:row>
    <x:row r="593">
      <x:c r="A593" s="31">
        <x:v>37854</x:v>
      </x:c>
      <x:c r="B593" s="32">
        <x:v>142.16</x:v>
      </x:c>
      <x:c r="C593" s="32">
        <x:v>142.46</x:v>
      </x:c>
      <x:c r="D593" s="32">
        <x:v>142.16</x:v>
      </x:c>
      <x:c r="E593" s="32">
        <x:v>142.46</x:v>
      </x:c>
      <x:c r="F593" s="33">
        <x:v>56710</x:v>
      </x:c>
      <x:c r="G593" s="32" t="n">
        <x:f t="shared" si="18">AVERAGE(E394:E593)</x:f>
        <x:v>164.41925</x:v>
      </x:c>
      <x:c r="H593" s="37" t="n">
        <x:f t="shared" si="19">IFERROR(E593/G593-1,"")</x:f>
        <x:v>-0.13355644183999138</x:v>
      </x:c>
      <x:c r="I593" s="38" t="b">
        <x:f t="shared" si="20">E593&lt;G593</x:f>
        <x:v>1</x:v>
      </x:c>
    </x:row>
    <x:row r="594">
      <x:c r="A594" s="31">
        <x:v>37855</x:v>
      </x:c>
      <x:c r="B594" s="32">
        <x:v>142.56</x:v>
      </x:c>
      <x:c r="C594" s="32">
        <x:v>142.56</x:v>
      </x:c>
      <x:c r="D594" s="32">
        <x:v>142.1</x:v>
      </x:c>
      <x:c r="E594" s="32">
        <x:v>142.1</x:v>
      </x:c>
      <x:c r="F594" s="33">
        <x:v>30450</x:v>
      </x:c>
      <x:c r="G594" s="32" t="n">
        <x:f t="shared" si="18">AVERAGE(E395:E594)</x:f>
        <x:v>164.21555</x:v>
      </x:c>
      <x:c r="H594" s="37" t="n">
        <x:f t="shared" si="19">IFERROR(E594/G594-1,"")</x:f>
        <x:v>-0.13467390877416918</x:v>
      </x:c>
      <x:c r="I594" s="38" t="b">
        <x:f t="shared" si="20">E594&lt;G594</x:f>
        <x:v>1</x:v>
      </x:c>
    </x:row>
    <x:row r="595">
      <x:c r="A595" s="31">
        <x:v>37858</x:v>
      </x:c>
      <x:c r="B595" s="32">
        <x:v>142.01</x:v>
      </x:c>
      <x:c r="C595" s="32">
        <x:v>142.26</x:v>
      </x:c>
      <x:c r="D595" s="32">
        <x:v>142.01</x:v>
      </x:c>
      <x:c r="E595" s="32">
        <x:v>142.26</x:v>
      </x:c>
      <x:c r="F595" s="33">
        <x:v>47720</x:v>
      </x:c>
      <x:c r="G595" s="32" t="n">
        <x:f t="shared" si="18">AVERAGE(E396:E595)</x:f>
        <x:v>164.00985</x:v>
      </x:c>
      <x:c r="H595" s="37" t="n">
        <x:f t="shared" si="19">IFERROR(E595/G595-1,"")</x:f>
        <x:v>-0.1326130717149001</x:v>
      </x:c>
      <x:c r="I595" s="38" t="b">
        <x:f t="shared" si="20">E595&lt;G595</x:f>
        <x:v>1</x:v>
      </x:c>
    </x:row>
    <x:row r="596">
      <x:c r="A596" s="31">
        <x:v>37859</x:v>
      </x:c>
      <x:c r="B596" s="32">
        <x:v>142.43</x:v>
      </x:c>
      <x:c r="C596" s="32">
        <x:v>142.43</x:v>
      </x:c>
      <x:c r="D596" s="32">
        <x:v>142.24</x:v>
      </x:c>
      <x:c r="E596" s="32">
        <x:v>142.24</x:v>
      </x:c>
      <x:c r="F596" s="33">
        <x:v>33540</x:v>
      </x:c>
      <x:c r="G596" s="32" t="n">
        <x:f t="shared" si="18">AVERAGE(E397:E596)</x:f>
        <x:v>163.80859999999998</x:v>
      </x:c>
      <x:c r="H596" s="37" t="n">
        <x:f t="shared" si="19">IFERROR(E596/G596-1,"")</x:f>
        <x:v>-0.13166952162462764</x:v>
      </x:c>
      <x:c r="I596" s="38" t="b">
        <x:f t="shared" si="20">E596&lt;G596</x:f>
        <x:v>1</x:v>
      </x:c>
    </x:row>
    <x:row r="597">
      <x:c r="A597" s="31">
        <x:v>37860</x:v>
      </x:c>
      <x:c r="B597" s="32">
        <x:v>142.82</x:v>
      </x:c>
      <x:c r="C597" s="32">
        <x:v>142.82</x:v>
      </x:c>
      <x:c r="D597" s="32">
        <x:v>142.68</x:v>
      </x:c>
      <x:c r="E597" s="32">
        <x:v>142.68</x:v>
      </x:c>
      <x:c r="F597" s="33">
        <x:v>64360</x:v>
      </x:c>
      <x:c r="G597" s="32" t="n">
        <x:f t="shared" si="18">AVERAGE(E398:E597)</x:f>
        <x:v>163.61345</x:v>
      </x:c>
      <x:c r="H597" s="37" t="n">
        <x:f t="shared" si="19">IFERROR(E597/G597-1,"")</x:f>
        <x:v>-0.12794455468055954</x:v>
      </x:c>
      <x:c r="I597" s="38" t="b">
        <x:f t="shared" si="20">E597&lt;G597</x:f>
        <x:v>1</x:v>
      </x:c>
    </x:row>
    <x:row r="598">
      <x:c r="A598" s="31">
        <x:v>37861</x:v>
      </x:c>
      <x:c r="B598" s="32">
        <x:v>142.32</x:v>
      </x:c>
      <x:c r="C598" s="32">
        <x:v>142.32</x:v>
      </x:c>
      <x:c r="D598" s="32">
        <x:v>142.1</x:v>
      </x:c>
      <x:c r="E598" s="32">
        <x:v>142.1</x:v>
      </x:c>
      <x:c r="F598" s="33">
        <x:v>65660</x:v>
      </x:c>
      <x:c r="G598" s="32" t="n">
        <x:f t="shared" si="18">AVERAGE(E399:E598)</x:f>
        <x:v>163.42385</x:v>
      </x:c>
      <x:c r="H598" s="37" t="n">
        <x:f t="shared" si="19">IFERROR(E598/G598-1,"")</x:f>
        <x:v>-0.13048187274990763</x:v>
      </x:c>
      <x:c r="I598" s="38" t="b">
        <x:f t="shared" si="20">E598&lt;G598</x:f>
        <x:v>1</x:v>
      </x:c>
    </x:row>
    <x:row r="599">
      <x:c r="A599" s="31">
        <x:v>37862</x:v>
      </x:c>
      <x:c r="B599" s="32">
        <x:v>142.11000000000001</x:v>
      </x:c>
      <x:c r="C599" s="32">
        <x:v>142.71</x:v>
      </x:c>
      <x:c r="D599" s="32">
        <x:v>142.11000000000001</x:v>
      </x:c>
      <x:c r="E599" s="32">
        <x:v>142.71</x:v>
      </x:c>
      <x:c r="F599" s="33">
        <x:v>98130</x:v>
      </x:c>
      <x:c r="G599" s="32" t="n">
        <x:f t="shared" si="18">AVERAGE(E400:E599)</x:f>
        <x:v>163.24314999999996</x:v>
      </x:c>
      <x:c r="H599" s="37" t="n">
        <x:f t="shared" si="19">IFERROR(E599/G599-1,"")</x:f>
        <x:v>-0.12578261323675732</x:v>
      </x:c>
      <x:c r="I599" s="38" t="b">
        <x:f t="shared" si="20">E599&lt;G599</x:f>
        <x:v>1</x:v>
      </x:c>
    </x:row>
    <x:row r="600">
      <x:c r="A600" s="31">
        <x:v>37867</x:v>
      </x:c>
      <x:c r="B600" s="32">
        <x:v>142.51</x:v>
      </x:c>
      <x:c r="C600" s="32">
        <x:v>142.51</x:v>
      </x:c>
      <x:c r="D600" s="32">
        <x:v>142.11000000000001</x:v>
      </x:c>
      <x:c r="E600" s="32">
        <x:v>142.11000000000001</x:v>
      </x:c>
      <x:c r="F600" s="33">
        <x:v>86100</x:v>
      </x:c>
      <x:c r="G600" s="32" t="n">
        <x:f t="shared" si="18">AVERAGE(E401:E600)</x:f>
        <x:v>163.05819999999997</x:v>
      </x:c>
      <x:c r="H600" s="37" t="n">
        <x:f t="shared" si="19">IFERROR(E600/G600-1,"")</x:f>
        <x:v>-0.12847069328620064</x:v>
      </x:c>
      <x:c r="I600" s="38" t="b">
        <x:f t="shared" si="20">E600&lt;G600</x:f>
        <x:v>1</x:v>
      </x:c>
    </x:row>
    <x:row r="601">
      <x:c r="A601" s="31">
        <x:v>37868</x:v>
      </x:c>
      <x:c r="B601" s="32">
        <x:v>142.25</x:v>
      </x:c>
      <x:c r="C601" s="32">
        <x:v>142.25</x:v>
      </x:c>
      <x:c r="D601" s="32">
        <x:v>142.05000000000001</x:v>
      </x:c>
      <x:c r="E601" s="32">
        <x:v>142.05000000000001</x:v>
      </x:c>
      <x:c r="F601" s="33">
        <x:v>60120</x:v>
      </x:c>
      <x:c r="G601" s="32" t="n">
        <x:f t="shared" si="18">AVERAGE(E402:E601)</x:f>
        <x:v>162.87179999999998</x:v>
      </x:c>
      <x:c r="H601" s="37" t="n">
        <x:f t="shared" si="19">IFERROR(E601/G601-1,"")</x:f>
        <x:v>-0.12784165214604348</x:v>
      </x:c>
      <x:c r="I601" s="38" t="b">
        <x:f t="shared" si="20">E601&lt;G601</x:f>
        <x:v>1</x:v>
      </x:c>
    </x:row>
    <x:row r="602">
      <x:c r="A602" s="31">
        <x:v>37869</x:v>
      </x:c>
      <x:c r="B602" s="32">
        <x:v>141.96</x:v>
      </x:c>
      <x:c r="C602" s="32">
        <x:v>141.96</x:v>
      </x:c>
      <x:c r="D602" s="32">
        <x:v>141.80000000000001</x:v>
      </x:c>
      <x:c r="E602" s="32">
        <x:v>141.80000000000001</x:v>
      </x:c>
      <x:c r="F602" s="33">
        <x:v>75760</x:v>
      </x:c>
      <x:c r="G602" s="32" t="n">
        <x:f t="shared" si="18">AVERAGE(E403:E602)</x:f>
        <x:v>162.68029999999996</x:v>
      </x:c>
      <x:c r="H602" s="37" t="n">
        <x:f t="shared" si="19">IFERROR(E602/G602-1,"")</x:f>
        <x:v>-0.12835174265107674</x:v>
      </x:c>
      <x:c r="I602" s="38" t="b">
        <x:f t="shared" si="20">E602&lt;G602</x:f>
        <x:v>1</x:v>
      </x:c>
    </x:row>
    <x:row r="603">
      <x:c r="A603" s="31">
        <x:v>37872</x:v>
      </x:c>
      <x:c r="B603" s="32">
        <x:v>141.80000000000001</x:v>
      </x:c>
      <x:c r="C603" s="32">
        <x:v>141.80000000000001</x:v>
      </x:c>
      <x:c r="D603" s="32">
        <x:v>141.51</x:v>
      </x:c>
      <x:c r="E603" s="32">
        <x:v>141.51</x:v>
      </x:c>
      <x:c r="F603" s="33">
        <x:v>65130</x:v>
      </x:c>
      <x:c r="G603" s="32" t="n">
        <x:f t="shared" si="18">AVERAGE(E404:E603)</x:f>
        <x:v>162.48469999999995</x:v>
      </x:c>
      <x:c r="H603" s="37" t="n">
        <x:f t="shared" si="19">IFERROR(E603/G603-1,"")</x:f>
        <x:v>-0.12908723098236308</x:v>
      </x:c>
      <x:c r="I603" s="38" t="b">
        <x:f t="shared" si="20">E603&lt;G603</x:f>
        <x:v>1</x:v>
      </x:c>
    </x:row>
    <x:row r="604">
      <x:c r="A604" s="31">
        <x:v>37873</x:v>
      </x:c>
      <x:c r="B604" s="32">
        <x:v>141.44</x:v>
      </x:c>
      <x:c r="C604" s="32">
        <x:v>141.72999999999999</x:v>
      </x:c>
      <x:c r="D604" s="32">
        <x:v>141.44</x:v>
      </x:c>
      <x:c r="E604" s="32">
        <x:v>141.72999999999999</x:v>
      </x:c>
      <x:c r="F604" s="33">
        <x:v>33330</x:v>
      </x:c>
      <x:c r="G604" s="32" t="n">
        <x:f t="shared" si="18">AVERAGE(E405:E604)</x:f>
        <x:v>162.29269999999997</x:v>
      </x:c>
      <x:c r="H604" s="37" t="n">
        <x:f t="shared" si="19">IFERROR(E604/G604-1,"")</x:f>
        <x:v>-0.12670132421236435</x:v>
      </x:c>
      <x:c r="I604" s="38" t="b">
        <x:f t="shared" si="20">E604&lt;G604</x:f>
        <x:v>1</x:v>
      </x:c>
    </x:row>
    <x:row r="605">
      <x:c r="A605" s="31">
        <x:v>37874</x:v>
      </x:c>
      <x:c r="B605" s="32">
        <x:v>141.61000000000001</x:v>
      </x:c>
      <x:c r="C605" s="32">
        <x:v>141.61000000000001</x:v>
      </x:c>
      <x:c r="D605" s="32">
        <x:v>141.5</x:v>
      </x:c>
      <x:c r="E605" s="32">
        <x:v>141.5</x:v>
      </x:c>
      <x:c r="F605" s="33">
        <x:v>64720</x:v>
      </x:c>
      <x:c r="G605" s="32" t="n">
        <x:f t="shared" si="18">AVERAGE(E406:E605)</x:f>
        <x:v>162.10189999999994</x:v>
      </x:c>
      <x:c r="H605" s="37" t="n">
        <x:f t="shared" si="19">IFERROR(E605/G605-1,"")</x:f>
        <x:v>-0.12709227960930713</x:v>
      </x:c>
      <x:c r="I605" s="38" t="b">
        <x:f t="shared" si="20">E605&lt;G605</x:f>
        <x:v>1</x:v>
      </x:c>
    </x:row>
    <x:row r="606">
      <x:c r="A606" s="31">
        <x:v>37875</x:v>
      </x:c>
      <x:c r="B606" s="32">
        <x:v>141.4</x:v>
      </x:c>
      <x:c r="C606" s="32">
        <x:v>141.4</x:v>
      </x:c>
      <x:c r="D606" s="32">
        <x:v>141.4</x:v>
      </x:c>
      <x:c r="E606" s="32">
        <x:v>141.4</x:v>
      </x:c>
      <x:c r="F606" s="33">
        <x:v>37030</x:v>
      </x:c>
      <x:c r="G606" s="32" t="n">
        <x:f t="shared" si="18">AVERAGE(E407:E606)</x:f>
        <x:v>161.91569999999996</x:v>
      </x:c>
      <x:c r="H606" s="37" t="n">
        <x:f t="shared" si="19">IFERROR(E606/G606-1,"")</x:f>
        <x:v>-0.1267060575348774</x:v>
      </x:c>
      <x:c r="I606" s="38" t="b">
        <x:f t="shared" si="20">E606&lt;G606</x:f>
        <x:v>1</x:v>
      </x:c>
    </x:row>
    <x:row r="607">
      <x:c r="A607" s="31">
        <x:v>37876</x:v>
      </x:c>
      <x:c r="B607" s="32">
        <x:v>140.53</x:v>
      </x:c>
      <x:c r="C607" s="32">
        <x:v>140.91</x:v>
      </x:c>
      <x:c r="D607" s="32">
        <x:v>140.53</x:v>
      </x:c>
      <x:c r="E607" s="32">
        <x:v>140.91</x:v>
      </x:c>
      <x:c r="F607" s="33">
        <x:v>50560</x:v>
      </x:c>
      <x:c r="G607" s="32" t="n">
        <x:f t="shared" si="18">AVERAGE(E408:E607)</x:f>
        <x:v>161.72694999999996</x:v>
      </x:c>
      <x:c r="H607" s="37" t="n">
        <x:f t="shared" si="19">IFERROR(E607/G607-1,"")</x:f>
        <x:v>-0.128716642464351</x:v>
      </x:c>
      <x:c r="I607" s="38" t="b">
        <x:f t="shared" si="20">E607&lt;G607</x:f>
        <x:v>1</x:v>
      </x:c>
    </x:row>
    <x:row r="608">
      <x:c r="A608" s="31">
        <x:v>37879</x:v>
      </x:c>
      <x:c r="B608" s="32">
        <x:v>140.62</x:v>
      </x:c>
      <x:c r="C608" s="32">
        <x:v>140.62</x:v>
      </x:c>
      <x:c r="D608" s="32">
        <x:v>140.18</x:v>
      </x:c>
      <x:c r="E608" s="32">
        <x:v>140.18</x:v>
      </x:c>
      <x:c r="F608" s="33">
        <x:v>33150</x:v>
      </x:c>
      <x:c r="G608" s="32" t="n">
        <x:f t="shared" si="18">AVERAGE(E409:E608)</x:f>
        <x:v>161.53089999999997</x:v>
      </x:c>
      <x:c r="H608" s="37" t="n">
        <x:f t="shared" si="19">IFERROR(E608/G608-1,"")</x:f>
        <x:v>-0.13217842530438428</x:v>
      </x:c>
      <x:c r="I608" s="38" t="b">
        <x:f t="shared" si="20">E608&lt;G608</x:f>
        <x:v>1</x:v>
      </x:c>
    </x:row>
    <x:row r="609">
      <x:c r="A609" s="31">
        <x:v>37880</x:v>
      </x:c>
      <x:c r="B609" s="32">
        <x:v>140</x:v>
      </x:c>
      <x:c r="C609" s="32">
        <x:v>140.06</x:v>
      </x:c>
      <x:c r="D609" s="32">
        <x:v>140</x:v>
      </x:c>
      <x:c r="E609" s="32">
        <x:v>140.06</x:v>
      </x:c>
      <x:c r="F609" s="33">
        <x:v>37370</x:v>
      </x:c>
      <x:c r="G609" s="32" t="n">
        <x:f t="shared" si="18">AVERAGE(E410:E609)</x:f>
        <x:v>161.33569999999995</x:v>
      </x:c>
      <x:c r="H609" s="37" t="n">
        <x:f t="shared" si="19">IFERROR(E609/G609-1,"")</x:f>
        <x:v>-0.13187223906426138</x:v>
      </x:c>
      <x:c r="I609" s="38" t="b">
        <x:f t="shared" si="20">E609&lt;G609</x:f>
        <x:v>1</x:v>
      </x:c>
    </x:row>
    <x:row r="610">
      <x:c r="A610" s="31">
        <x:v>37881</x:v>
      </x:c>
      <x:c r="B610" s="32">
        <x:v>139.94999999999999</x:v>
      </x:c>
      <x:c r="C610" s="32">
        <x:v>140.33000000000001</x:v>
      </x:c>
      <x:c r="D610" s="32">
        <x:v>139.94999999999999</x:v>
      </x:c>
      <x:c r="E610" s="32">
        <x:v>140.33000000000001</x:v>
      </x:c>
      <x:c r="F610" s="33">
        <x:v>35130</x:v>
      </x:c>
      <x:c r="G610" s="32" t="n">
        <x:f t="shared" si="18">AVERAGE(E411:E610)</x:f>
        <x:v>161.14264999999995</x:v>
      </x:c>
      <x:c r="H610" s="37" t="n">
        <x:f t="shared" si="19">IFERROR(E610/G610-1,"")</x:f>
        <x:v>-0.12915668198332309</x:v>
      </x:c>
      <x:c r="I610" s="38" t="b">
        <x:f t="shared" si="20">E610&lt;G610</x:f>
        <x:v>1</x:v>
      </x:c>
    </x:row>
    <x:row r="611">
      <x:c r="A611" s="31">
        <x:v>37882</x:v>
      </x:c>
      <x:c r="B611" s="32">
        <x:v>140.27000000000001</x:v>
      </x:c>
      <x:c r="C611" s="32">
        <x:v>140.27000000000001</x:v>
      </x:c>
      <x:c r="D611" s="32">
        <x:v>140.26</x:v>
      </x:c>
      <x:c r="E611" s="32">
        <x:v>140.26</x:v>
      </x:c>
      <x:c r="F611" s="33">
        <x:v>24220</x:v>
      </x:c>
      <x:c r="G611" s="32" t="n">
        <x:f t="shared" si="18">AVERAGE(E412:E611)</x:f>
        <x:v>160.94989999999996</x:v>
      </x:c>
      <x:c r="H611" s="37" t="n">
        <x:f t="shared" si="19">IFERROR(E611/G611-1,"")</x:f>
        <x:v>-0.12854869745181552</x:v>
      </x:c>
      <x:c r="I611" s="38" t="b">
        <x:f t="shared" si="20">E611&lt;G611</x:f>
        <x:v>1</x:v>
      </x:c>
    </x:row>
    <x:row r="612">
      <x:c r="A612" s="31">
        <x:v>37883</x:v>
      </x:c>
      <x:c r="B612" s="32">
        <x:v>140.13999999999999</x:v>
      </x:c>
      <x:c r="C612" s="32">
        <x:v>140.13999999999999</x:v>
      </x:c>
      <x:c r="D612" s="32">
        <x:v>139.88999999999999</x:v>
      </x:c>
      <x:c r="E612" s="32">
        <x:v>139.88999999999999</x:v>
      </x:c>
      <x:c r="F612" s="33">
        <x:v>37880</x:v>
      </x:c>
      <x:c r="G612" s="32" t="n">
        <x:f t="shared" si="18">AVERAGE(E413:E612)</x:f>
        <x:v>160.75534999999996</x:v>
      </x:c>
      <x:c r="H612" s="37" t="n">
        <x:f t="shared" si="19">IFERROR(E612/G612-1,"")</x:f>
        <x:v>-0.12979568020597754</x:v>
      </x:c>
      <x:c r="I612" s="38" t="b">
        <x:f t="shared" si="20">E612&lt;G612</x:f>
        <x:v>1</x:v>
      </x:c>
    </x:row>
    <x:row r="613">
      <x:c r="A613" s="31">
        <x:v>37886</x:v>
      </x:c>
      <x:c r="B613" s="32">
        <x:v>139.85</x:v>
      </x:c>
      <x:c r="C613" s="32">
        <x:v>139.97</x:v>
      </x:c>
      <x:c r="D613" s="32">
        <x:v>139.85</x:v>
      </x:c>
      <x:c r="E613" s="32">
        <x:v>139.97</x:v>
      </x:c>
      <x:c r="F613" s="33">
        <x:v>77890</x:v>
      </x:c>
      <x:c r="G613" s="32" t="n">
        <x:f t="shared" si="18">AVERAGE(E414:E613)</x:f>
        <x:v>160.56559999999996</x:v>
      </x:c>
      <x:c r="H613" s="37" t="n">
        <x:f t="shared" si="19">IFERROR(E613/G613-1,"")</x:f>
        <x:v>-0.12826906884164457</x:v>
      </x:c>
      <x:c r="I613" s="38" t="b">
        <x:f t="shared" si="20">E613&lt;G613</x:f>
        <x:v>1</x:v>
      </x:c>
    </x:row>
    <x:row r="614">
      <x:c r="A614" s="31">
        <x:v>37887</x:v>
      </x:c>
      <x:c r="B614" s="32">
        <x:v>139.86000000000001</x:v>
      </x:c>
      <x:c r="C614" s="32">
        <x:v>140</x:v>
      </x:c>
      <x:c r="D614" s="32">
        <x:v>139.86000000000001</x:v>
      </x:c>
      <x:c r="E614" s="32">
        <x:v>140</x:v>
      </x:c>
      <x:c r="F614" s="33">
        <x:v>48270</x:v>
      </x:c>
      <x:c r="G614" s="32" t="n">
        <x:f t="shared" si="18">AVERAGE(E415:E614)</x:f>
        <x:v>160.37754999999996</x:v>
      </x:c>
      <x:c r="H614" s="37" t="n">
        <x:f t="shared" si="19">IFERROR(E614/G614-1,"")</x:f>
        <x:v>-0.1270598659226304</x:v>
      </x:c>
      <x:c r="I614" s="38" t="b">
        <x:f t="shared" si="20">E614&lt;G614</x:f>
        <x:v>1</x:v>
      </x:c>
    </x:row>
    <x:row r="615">
      <x:c r="A615" s="31">
        <x:v>37888</x:v>
      </x:c>
      <x:c r="B615" s="32">
        <x:v>140.19</x:v>
      </x:c>
      <x:c r="C615" s="32">
        <x:v>140.19</x:v>
      </x:c>
      <x:c r="D615" s="32">
        <x:v>139.88</x:v>
      </x:c>
      <x:c r="E615" s="32">
        <x:v>139.88</x:v>
      </x:c>
      <x:c r="F615" s="33">
        <x:v>70740</x:v>
      </x:c>
      <x:c r="G615" s="32" t="n">
        <x:f t="shared" si="18">AVERAGE(E416:E615)</x:f>
        <x:v>160.18889999999996</x:v>
      </x:c>
      <x:c r="H615" s="37" t="n">
        <x:f t="shared" si="19">IFERROR(E615/G615-1,"")</x:f>
        <x:v>-0.12678094424769737</x:v>
      </x:c>
      <x:c r="I615" s="38" t="b">
        <x:f t="shared" si="20">E615&lt;G615</x:f>
        <x:v>1</x:v>
      </x:c>
    </x:row>
    <x:row r="616">
      <x:c r="A616" s="31">
        <x:v>37889</x:v>
      </x:c>
      <x:c r="B616" s="32">
        <x:v>141.80000000000001</x:v>
      </x:c>
      <x:c r="C616" s="32">
        <x:v>141.80000000000001</x:v>
      </x:c>
      <x:c r="D616" s="32">
        <x:v>141.54</x:v>
      </x:c>
      <x:c r="E616" s="32">
        <x:v>141.54</x:v>
      </x:c>
      <x:c r="F616" s="33">
        <x:v>47110</x:v>
      </x:c>
      <x:c r="G616" s="32" t="n">
        <x:f t="shared" si="18">AVERAGE(E417:E616)</x:f>
        <x:v>160.00984999999997</x:v>
      </x:c>
      <x:c r="H616" s="37" t="n">
        <x:f t="shared" si="19">IFERROR(E616/G616-1,"")</x:f>
        <x:v>-0.11542945637409185</x:v>
      </x:c>
      <x:c r="I616" s="38" t="b">
        <x:f t="shared" si="20">E616&lt;G616</x:f>
        <x:v>1</x:v>
      </x:c>
    </x:row>
    <x:row r="617">
      <x:c r="A617" s="31">
        <x:v>37890</x:v>
      </x:c>
      <x:c r="B617" s="32">
        <x:v>141.25</x:v>
      </x:c>
      <x:c r="C617" s="32">
        <x:v>141.25</x:v>
      </x:c>
      <x:c r="D617" s="32">
        <x:v>139.93</x:v>
      </x:c>
      <x:c r="E617" s="32">
        <x:v>139.93</x:v>
      </x:c>
      <x:c r="F617" s="33">
        <x:v>76260</x:v>
      </x:c>
      <x:c r="G617" s="32" t="n">
        <x:f t="shared" si="18">AVERAGE(E418:E617)</x:f>
        <x:v>159.82664999999997</x:v>
      </x:c>
      <x:c r="H617" s="37" t="n">
        <x:f t="shared" si="19">IFERROR(E617/G617-1,"")</x:f>
        <x:v>-0.12448893848428888</x:v>
      </x:c>
      <x:c r="I617" s="38" t="b">
        <x:f t="shared" si="20">E617&lt;G617</x:f>
        <x:v>1</x:v>
      </x:c>
    </x:row>
    <x:row r="618">
      <x:c r="A618" s="31">
        <x:v>37893</x:v>
      </x:c>
      <x:c r="B618" s="32">
        <x:v>140.07</x:v>
      </x:c>
      <x:c r="C618" s="32">
        <x:v>140.07</x:v>
      </x:c>
      <x:c r="D618" s="32">
        <x:v>139.27000000000001</x:v>
      </x:c>
      <x:c r="E618" s="32">
        <x:v>139.27000000000001</x:v>
      </x:c>
      <x:c r="F618" s="33">
        <x:v>34820</x:v>
      </x:c>
      <x:c r="G618" s="32" t="n">
        <x:f t="shared" si="18">AVERAGE(E419:E618)</x:f>
        <x:v>159.64789999999996</x:v>
      </x:c>
      <x:c r="H618" s="37" t="n">
        <x:f t="shared" si="19">IFERROR(E618/G618-1,"")</x:f>
        <x:v>-0.12764276886824044</x:v>
      </x:c>
      <x:c r="I618" s="38" t="b">
        <x:f t="shared" si="20">E618&lt;G618</x:f>
        <x:v>1</x:v>
      </x:c>
    </x:row>
    <x:row r="619">
      <x:c r="A619" s="31">
        <x:v>37894</x:v>
      </x:c>
      <x:c r="B619" s="32">
        <x:v>139.22</x:v>
      </x:c>
      <x:c r="C619" s="32">
        <x:v>139.32</x:v>
      </x:c>
      <x:c r="D619" s="32">
        <x:v>139.22</x:v>
      </x:c>
      <x:c r="E619" s="32">
        <x:v>139.32</x:v>
      </x:c>
      <x:c r="F619" s="33">
        <x:v>31870</x:v>
      </x:c>
      <x:c r="G619" s="32" t="n">
        <x:f t="shared" si="18">AVERAGE(E420:E619)</x:f>
        <x:v>159.47029999999998</x:v>
      </x:c>
      <x:c r="H619" s="37" t="n">
        <x:f t="shared" si="19">IFERROR(E619/G619-1,"")</x:f>
        <x:v>-0.12635769795378815</x:v>
      </x:c>
      <x:c r="I619" s="38" t="b">
        <x:f t="shared" si="20">E619&lt;G619</x:f>
        <x:v>1</x:v>
      </x:c>
    </x:row>
    <x:row r="620">
      <x:c r="A620" s="31">
        <x:v>37895</x:v>
      </x:c>
      <x:c r="B620" s="32">
        <x:v>139.31</x:v>
      </x:c>
      <x:c r="C620" s="32">
        <x:v>139.31</x:v>
      </x:c>
      <x:c r="D620" s="32">
        <x:v>139.19</x:v>
      </x:c>
      <x:c r="E620" s="32">
        <x:v>139.19</x:v>
      </x:c>
      <x:c r="F620" s="33">
        <x:v>50580</x:v>
      </x:c>
      <x:c r="G620" s="32" t="n">
        <x:f t="shared" si="18">AVERAGE(E421:E620)</x:f>
        <x:v>159.29314999999997</x:v>
      </x:c>
      <x:c r="H620" s="37" t="n">
        <x:f t="shared" si="19">IFERROR(E620/G620-1,"")</x:f>
        <x:v>-0.12620222526831804</x:v>
      </x:c>
      <x:c r="I620" s="38" t="b">
        <x:f t="shared" si="20">E620&lt;G620</x:f>
        <x:v>1</x:v>
      </x:c>
    </x:row>
    <x:row r="621">
      <x:c r="A621" s="31">
        <x:v>37896</x:v>
      </x:c>
      <x:c r="B621" s="32">
        <x:v>139.06</x:v>
      </x:c>
      <x:c r="C621" s="32">
        <x:v>139.06</x:v>
      </x:c>
      <x:c r="D621" s="32">
        <x:v>138.91999999999999</x:v>
      </x:c>
      <x:c r="E621" s="32">
        <x:v>138.91999999999999</x:v>
      </x:c>
      <x:c r="F621" s="33">
        <x:v>51480</x:v>
      </x:c>
      <x:c r="G621" s="32" t="n">
        <x:f t="shared" si="18">AVERAGE(E422:E621)</x:f>
        <x:v>159.11334999999997</x:v>
      </x:c>
      <x:c r="H621" s="37" t="n">
        <x:f t="shared" si="19">IFERROR(E621/G621-1,"")</x:f>
        <x:v>-0.12691172676585583</x:v>
      </x:c>
      <x:c r="I621" s="38" t="b">
        <x:f t="shared" si="20">E621&lt;G621</x:f>
        <x:v>1</x:v>
      </x:c>
    </x:row>
    <x:row r="622">
      <x:c r="A622" s="31">
        <x:v>37897</x:v>
      </x:c>
      <x:c r="B622" s="32">
        <x:v>138.94</x:v>
      </x:c>
      <x:c r="C622" s="32">
        <x:v>138.94</x:v>
      </x:c>
      <x:c r="D622" s="32">
        <x:v>138.63</x:v>
      </x:c>
      <x:c r="E622" s="32">
        <x:v>138.63</x:v>
      </x:c>
      <x:c r="F622" s="33">
        <x:v>53130</x:v>
      </x:c>
      <x:c r="G622" s="32" t="n">
        <x:f t="shared" si="18">AVERAGE(E423:E622)</x:f>
        <x:v>158.93054999999995</x:v>
      </x:c>
      <x:c r="H622" s="37" t="n">
        <x:f t="shared" si="19">IFERROR(E622/G622-1,"")</x:f>
        <x:v>-0.12773220755858428</x:v>
      </x:c>
      <x:c r="I622" s="38" t="b">
        <x:f t="shared" si="20">E622&lt;G622</x:f>
        <x:v>1</x:v>
      </x:c>
    </x:row>
    <x:row r="623">
      <x:c r="A623" s="31">
        <x:v>37900</x:v>
      </x:c>
      <x:c r="B623" s="32">
        <x:v>137.61000000000001</x:v>
      </x:c>
      <x:c r="C623" s="32">
        <x:v>138.5</x:v>
      </x:c>
      <x:c r="D623" s="32">
        <x:v>137.61000000000001</x:v>
      </x:c>
      <x:c r="E623" s="32">
        <x:v>138.5</x:v>
      </x:c>
      <x:c r="F623" s="33">
        <x:v>55450</x:v>
      </x:c>
      <x:c r="G623" s="32" t="n">
        <x:f t="shared" si="18">AVERAGE(E424:E623)</x:f>
        <x:v>158.74669999999998</x:v>
      </x:c>
      <x:c r="H623" s="37" t="n">
        <x:f t="shared" si="19">IFERROR(E623/G623-1,"")</x:f>
        <x:v>-0.12754091896083497</x:v>
      </x:c>
      <x:c r="I623" s="38" t="b">
        <x:f t="shared" si="20">E623&lt;G623</x:f>
        <x:v>1</x:v>
      </x:c>
    </x:row>
    <x:row r="624">
      <x:c r="A624" s="31">
        <x:v>37901</x:v>
      </x:c>
      <x:c r="B624" s="32">
        <x:v>137.52000000000001</x:v>
      </x:c>
      <x:c r="C624" s="32">
        <x:v>138.22</x:v>
      </x:c>
      <x:c r="D624" s="32">
        <x:v>137.52000000000001</x:v>
      </x:c>
      <x:c r="E624" s="32">
        <x:v>138.22</x:v>
      </x:c>
      <x:c r="F624" s="33">
        <x:v>49490</x:v>
      </x:c>
      <x:c r="G624" s="32" t="n">
        <x:f t="shared" si="18">AVERAGE(E425:E624)</x:f>
        <x:v>158.55965</x:v>
      </x:c>
      <x:c r="H624" s="37" t="n">
        <x:f t="shared" si="19">IFERROR(E624/G624-1,"")</x:f>
        <x:v>-0.1282775914301022</x:v>
      </x:c>
      <x:c r="I624" s="38" t="b">
        <x:f t="shared" si="20">E624&lt;G624</x:f>
        <x:v>1</x:v>
      </x:c>
    </x:row>
    <x:row r="625">
      <x:c r="A625" s="31">
        <x:v>37902</x:v>
      </x:c>
      <x:c r="B625" s="32">
        <x:v>136.71</x:v>
      </x:c>
      <x:c r="C625" s="32">
        <x:v>137.25</x:v>
      </x:c>
      <x:c r="D625" s="32">
        <x:v>136.71</x:v>
      </x:c>
      <x:c r="E625" s="32">
        <x:v>137.25</x:v>
      </x:c>
      <x:c r="F625" s="33">
        <x:v>27310</x:v>
      </x:c>
      <x:c r="G625" s="32" t="n">
        <x:f t="shared" si="18">AVERAGE(E426:E625)</x:f>
        <x:v>158.3688</x:v>
      </x:c>
      <x:c r="H625" s="37" t="n">
        <x:f t="shared" si="19">IFERROR(E625/G625-1,"")</x:f>
        <x:v>-0.1333520238834922</x:v>
      </x:c>
      <x:c r="I625" s="38" t="b">
        <x:f t="shared" si="20">E625&lt;G625</x:f>
        <x:v>1</x:v>
      </x:c>
    </x:row>
    <x:row r="626">
      <x:c r="A626" s="31">
        <x:v>37903</x:v>
      </x:c>
      <x:c r="B626" s="32">
        <x:v>137.32</x:v>
      </x:c>
      <x:c r="C626" s="32">
        <x:v>137.32</x:v>
      </x:c>
      <x:c r="D626" s="32">
        <x:v>136.94999999999999</x:v>
      </x:c>
      <x:c r="E626" s="32">
        <x:v>136.94999999999999</x:v>
      </x:c>
      <x:c r="F626" s="33">
        <x:v>50650</x:v>
      </x:c>
      <x:c r="G626" s="32" t="n">
        <x:f t="shared" si="18">AVERAGE(E427:E626)</x:f>
        <x:v>158.1747</x:v>
      </x:c>
      <x:c r="H626" s="37" t="n">
        <x:f t="shared" si="19">IFERROR(E626/G626-1,"")</x:f>
        <x:v>-0.13418517626396642</x:v>
      </x:c>
      <x:c r="I626" s="38" t="b">
        <x:f t="shared" si="20">E626&lt;G626</x:f>
        <x:v>1</x:v>
      </x:c>
    </x:row>
    <x:row r="627">
      <x:c r="A627" s="31">
        <x:v>37904</x:v>
      </x:c>
      <x:c r="B627" s="32">
        <x:v>136.72</x:v>
      </x:c>
      <x:c r="C627" s="32">
        <x:v>136.72</x:v>
      </x:c>
      <x:c r="D627" s="32">
        <x:v>136.57</x:v>
      </x:c>
      <x:c r="E627" s="32">
        <x:v>136.57</x:v>
      </x:c>
      <x:c r="F627" s="33">
        <x:v>65010</x:v>
      </x:c>
      <x:c r="G627" s="32" t="n">
        <x:f t="shared" si="18">AVERAGE(E428:E627)</x:f>
        <x:v>157.97889999999998</x:v>
      </x:c>
      <x:c r="H627" s="37" t="n">
        <x:f t="shared" si="19">IFERROR(E627/G627-1,"")</x:f>
        <x:v>-0.13551746467407988</x:v>
      </x:c>
      <x:c r="I627" s="38" t="b">
        <x:f t="shared" si="20">E627&lt;G627</x:f>
        <x:v>1</x:v>
      </x:c>
    </x:row>
    <x:row r="628">
      <x:c r="A628" s="31">
        <x:v>37907</x:v>
      </x:c>
      <x:c r="B628" s="32">
        <x:v>136.52000000000001</x:v>
      </x:c>
      <x:c r="C628" s="32">
        <x:v>136.52000000000001</x:v>
      </x:c>
      <x:c r="D628" s="32">
        <x:v>136.12</x:v>
      </x:c>
      <x:c r="E628" s="32">
        <x:v>136.12</x:v>
      </x:c>
      <x:c r="F628" s="33">
        <x:v>54390</x:v>
      </x:c>
      <x:c r="G628" s="32" t="n">
        <x:f t="shared" si="18">AVERAGE(E429:E628)</x:f>
        <x:v>157.78179999999998</x:v>
      </x:c>
      <x:c r="H628" s="37" t="n">
        <x:f t="shared" si="19">IFERROR(E628/G628-1,"")</x:f>
        <x:v>-0.13728959867361112</x:v>
      </x:c>
      <x:c r="I628" s="38" t="b">
        <x:f t="shared" si="20">E628&lt;G628</x:f>
        <x:v>1</x:v>
      </x:c>
    </x:row>
    <x:row r="629">
      <x:c r="A629" s="31">
        <x:v>37908</x:v>
      </x:c>
      <x:c r="B629" s="32">
        <x:v>135.94</x:v>
      </x:c>
      <x:c r="C629" s="32">
        <x:v>135.94</x:v>
      </x:c>
      <x:c r="D629" s="32">
        <x:v>135.61000000000001</x:v>
      </x:c>
      <x:c r="E629" s="32">
        <x:v>135.61000000000001</x:v>
      </x:c>
      <x:c r="F629" s="33">
        <x:v>36540</x:v>
      </x:c>
      <x:c r="G629" s="32" t="n">
        <x:f t="shared" si="18">AVERAGE(E430:E629)</x:f>
        <x:v>157.57944999999998</x:v>
      </x:c>
      <x:c r="H629" s="37" t="n">
        <x:f t="shared" si="19">IFERROR(E629/G629-1,"")</x:f>
        <x:v>-0.13941824267060188</x:v>
      </x:c>
      <x:c r="I629" s="38" t="b">
        <x:f t="shared" si="20">E629&lt;G629</x:f>
        <x:v>1</x:v>
      </x:c>
    </x:row>
    <x:row r="630">
      <x:c r="A630" s="31">
        <x:v>37909</x:v>
      </x:c>
      <x:c r="B630" s="32">
        <x:v>135.72999999999999</x:v>
      </x:c>
      <x:c r="C630" s="32">
        <x:v>135.72999999999999</x:v>
      </x:c>
      <x:c r="D630" s="32">
        <x:v>135.49</x:v>
      </x:c>
      <x:c r="E630" s="32">
        <x:v>135.49</x:v>
      </x:c>
      <x:c r="F630" s="33">
        <x:v>85490</x:v>
      </x:c>
      <x:c r="G630" s="32" t="n">
        <x:f t="shared" si="18">AVERAGE(E431:E630)</x:f>
        <x:v>157.37455</x:v>
      </x:c>
      <x:c r="H630" s="37" t="n">
        <x:f t="shared" si="19">IFERROR(E630/G630-1,"")</x:f>
        <x:v>-0.1390602864313194</x:v>
      </x:c>
      <x:c r="I630" s="38" t="b">
        <x:f t="shared" si="20">E630&lt;G630</x:f>
        <x:v>1</x:v>
      </x:c>
    </x:row>
    <x:row r="631">
      <x:c r="A631" s="31">
        <x:v>37910</x:v>
      </x:c>
      <x:c r="B631" s="32">
        <x:v>135.41</x:v>
      </x:c>
      <x:c r="C631" s="32">
        <x:v>135.41</x:v>
      </x:c>
      <x:c r="D631" s="32">
        <x:v>134.82</x:v>
      </x:c>
      <x:c r="E631" s="32">
        <x:v>134.82</x:v>
      </x:c>
      <x:c r="F631" s="33">
        <x:v>74120</x:v>
      </x:c>
      <x:c r="G631" s="32" t="n">
        <x:f t="shared" si="18">AVERAGE(E432:E631)</x:f>
        <x:v>157.17245</x:v>
      </x:c>
      <x:c r="H631" s="37" t="n">
        <x:f t="shared" si="19">IFERROR(E631/G631-1,"")</x:f>
        <x:v>-0.14221608176242084</x:v>
      </x:c>
      <x:c r="I631" s="38" t="b">
        <x:f t="shared" si="20">E631&lt;G631</x:f>
        <x:v>1</x:v>
      </x:c>
    </x:row>
    <x:row r="632">
      <x:c r="A632" s="31">
        <x:v>37911</x:v>
      </x:c>
      <x:c r="B632" s="32">
        <x:v>134.13999999999999</x:v>
      </x:c>
      <x:c r="C632" s="32">
        <x:v>134.46</x:v>
      </x:c>
      <x:c r="D632" s="32">
        <x:v>134.13999999999999</x:v>
      </x:c>
      <x:c r="E632" s="32">
        <x:v>134.46</x:v>
      </x:c>
      <x:c r="F632" s="33">
        <x:v>54000</x:v>
      </x:c>
      <x:c r="G632" s="32" t="n">
        <x:f t="shared" si="18">AVERAGE(E433:E632)</x:f>
        <x:v>156.9624</x:v>
      </x:c>
      <x:c r="H632" s="37" t="n">
        <x:f t="shared" si="19">IFERROR(E632/G632-1,"")</x:f>
        <x:v>-0.14336172229782418</x:v>
      </x:c>
      <x:c r="I632" s="38" t="b">
        <x:f t="shared" si="20">E632&lt;G632</x:f>
        <x:v>1</x:v>
      </x:c>
    </x:row>
    <x:row r="633">
      <x:c r="A633" s="31">
        <x:v>37914</x:v>
      </x:c>
      <x:c r="B633" s="32">
        <x:v>134.19999999999999</x:v>
      </x:c>
      <x:c r="C633" s="32">
        <x:v>134.19999999999999</x:v>
      </x:c>
      <x:c r="D633" s="32">
        <x:v>134.09</x:v>
      </x:c>
      <x:c r="E633" s="32">
        <x:v>134.09</x:v>
      </x:c>
      <x:c r="F633" s="33">
        <x:v>33360</x:v>
      </x:c>
      <x:c r="G633" s="32" t="n">
        <x:f t="shared" si="18">AVERAGE(E434:E633)</x:f>
        <x:v>156.75035</x:v>
      </x:c>
      <x:c r="H633" s="37" t="n">
        <x:f t="shared" si="19">IFERROR(E633/G633-1,"")</x:f>
        <x:v>-0.1445633135747384</x:v>
      </x:c>
      <x:c r="I633" s="38" t="b">
        <x:f t="shared" si="20">E633&lt;G633</x:f>
        <x:v>1</x:v>
      </x:c>
    </x:row>
    <x:row r="634">
      <x:c r="A634" s="31">
        <x:v>37915</x:v>
      </x:c>
      <x:c r="B634" s="32">
        <x:v>134.06</x:v>
      </x:c>
      <x:c r="C634" s="32">
        <x:v>134.06</x:v>
      </x:c>
      <x:c r="D634" s="32">
        <x:v>133.69</x:v>
      </x:c>
      <x:c r="E634" s="32">
        <x:v>133.69</x:v>
      </x:c>
      <x:c r="F634" s="33">
        <x:v>38910</x:v>
      </x:c>
      <x:c r="G634" s="32" t="n">
        <x:f t="shared" si="18">AVERAGE(E435:E634)</x:f>
        <x:v>156.5366</x:v>
      </x:c>
      <x:c r="H634" s="37" t="n">
        <x:f t="shared" si="19">IFERROR(E634/G634-1,"")</x:f>
        <x:v>-0.14595053169674055</x:v>
      </x:c>
      <x:c r="I634" s="38" t="b">
        <x:f t="shared" si="20">E634&lt;G634</x:f>
        <x:v>1</x:v>
      </x:c>
    </x:row>
    <x:row r="635">
      <x:c r="A635" s="31">
        <x:v>37916</x:v>
      </x:c>
      <x:c r="B635" s="32">
        <x:v>133.15</x:v>
      </x:c>
      <x:c r="C635" s="32">
        <x:v>133.15</x:v>
      </x:c>
      <x:c r="D635" s="32">
        <x:v>132.72</x:v>
      </x:c>
      <x:c r="E635" s="32">
        <x:v>132.72</x:v>
      </x:c>
      <x:c r="F635" s="33">
        <x:v>136830</x:v>
      </x:c>
      <x:c r="G635" s="32" t="n">
        <x:f t="shared" si="18">AVERAGE(E436:E635)</x:f>
        <x:v>156.31395</x:v>
      </x:c>
      <x:c r="H635" s="37" t="n">
        <x:f t="shared" si="19">IFERROR(E635/G635-1,"")</x:f>
        <x:v>-0.15093950348001572</x:v>
      </x:c>
      <x:c r="I635" s="38" t="b">
        <x:f t="shared" si="20">E635&lt;G635</x:f>
        <x:v>1</x:v>
      </x:c>
    </x:row>
    <x:row r="636">
      <x:c r="A636" s="31">
        <x:v>37917</x:v>
      </x:c>
      <x:c r="B636" s="32">
        <x:v>132.44999999999999</x:v>
      </x:c>
      <x:c r="C636" s="32">
        <x:v>132.44999999999999</x:v>
      </x:c>
      <x:c r="D636" s="32">
        <x:v>131.16999999999999</x:v>
      </x:c>
      <x:c r="E636" s="32">
        <x:v>131.16999999999999</x:v>
      </x:c>
      <x:c r="F636" s="33">
        <x:v>166270</x:v>
      </x:c>
      <x:c r="G636" s="32" t="n">
        <x:f t="shared" si="18">AVERAGE(E437:E636)</x:f>
        <x:v>156.08044999999998</x:v>
      </x:c>
      <x:c r="H636" s="37" t="n">
        <x:f t="shared" si="19">IFERROR(E636/G636-1,"")</x:f>
        <x:v>-0.1596000652227746</x:v>
      </x:c>
      <x:c r="I636" s="38" t="b">
        <x:f t="shared" si="20">E636&lt;G636</x:f>
        <x:v>1</x:v>
      </x:c>
    </x:row>
    <x:row r="637">
      <x:c r="A637" s="31">
        <x:v>37918</x:v>
      </x:c>
      <x:c r="B637" s="32">
        <x:v>130.91</x:v>
      </x:c>
      <x:c r="C637" s="32">
        <x:v>130.91</x:v>
      </x:c>
      <x:c r="D637" s="32">
        <x:v>130.9</x:v>
      </x:c>
      <x:c r="E637" s="32">
        <x:v>130.9</x:v>
      </x:c>
      <x:c r="F637" s="33">
        <x:v>101550</x:v>
      </x:c>
      <x:c r="G637" s="32" t="n">
        <x:f t="shared" si="18">AVERAGE(E438:E637)</x:f>
        <x:v>155.83859999999999</x:v>
      </x:c>
      <x:c r="H637" s="37" t="n">
        <x:f t="shared" si="19">IFERROR(E637/G637-1,"")</x:f>
        <x:v>-0.1600283883453777</x:v>
      </x:c>
      <x:c r="I637" s="38" t="b">
        <x:f t="shared" si="20">E637&lt;G637</x:f>
        <x:v>1</x:v>
      </x:c>
    </x:row>
    <x:row r="638">
      <x:c r="A638" s="31">
        <x:v>37921</x:v>
      </x:c>
      <x:c r="B638" s="32">
        <x:v>131.13999999999999</x:v>
      </x:c>
      <x:c r="C638" s="32">
        <x:v>131.44</x:v>
      </x:c>
      <x:c r="D638" s="32">
        <x:v>131.13999999999999</x:v>
      </x:c>
      <x:c r="E638" s="32">
        <x:v>131.44</x:v>
      </x:c>
      <x:c r="F638" s="33">
        <x:v>104980</x:v>
      </x:c>
      <x:c r="G638" s="32" t="n">
        <x:f t="shared" si="18">AVERAGE(E439:E638)</x:f>
        <x:v>155.57799999999997</x:v>
      </x:c>
      <x:c r="H638" s="37" t="n">
        <x:f t="shared" si="19">IFERROR(E638/G638-1,"")</x:f>
        <x:v>-0.15515047114630587</x:v>
      </x:c>
      <x:c r="I638" s="38" t="b">
        <x:f t="shared" si="20">E638&lt;G638</x:f>
        <x:v>1</x:v>
      </x:c>
    </x:row>
    <x:row r="639">
      <x:c r="A639" s="31">
        <x:v>37922</x:v>
      </x:c>
      <x:c r="B639" s="32">
        <x:v>131.44</x:v>
      </x:c>
      <x:c r="C639" s="32">
        <x:v>132.44</x:v>
      </x:c>
      <x:c r="D639" s="32">
        <x:v>131.44</x:v>
      </x:c>
      <x:c r="E639" s="32">
        <x:v>132.44</x:v>
      </x:c>
      <x:c r="F639" s="33">
        <x:v>66870</x:v>
      </x:c>
      <x:c r="G639" s="32" t="n">
        <x:f t="shared" si="18">AVERAGE(E440:E639)</x:f>
        <x:v>155.30415</x:v>
      </x:c>
      <x:c r="H639" s="37" t="n">
        <x:f t="shared" si="19">IFERROR(E639/G639-1,"")</x:f>
        <x:v>-0.1472217580792271</x:v>
      </x:c>
      <x:c r="I639" s="38" t="b">
        <x:f t="shared" si="20">E639&lt;G639</x:f>
        <x:v>1</x:v>
      </x:c>
    </x:row>
    <x:row r="640">
      <x:c r="A640" s="31">
        <x:v>37923</x:v>
      </x:c>
      <x:c r="B640" s="32">
        <x:v>133.27000000000001</x:v>
      </x:c>
      <x:c r="C640" s="32">
        <x:v>133.27000000000001</x:v>
      </x:c>
      <x:c r="D640" s="32">
        <x:v>133.22</x:v>
      </x:c>
      <x:c r="E640" s="32">
        <x:v>133.22</x:v>
      </x:c>
      <x:c r="F640" s="33">
        <x:v>32230</x:v>
      </x:c>
      <x:c r="G640" s="32" t="n">
        <x:f t="shared" si="18">AVERAGE(E441:E640)</x:f>
        <x:v>155.0361</x:v>
      </x:c>
      <x:c r="H640" s="37" t="n">
        <x:f t="shared" si="19">IFERROR(E640/G640-1,"")</x:f>
        <x:v>-0.14071625898742302</x:v>
      </x:c>
      <x:c r="I640" s="38" t="b">
        <x:f t="shared" si="20">E640&lt;G640</x:f>
        <x:v>1</x:v>
      </x:c>
    </x:row>
    <x:row r="641">
      <x:c r="A641" s="31">
        <x:v>37924</x:v>
      </x:c>
      <x:c r="B641" s="32">
        <x:v>133.97</x:v>
      </x:c>
      <x:c r="C641" s="32">
        <x:v>134.1</x:v>
      </x:c>
      <x:c r="D641" s="32">
        <x:v>133.97</x:v>
      </x:c>
      <x:c r="E641" s="32">
        <x:v>134.1</x:v>
      </x:c>
      <x:c r="F641" s="33">
        <x:v>53740</x:v>
      </x:c>
      <x:c r="G641" s="32" t="n">
        <x:f t="shared" si="18">AVERAGE(E442:E641)</x:f>
        <x:v>154.78384999999997</x:v>
      </x:c>
      <x:c r="H641" s="37" t="n">
        <x:f t="shared" si="19">IFERROR(E641/G641-1,"")</x:f>
        <x:v>-0.1336305434966244</x:v>
      </x:c>
      <x:c r="I641" s="38" t="b">
        <x:f t="shared" si="20">E641&lt;G641</x:f>
        <x:v>1</x:v>
      </x:c>
    </x:row>
    <x:row r="642">
      <x:c r="A642" s="31">
        <x:v>37925</x:v>
      </x:c>
      <x:c r="B642" s="32">
        <x:v>135</x:v>
      </x:c>
      <x:c r="C642" s="32">
        <x:v>136.21</x:v>
      </x:c>
      <x:c r="D642" s="32">
        <x:v>135</x:v>
      </x:c>
      <x:c r="E642" s="32">
        <x:v>136.21</x:v>
      </x:c>
      <x:c r="F642" s="33">
        <x:v>70320</x:v>
      </x:c>
      <x:c r="G642" s="32" t="n">
        <x:f t="shared" si="18">AVERAGE(E443:E642)</x:f>
        <x:v>154.5468</x:v>
      </x:c>
      <x:c r="H642" s="37" t="n">
        <x:f t="shared" si="19">IFERROR(E642/G642-1,"")</x:f>
        <x:v>-0.11864884941001674</x:v>
      </x:c>
      <x:c r="I642" s="38" t="b">
        <x:f t="shared" si="20">E642&lt;G642</x:f>
        <x:v>1</x:v>
      </x:c>
    </x:row>
    <x:row r="643">
      <x:c r="A643" s="31">
        <x:v>37928</x:v>
      </x:c>
      <x:c r="B643" s="32">
        <x:v>136.63999999999999</x:v>
      </x:c>
      <x:c r="C643" s="32">
        <x:v>136.63999999999999</x:v>
      </x:c>
      <x:c r="D643" s="32">
        <x:v>135.78</x:v>
      </x:c>
      <x:c r="E643" s="32">
        <x:v>135.78</x:v>
      </x:c>
      <x:c r="F643" s="33">
        <x:v>50660</x:v>
      </x:c>
      <x:c r="G643" s="32" t="n">
        <x:f t="shared" si="18">AVERAGE(E444:E643)</x:f>
        <x:v>154.30194999999998</x:v>
      </x:c>
      <x:c r="H643" s="37" t="n">
        <x:f t="shared" si="19">IFERROR(E643/G643-1,"")</x:f>
        <x:v>-0.12003704424992667</x:v>
      </x:c>
      <x:c r="I643" s="38" t="b">
        <x:f t="shared" si="20">E643&lt;G643</x:f>
        <x:v>1</x:v>
      </x:c>
    </x:row>
    <x:row r="644">
      <x:c r="A644" s="31">
        <x:v>37929</x:v>
      </x:c>
      <x:c r="B644" s="32">
        <x:v>135.97</x:v>
      </x:c>
      <x:c r="C644" s="32">
        <x:v>135.97</x:v>
      </x:c>
      <x:c r="D644" s="32">
        <x:v>135.69999999999999</x:v>
      </x:c>
      <x:c r="E644" s="32">
        <x:v>135.69999999999999</x:v>
      </x:c>
      <x:c r="F644" s="33">
        <x:v>52680</x:v>
      </x:c>
      <x:c r="G644" s="32" t="n">
        <x:f t="shared" si="18">AVERAGE(E445:E644)</x:f>
        <x:v>154.05874999999997</x:v>
      </x:c>
      <x:c r="H644" s="37" t="n">
        <x:f t="shared" si="19">IFERROR(E644/G644-1,"")</x:f>
        <x:v>-0.11916720082436072</x:v>
      </x:c>
      <x:c r="I644" s="38" t="b">
        <x:f t="shared" si="20">E644&lt;G644</x:f>
        <x:v>1</x:v>
      </x:c>
    </x:row>
    <x:row r="645">
      <x:c r="A645" s="31">
        <x:v>37930</x:v>
      </x:c>
      <x:c r="B645" s="32">
        <x:v>135.5</x:v>
      </x:c>
      <x:c r="C645" s="32">
        <x:v>135.97</x:v>
      </x:c>
      <x:c r="D645" s="32">
        <x:v>135.5</x:v>
      </x:c>
      <x:c r="E645" s="32">
        <x:v>135.97</x:v>
      </x:c>
      <x:c r="F645" s="33">
        <x:v>37810</x:v>
      </x:c>
      <x:c r="G645" s="32" t="n">
        <x:f t="shared" si="18">AVERAGE(E446:E645)</x:f>
        <x:v>153.82014999999998</x:v>
      </x:c>
      <x:c r="H645" s="37" t="n">
        <x:f t="shared" si="19">IFERROR(E645/G645-1,"")</x:f>
        <x:v>-0.11604558960578304</x:v>
      </x:c>
      <x:c r="I645" s="38" t="b">
        <x:f t="shared" si="20">E645&lt;G645</x:f>
        <x:v>1</x:v>
      </x:c>
    </x:row>
    <x:row r="646">
      <x:c r="A646" s="31">
        <x:v>37931</x:v>
      </x:c>
      <x:c r="B646" s="32">
        <x:v>136.12</x:v>
      </x:c>
      <x:c r="C646" s="32">
        <x:v>136.72999999999999</x:v>
      </x:c>
      <x:c r="D646" s="32">
        <x:v>136.12</x:v>
      </x:c>
      <x:c r="E646" s="32">
        <x:v>136.72999999999999</x:v>
      </x:c>
      <x:c r="F646" s="33">
        <x:v>40840</x:v>
      </x:c>
      <x:c r="G646" s="32" t="n">
        <x:f t="shared" si="18">AVERAGE(E447:E646)</x:f>
        <x:v>153.58304999999996</x:v>
      </x:c>
      <x:c r="H646" s="37" t="n">
        <x:f t="shared" si="19">IFERROR(E646/G646-1,"")</x:f>
        <x:v>-0.10973248675553693</x:v>
      </x:c>
      <x:c r="I646" s="38" t="b">
        <x:f t="shared" si="20">E646&lt;G646</x:f>
        <x:v>1</x:v>
      </x:c>
    </x:row>
    <x:row r="647">
      <x:c r="A647" s="31">
        <x:v>37932</x:v>
      </x:c>
      <x:c r="B647" s="32">
        <x:v>136.63</x:v>
      </x:c>
      <x:c r="C647" s="32">
        <x:v>137.33000000000001</x:v>
      </x:c>
      <x:c r="D647" s="32">
        <x:v>136.63</x:v>
      </x:c>
      <x:c r="E647" s="32">
        <x:v>137.33000000000001</x:v>
      </x:c>
      <x:c r="F647" s="33">
        <x:v>88300</x:v>
      </x:c>
      <x:c r="G647" s="32" t="n">
        <x:f t="shared" si="18">AVERAGE(E448:E647)</x:f>
        <x:v>153.34599999999998</x:v>
      </x:c>
      <x:c r="H647" s="37" t="n">
        <x:f t="shared" si="19">IFERROR(E647/G647-1,"")</x:f>
        <x:v>-0.10444354596794159</x:v>
      </x:c>
      <x:c r="I647" s="38" t="b">
        <x:f t="shared" si="20">E647&lt;G647</x:f>
        <x:v>1</x:v>
      </x:c>
    </x:row>
    <x:row r="648">
      <x:c r="A648" s="31">
        <x:v>37935</x:v>
      </x:c>
      <x:c r="B648" s="32">
        <x:v>137.5</x:v>
      </x:c>
      <x:c r="C648" s="32">
        <x:v>138.19</x:v>
      </x:c>
      <x:c r="D648" s="32">
        <x:v>137.5</x:v>
      </x:c>
      <x:c r="E648" s="32">
        <x:v>138.19</x:v>
      </x:c>
      <x:c r="F648" s="33">
        <x:v>111150</x:v>
      </x:c>
      <x:c r="G648" s="32" t="n">
        <x:f t="shared" si="18">AVERAGE(E449:E648)</x:f>
        <x:v>153.11009999999996</x:v>
      </x:c>
      <x:c r="H648" s="37" t="n">
        <x:f t="shared" si="19">IFERROR(E648/G648-1,"")</x:f>
        <x:v>-0.09744686993215967</x:v>
      </x:c>
      <x:c r="I648" s="38" t="b">
        <x:f t="shared" si="20">E648&lt;G648</x:f>
        <x:v>1</x:v>
      </x:c>
    </x:row>
    <x:row r="649">
      <x:c r="A649" s="31">
        <x:v>37936</x:v>
      </x:c>
      <x:c r="B649" s="32">
        <x:v>138.71</x:v>
      </x:c>
      <x:c r="C649" s="32">
        <x:v>140.19</x:v>
      </x:c>
      <x:c r="D649" s="32">
        <x:v>138.71</x:v>
      </x:c>
      <x:c r="E649" s="32">
        <x:v>140.19</x:v>
      </x:c>
      <x:c r="F649" s="33">
        <x:v>84870</x:v>
      </x:c>
      <x:c r="G649" s="32" t="n">
        <x:f t="shared" si="18">AVERAGE(E450:E649)</x:f>
        <x:v>152.88124999999997</x:v>
      </x:c>
      <x:c r="H649" s="37" t="n">
        <x:f t="shared" si="19">IFERROR(E649/G649-1,"")</x:f>
        <x:v>-0.08301377703282753</x:v>
      </x:c>
      <x:c r="I649" s="38" t="b">
        <x:f t="shared" si="20">E649&lt;G649</x:f>
        <x:v>1</x:v>
      </x:c>
    </x:row>
    <x:row r="650">
      <x:c r="A650" s="31">
        <x:v>37937</x:v>
      </x:c>
      <x:c r="B650" s="32">
        <x:v>141.36000000000001</x:v>
      </x:c>
      <x:c r="C650" s="32">
        <x:v>143.79</x:v>
      </x:c>
      <x:c r="D650" s="32">
        <x:v>141.36000000000001</x:v>
      </x:c>
      <x:c r="E650" s="32">
        <x:v>143.79</x:v>
      </x:c>
      <x:c r="F650" s="33">
        <x:v>113690</x:v>
      </x:c>
      <x:c r="G650" s="32" t="n">
        <x:f t="shared" si="18">AVERAGE(E451:E650)</x:f>
        <x:v>152.66929999999996</x:v>
      </x:c>
      <x:c r="H650" s="37" t="n">
        <x:f t="shared" si="19">IFERROR(E650/G650-1,"")</x:f>
        <x:v>-0.058160350509237735</x:v>
      </x:c>
      <x:c r="I650" s="38" t="b">
        <x:f t="shared" si="20">E650&lt;G650</x:f>
        <x:v>1</x:v>
      </x:c>
    </x:row>
    <x:row r="651">
      <x:c r="A651" s="31">
        <x:v>37938</x:v>
      </x:c>
      <x:c r="B651" s="32">
        <x:v>147.88</x:v>
      </x:c>
      <x:c r="C651" s="32">
        <x:v>149.59</x:v>
      </x:c>
      <x:c r="D651" s="32">
        <x:v>147.88</x:v>
      </x:c>
      <x:c r="E651" s="32">
        <x:v>149.59</x:v>
      </x:c>
      <x:c r="F651" s="33">
        <x:v>236530</x:v>
      </x:c>
      <x:c r="G651" s="32" t="n">
        <x:f t="shared" si="18">AVERAGE(E452:E651)</x:f>
        <x:v>152.49254999999997</x:v>
      </x:c>
      <x:c r="H651" s="37" t="n">
        <x:f t="shared" si="19">IFERROR(E651/G651-1,"")</x:f>
        <x:v>-0.019034044613982504</x:v>
      </x:c>
      <x:c r="I651" s="38" t="b">
        <x:f t="shared" si="20">E651&lt;G651</x:f>
        <x:v>1</x:v>
      </x:c>
    </x:row>
    <x:row r="652">
      <x:c r="A652" s="31">
        <x:v>37939</x:v>
      </x:c>
      <x:c r="B652" s="32">
        <x:v>156.03</x:v>
      </x:c>
      <x:c r="C652" s="32">
        <x:v>156.03</x:v>
      </x:c>
      <x:c r="D652" s="32">
        <x:v>155.72999999999999</x:v>
      </x:c>
      <x:c r="E652" s="32">
        <x:v>155.72999999999999</x:v>
      </x:c>
      <x:c r="F652" s="33">
        <x:v>232490</x:v>
      </x:c>
      <x:c r="G652" s="32" t="n">
        <x:f t="shared" si="18">AVERAGE(E453:E652)</x:f>
        <x:v>152.35004999999998</x:v>
      </x:c>
      <x:c r="H652" s="37" t="n">
        <x:f t="shared" si="19">IFERROR(E652/G652-1,"")</x:f>
        <x:v>0.022185421009051298</x:v>
      </x:c>
      <x:c r="I652" s="38" t="b">
        <x:f t="shared" si="20">E652&lt;G652</x:f>
        <x:v>0</x:v>
      </x:c>
    </x:row>
    <x:row r="653">
      <x:c r="A653" s="31">
        <x:v>37942</x:v>
      </x:c>
      <x:c r="B653" s="32">
        <x:v>158.16999999999999</x:v>
      </x:c>
      <x:c r="C653" s="32">
        <x:v>158.16999999999999</x:v>
      </x:c>
      <x:c r="D653" s="32">
        <x:v>154.66999999999999</x:v>
      </x:c>
      <x:c r="E653" s="32">
        <x:v>154.66999999999999</x:v>
      </x:c>
      <x:c r="F653" s="33">
        <x:v>506350</x:v>
      </x:c>
      <x:c r="G653" s="32" t="n">
        <x:f t="shared" ref="G653:G716" si="21">AVERAGE(E454:E653)</x:f>
        <x:v>152.20249999999996</x:v>
      </x:c>
      <x:c r="H653" s="37" t="n">
        <x:f t="shared" ref="H653:H716" si="22">IFERROR(E653/G653-1,"")</x:f>
        <x:v>0.016211954468553502</x:v>
      </x:c>
      <x:c r="I653" s="38" t="b">
        <x:f t="shared" ref="I653:I716" si="23">E653&lt;G653</x:f>
        <x:v>0</x:v>
      </x:c>
    </x:row>
    <x:row r="654">
      <x:c r="A654" s="31">
        <x:v>37943</x:v>
      </x:c>
      <x:c r="B654" s="32">
        <x:v>148.76</x:v>
      </x:c>
      <x:c r="C654" s="32">
        <x:v>150.09</x:v>
      </x:c>
      <x:c r="D654" s="32">
        <x:v>148.76</x:v>
      </x:c>
      <x:c r="E654" s="32">
        <x:v>150.09</x:v>
      </x:c>
      <x:c r="F654" s="33">
        <x:v>280930</x:v>
      </x:c>
      <x:c r="G654" s="32" t="n">
        <x:f t="shared" si="21">AVERAGE(E455:E654)</x:f>
        <x:v>152.03224999999998</x:v>
      </x:c>
      <x:c r="H654" s="37" t="n">
        <x:f t="shared" si="22">IFERROR(E654/G654-1,"")</x:f>
        <x:v>-0.012775249988077997</x:v>
      </x:c>
      <x:c r="I654" s="38" t="b">
        <x:f t="shared" si="23">E654&lt;G654</x:f>
        <x:v>1</x:v>
      </x:c>
    </x:row>
    <x:row r="655">
      <x:c r="A655" s="31">
        <x:v>37944</x:v>
      </x:c>
      <x:c r="B655" s="32">
        <x:v>148.54</x:v>
      </x:c>
      <x:c r="C655" s="32">
        <x:v>152.06</x:v>
      </x:c>
      <x:c r="D655" s="32">
        <x:v>148.54</x:v>
      </x:c>
      <x:c r="E655" s="32">
        <x:v>152.06</x:v>
      </x:c>
      <x:c r="F655" s="33">
        <x:v>196440</x:v>
      </x:c>
      <x:c r="G655" s="32" t="n">
        <x:f t="shared" si="21">AVERAGE(E456:E655)</x:f>
        <x:v>151.87364999999997</x:v>
      </x:c>
      <x:c r="H655" s="37" t="n">
        <x:f t="shared" si="22">IFERROR(E655/G655-1,"")</x:f>
        <x:v>0.0012270067915010063</x:v>
      </x:c>
      <x:c r="I655" s="38" t="b">
        <x:f t="shared" si="23">E655&lt;G655</x:f>
        <x:v>0</x:v>
      </x:c>
    </x:row>
    <x:row r="656">
      <x:c r="A656" s="31">
        <x:v>37945</x:v>
      </x:c>
      <x:c r="B656" s="32">
        <x:v>153.35</x:v>
      </x:c>
      <x:c r="C656" s="32">
        <x:v>155.31</x:v>
      </x:c>
      <x:c r="D656" s="32">
        <x:v>153.35</x:v>
      </x:c>
      <x:c r="E656" s="32">
        <x:v>155.31</x:v>
      </x:c>
      <x:c r="F656" s="33">
        <x:v>248530</x:v>
      </x:c>
      <x:c r="G656" s="32" t="n">
        <x:f t="shared" si="21">AVERAGE(E457:E656)</x:f>
        <x:v>151.73494999999997</x:v>
      </x:c>
      <x:c r="H656" s="37" t="n">
        <x:f t="shared" si="22">IFERROR(E656/G656-1,"")</x:f>
        <x:v>0.02356115054573804</x:v>
      </x:c>
      <x:c r="I656" s="38" t="b">
        <x:f t="shared" si="23">E656&lt;G656</x:f>
        <x:v>0</x:v>
      </x:c>
    </x:row>
    <x:row r="657">
      <x:c r="A657" s="31">
        <x:v>37946</x:v>
      </x:c>
      <x:c r="B657" s="32">
        <x:v>158.02000000000001</x:v>
      </x:c>
      <x:c r="C657" s="32">
        <x:v>159.97999999999999</x:v>
      </x:c>
      <x:c r="D657" s="32">
        <x:v>158.02000000000001</x:v>
      </x:c>
      <x:c r="E657" s="32">
        <x:v>159.97999999999999</x:v>
      </x:c>
      <x:c r="F657" s="33">
        <x:v>348630</x:v>
      </x:c>
      <x:c r="G657" s="32" t="n">
        <x:f t="shared" si="21">AVERAGE(E458:E657)</x:f>
        <x:v>151.62159999999997</x:v>
      </x:c>
      <x:c r="H657" s="37" t="n">
        <x:f t="shared" si="22">IFERROR(E657/G657-1,"")</x:f>
        <x:v>0.05512671017849713</x:v>
      </x:c>
      <x:c r="I657" s="38" t="b">
        <x:f t="shared" si="23">E657&lt;G657</x:f>
        <x:v>0</x:v>
      </x:c>
    </x:row>
    <x:row r="658">
      <x:c r="A658" s="31">
        <x:v>37949</x:v>
      </x:c>
      <x:c r="B658" s="32">
        <x:v>163.09</x:v>
      </x:c>
      <x:c r="C658" s="32">
        <x:v>163.31</x:v>
      </x:c>
      <x:c r="D658" s="32">
        <x:v>163.09</x:v>
      </x:c>
      <x:c r="E658" s="32">
        <x:v>163.31</x:v>
      </x:c>
      <x:c r="F658" s="33">
        <x:v>270040</x:v>
      </x:c>
      <x:c r="G658" s="32" t="n">
        <x:f t="shared" si="21">AVERAGE(E459:E658)</x:f>
        <x:v>151.5215</x:v>
      </x:c>
      <x:c r="H658" s="37" t="n">
        <x:f t="shared" si="22">IFERROR(E658/G658-1,"")</x:f>
        <x:v>0.07780084014479782</x:v>
      </x:c>
      <x:c r="I658" s="38" t="b">
        <x:f t="shared" si="23">E658&lt;G658</x:f>
        <x:v>0</x:v>
      </x:c>
    </x:row>
    <x:row r="659">
      <x:c r="A659" s="31">
        <x:v>37950</x:v>
      </x:c>
      <x:c r="B659" s="32">
        <x:v>166.04</x:v>
      </x:c>
      <x:c r="C659" s="32">
        <x:v>166.04</x:v>
      </x:c>
      <x:c r="D659" s="32">
        <x:v>165.4</x:v>
      </x:c>
      <x:c r="E659" s="32">
        <x:v>165.4</x:v>
      </x:c>
      <x:c r="F659" s="33">
        <x:v>363670</x:v>
      </x:c>
      <x:c r="G659" s="32" t="n">
        <x:f t="shared" si="21">AVERAGE(E460:E659)</x:f>
        <x:v>151.43145</x:v>
      </x:c>
      <x:c r="H659" s="37" t="n">
        <x:f t="shared" si="22">IFERROR(E659/G659-1,"")</x:f>
        <x:v>0.092243388014841</x:v>
      </x:c>
      <x:c r="I659" s="38" t="b">
        <x:f t="shared" si="23">E659&lt;G659</x:f>
        <x:v>0</x:v>
      </x:c>
    </x:row>
    <x:row r="660">
      <x:c r="A660" s="31">
        <x:v>37951</x:v>
      </x:c>
      <x:c r="B660" s="32">
        <x:v>163.55000000000001</x:v>
      </x:c>
      <x:c r="C660" s="32">
        <x:v>163.55000000000001</x:v>
      </x:c>
      <x:c r="D660" s="32">
        <x:v>161.61000000000001</x:v>
      </x:c>
      <x:c r="E660" s="32">
        <x:v>161.61000000000001</x:v>
      </x:c>
      <x:c r="F660" s="33">
        <x:v>359160</x:v>
      </x:c>
      <x:c r="G660" s="32" t="n">
        <x:f t="shared" si="21">AVERAGE(E461:E660)</x:f>
        <x:v>151.32755</x:v>
      </x:c>
      <x:c r="H660" s="37" t="n">
        <x:f t="shared" si="22">IFERROR(E660/G660-1,"")</x:f>
        <x:v>0.06794830154852849</x:v>
      </x:c>
      <x:c r="I660" s="38" t="b">
        <x:f t="shared" si="23">E660&lt;G660</x:f>
        <x:v>0</x:v>
      </x:c>
    </x:row>
    <x:row r="661">
      <x:c r="A661" s="31">
        <x:v>37952</x:v>
      </x:c>
      <x:c r="B661" s="32">
        <x:v>161.68</x:v>
      </x:c>
      <x:c r="C661" s="32">
        <x:v>162.91999999999999</x:v>
      </x:c>
      <x:c r="D661" s="32">
        <x:v>161.68</x:v>
      </x:c>
      <x:c r="E661" s="32">
        <x:v>162.91999999999999</x:v>
      </x:c>
      <x:c r="F661" s="33">
        <x:v>205870</x:v>
      </x:c>
      <x:c r="G661" s="32" t="n">
        <x:f t="shared" si="21">AVERAGE(E462:E661)</x:f>
        <x:v>151.23335</x:v>
      </x:c>
      <x:c r="H661" s="37" t="n">
        <x:f t="shared" si="22">IFERROR(E661/G661-1,"")</x:f>
        <x:v>0.07727561414198636</x:v>
      </x:c>
      <x:c r="I661" s="38" t="b">
        <x:f t="shared" si="23">E661&lt;G661</x:f>
        <x:v>0</x:v>
      </x:c>
    </x:row>
    <x:row r="662">
      <x:c r="A662" s="31">
        <x:v>37953</x:v>
      </x:c>
      <x:c r="B662" s="32">
        <x:v>164.5</x:v>
      </x:c>
      <x:c r="C662" s="32">
        <x:v>164.5</x:v>
      </x:c>
      <x:c r="D662" s="32">
        <x:v>163.87</x:v>
      </x:c>
      <x:c r="E662" s="32">
        <x:v>163.87</x:v>
      </x:c>
      <x:c r="F662" s="33">
        <x:v>241620</x:v>
      </x:c>
      <x:c r="G662" s="32" t="n">
        <x:f t="shared" si="21">AVERAGE(E463:E662)</x:f>
        <x:v>151.14954999999998</x:v>
      </x:c>
      <x:c r="H662" s="37" t="n">
        <x:f t="shared" si="22">IFERROR(E662/G662-1,"")</x:f>
        <x:v>0.08415804082777645</x:v>
      </x:c>
      <x:c r="I662" s="38" t="b">
        <x:f t="shared" si="23">E662&lt;G662</x:f>
        <x:v>0</x:v>
      </x:c>
    </x:row>
    <x:row r="663">
      <x:c r="A663" s="31">
        <x:v>37956</x:v>
      </x:c>
      <x:c r="B663" s="32">
        <x:v>164.75</x:v>
      </x:c>
      <x:c r="C663" s="32">
        <x:v>164.86</x:v>
      </x:c>
      <x:c r="D663" s="32">
        <x:v>164.75</x:v>
      </x:c>
      <x:c r="E663" s="32">
        <x:v>164.86</x:v>
      </x:c>
      <x:c r="F663" s="33">
        <x:v>252080</x:v>
      </x:c>
      <x:c r="G663" s="32" t="n">
        <x:f t="shared" si="21">AVERAGE(E464:E663)</x:f>
        <x:v>151.07489999999999</x:v>
      </x:c>
      <x:c r="H663" s="37" t="n">
        <x:f t="shared" si="22">IFERROR(E663/G663-1,"")</x:f>
        <x:v>0.0912467921540907</x:v>
      </x:c>
      <x:c r="I663" s="38" t="b">
        <x:f t="shared" si="23">E663&lt;G663</x:f>
        <x:v>0</x:v>
      </x:c>
    </x:row>
    <x:row r="664">
      <x:c r="A664" s="31">
        <x:v>37957</x:v>
      </x:c>
      <x:c r="B664" s="32">
        <x:v>164.66</x:v>
      </x:c>
      <x:c r="C664" s="32">
        <x:v>164.66</x:v>
      </x:c>
      <x:c r="D664" s="32">
        <x:v>164.49</x:v>
      </x:c>
      <x:c r="E664" s="32">
        <x:v>164.49</x:v>
      </x:c>
      <x:c r="F664" s="33">
        <x:v>261380</x:v>
      </x:c>
      <x:c r="G664" s="32" t="n">
        <x:f t="shared" si="21">AVERAGE(E465:E664)</x:f>
        <x:v>151.00269999999998</x:v>
      </x:c>
      <x:c r="H664" s="37" t="n">
        <x:f t="shared" si="22">IFERROR(E664/G664-1,"")</x:f>
        <x:v>0.08931827046801177</x:v>
      </x:c>
      <x:c r="I664" s="38" t="b">
        <x:f t="shared" si="23">E664&lt;G664</x:f>
        <x:v>0</x:v>
      </x:c>
    </x:row>
    <x:row r="665">
      <x:c r="A665" s="31">
        <x:v>37958</x:v>
      </x:c>
      <x:c r="B665" s="32">
        <x:v>164.21</x:v>
      </x:c>
      <x:c r="C665" s="32">
        <x:v>164.21</x:v>
      </x:c>
      <x:c r="D665" s="32">
        <x:v>164.06</x:v>
      </x:c>
      <x:c r="E665" s="32">
        <x:v>164.06</x:v>
      </x:c>
      <x:c r="F665" s="33">
        <x:v>231540</x:v>
      </x:c>
      <x:c r="G665" s="32" t="n">
        <x:f t="shared" si="21">AVERAGE(E466:E665)</x:f>
        <x:v>150.92964999999998</x:v>
      </x:c>
      <x:c r="H665" s="37" t="n">
        <x:f t="shared" si="22">IFERROR(E665/G665-1,"")</x:f>
        <x:v>0.08699649141172738</x:v>
      </x:c>
      <x:c r="I665" s="38" t="b">
        <x:f t="shared" si="23">E665&lt;G665</x:f>
        <x:v>0</x:v>
      </x:c>
    </x:row>
    <x:row r="666">
      <x:c r="A666" s="31">
        <x:v>37959</x:v>
      </x:c>
      <x:c r="B666" s="32">
        <x:v>164.11</x:v>
      </x:c>
      <x:c r="C666" s="32">
        <x:v>164.11</x:v>
      </x:c>
      <x:c r="D666" s="32">
        <x:v>163.6</x:v>
      </x:c>
      <x:c r="E666" s="32">
        <x:v>163.6</x:v>
      </x:c>
      <x:c r="F666" s="33">
        <x:v>221090</x:v>
      </x:c>
      <x:c r="G666" s="32" t="n">
        <x:f t="shared" si="21">AVERAGE(E467:E666)</x:f>
        <x:v>150.8575</x:v>
      </x:c>
      <x:c r="H666" s="37" t="n">
        <x:f t="shared" si="22">IFERROR(E666/G666-1,"")</x:f>
        <x:v>0.08446712957592428</x:v>
      </x:c>
      <x:c r="I666" s="38" t="b">
        <x:f t="shared" si="23">E666&lt;G666</x:f>
        <x:v>0</x:v>
      </x:c>
    </x:row>
    <x:row r="667">
      <x:c r="A667" s="31">
        <x:v>37960</x:v>
      </x:c>
      <x:c r="B667" s="32">
        <x:v>163.69</x:v>
      </x:c>
      <x:c r="C667" s="32">
        <x:v>163.69</x:v>
      </x:c>
      <x:c r="D667" s="32">
        <x:v>162.47</x:v>
      </x:c>
      <x:c r="E667" s="32">
        <x:v>162.47</x:v>
      </x:c>
      <x:c r="F667" s="33">
        <x:v>241840</x:v>
      </x:c>
      <x:c r="G667" s="32" t="n">
        <x:f t="shared" si="21">AVERAGE(E468:E667)</x:f>
        <x:v>150.78329999999997</x:v>
      </x:c>
      <x:c r="H667" s="37" t="n">
        <x:f t="shared" si="22">IFERROR(E667/G667-1,"")</x:f>
        <x:v>0.07750659389998771</x:v>
      </x:c>
      <x:c r="I667" s="38" t="b">
        <x:f t="shared" si="23">E667&lt;G667</x:f>
        <x:v>0</x:v>
      </x:c>
    </x:row>
    <x:row r="668">
      <x:c r="A668" s="31">
        <x:v>37963</x:v>
      </x:c>
      <x:c r="B668" s="32">
        <x:v>161.63</x:v>
      </x:c>
      <x:c r="C668" s="32">
        <x:v>161.63</x:v>
      </x:c>
      <x:c r="D668" s="32">
        <x:v>161.01</x:v>
      </x:c>
      <x:c r="E668" s="32">
        <x:v>161.01</x:v>
      </x:c>
      <x:c r="F668" s="33">
        <x:v>182180</x:v>
      </x:c>
      <x:c r="G668" s="32" t="n">
        <x:f t="shared" si="21">AVERAGE(E469:E668)</x:f>
        <x:v>150.7062</x:v>
      </x:c>
      <x:c r="H668" s="37" t="n">
        <x:f t="shared" si="22">IFERROR(E668/G668-1,"")</x:f>
        <x:v>0.06837011350561562</x:v>
      </x:c>
      <x:c r="I668" s="38" t="b">
        <x:f t="shared" si="23">E668&lt;G668</x:f>
        <x:v>0</x:v>
      </x:c>
    </x:row>
    <x:row r="669">
      <x:c r="A669" s="31">
        <x:v>37964</x:v>
      </x:c>
      <x:c r="B669" s="32">
        <x:v>161.13999999999999</x:v>
      </x:c>
      <x:c r="C669" s="32">
        <x:v>161.85</x:v>
      </x:c>
      <x:c r="D669" s="32">
        <x:v>161.13999999999999</x:v>
      </x:c>
      <x:c r="E669" s="32">
        <x:v>161.85</x:v>
      </x:c>
      <x:c r="F669" s="33">
        <x:v>135270</x:v>
      </x:c>
      <x:c r="G669" s="32" t="n">
        <x:f t="shared" si="21">AVERAGE(E470:E669)</x:f>
        <x:v>150.64989999999997</x:v>
      </x:c>
      <x:c r="H669" s="37" t="n">
        <x:f t="shared" si="22">IFERROR(E669/G669-1,"")</x:f>
        <x:v>0.0743452202756194</x:v>
      </x:c>
      <x:c r="I669" s="38" t="b">
        <x:f t="shared" si="23">E669&lt;G669</x:f>
        <x:v>0</x:v>
      </x:c>
    </x:row>
    <x:row r="670">
      <x:c r="A670" s="31">
        <x:v>37965</x:v>
      </x:c>
      <x:c r="B670" s="32">
        <x:v>162.13999999999999</x:v>
      </x:c>
      <x:c r="C670" s="32">
        <x:v>162.13999999999999</x:v>
      </x:c>
      <x:c r="D670" s="32">
        <x:v>161.74</x:v>
      </x:c>
      <x:c r="E670" s="32">
        <x:v>161.74</x:v>
      </x:c>
      <x:c r="F670" s="33">
        <x:v>122740</x:v>
      </x:c>
      <x:c r="G670" s="32" t="n">
        <x:f t="shared" si="21">AVERAGE(E471:E670)</x:f>
        <x:v>150.59335</x:v>
      </x:c>
      <x:c r="H670" s="37" t="n">
        <x:f t="shared" si="22">IFERROR(E670/G670-1,"")</x:f>
        <x:v>0.07401820863935904</x:v>
      </x:c>
      <x:c r="I670" s="38" t="b">
        <x:f t="shared" si="23">E670&lt;G670</x:f>
        <x:v>0</x:v>
      </x:c>
    </x:row>
    <x:row r="671">
      <x:c r="A671" s="31">
        <x:v>37966</x:v>
      </x:c>
      <x:c r="B671" s="32">
        <x:v>161.75</x:v>
      </x:c>
      <x:c r="C671" s="32">
        <x:v>161.84</x:v>
      </x:c>
      <x:c r="D671" s="32">
        <x:v>161.75</x:v>
      </x:c>
      <x:c r="E671" s="32">
        <x:v>161.84</x:v>
      </x:c>
      <x:c r="F671" s="33">
        <x:v>130930</x:v>
      </x:c>
      <x:c r="G671" s="32" t="n">
        <x:f t="shared" si="21">AVERAGE(E472:E671)</x:f>
        <x:v>150.54555</x:v>
      </x:c>
      <x:c r="H671" s="37" t="n">
        <x:f t="shared" si="22">IFERROR(E671/G671-1,"")</x:f>
        <x:v>0.07502347296216993</x:v>
      </x:c>
      <x:c r="I671" s="38" t="b">
        <x:f t="shared" si="23">E671&lt;G671</x:f>
        <x:v>0</x:v>
      </x:c>
    </x:row>
    <x:row r="672">
      <x:c r="A672" s="31">
        <x:v>37967</x:v>
      </x:c>
      <x:c r="B672" s="32">
        <x:v>161.71</x:v>
      </x:c>
      <x:c r="C672" s="32">
        <x:v>162.13999999999999</x:v>
      </x:c>
      <x:c r="D672" s="32">
        <x:v>161.71</x:v>
      </x:c>
      <x:c r="E672" s="32">
        <x:v>162.13999999999999</x:v>
      </x:c>
      <x:c r="F672" s="33">
        <x:v>92210</x:v>
      </x:c>
      <x:c r="G672" s="32" t="n">
        <x:f t="shared" si="21">AVERAGE(E473:E672)</x:f>
        <x:v>150.49944999999997</x:v>
      </x:c>
      <x:c r="H672" s="37" t="n">
        <x:f t="shared" si="22">IFERROR(E672/G672-1,"")</x:f>
        <x:v>0.07734612983635492</x:v>
      </x:c>
      <x:c r="I672" s="38" t="b">
        <x:f t="shared" si="23">E672&lt;G672</x:f>
        <x:v>0</x:v>
      </x:c>
    </x:row>
    <x:row r="673">
      <x:c r="A673" s="31">
        <x:v>37970</x:v>
      </x:c>
      <x:c r="B673" s="32">
        <x:v>162.74</x:v>
      </x:c>
      <x:c r="C673" s="32">
        <x:v>163.61000000000001</x:v>
      </x:c>
      <x:c r="D673" s="32">
        <x:v>162.74</x:v>
      </x:c>
      <x:c r="E673" s="32">
        <x:v>163.61000000000001</x:v>
      </x:c>
      <x:c r="F673" s="33">
        <x:v>103920</x:v>
      </x:c>
      <x:c r="G673" s="32" t="n">
        <x:f t="shared" si="21">AVERAGE(E474:E673)</x:f>
        <x:v>150.46475</x:v>
      </x:c>
      <x:c r="H673" s="37" t="n">
        <x:f t="shared" si="22">IFERROR(E673/G673-1,"")</x:f>
        <x:v>0.08736431622689045</x:v>
      </x:c>
      <x:c r="I673" s="38" t="b">
        <x:f t="shared" si="23">E673&lt;G673</x:f>
        <x:v>0</x:v>
      </x:c>
    </x:row>
    <x:row r="674">
      <x:c r="A674" s="31">
        <x:v>37971</x:v>
      </x:c>
      <x:c r="B674" s="32">
        <x:v>165.67</x:v>
      </x:c>
      <x:c r="C674" s="32">
        <x:v>166.14</x:v>
      </x:c>
      <x:c r="D674" s="32">
        <x:v>165.67</x:v>
      </x:c>
      <x:c r="E674" s="32">
        <x:v>166.14</x:v>
      </x:c>
      <x:c r="F674" s="33">
        <x:v>143900</x:v>
      </x:c>
      <x:c r="G674" s="32" t="n">
        <x:f t="shared" si="21">AVERAGE(E475:E674)</x:f>
        <x:v>150.4353</x:v>
      </x:c>
      <x:c r="H674" s="37" t="n">
        <x:f t="shared" si="22">IFERROR(E674/G674-1,"")</x:f>
        <x:v>0.10439504557773316</x:v>
      </x:c>
      <x:c r="I674" s="38" t="b">
        <x:f t="shared" si="23">E674&lt;G674</x:f>
        <x:v>0</x:v>
      </x:c>
    </x:row>
    <x:row r="675">
      <x:c r="A675" s="31">
        <x:v>37972</x:v>
      </x:c>
      <x:c r="B675" s="32">
        <x:v>169.72</x:v>
      </x:c>
      <x:c r="C675" s="32">
        <x:v>169.72</x:v>
      </x:c>
      <x:c r="D675" s="32">
        <x:v>168.74</x:v>
      </x:c>
      <x:c r="E675" s="32">
        <x:v>168.74</x:v>
      </x:c>
      <x:c r="F675" s="33">
        <x:v>256620</x:v>
      </x:c>
      <x:c r="G675" s="32" t="n">
        <x:f t="shared" si="21">AVERAGE(E476:E675)</x:f>
        <x:v>150.4157</x:v>
      </x:c>
      <x:c r="H675" s="37" t="n">
        <x:f t="shared" si="22">IFERROR(E675/G675-1,"")</x:f>
        <x:v>0.1218243840237423</x:v>
      </x:c>
      <x:c r="I675" s="38" t="b">
        <x:f t="shared" si="23">E675&lt;G675</x:f>
        <x:v>0</x:v>
      </x:c>
    </x:row>
    <x:row r="676">
      <x:c r="A676" s="31">
        <x:v>37973</x:v>
      </x:c>
      <x:c r="B676" s="32">
        <x:v>170.36</x:v>
      </x:c>
      <x:c r="C676" s="32">
        <x:v>170.36</x:v>
      </x:c>
      <x:c r="D676" s="32">
        <x:v>168.69</x:v>
      </x:c>
      <x:c r="E676" s="32">
        <x:v>168.69</x:v>
      </x:c>
      <x:c r="F676" s="33">
        <x:v>229780</x:v>
      </x:c>
      <x:c r="G676" s="32" t="n">
        <x:f t="shared" si="21">AVERAGE(E477:E676)</x:f>
        <x:v>150.39765</x:v>
      </x:c>
      <x:c r="H676" s="37" t="n">
        <x:f t="shared" si="22">IFERROR(E676/G676-1,"")</x:f>
        <x:v>0.12162656796831595</x:v>
      </x:c>
      <x:c r="I676" s="38" t="b">
        <x:f t="shared" si="23">E676&lt;G676</x:f>
        <x:v>0</x:v>
      </x:c>
    </x:row>
    <x:row r="677">
      <x:c r="A677" s="31">
        <x:v>37974</x:v>
      </x:c>
      <x:c r="B677" s="32">
        <x:v>167.69</x:v>
      </x:c>
      <x:c r="C677" s="32">
        <x:v>167.93</x:v>
      </x:c>
      <x:c r="D677" s="32">
        <x:v>167.69</x:v>
      </x:c>
      <x:c r="E677" s="32">
        <x:v>167.93</x:v>
      </x:c>
      <x:c r="F677" s="33">
        <x:v>199490</x:v>
      </x:c>
      <x:c r="G677" s="32" t="n">
        <x:f t="shared" si="21">AVERAGE(E478:E677)</x:f>
        <x:v>150.3754</x:v>
      </x:c>
      <x:c r="H677" s="37" t="n">
        <x:f t="shared" si="22">IFERROR(E677/G677-1,"")</x:f>
        <x:v>0.11673850909124761</x:v>
      </x:c>
      <x:c r="I677" s="38" t="b">
        <x:f t="shared" si="23">E677&lt;G677</x:f>
        <x:v>0</x:v>
      </x:c>
    </x:row>
    <x:row r="678">
      <x:c r="A678" s="31">
        <x:v>37977</x:v>
      </x:c>
      <x:c r="B678" s="32">
        <x:v>168.5</x:v>
      </x:c>
      <x:c r="C678" s="32">
        <x:v>168.5</x:v>
      </x:c>
      <x:c r="D678" s="32">
        <x:v>167.11</x:v>
      </x:c>
      <x:c r="E678" s="32">
        <x:v>167.11</x:v>
      </x:c>
      <x:c r="F678" s="33">
        <x:v>159620</x:v>
      </x:c>
      <x:c r="G678" s="32" t="n">
        <x:f t="shared" si="21">AVERAGE(E479:E678)</x:f>
        <x:v>150.35625000000002</x:v>
      </x:c>
      <x:c r="H678" s="37" t="n">
        <x:f t="shared" si="22">IFERROR(E678/G678-1,"")</x:f>
        <x:v>0.1114270274764102</x:v>
      </x:c>
      <x:c r="I678" s="38" t="b">
        <x:f t="shared" si="23">E678&lt;G678</x:f>
        <x:v>0</x:v>
      </x:c>
    </x:row>
    <x:row r="679">
      <x:c r="A679" s="31">
        <x:v>37978</x:v>
      </x:c>
      <x:c r="B679" s="32">
        <x:v>166.55</x:v>
      </x:c>
      <x:c r="C679" s="32">
        <x:v>166.55</x:v>
      </x:c>
      <x:c r="D679" s="32">
        <x:v>166.47</x:v>
      </x:c>
      <x:c r="E679" s="32">
        <x:v>166.47</x:v>
      </x:c>
      <x:c r="F679" s="33">
        <x:v>153310</x:v>
      </x:c>
      <x:c r="G679" s="32" t="n">
        <x:f t="shared" si="21">AVERAGE(E480:E679)</x:f>
        <x:v>150.35065</x:v>
      </x:c>
      <x:c r="H679" s="37" t="n">
        <x:f t="shared" si="22">IFERROR(E679/G679-1,"")</x:f>
        <x:v>0.1072117080970385</x:v>
      </x:c>
      <x:c r="I679" s="38" t="b">
        <x:f t="shared" si="23">E679&lt;G679</x:f>
        <x:v>0</x:v>
      </x:c>
    </x:row>
    <x:row r="680">
      <x:c r="A680" s="31">
        <x:v>37979</x:v>
      </x:c>
      <x:c r="B680" s="32">
        <x:v>166.78</x:v>
      </x:c>
      <x:c r="C680" s="32">
        <x:v>166.78</x:v>
      </x:c>
      <x:c r="D680" s="32">
        <x:v>166.42</x:v>
      </x:c>
      <x:c r="E680" s="32">
        <x:v>166.42</x:v>
      </x:c>
      <x:c r="F680" s="33">
        <x:v>146850</x:v>
      </x:c>
      <x:c r="G680" s="32" t="n">
        <x:f t="shared" si="21">AVERAGE(E481:E680)</x:f>
        <x:v>150.3632</x:v>
      </x:c>
      <x:c r="H680" s="37" t="n">
        <x:f t="shared" si="22">IFERROR(E680/G680-1,"")</x:f>
        <x:v>0.10678676697489808</x:v>
      </x:c>
      <x:c r="I680" s="38" t="b">
        <x:f t="shared" si="23">E680&lt;G680</x:f>
        <x:v>0</x:v>
      </x:c>
    </x:row>
    <x:row r="681">
      <x:c r="A681" s="31">
        <x:v>37980</x:v>
      </x:c>
      <x:c r="B681" s="32">
        <x:v>166.57</x:v>
      </x:c>
      <x:c r="C681" s="32">
        <x:v>166.57</x:v>
      </x:c>
      <x:c r="D681" s="32">
        <x:v>166.48</x:v>
      </x:c>
      <x:c r="E681" s="32">
        <x:v>166.48</x:v>
      </x:c>
      <x:c r="F681" s="33">
        <x:v>131170</x:v>
      </x:c>
      <x:c r="G681" s="32" t="n">
        <x:f t="shared" si="21">AVERAGE(E482:E681)</x:f>
        <x:v>150.36025</x:v>
      </x:c>
      <x:c r="H681" s="37" t="n">
        <x:f t="shared" si="22">IFERROR(E681/G681-1,"")</x:f>
        <x:v>0.10720752326495853</x:v>
      </x:c>
      <x:c r="I681" s="38" t="b">
        <x:f t="shared" si="23">E681&lt;G681</x:f>
        <x:v>0</x:v>
      </x:c>
    </x:row>
    <x:row r="682">
      <x:c r="A682" s="31">
        <x:v>37981</x:v>
      </x:c>
      <x:c r="B682" s="32">
        <x:v>166.5</x:v>
      </x:c>
      <x:c r="C682" s="32">
        <x:v>166.5</x:v>
      </x:c>
      <x:c r="D682" s="32">
        <x:v>166.03</x:v>
      </x:c>
      <x:c r="E682" s="32">
        <x:v>166.03</x:v>
      </x:c>
      <x:c r="F682" s="33">
        <x:v>78230</x:v>
      </x:c>
      <x:c r="G682" s="32" t="n">
        <x:f t="shared" si="21">AVERAGE(E483:E682)</x:f>
        <x:v>150.34675</x:v>
      </x:c>
      <x:c r="H682" s="37" t="n">
        <x:f t="shared" si="22">IFERROR(E682/G682-1,"")</x:f>
        <x:v>0.10431386112436769</x:v>
      </x:c>
      <x:c r="I682" s="38" t="b">
        <x:f t="shared" si="23">E682&lt;G682</x:f>
        <x:v>0</x:v>
      </x:c>
    </x:row>
    <x:row r="683">
      <x:c r="A683" s="31">
        <x:v>37984</x:v>
      </x:c>
      <x:c r="B683" s="32">
        <x:v>165.98</x:v>
      </x:c>
      <x:c r="C683" s="32">
        <x:v>165.98</x:v>
      </x:c>
      <x:c r="D683" s="32">
        <x:v>165.57</x:v>
      </x:c>
      <x:c r="E683" s="32">
        <x:v>165.57</x:v>
      </x:c>
      <x:c r="F683" s="33">
        <x:v>95840</x:v>
      </x:c>
      <x:c r="G683" s="32" t="n">
        <x:f t="shared" si="21">AVERAGE(E484:E683)</x:f>
        <x:v>150.33214999999998</x:v>
      </x:c>
      <x:c r="H683" s="37" t="n">
        <x:f t="shared" si="22">IFERROR(E683/G683-1,"")</x:f>
        <x:v>0.10136121914041674</x:v>
      </x:c>
      <x:c r="I683" s="38" t="b">
        <x:f t="shared" si="23">E683&lt;G683</x:f>
        <x:v>0</x:v>
      </x:c>
    </x:row>
    <x:row r="684">
      <x:c r="A684" s="31">
        <x:v>37985</x:v>
      </x:c>
      <x:c r="B684" s="32">
        <x:v>165.82</x:v>
      </x:c>
      <x:c r="C684" s="32">
        <x:v>166.06</x:v>
      </x:c>
      <x:c r="D684" s="32">
        <x:v>165.82</x:v>
      </x:c>
      <x:c r="E684" s="32">
        <x:v>166.06</x:v>
      </x:c>
      <x:c r="F684" s="33">
        <x:v>95590</x:v>
      </x:c>
      <x:c r="G684" s="32" t="n">
        <x:f t="shared" si="21">AVERAGE(E485:E684)</x:f>
        <x:v>150.3263</x:v>
      </x:c>
      <x:c r="H684" s="37" t="n">
        <x:f t="shared" si="22">IFERROR(E684/G684-1,"")</x:f>
        <x:v>0.10466365499583241</x:v>
      </x:c>
      <x:c r="I684" s="38" t="b">
        <x:f t="shared" si="23">E684&lt;G684</x:f>
        <x:v>0</x:v>
      </x:c>
    </x:row>
    <x:row r="685">
      <x:c r="A685" s="31">
        <x:v>37986</x:v>
      </x:c>
      <x:c r="B685" s="32">
        <x:v>166.32</x:v>
      </x:c>
      <x:c r="C685" s="32">
        <x:v>166.94</x:v>
      </x:c>
      <x:c r="D685" s="32">
        <x:v>166.32</x:v>
      </x:c>
      <x:c r="E685" s="32">
        <x:v>166.94</x:v>
      </x:c>
      <x:c r="F685" s="33">
        <x:v>96590</x:v>
      </x:c>
      <x:c r="G685" s="32" t="n">
        <x:f t="shared" si="21">AVERAGE(E486:E685)</x:f>
        <x:v>150.32944999999998</x:v>
      </x:c>
      <x:c r="H685" s="37" t="n">
        <x:f t="shared" si="22">IFERROR(E685/G685-1,"")</x:f>
        <x:v>0.11049431764700812</x:v>
      </x:c>
      <x:c r="I685" s="38" t="b">
        <x:f t="shared" si="23">E685&lt;G685</x:f>
        <x:v>0</x:v>
      </x:c>
    </x:row>
    <x:row r="686">
      <x:c r="A686" s="31">
        <x:v>37991</x:v>
      </x:c>
      <x:c r="B686" s="32">
        <x:v>167.69</x:v>
      </x:c>
      <x:c r="C686" s="32">
        <x:v>169.16</x:v>
      </x:c>
      <x:c r="D686" s="32">
        <x:v>167.69</x:v>
      </x:c>
      <x:c r="E686" s="32">
        <x:v>169.16</x:v>
      </x:c>
      <x:c r="F686" s="33">
        <x:v>216010</x:v>
      </x:c>
      <x:c r="G686" s="32" t="n">
        <x:f t="shared" si="21">AVERAGE(E487:E686)</x:f>
        <x:v>150.34529999999998</x:v>
      </x:c>
      <x:c r="H686" s="37" t="n">
        <x:f t="shared" si="22">IFERROR(E686/G686-1,"")</x:f>
        <x:v>0.12514325356362987</x:v>
      </x:c>
      <x:c r="I686" s="38" t="b">
        <x:f t="shared" si="23">E686&lt;G686</x:f>
        <x:v>0</x:v>
      </x:c>
    </x:row>
    <x:row r="687">
      <x:c r="A687" s="31">
        <x:v>37992</x:v>
      </x:c>
      <x:c r="B687" s="32">
        <x:v>170.78</x:v>
      </x:c>
      <x:c r="C687" s="32">
        <x:v>170.78</x:v>
      </x:c>
      <x:c r="D687" s="32">
        <x:v>170.26</x:v>
      </x:c>
      <x:c r="E687" s="32">
        <x:v>170.26</x:v>
      </x:c>
      <x:c r="F687" s="33">
        <x:v>240830</x:v>
      </x:c>
      <x:c r="G687" s="32" t="n">
        <x:f t="shared" si="21">AVERAGE(E488:E687)</x:f>
        <x:v>150.37349999999998</x:v>
      </x:c>
      <x:c r="H687" s="37" t="n">
        <x:f t="shared" si="22">IFERROR(E687/G687-1,"")</x:f>
        <x:v>0.13224737071358983</x:v>
      </x:c>
      <x:c r="I687" s="38" t="b">
        <x:f t="shared" si="23">E687&lt;G687</x:f>
        <x:v>0</x:v>
      </x:c>
    </x:row>
    <x:row r="688">
      <x:c r="A688" s="31">
        <x:v>37993</x:v>
      </x:c>
      <x:c r="B688" s="32">
        <x:v>170.84</x:v>
      </x:c>
      <x:c r="C688" s="32">
        <x:v>171.17</x:v>
      </x:c>
      <x:c r="D688" s="32">
        <x:v>170.84</x:v>
      </x:c>
      <x:c r="E688" s="32">
        <x:v>171.17</x:v>
      </x:c>
      <x:c r="F688" s="33">
        <x:v>121040</x:v>
      </x:c>
      <x:c r="G688" s="32" t="n">
        <x:f t="shared" si="21">AVERAGE(E489:E688)</x:f>
        <x:v>150.40194999999997</x:v>
      </x:c>
      <x:c r="H688" s="37" t="n">
        <x:f t="shared" si="22">IFERROR(E688/G688-1,"")</x:f>
        <x:v>0.13808364851652533</x:v>
      </x:c>
      <x:c r="I688" s="38" t="b">
        <x:f t="shared" si="23">E688&lt;G688</x:f>
        <x:v>0</x:v>
      </x:c>
    </x:row>
    <x:row r="689">
      <x:c r="A689" s="31">
        <x:v>37994</x:v>
      </x:c>
      <x:c r="B689" s="32">
        <x:v>171.79</x:v>
      </x:c>
      <x:c r="C689" s="32">
        <x:v>171.79</x:v>
      </x:c>
      <x:c r="D689" s="32">
        <x:v>171.6</x:v>
      </x:c>
      <x:c r="E689" s="32">
        <x:v>171.6</x:v>
      </x:c>
      <x:c r="F689" s="33">
        <x:v>228650</x:v>
      </x:c>
      <x:c r="G689" s="32" t="n">
        <x:f t="shared" si="21">AVERAGE(E490:E689)</x:f>
        <x:v>150.43349999999998</x:v>
      </x:c>
      <x:c r="H689" s="37" t="n">
        <x:f t="shared" si="22">IFERROR(E689/G689-1,"")</x:f>
        <x:v>0.14070336726859378</x:v>
      </x:c>
      <x:c r="I689" s="38" t="b">
        <x:f t="shared" si="23">E689&lt;G689</x:f>
        <x:v>0</x:v>
      </x:c>
    </x:row>
    <x:row r="690">
      <x:c r="A690" s="31">
        <x:v>37995</x:v>
      </x:c>
      <x:c r="B690" s="32">
        <x:v>171.44</x:v>
      </x:c>
      <x:c r="C690" s="32">
        <x:v>173.27</x:v>
      </x:c>
      <x:c r="D690" s="32">
        <x:v>171.44</x:v>
      </x:c>
      <x:c r="E690" s="32">
        <x:v>173.27</x:v>
      </x:c>
      <x:c r="F690" s="33">
        <x:v>144560</x:v>
      </x:c>
      <x:c r="G690" s="32" t="n">
        <x:f t="shared" si="21">AVERAGE(E491:E690)</x:f>
        <x:v>150.47629999999998</x:v>
      </x:c>
      <x:c r="H690" s="37" t="n">
        <x:f t="shared" si="22">IFERROR(E690/G690-1,"")</x:f>
        <x:v>0.15147701000091063</x:v>
      </x:c>
      <x:c r="I690" s="38" t="b">
        <x:f t="shared" si="23">E690&lt;G690</x:f>
        <x:v>0</x:v>
      </x:c>
    </x:row>
    <x:row r="691">
      <x:c r="A691" s="31">
        <x:v>37998</x:v>
      </x:c>
      <x:c r="B691" s="32">
        <x:v>173.46</x:v>
      </x:c>
      <x:c r="C691" s="32">
        <x:v>174.13</x:v>
      </x:c>
      <x:c r="D691" s="32">
        <x:v>173.46</x:v>
      </x:c>
      <x:c r="E691" s="32">
        <x:v>174.13</x:v>
      </x:c>
      <x:c r="F691" s="33">
        <x:v>156020</x:v>
      </x:c>
      <x:c r="G691" s="32" t="n">
        <x:f t="shared" si="21">AVERAGE(E492:E691)</x:f>
        <x:v>150.52349999999996</x:v>
      </x:c>
      <x:c r="H691" s="37" t="n">
        <x:f t="shared" si="22">IFERROR(E691/G691-1,"")</x:f>
        <x:v>0.15682933229695073</x:v>
      </x:c>
      <x:c r="I691" s="38" t="b">
        <x:f t="shared" si="23">E691&lt;G691</x:f>
        <x:v>0</x:v>
      </x:c>
    </x:row>
    <x:row r="692">
      <x:c r="A692" s="31">
        <x:v>37999</x:v>
      </x:c>
      <x:c r="B692" s="32">
        <x:v>174.65</x:v>
      </x:c>
      <x:c r="C692" s="32">
        <x:v>175.17</x:v>
      </x:c>
      <x:c r="D692" s="32">
        <x:v>174.65</x:v>
      </x:c>
      <x:c r="E692" s="32">
        <x:v>175.17</x:v>
      </x:c>
      <x:c r="F692" s="33">
        <x:v>225180</x:v>
      </x:c>
      <x:c r="G692" s="32" t="n">
        <x:f t="shared" si="21">AVERAGE(E493:E692)</x:f>
        <x:v>150.57629999999997</x:v>
      </x:c>
      <x:c r="H692" s="37" t="n">
        <x:f t="shared" si="22">IFERROR(E692/G692-1,"")</x:f>
        <x:v>0.16333048427939856</x:v>
      </x:c>
      <x:c r="I692" s="38" t="b">
        <x:f t="shared" si="23">E692&lt;G692</x:f>
        <x:v>0</x:v>
      </x:c>
    </x:row>
    <x:row r="693">
      <x:c r="A693" s="31">
        <x:v>38000</x:v>
      </x:c>
      <x:c r="B693" s="32">
        <x:v>178.72</x:v>
      </x:c>
      <x:c r="C693" s="32">
        <x:v>178.72</x:v>
      </x:c>
      <x:c r="D693" s="32">
        <x:v>176.35</x:v>
      </x:c>
      <x:c r="E693" s="32">
        <x:v>176.35</x:v>
      </x:c>
      <x:c r="F693" s="33">
        <x:v>230700</x:v>
      </x:c>
      <x:c r="G693" s="32" t="n">
        <x:f t="shared" si="21">AVERAGE(E494:E693)</x:f>
        <x:v>150.63015</x:v>
      </x:c>
      <x:c r="H693" s="37" t="n">
        <x:f t="shared" si="22">IFERROR(E693/G693-1,"")</x:f>
        <x:v>0.1707483528364011</x:v>
      </x:c>
      <x:c r="I693" s="38" t="b">
        <x:f t="shared" si="23">E693&lt;G693</x:f>
        <x:v>0</x:v>
      </x:c>
    </x:row>
    <x:row r="694">
      <x:c r="A694" s="31">
        <x:v>38001</x:v>
      </x:c>
      <x:c r="B694" s="32">
        <x:v>176.16</x:v>
      </x:c>
      <x:c r="C694" s="32">
        <x:v>177.59</x:v>
      </x:c>
      <x:c r="D694" s="32">
        <x:v>176.16</x:v>
      </x:c>
      <x:c r="E694" s="32">
        <x:v>177.59</x:v>
      </x:c>
      <x:c r="F694" s="33">
        <x:v>322530</x:v>
      </x:c>
      <x:c r="G694" s="32" t="n">
        <x:f t="shared" si="21">AVERAGE(E495:E694)</x:f>
        <x:v>150.69355</x:v>
      </x:c>
      <x:c r="H694" s="37" t="n">
        <x:f t="shared" si="22">IFERROR(E694/G694-1,"")</x:f>
        <x:v>0.17848441423007166</x:v>
      </x:c>
      <x:c r="I694" s="38" t="b">
        <x:f t="shared" si="23">E694&lt;G694</x:f>
        <x:v>0</x:v>
      </x:c>
    </x:row>
    <x:row r="695">
      <x:c r="A695" s="31">
        <x:v>38002</x:v>
      </x:c>
      <x:c r="B695" s="32">
        <x:v>180.23</x:v>
      </x:c>
      <x:c r="C695" s="32">
        <x:v>183.18</x:v>
      </x:c>
      <x:c r="D695" s="32">
        <x:v>180.23</x:v>
      </x:c>
      <x:c r="E695" s="32">
        <x:v>183.18</x:v>
      </x:c>
      <x:c r="F695" s="33">
        <x:v>328810</x:v>
      </x:c>
      <x:c r="G695" s="32" t="n">
        <x:f t="shared" si="21">AVERAGE(E496:E695)</x:f>
        <x:v>150.78775</x:v>
      </x:c>
      <x:c r="H695" s="37" t="n">
        <x:f t="shared" si="22">IFERROR(E695/G695-1,"")</x:f>
        <x:v>0.21482016941031357</x:v>
      </x:c>
      <x:c r="I695" s="38" t="b">
        <x:f t="shared" si="23">E695&lt;G695</x:f>
        <x:v>0</x:v>
      </x:c>
    </x:row>
    <x:row r="696">
      <x:c r="A696" s="31">
        <x:v>38013</x:v>
      </x:c>
      <x:c r="B696" s="32">
        <x:v>190.88</x:v>
      </x:c>
      <x:c r="C696" s="32">
        <x:v>191.87</x:v>
      </x:c>
      <x:c r="D696" s="32">
        <x:v>190.88</x:v>
      </x:c>
      <x:c r="E696" s="32">
        <x:v>191.87</x:v>
      </x:c>
      <x:c r="F696" s="33">
        <x:v>103450</x:v>
      </x:c>
      <x:c r="G696" s="32" t="n">
        <x:f t="shared" si="21">AVERAGE(E497:E696)</x:f>
        <x:v>150.92569999999995</x:v>
      </x:c>
      <x:c r="H696" s="37" t="n">
        <x:f t="shared" si="22">IFERROR(E696/G696-1,"")</x:f>
        <x:v>0.2712877926025856</x:v>
      </x:c>
      <x:c r="I696" s="38" t="b">
        <x:f t="shared" si="23">E696&lt;G696</x:f>
        <x:v>0</x:v>
      </x:c>
    </x:row>
    <x:row r="697">
      <x:c r="A697" s="31">
        <x:v>38014</x:v>
      </x:c>
      <x:c r="B697" s="32">
        <x:v>200.73</x:v>
      </x:c>
      <x:c r="C697" s="32">
        <x:v>200.8</x:v>
      </x:c>
      <x:c r="D697" s="32">
        <x:v>200.73</x:v>
      </x:c>
      <x:c r="E697" s="32">
        <x:v>200.8</x:v>
      </x:c>
      <x:c r="F697" s="33">
        <x:v>100170</x:v>
      </x:c>
      <x:c r="G697" s="32" t="n">
        <x:f t="shared" si="21">AVERAGE(E498:E697)</x:f>
        <x:v>151.10959999999997</x:v>
      </x:c>
      <x:c r="H697" s="37" t="n">
        <x:f t="shared" si="22">IFERROR(E697/G697-1,"")</x:f>
        <x:v>0.3288368177799428</x:v>
      </x:c>
      <x:c r="I697" s="38" t="b">
        <x:f t="shared" si="23">E697&lt;G697</x:f>
        <x:v>0</x:v>
      </x:c>
    </x:row>
    <x:row r="698">
      <x:c r="A698" s="31">
        <x:v>38015</x:v>
      </x:c>
      <x:c r="B698" s="32">
        <x:v>210.46</x:v>
      </x:c>
      <x:c r="C698" s="32">
        <x:v>210.46</x:v>
      </x:c>
      <x:c r="D698" s="32">
        <x:v>210.46</x:v>
      </x:c>
      <x:c r="E698" s="32">
        <x:v>210.46</x:v>
      </x:c>
      <x:c r="F698" s="33">
        <x:v>318460</x:v>
      </x:c>
      <x:c r="G698" s="32" t="n">
        <x:f t="shared" si="21">AVERAGE(E499:E698)</x:f>
        <x:v>151.34404999999995</x:v>
      </x:c>
      <x:c r="H698" s="37" t="n">
        <x:f t="shared" si="22">IFERROR(E698/G698-1,"")</x:f>
        <x:v>0.39060637005551313</x:v>
      </x:c>
      <x:c r="I698" s="38" t="b">
        <x:f t="shared" si="23">E698&lt;G698</x:f>
        <x:v>0</x:v>
      </x:c>
    </x:row>
    <x:row r="699">
      <x:c r="A699" s="31">
        <x:v>38016</x:v>
      </x:c>
      <x:c r="B699" s="32">
        <x:v>217.7</x:v>
      </x:c>
      <x:c r="C699" s="32">
        <x:v>217.7</x:v>
      </x:c>
      <x:c r="D699" s="32">
        <x:v>214.32</x:v>
      </x:c>
      <x:c r="E699" s="32">
        <x:v>214.32</x:v>
      </x:c>
      <x:c r="F699" s="33">
        <x:v>1303470</x:v>
      </x:c>
      <x:c r="G699" s="32" t="n">
        <x:f t="shared" si="21">AVERAGE(E500:E699)</x:f>
        <x:v>151.60134999999994</x:v>
      </x:c>
      <x:c r="H699" s="37" t="n">
        <x:f t="shared" si="22">IFERROR(E699/G699-1,"")</x:f>
        <x:v>0.4137077275367276</x:v>
      </x:c>
      <x:c r="I699" s="38" t="b">
        <x:f t="shared" si="23">E699&lt;G699</x:f>
        <x:v>0</x:v>
      </x:c>
    </x:row>
    <x:row r="700">
      <x:c r="A700" s="31">
        <x:v>38019</x:v>
      </x:c>
      <x:c r="B700" s="32">
        <x:v>213.26</x:v>
      </x:c>
      <x:c r="C700" s="32">
        <x:v>213.26</x:v>
      </x:c>
      <x:c r="D700" s="32">
        <x:v>207.14</x:v>
      </x:c>
      <x:c r="E700" s="32">
        <x:v>207.14</x:v>
      </x:c>
      <x:c r="F700" s="33">
        <x:v>724110</x:v>
      </x:c>
      <x:c r="G700" s="32" t="n">
        <x:f t="shared" si="21">AVERAGE(E501:E700)</x:f>
        <x:v>151.82649999999995</x:v>
      </x:c>
      <x:c r="H700" s="37" t="n">
        <x:f t="shared" si="22">IFERROR(E700/G700-1,"")</x:f>
        <x:v>0.3643204578910799</x:v>
      </x:c>
      <x:c r="I700" s="38" t="b">
        <x:f t="shared" si="23">E700&lt;G700</x:f>
        <x:v>0</x:v>
      </x:c>
    </x:row>
    <x:row r="701">
      <x:c r="A701" s="31">
        <x:v>38020</x:v>
      </x:c>
      <x:c r="B701" s="32">
        <x:v>200.69</x:v>
      </x:c>
      <x:c r="C701" s="32">
        <x:v>200.69</x:v>
      </x:c>
      <x:c r="D701" s="32">
        <x:v>199.56</x:v>
      </x:c>
      <x:c r="E701" s="32">
        <x:v>199.56</x:v>
      </x:c>
      <x:c r="F701" s="33">
        <x:v>819850</x:v>
      </x:c>
      <x:c r="G701" s="32" t="n">
        <x:f t="shared" si="21">AVERAGE(E502:E701)</x:f>
        <x:v>152.01614999999995</x:v>
      </x:c>
      <x:c r="H701" s="37" t="n">
        <x:f t="shared" si="22">IFERROR(E701/G701-1,"")</x:f>
        <x:v>0.31275525659609227</x:v>
      </x:c>
      <x:c r="I701" s="38" t="b">
        <x:f t="shared" si="23">E701&lt;G701</x:f>
        <x:v>0</x:v>
      </x:c>
    </x:row>
    <x:row r="702">
      <x:c r="A702" s="31">
        <x:v>38021</x:v>
      </x:c>
      <x:c r="B702" s="32">
        <x:v>200.03</x:v>
      </x:c>
      <x:c r="C702" s="32">
        <x:v>208.26</x:v>
      </x:c>
      <x:c r="D702" s="32">
        <x:v>200.03</x:v>
      </x:c>
      <x:c r="E702" s="32">
        <x:v>208.26</x:v>
      </x:c>
      <x:c r="F702" s="33">
        <x:v>421610</x:v>
      </x:c>
      <x:c r="G702" s="32" t="n">
        <x:f t="shared" si="21">AVERAGE(E503:E702)</x:f>
        <x:v>152.25094999999996</x:v>
      </x:c>
      <x:c r="H702" s="37" t="n">
        <x:f t="shared" si="22">IFERROR(E702/G702-1,"")</x:f>
        <x:v>0.3678732382293841</x:v>
      </x:c>
      <x:c r="I702" s="38" t="b">
        <x:f t="shared" si="23">E702&lt;G702</x:f>
        <x:v>0</x:v>
      </x:c>
    </x:row>
    <x:row r="703">
      <x:c r="A703" s="31">
        <x:v>38022</x:v>
      </x:c>
      <x:c r="B703" s="32">
        <x:v>217.85</x:v>
      </x:c>
      <x:c r="C703" s="32">
        <x:v>217.85</x:v>
      </x:c>
      <x:c r="D703" s="32">
        <x:v>215.33</x:v>
      </x:c>
      <x:c r="E703" s="32">
        <x:v>215.33</x:v>
      </x:c>
      <x:c r="F703" s="33">
        <x:v>826660</x:v>
      </x:c>
      <x:c r="G703" s="32" t="n">
        <x:f t="shared" si="21">AVERAGE(E504:E703)</x:f>
        <x:v>152.52409999999995</x:v>
      </x:c>
      <x:c r="H703" s="37" t="n">
        <x:f t="shared" si="22">IFERROR(E703/G703-1,"")</x:f>
        <x:v>0.41177689296314535</x:v>
      </x:c>
      <x:c r="I703" s="38" t="b">
        <x:f t="shared" si="23">E703&lt;G703</x:f>
        <x:v>0</x:v>
      </x:c>
    </x:row>
    <x:row r="704">
      <x:c r="A704" s="31">
        <x:v>38023</x:v>
      </x:c>
      <x:c r="B704" s="32">
        <x:v>215.35</x:v>
      </x:c>
      <x:c r="C704" s="32">
        <x:v>215.35</x:v>
      </x:c>
      <x:c r="D704" s="32">
        <x:v>213.42</x:v>
      </x:c>
      <x:c r="E704" s="32">
        <x:v>213.42</x:v>
      </x:c>
      <x:c r="F704" s="33">
        <x:v>312870</x:v>
      </x:c>
      <x:c r="G704" s="32" t="n">
        <x:f t="shared" si="21">AVERAGE(E505:E704)</x:f>
        <x:v>152.80204999999992</x:v>
      </x:c>
      <x:c r="H704" s="37" t="n">
        <x:f t="shared" si="22">IFERROR(E704/G704-1,"")</x:f>
        <x:v>0.39670901012126536</x:v>
      </x:c>
      <x:c r="I704" s="38" t="b">
        <x:f t="shared" si="23">E704&lt;G704</x:f>
        <x:v>0</x:v>
      </x:c>
    </x:row>
    <x:row r="705">
      <x:c r="A705" s="31">
        <x:v>38026</x:v>
      </x:c>
      <x:c r="B705" s="32">
        <x:v>212.7</x:v>
      </x:c>
      <x:c r="C705" s="32">
        <x:v>212.7</x:v>
      </x:c>
      <x:c r="D705" s="32">
        <x:v>212.55</x:v>
      </x:c>
      <x:c r="E705" s="32">
        <x:v>212.55</x:v>
      </x:c>
      <x:c r="F705" s="33">
        <x:v>312990</x:v>
      </x:c>
      <x:c r="G705" s="32" t="n">
        <x:f t="shared" si="21">AVERAGE(E506:E705)</x:f>
        <x:v>153.07504999999992</x:v>
      </x:c>
      <x:c r="H705" s="37" t="n">
        <x:f t="shared" si="22">IFERROR(E705/G705-1,"")</x:f>
        <x:v>0.3885345782999916</x:v>
      </x:c>
      <x:c r="I705" s="38" t="b">
        <x:f t="shared" si="23">E705&lt;G705</x:f>
        <x:v>0</x:v>
      </x:c>
    </x:row>
    <x:row r="706">
      <x:c r="A706" s="31">
        <x:v>38027</x:v>
      </x:c>
      <x:c r="B706" s="32">
        <x:v>212.49</x:v>
      </x:c>
      <x:c r="C706" s="32">
        <x:v>213</x:v>
      </x:c>
      <x:c r="D706" s="32">
        <x:v>212.49</x:v>
      </x:c>
      <x:c r="E706" s="32">
        <x:v>213</x:v>
      </x:c>
      <x:c r="F706" s="33">
        <x:v>322220</x:v>
      </x:c>
      <x:c r="G706" s="32" t="n">
        <x:f t="shared" si="21">AVERAGE(E507:E706)</x:f>
        <x:v>153.35934999999992</x:v>
      </x:c>
      <x:c r="H706" s="37" t="n">
        <x:f t="shared" si="22">IFERROR(E706/G706-1,"")</x:f>
        <x:v>0.38889477557123264</x:v>
      </x:c>
      <x:c r="I706" s="38" t="b">
        <x:f t="shared" si="23">E706&lt;G706</x:f>
        <x:v>0</x:v>
      </x:c>
    </x:row>
    <x:row r="707">
      <x:c r="A707" s="31">
        <x:v>38028</x:v>
      </x:c>
      <x:c r="B707" s="32">
        <x:v>212.77</x:v>
      </x:c>
      <x:c r="C707" s="32">
        <x:v>212.81</x:v>
      </x:c>
      <x:c r="D707" s="32">
        <x:v>212.77</x:v>
      </x:c>
      <x:c r="E707" s="32">
        <x:v>212.81</x:v>
      </x:c>
      <x:c r="F707" s="33">
        <x:v>389890</x:v>
      </x:c>
      <x:c r="G707" s="32" t="n">
        <x:f t="shared" si="21">AVERAGE(E508:E707)</x:f>
        <x:v>153.6471999999999</x:v>
      </x:c>
      <x:c r="H707" s="37" t="n">
        <x:f t="shared" si="22">IFERROR(E707/G707-1,"")</x:f>
        <x:v>0.3850561546191542</x:v>
      </x:c>
      <x:c r="I707" s="38" t="b">
        <x:f t="shared" si="23">E707&lt;G707</x:f>
        <x:v>0</x:v>
      </x:c>
    </x:row>
    <x:row r="708">
      <x:c r="A708" s="31">
        <x:v>38029</x:v>
      </x:c>
      <x:c r="B708" s="32">
        <x:v>212.99</x:v>
      </x:c>
      <x:c r="C708" s="32">
        <x:v>213.76</x:v>
      </x:c>
      <x:c r="D708" s="32">
        <x:v>212.99</x:v>
      </x:c>
      <x:c r="E708" s="32">
        <x:v>213.76</x:v>
      </x:c>
      <x:c r="F708" s="33">
        <x:v>359460</x:v>
      </x:c>
      <x:c r="G708" s="32" t="n">
        <x:f t="shared" si="21">AVERAGE(E509:E708)</x:f>
        <x:v>153.94629999999992</x:v>
      </x:c>
      <x:c r="H708" s="37" t="n">
        <x:f t="shared" si="22">IFERROR(E708/G708-1,"")</x:f>
        <x:v>0.38853613240461193</x:v>
      </x:c>
      <x:c r="I708" s="38" t="b">
        <x:f t="shared" si="23">E708&lt;G708</x:f>
        <x:v>0</x:v>
      </x:c>
    </x:row>
    <x:row r="709">
      <x:c r="A709" s="31">
        <x:v>38030</x:v>
      </x:c>
      <x:c r="B709" s="32">
        <x:v>215.85</x:v>
      </x:c>
      <x:c r="C709" s="32">
        <x:v>217.1</x:v>
      </x:c>
      <x:c r="D709" s="32">
        <x:v>215.85</x:v>
      </x:c>
      <x:c r="E709" s="32">
        <x:v>217.1</x:v>
      </x:c>
      <x:c r="F709" s="33">
        <x:v>574580</x:v>
      </x:c>
      <x:c r="G709" s="32" t="n">
        <x:f t="shared" si="21">AVERAGE(E510:E709)</x:f>
        <x:v>154.2664499999999</x:v>
      </x:c>
      <x:c r="H709" s="37" t="n">
        <x:f t="shared" si="22">IFERROR(E709/G709-1,"")</x:f>
        <x:v>0.40730534733897183</x:v>
      </x:c>
      <x:c r="I709" s="38" t="b">
        <x:f t="shared" si="23">E709&lt;G709</x:f>
        <x:v>0</x:v>
      </x:c>
    </x:row>
    <x:row r="710">
      <x:c r="A710" s="31">
        <x:v>38033</x:v>
      </x:c>
      <x:c r="B710" s="32">
        <x:v>219.54</x:v>
      </x:c>
      <x:c r="C710" s="32">
        <x:v>219.54</x:v>
      </x:c>
      <x:c r="D710" s="32">
        <x:v>218.22</x:v>
      </x:c>
      <x:c r="E710" s="32">
        <x:v>218.22</x:v>
      </x:c>
      <x:c r="F710" s="33">
        <x:v>452550</x:v>
      </x:c>
      <x:c r="G710" s="32" t="n">
        <x:f t="shared" si="21">AVERAGE(E511:E710)</x:f>
        <x:v>154.59574999999992</x:v>
      </x:c>
      <x:c r="H710" s="37" t="n">
        <x:f t="shared" si="22">IFERROR(E710/G710-1,"")</x:f>
        <x:v>0.4115523874362659</x:v>
      </x:c>
      <x:c r="I710" s="38" t="b">
        <x:f t="shared" si="23">E710&lt;G710</x:f>
        <x:v>0</x:v>
      </x:c>
    </x:row>
    <x:row r="711">
      <x:c r="A711" s="31">
        <x:v>38034</x:v>
      </x:c>
      <x:c r="B711" s="32">
        <x:v>214.2</x:v>
      </x:c>
      <x:c r="C711" s="32">
        <x:v>219.06</x:v>
      </x:c>
      <x:c r="D711" s="32">
        <x:v>214.2</x:v>
      </x:c>
      <x:c r="E711" s="32">
        <x:v>219.06</x:v>
      </x:c>
      <x:c r="F711" s="33">
        <x:v>552530</x:v>
      </x:c>
      <x:c r="G711" s="32" t="n">
        <x:f t="shared" si="21">AVERAGE(E512:E711)</x:f>
        <x:v>154.93124999999995</x:v>
      </x:c>
      <x:c r="H711" s="37" t="n">
        <x:f t="shared" si="22">IFERROR(E711/G711-1,"")</x:f>
        <x:v>0.41391746339102076</x:v>
      </x:c>
      <x:c r="I711" s="38" t="b">
        <x:f t="shared" si="23">E711&lt;G711</x:f>
        <x:v>0</x:v>
      </x:c>
    </x:row>
    <x:row r="712">
      <x:c r="A712" s="31">
        <x:v>38035</x:v>
      </x:c>
      <x:c r="B712" s="32">
        <x:v>220.31</x:v>
      </x:c>
      <x:c r="C712" s="32">
        <x:v>221.99</x:v>
      </x:c>
      <x:c r="D712" s="32">
        <x:v>220.31</x:v>
      </x:c>
      <x:c r="E712" s="32">
        <x:v>221.99</x:v>
      </x:c>
      <x:c r="F712" s="33">
        <x:v>486550</x:v>
      </x:c>
      <x:c r="G712" s="32" t="n">
        <x:f t="shared" si="21">AVERAGE(E513:E712)</x:f>
        <x:v>155.28854999999993</x:v>
      </x:c>
      <x:c r="H712" s="37" t="n">
        <x:f t="shared" si="22">IFERROR(E712/G712-1,"")</x:f>
        <x:v>0.42953231258840474</x:v>
      </x:c>
      <x:c r="I712" s="38" t="b">
        <x:f t="shared" si="23">E712&lt;G712</x:f>
        <x:v>0</x:v>
      </x:c>
    </x:row>
    <x:row r="713">
      <x:c r="A713" s="31">
        <x:v>38036</x:v>
      </x:c>
      <x:c r="B713" s="32">
        <x:v>225.56</x:v>
      </x:c>
      <x:c r="C713" s="32">
        <x:v>227.67</x:v>
      </x:c>
      <x:c r="D713" s="32">
        <x:v>225.56</x:v>
      </x:c>
      <x:c r="E713" s="32">
        <x:v>227.67</x:v>
      </x:c>
      <x:c r="F713" s="33">
        <x:v>734130</x:v>
      </x:c>
      <x:c r="G713" s="32" t="n">
        <x:f t="shared" si="21">AVERAGE(E514:E713)</x:f>
        <x:v>155.69984999999994</x:v>
      </x:c>
      <x:c r="H713" s="37" t="n">
        <x:f t="shared" si="22">IFERROR(E713/G713-1,"")</x:f>
        <x:v>0.4622364761430411</x:v>
      </x:c>
      <x:c r="I713" s="38" t="b">
        <x:f t="shared" si="23">E713&lt;G713</x:f>
        <x:v>0</x:v>
      </x:c>
    </x:row>
    <x:row r="714">
      <x:c r="A714" s="31">
        <x:v>38037</x:v>
      </x:c>
      <x:c r="B714" s="32">
        <x:v>233.83</x:v>
      </x:c>
      <x:c r="C714" s="32">
        <x:v>235.3</x:v>
      </x:c>
      <x:c r="D714" s="32">
        <x:v>233.83</x:v>
      </x:c>
      <x:c r="E714" s="32">
        <x:v>235.3</x:v>
      </x:c>
      <x:c r="F714" s="33">
        <x:v>794210</x:v>
      </x:c>
      <x:c r="G714" s="32" t="n">
        <x:f t="shared" si="21">AVERAGE(E515:E714)</x:f>
        <x:v>156.17814999999993</x:v>
      </x:c>
      <x:c r="H714" s="37" t="n">
        <x:f t="shared" si="22">IFERROR(E714/G714-1,"")</x:f>
        <x:v>0.5066128008303346</x:v>
      </x:c>
      <x:c r="I714" s="38" t="b">
        <x:f t="shared" si="23">E714&lt;G714</x:f>
        <x:v>0</x:v>
      </x:c>
    </x:row>
    <x:row r="715">
      <x:c r="A715" s="31">
        <x:v>38040</x:v>
      </x:c>
      <x:c r="B715" s="32">
        <x:v>244.35</x:v>
      </x:c>
      <x:c r="C715" s="32">
        <x:v>246.35</x:v>
      </x:c>
      <x:c r="D715" s="32">
        <x:v>244.35</x:v>
      </x:c>
      <x:c r="E715" s="32">
        <x:v>246.35</x:v>
      </x:c>
      <x:c r="F715" s="33">
        <x:v>381790</x:v>
      </x:c>
      <x:c r="G715" s="32" t="n">
        <x:f t="shared" si="21">AVERAGE(E516:E715)</x:f>
        <x:v>156.6852499999999</x:v>
      </x:c>
      <x:c r="H715" s="37" t="n">
        <x:f t="shared" si="22">IFERROR(E715/G715-1,"")</x:f>
        <x:v>0.5722603116757967</x:v>
      </x:c>
      <x:c r="I715" s="38" t="b">
        <x:f t="shared" si="23">E715&lt;G715</x:f>
        <x:v>0</x:v>
      </x:c>
    </x:row>
    <x:row r="716">
      <x:c r="A716" s="31">
        <x:v>38041</x:v>
      </x:c>
      <x:c r="B716" s="32">
        <x:v>256.37</x:v>
      </x:c>
      <x:c r="C716" s="32">
        <x:v>256.37</x:v>
      </x:c>
      <x:c r="D716" s="32">
        <x:v>255</x:v>
      </x:c>
      <x:c r="E716" s="32">
        <x:v>255</x:v>
      </x:c>
      <x:c r="F716" s="33">
        <x:v>764550</x:v>
      </x:c>
      <x:c r="G716" s="32" t="n">
        <x:f t="shared" si="21">AVERAGE(E517:E716)</x:f>
        <x:v>157.19379999999992</x:v>
      </x:c>
      <x:c r="H716" s="37" t="n">
        <x:f t="shared" si="22">IFERROR(E716/G716-1,"")</x:f>
        <x:v>0.6222013845329786</x:v>
      </x:c>
      <x:c r="I716" s="38" t="b">
        <x:f t="shared" si="23">E716&lt;G716</x:f>
        <x:v>0</x:v>
      </x:c>
    </x:row>
    <x:row r="717">
      <x:c r="A717" s="31">
        <x:v>38042</x:v>
      </x:c>
      <x:c r="B717" s="32">
        <x:v>262.04000000000002</x:v>
      </x:c>
      <x:c r="C717" s="32">
        <x:v>262.04000000000002</x:v>
      </x:c>
      <x:c r="D717" s="32">
        <x:v>255.11</x:v>
      </x:c>
      <x:c r="E717" s="32">
        <x:v>255.11</x:v>
      </x:c>
      <x:c r="F717" s="33">
        <x:v>1247500</x:v>
      </x:c>
      <x:c r="G717" s="32" t="n">
        <x:f t="shared" ref="G717:G780" si="24">AVERAGE(E518:E717)</x:f>
        <x:v>157.69524999999993</x:v>
      </x:c>
      <x:c r="H717" s="37" t="n">
        <x:f t="shared" ref="H717:H780" si="25">IFERROR(E717/G717-1,"")</x:f>
        <x:v>0.6177405470361355</x:v>
      </x:c>
      <x:c r="I717" s="38" t="b">
        <x:f t="shared" ref="I717:I780" si="26">E717&lt;G717</x:f>
        <x:v>0</x:v>
      </x:c>
    </x:row>
    <x:row r="718">
      <x:c r="A718" s="31">
        <x:v>38043</x:v>
      </x:c>
      <x:c r="B718" s="32">
        <x:v>252.53</x:v>
      </x:c>
      <x:c r="C718" s="32">
        <x:v>252.53</x:v>
      </x:c>
      <x:c r="D718" s="32">
        <x:v>250.64</x:v>
      </x:c>
      <x:c r="E718" s="32">
        <x:v>250.64</x:v>
      </x:c>
      <x:c r="F718" s="33">
        <x:v>934620</x:v>
      </x:c>
      <x:c r="G718" s="32" t="n">
        <x:f t="shared" si="24">AVERAGE(E519:E718)</x:f>
        <x:v>158.16884999999994</x:v>
      </x:c>
      <x:c r="H718" s="37" t="n">
        <x:f t="shared" si="25">IFERROR(E718/G718-1,"")</x:f>
        <x:v>0.584635659929247</x:v>
      </x:c>
      <x:c r="I718" s="38" t="b">
        <x:f t="shared" si="26">E718&lt;G718</x:f>
        <x:v>0</x:v>
      </x:c>
    </x:row>
    <x:row r="719">
      <x:c r="A719" s="31">
        <x:v>38044</x:v>
      </x:c>
      <x:c r="B719" s="32">
        <x:v>250.17</x:v>
      </x:c>
      <x:c r="C719" s="32">
        <x:v>260.60000000000002</x:v>
      </x:c>
      <x:c r="D719" s="32">
        <x:v>250.17</x:v>
      </x:c>
      <x:c r="E719" s="32">
        <x:v>260.60000000000002</x:v>
      </x:c>
      <x:c r="F719" s="33">
        <x:v>921170</x:v>
      </x:c>
      <x:c r="G719" s="32" t="n">
        <x:f t="shared" si="24">AVERAGE(E520:E719)</x:f>
        <x:v>158.68899999999994</x:v>
      </x:c>
      <x:c r="H719" s="37" t="n">
        <x:f t="shared" si="25">IFERROR(E719/G719-1,"")</x:f>
        <x:v>0.6422058239701562</x:v>
      </x:c>
      <x:c r="I719" s="38" t="b">
        <x:f t="shared" si="26">E719&lt;G719</x:f>
        <x:v>0</x:v>
      </x:c>
    </x:row>
    <x:row r="720">
      <x:c r="A720" s="31">
        <x:v>38047</x:v>
      </x:c>
      <x:c r="B720" s="32">
        <x:v>271.44</x:v>
      </x:c>
      <x:c r="C720" s="32">
        <x:v>271.45</x:v>
      </x:c>
      <x:c r="D720" s="32">
        <x:v>271.44</x:v>
      </x:c>
      <x:c r="E720" s="32">
        <x:v>271.45</x:v>
      </x:c>
      <x:c r="F720" s="33">
        <x:v>943130</x:v>
      </x:c>
      <x:c r="G720" s="32" t="n">
        <x:f t="shared" si="24">AVERAGE(E521:E720)</x:f>
        <x:v>159.2567999999999</x:v>
      </x:c>
      <x:c r="H720" s="37" t="n">
        <x:f t="shared" si="25">IFERROR(E720/G720-1,"")</x:f>
        <x:v>0.7044798087114656</x:v>
      </x:c>
      <x:c r="I720" s="38" t="b">
        <x:f t="shared" si="26">E720&lt;G720</x:f>
        <x:v>0</x:v>
      </x:c>
    </x:row>
    <x:row r="721">
      <x:c r="A721" s="31">
        <x:v>38048</x:v>
      </x:c>
      <x:c r="B721" s="32">
        <x:v>275.83999999999997</x:v>
      </x:c>
      <x:c r="C721" s="32">
        <x:v>275.83999999999997</x:v>
      </x:c>
      <x:c r="D721" s="32">
        <x:v>273.43</x:v>
      </x:c>
      <x:c r="E721" s="32">
        <x:v>273.43</x:v>
      </x:c>
      <x:c r="F721" s="33">
        <x:v>1035530</x:v>
      </x:c>
      <x:c r="G721" s="32" t="n">
        <x:f t="shared" si="24">AVERAGE(E522:E721)</x:f>
        <x:v>159.83124999999993</x:v>
      </x:c>
      <x:c r="H721" s="37" t="n">
        <x:f t="shared" si="25">IFERROR(E721/G721-1,"")</x:f>
        <x:v>0.7107417979900685</x:v>
      </x:c>
      <x:c r="I721" s="38" t="b">
        <x:f t="shared" si="26">E721&lt;G721</x:f>
        <x:v>0</x:v>
      </x:c>
    </x:row>
    <x:row r="722">
      <x:c r="A722" s="31">
        <x:v>38049</x:v>
      </x:c>
      <x:c r="B722" s="32">
        <x:v>269.77999999999997</x:v>
      </x:c>
      <x:c r="C722" s="32">
        <x:v>269.86</x:v>
      </x:c>
      <x:c r="D722" s="32">
        <x:v>269.77999999999997</x:v>
      </x:c>
      <x:c r="E722" s="32">
        <x:v>269.86</x:v>
      </x:c>
      <x:c r="F722" s="33">
        <x:v>977370</x:v>
      </x:c>
      <x:c r="G722" s="32" t="n">
        <x:f t="shared" si="24">AVERAGE(E523:E722)</x:f>
        <x:v>160.39354999999992</x:v>
      </x:c>
      <x:c r="H722" s="37" t="n">
        <x:f t="shared" si="25">IFERROR(E722/G722-1,"")</x:f>
        <x:v>0.682486608719616</x:v>
      </x:c>
      <x:c r="I722" s="38" t="b">
        <x:f t="shared" si="26">E722&lt;G722</x:f>
        <x:v>0</x:v>
      </x:c>
    </x:row>
    <x:row r="723">
      <x:c r="A723" s="31">
        <x:v>38050</x:v>
      </x:c>
      <x:c r="B723" s="32">
        <x:v>268.24</x:v>
      </x:c>
      <x:c r="C723" s="32">
        <x:v>268.24</x:v>
      </x:c>
      <x:c r="D723" s="32">
        <x:v>265.02999999999997</x:v>
      </x:c>
      <x:c r="E723" s="32">
        <x:v>265.02999999999997</x:v>
      </x:c>
      <x:c r="F723" s="33">
        <x:v>724650</x:v>
      </x:c>
      <x:c r="G723" s="32" t="n">
        <x:f t="shared" si="24">AVERAGE(E524:E723)</x:f>
        <x:v>160.94034999999994</x:v>
      </x:c>
      <x:c r="H723" s="37" t="n">
        <x:f t="shared" si="25">IFERROR(E723/G723-1,"")</x:f>
        <x:v>0.6467591874877872</x:v>
      </x:c>
      <x:c r="I723" s="38" t="b">
        <x:f t="shared" si="26">E723&lt;G723</x:f>
        <x:v>0</x:v>
      </x:c>
    </x:row>
    <x:row r="724">
      <x:c r="A724" s="31">
        <x:v>38051</x:v>
      </x:c>
      <x:c r="B724" s="32">
        <x:v>264.18</x:v>
      </x:c>
      <x:c r="C724" s="32">
        <x:v>267.52999999999997</x:v>
      </x:c>
      <x:c r="D724" s="32">
        <x:v>264.18</x:v>
      </x:c>
      <x:c r="E724" s="32">
        <x:v>267.52999999999997</x:v>
      </x:c>
      <x:c r="F724" s="33">
        <x:v>710380</x:v>
      </x:c>
      <x:c r="G724" s="32" t="n">
        <x:f t="shared" si="24">AVERAGE(E525:E724)</x:f>
        <x:v>161.4989999999999</x:v>
      </x:c>
      <x:c r="H724" s="37" t="n">
        <x:f t="shared" si="25">IFERROR(E724/G724-1,"")</x:f>
        <x:v>0.6565427649706816</x:v>
      </x:c>
      <x:c r="I724" s="38" t="b">
        <x:f t="shared" si="26">E724&lt;G724</x:f>
        <x:v>0</x:v>
      </x:c>
    </x:row>
    <x:row r="725">
      <x:c r="A725" s="31">
        <x:v>38054</x:v>
      </x:c>
      <x:c r="B725" s="32">
        <x:v>266.20999999999998</x:v>
      </x:c>
      <x:c r="C725" s="32">
        <x:v>266.20999999999998</x:v>
      </x:c>
      <x:c r="D725" s="32">
        <x:v>264.81</x:v>
      </x:c>
      <x:c r="E725" s="32">
        <x:v>264.81</x:v>
      </x:c>
      <x:c r="F725" s="33">
        <x:v>568690</x:v>
      </x:c>
      <x:c r="G725" s="32" t="n">
        <x:f t="shared" si="24">AVERAGE(E526:E725)</x:f>
        <x:v>162.05214999999993</x:v>
      </x:c>
      <x:c r="H725" s="37" t="n">
        <x:f t="shared" si="25">IFERROR(E725/G725-1,"")</x:f>
        <x:v>0.6341035894926426</x:v>
      </x:c>
      <x:c r="I725" s="38" t="b">
        <x:f t="shared" si="26">E725&lt;G725</x:f>
        <x:v>0</x:v>
      </x:c>
    </x:row>
    <x:row r="726">
      <x:c r="A726" s="31">
        <x:v>38055</x:v>
      </x:c>
      <x:c r="B726" s="32">
        <x:v>259.29000000000002</x:v>
      </x:c>
      <x:c r="C726" s="32">
        <x:v>259.29000000000002</x:v>
      </x:c>
      <x:c r="D726" s="32">
        <x:v>256.32</x:v>
      </x:c>
      <x:c r="E726" s="32">
        <x:v>256.32</x:v>
      </x:c>
      <x:c r="F726" s="33">
        <x:v>757180</x:v>
      </x:c>
      <x:c r="G726" s="32" t="n">
        <x:f t="shared" si="24">AVERAGE(E527:E726)</x:f>
        <x:v>162.5628499999999</x:v>
      </x:c>
      <x:c r="H726" s="37" t="n">
        <x:f t="shared" si="25">IFERROR(E726/G726-1,"")</x:f>
        <x:v>0.576744010085946</x:v>
      </x:c>
      <x:c r="I726" s="38" t="b">
        <x:f t="shared" si="26">E726&lt;G726</x:f>
        <x:v>0</x:v>
      </x:c>
    </x:row>
    <x:row r="727">
      <x:c r="A727" s="31">
        <x:v>38056</x:v>
      </x:c>
      <x:c r="B727" s="32">
        <x:v>247.79</x:v>
      </x:c>
      <x:c r="C727" s="32">
        <x:v>255.47</x:v>
      </x:c>
      <x:c r="D727" s="32">
        <x:v>247.79</x:v>
      </x:c>
      <x:c r="E727" s="32">
        <x:v>255.47</x:v>
      </x:c>
      <x:c r="F727" s="33">
        <x:v>1317310</x:v>
      </x:c>
      <x:c r="G727" s="32" t="n">
        <x:f t="shared" si="24">AVERAGE(E528:E727)</x:f>
        <x:v>163.07339999999994</x:v>
      </x:c>
      <x:c r="H727" s="37" t="n">
        <x:f t="shared" si="25">IFERROR(E727/G727-1,"")</x:f>
        <x:v>0.5665951651219641</x:v>
      </x:c>
      <x:c r="I727" s="38" t="b">
        <x:f t="shared" si="26">E727&lt;G727</x:f>
        <x:v>0</x:v>
      </x:c>
    </x:row>
    <x:row r="728">
      <x:c r="A728" s="31">
        <x:v>38057</x:v>
      </x:c>
      <x:c r="B728" s="32">
        <x:v>258.62</x:v>
      </x:c>
      <x:c r="C728" s="32">
        <x:v>261.22000000000003</x:v>
      </x:c>
      <x:c r="D728" s="32">
        <x:v>258.62</x:v>
      </x:c>
      <x:c r="E728" s="32">
        <x:v>261.22000000000003</x:v>
      </x:c>
      <x:c r="F728" s="33">
        <x:v>656730</x:v>
      </x:c>
      <x:c r="G728" s="32" t="n">
        <x:f t="shared" si="24">AVERAGE(E529:E728)</x:f>
        <x:v>163.61359999999996</x:v>
      </x:c>
      <x:c r="H728" s="37" t="n">
        <x:f t="shared" si="25">IFERROR(E728/G728-1,"")</x:f>
        <x:v>0.5965665445904258</x:v>
      </x:c>
      <x:c r="I728" s="38" t="b">
        <x:f t="shared" si="26">E728&lt;G728</x:f>
        <x:v>0</x:v>
      </x:c>
    </x:row>
    <x:row r="729">
      <x:c r="A729" s="31">
        <x:v>38058</x:v>
      </x:c>
      <x:c r="B729" s="32">
        <x:v>263.13</x:v>
      </x:c>
      <x:c r="C729" s="32">
        <x:v>263.13</x:v>
      </x:c>
      <x:c r="D729" s="32">
        <x:v>262.88</x:v>
      </x:c>
      <x:c r="E729" s="32">
        <x:v>262.88</x:v>
      </x:c>
      <x:c r="F729" s="33">
        <x:v>526050</x:v>
      </x:c>
      <x:c r="G729" s="32" t="n">
        <x:f t="shared" si="24">AVERAGE(E530:E729)</x:f>
        <x:v>164.16339999999994</x:v>
      </x:c>
      <x:c r="H729" s="37" t="n">
        <x:f t="shared" si="25">IFERROR(E729/G729-1,"")</x:f>
        <x:v>0.6013313564412048</x:v>
      </x:c>
      <x:c r="I729" s="38" t="b">
        <x:f t="shared" si="26">E729&lt;G729</x:f>
        <x:v>0</x:v>
      </x:c>
    </x:row>
    <x:row r="730">
      <x:c r="A730" s="31">
        <x:v>38061</x:v>
      </x:c>
      <x:c r="B730" s="32">
        <x:v>262.42</x:v>
      </x:c>
      <x:c r="C730" s="32">
        <x:v>264.51</x:v>
      </x:c>
      <x:c r="D730" s="32">
        <x:v>262.42</x:v>
      </x:c>
      <x:c r="E730" s="32">
        <x:v>264.51</x:v>
      </x:c>
      <x:c r="F730" s="33">
        <x:v>540340</x:v>
      </x:c>
      <x:c r="G730" s="32" t="n">
        <x:f t="shared" si="24">AVERAGE(E531:E730)</x:f>
        <x:v>164.72204999999994</x:v>
      </x:c>
      <x:c r="H730" s="37" t="n">
        <x:f t="shared" si="25">IFERROR(E730/G730-1,"")</x:f>
        <x:v>0.6057959453515791</x:v>
      </x:c>
      <x:c r="I730" s="38" t="b">
        <x:f t="shared" si="26">E730&lt;G730</x:f>
        <x:v>0</x:v>
      </x:c>
    </x:row>
    <x:row r="731">
      <x:c r="A731" s="31">
        <x:v>38062</x:v>
      </x:c>
      <x:c r="B731" s="32">
        <x:v>263.58</x:v>
      </x:c>
      <x:c r="C731" s="32">
        <x:v>263.58</x:v>
      </x:c>
      <x:c r="D731" s="32">
        <x:v>263.10000000000002</x:v>
      </x:c>
      <x:c r="E731" s="32">
        <x:v>263.10000000000002</x:v>
      </x:c>
      <x:c r="F731" s="33">
        <x:v>525310</x:v>
      </x:c>
      <x:c r="G731" s="32" t="n">
        <x:f t="shared" si="24">AVERAGE(E532:E731)</x:f>
        <x:v>165.27474999999995</x:v>
      </x:c>
      <x:c r="H731" s="37" t="n">
        <x:f t="shared" si="25">IFERROR(E731/G731-1,"")</x:f>
        <x:v>0.5918947086593693</x:v>
      </x:c>
      <x:c r="I731" s="38" t="b">
        <x:f t="shared" si="26">E731&lt;G731</x:f>
        <x:v>0</x:v>
      </x:c>
    </x:row>
    <x:row r="732">
      <x:c r="A732" s="31">
        <x:v>38063</x:v>
      </x:c>
      <x:c r="B732" s="32">
        <x:v>264.02</x:v>
      </x:c>
      <x:c r="C732" s="32">
        <x:v>264.02</x:v>
      </x:c>
      <x:c r="D732" s="32">
        <x:v>260.70999999999998</x:v>
      </x:c>
      <x:c r="E732" s="32">
        <x:v>260.70999999999998</x:v>
      </x:c>
      <x:c r="F732" s="33">
        <x:v>543880</x:v>
      </x:c>
      <x:c r="G732" s="32" t="n">
        <x:f t="shared" si="24">AVERAGE(E533:E732)</x:f>
        <x:v>165.81459999999996</x:v>
      </x:c>
      <x:c r="H732" s="37" t="n">
        <x:f t="shared" si="25">IFERROR(E732/G732-1,"")</x:f>
        <x:v>0.5722982174066702</x:v>
      </x:c>
      <x:c r="I732" s="38" t="b">
        <x:f t="shared" si="26">E732&lt;G732</x:f>
        <x:v>0</x:v>
      </x:c>
    </x:row>
    <x:row r="733">
      <x:c r="A733" s="31">
        <x:v>38064</x:v>
      </x:c>
      <x:c r="B733" s="32">
        <x:v>258.79000000000002</x:v>
      </x:c>
      <x:c r="C733" s="32">
        <x:v>261.54000000000002</x:v>
      </x:c>
      <x:c r="D733" s="32">
        <x:v>258.79000000000002</x:v>
      </x:c>
      <x:c r="E733" s="32">
        <x:v>261.54000000000002</x:v>
      </x:c>
      <x:c r="F733" s="33">
        <x:v>611420</x:v>
      </x:c>
      <x:c r="G733" s="32" t="n">
        <x:f t="shared" si="24">AVERAGE(E534:E733)</x:f>
        <x:v>166.36069999999995</x:v>
      </x:c>
      <x:c r="H733" s="37" t="n">
        <x:f t="shared" si="25">IFERROR(E733/G733-1,"")</x:f>
        <x:v>0.5721261091111067</x:v>
      </x:c>
      <x:c r="I733" s="38" t="b">
        <x:f t="shared" si="26">E733&lt;G733</x:f>
        <x:v>0</x:v>
      </x:c>
    </x:row>
    <x:row r="734">
      <x:c r="A734" s="31">
        <x:v>38065</x:v>
      </x:c>
      <x:c r="B734" s="32">
        <x:v>261.79000000000002</x:v>
      </x:c>
      <x:c r="C734" s="32">
        <x:v>261.91000000000003</x:v>
      </x:c>
      <x:c r="D734" s="32">
        <x:v>261.79000000000002</x:v>
      </x:c>
      <x:c r="E734" s="32">
        <x:v>261.91000000000003</x:v>
      </x:c>
      <x:c r="F734" s="33">
        <x:v>461790</x:v>
      </x:c>
      <x:c r="G734" s="32" t="n">
        <x:f t="shared" si="24">AVERAGE(E535:E734)</x:f>
        <x:v>166.90904999999995</x:v>
      </x:c>
      <x:c r="H734" s="37" t="n">
        <x:f t="shared" si="25">IFERROR(E734/G734-1,"")</x:f>
        <x:v>0.569177944515292</x:v>
      </x:c>
      <x:c r="I734" s="38" t="b">
        <x:f t="shared" si="26">E734&lt;G734</x:f>
        <x:v>0</x:v>
      </x:c>
    </x:row>
    <x:row r="735">
      <x:c r="A735" s="31">
        <x:v>38068</x:v>
      </x:c>
      <x:c r="B735" s="32">
        <x:v>263.31</x:v>
      </x:c>
      <x:c r="C735" s="32">
        <x:v>263.31</x:v>
      </x:c>
      <x:c r="D735" s="32">
        <x:v>261.47000000000003</x:v>
      </x:c>
      <x:c r="E735" s="32">
        <x:v>261.47000000000003</x:v>
      </x:c>
      <x:c r="F735" s="33">
        <x:v>387000</x:v>
      </x:c>
      <x:c r="G735" s="32" t="n">
        <x:f t="shared" si="24">AVERAGE(E536:E735)</x:f>
        <x:v>167.45809999999994</x:v>
      </x:c>
      <x:c r="H735" s="37" t="n">
        <x:f t="shared" si="25">IFERROR(E735/G735-1,"")</x:f>
        <x:v>0.5614055097961825</x:v>
      </x:c>
      <x:c r="I735" s="38" t="b">
        <x:f t="shared" si="26">E735&lt;G735</x:f>
        <x:v>0</x:v>
      </x:c>
    </x:row>
    <x:row r="736">
      <x:c r="A736" s="31">
        <x:v>38069</x:v>
      </x:c>
      <x:c r="B736" s="32">
        <x:v>259.22000000000003</x:v>
      </x:c>
      <x:c r="C736" s="32">
        <x:v>259.22000000000003</x:v>
      </x:c>
      <x:c r="D736" s="32">
        <x:v>257.41000000000003</x:v>
      </x:c>
      <x:c r="E736" s="32">
        <x:v>257.41000000000003</x:v>
      </x:c>
      <x:c r="F736" s="33">
        <x:v>700340</x:v>
      </x:c>
      <x:c r="G736" s="32" t="n">
        <x:f t="shared" si="24">AVERAGE(E537:E736)</x:f>
        <x:v>167.98714999999996</x:v>
      </x:c>
      <x:c r="H736" s="37" t="n">
        <x:f t="shared" si="25">IFERROR(E736/G736-1,"")</x:f>
        <x:v>0.5323195851587463</x:v>
      </x:c>
      <x:c r="I736" s="38" t="b">
        <x:f t="shared" si="26">E736&lt;G736</x:f>
        <x:v>0</x:v>
      </x:c>
    </x:row>
    <x:row r="737">
      <x:c r="A737" s="31">
        <x:v>38070</x:v>
      </x:c>
      <x:c r="B737" s="32">
        <x:v>255.8</x:v>
      </x:c>
      <x:c r="C737" s="32">
        <x:v>257.33</x:v>
      </x:c>
      <x:c r="D737" s="32">
        <x:v>255.8</x:v>
      </x:c>
      <x:c r="E737" s="32">
        <x:v>257.33</x:v>
      </x:c>
      <x:c r="F737" s="33">
        <x:v>754740</x:v>
      </x:c>
      <x:c r="G737" s="32" t="n">
        <x:f t="shared" si="24">AVERAGE(E538:E737)</x:f>
        <x:v>168.51574999999997</x:v>
      </x:c>
      <x:c r="H737" s="37" t="n">
        <x:f t="shared" si="25">IFERROR(E737/G737-1,"")</x:f>
        <x:v>0.5270382738705435</x:v>
      </x:c>
      <x:c r="I737" s="38" t="b">
        <x:f t="shared" si="26">E737&lt;G737</x:f>
        <x:v>0</x:v>
      </x:c>
    </x:row>
    <x:row r="738">
      <x:c r="A738" s="31">
        <x:v>38071</x:v>
      </x:c>
      <x:c r="B738" s="32">
        <x:v>259.23</x:v>
      </x:c>
      <x:c r="C738" s="32">
        <x:v>264.91000000000003</x:v>
      </x:c>
      <x:c r="D738" s="32">
        <x:v>259.23</x:v>
      </x:c>
      <x:c r="E738" s="32">
        <x:v>264.91000000000003</x:v>
      </x:c>
      <x:c r="F738" s="33">
        <x:v>620050</x:v>
      </x:c>
      <x:c r="G738" s="32" t="n">
        <x:f t="shared" si="24">AVERAGE(E539:E738)</x:f>
        <x:v>169.08185</x:v>
      </x:c>
      <x:c r="H738" s="37" t="n">
        <x:f t="shared" si="25">IFERROR(E738/G738-1,"")</x:f>
        <x:v>0.5667559823836801</x:v>
      </x:c>
      <x:c r="I738" s="38" t="b">
        <x:f t="shared" si="26">E738&lt;G738</x:f>
        <x:v>0</x:v>
      </x:c>
    </x:row>
    <x:row r="739">
      <x:c r="A739" s="31">
        <x:v>38072</x:v>
      </x:c>
      <x:c r="B739" s="32">
        <x:v>269.61</x:v>
      </x:c>
      <x:c r="C739" s="32">
        <x:v>272.3</x:v>
      </x:c>
      <x:c r="D739" s="32">
        <x:v>269.61</x:v>
      </x:c>
      <x:c r="E739" s="32">
        <x:v>272.3</x:v>
      </x:c>
      <x:c r="F739" s="33">
        <x:v>661500</x:v>
      </x:c>
      <x:c r="G739" s="32" t="n">
        <x:f t="shared" si="24">AVERAGE(E540:E739)</x:f>
        <x:v>169.68425</x:v>
      </x:c>
      <x:c r="H739" s="37" t="n">
        <x:f t="shared" si="25">IFERROR(E739/G739-1,"")</x:f>
        <x:v>0.6047452842559049</x:v>
      </x:c>
      <x:c r="I739" s="38" t="b">
        <x:f t="shared" si="26">E739&lt;G739</x:f>
        <x:v>0</x:v>
      </x:c>
    </x:row>
    <x:row r="740">
      <x:c r="A740" s="31">
        <x:v>38075</x:v>
      </x:c>
      <x:c r="B740" s="32">
        <x:v>278.25</x:v>
      </x:c>
      <x:c r="C740" s="32">
        <x:v>278.25</x:v>
      </x:c>
      <x:c r="D740" s="32">
        <x:v>275.66000000000003</x:v>
      </x:c>
      <x:c r="E740" s="32">
        <x:v>275.66000000000003</x:v>
      </x:c>
      <x:c r="F740" s="33">
        <x:v>448590</x:v>
      </x:c>
      <x:c r="G740" s="32" t="n">
        <x:f t="shared" si="24">AVERAGE(E541:E740)</x:f>
        <x:v>170.3008</x:v>
      </x:c>
      <x:c r="H740" s="37" t="n">
        <x:f t="shared" si="25">IFERROR(E740/G740-1,"")</x:f>
        <x:v>0.6186653262932411</x:v>
      </x:c>
      <x:c r="I740" s="38" t="b">
        <x:f t="shared" si="26">E740&lt;G740</x:f>
        <x:v>0</x:v>
      </x:c>
    </x:row>
    <x:row r="741">
      <x:c r="A741" s="31">
        <x:v>38076</x:v>
      </x:c>
      <x:c r="B741" s="32">
        <x:v>274.42</x:v>
      </x:c>
      <x:c r="C741" s="32">
        <x:v>274.42</x:v>
      </x:c>
      <x:c r="D741" s="32">
        <x:v>273.27999999999997</x:v>
      </x:c>
      <x:c r="E741" s="32">
        <x:v>273.27999999999997</x:v>
      </x:c>
      <x:c r="F741" s="33">
        <x:v>550370</x:v>
      </x:c>
      <x:c r="G741" s="32" t="n">
        <x:f t="shared" si="24">AVERAGE(E542:E741)</x:f>
        <x:v>170.90605</x:v>
      </x:c>
      <x:c r="H741" s="37" t="n">
        <x:f t="shared" si="25">IFERROR(E741/G741-1,"")</x:f>
        <x:v>0.5990071738244491</x:v>
      </x:c>
      <x:c r="I741" s="38" t="b">
        <x:f t="shared" si="26">E741&lt;G741</x:f>
        <x:v>0</x:v>
      </x:c>
    </x:row>
    <x:row r="742">
      <x:c r="A742" s="31">
        <x:v>38077</x:v>
      </x:c>
      <x:c r="B742" s="32">
        <x:v>272.92</x:v>
      </x:c>
      <x:c r="C742" s="32">
        <x:v>277.44</x:v>
      </x:c>
      <x:c r="D742" s="32">
        <x:v>272.92</x:v>
      </x:c>
      <x:c r="E742" s="32">
        <x:v>277.44</x:v>
      </x:c>
      <x:c r="F742" s="33">
        <x:v>540020</x:v>
      </x:c>
      <x:c r="G742" s="32" t="n">
        <x:f t="shared" si="24">AVERAGE(E543:E742)</x:f>
        <x:v>171.53199999999998</x:v>
      </x:c>
      <x:c r="H742" s="37" t="n">
        <x:f t="shared" si="25">IFERROR(E742/G742-1,"")</x:f>
        <x:v>0.6174241540936969</x:v>
      </x:c>
      <x:c r="I742" s="38" t="b">
        <x:f t="shared" si="26">E742&lt;G742</x:f>
        <x:v>0</x:v>
      </x:c>
    </x:row>
    <x:row r="743">
      <x:c r="A743" s="31">
        <x:v>38078</x:v>
      </x:c>
      <x:c r="B743" s="32">
        <x:v>280.52999999999997</x:v>
      </x:c>
      <x:c r="C743" s="32">
        <x:v>280.52999999999997</x:v>
      </x:c>
      <x:c r="D743" s="32">
        <x:v>279.70999999999998</x:v>
      </x:c>
      <x:c r="E743" s="32">
        <x:v>279.70999999999998</x:v>
      </x:c>
      <x:c r="F743" s="33">
        <x:v>391260</x:v>
      </x:c>
      <x:c r="G743" s="32" t="n">
        <x:f t="shared" si="24">AVERAGE(E544:E743)</x:f>
        <x:v>172.16854999999995</x:v>
      </x:c>
      <x:c r="H743" s="37" t="n">
        <x:f t="shared" si="25">IFERROR(E743/G743-1,"")</x:f>
        <x:v>0.6246288883771167</x:v>
      </x:c>
      <x:c r="I743" s="38" t="b">
        <x:f t="shared" si="26">E743&lt;G743</x:f>
        <x:v>0</x:v>
      </x:c>
    </x:row>
    <x:row r="744">
      <x:c r="A744" s="31">
        <x:v>38079</x:v>
      </x:c>
      <x:c r="B744" s="32">
        <x:v>274.66000000000003</x:v>
      </x:c>
      <x:c r="C744" s="32">
        <x:v>274.66000000000003</x:v>
      </x:c>
      <x:c r="D744" s="32">
        <x:v>272.89</x:v>
      </x:c>
      <x:c r="E744" s="32">
        <x:v>272.89</x:v>
      </x:c>
      <x:c r="F744" s="33">
        <x:v>282070</x:v>
      </x:c>
      <x:c r="G744" s="32" t="n">
        <x:f t="shared" si="24">AVERAGE(E545:E744)</x:f>
        <x:v>172.77199999999996</x:v>
      </x:c>
      <x:c r="H744" s="37" t="n">
        <x:f t="shared" si="25">IFERROR(E744/G744-1,"")</x:f>
        <x:v>0.5794804713726764</x:v>
      </x:c>
      <x:c r="I744" s="38" t="b">
        <x:f t="shared" si="26">E744&lt;G744</x:f>
        <x:v>0</x:v>
      </x:c>
    </x:row>
    <x:row r="745">
      <x:c r="A745" s="31">
        <x:v>38082</x:v>
      </x:c>
      <x:c r="B745" s="32">
        <x:v>270.63</x:v>
      </x:c>
      <x:c r="C745" s="32">
        <x:v>270.69</x:v>
      </x:c>
      <x:c r="D745" s="32">
        <x:v>270.63</x:v>
      </x:c>
      <x:c r="E745" s="32">
        <x:v>270.69</x:v>
      </x:c>
      <x:c r="F745" s="33">
        <x:v>361340</x:v>
      </x:c>
      <x:c r="G745" s="32" t="n">
        <x:f t="shared" si="24">AVERAGE(E546:E745)</x:f>
        <x:v>173.36559999999994</x:v>
      </x:c>
      <x:c r="H745" s="37" t="n">
        <x:f t="shared" si="25">IFERROR(E745/G745-1,"")</x:f>
        <x:v>0.5613824195803556</x:v>
      </x:c>
      <x:c r="I745" s="38" t="b">
        <x:f t="shared" si="26">E745&lt;G745</x:f>
        <x:v>0</x:v>
      </x:c>
    </x:row>
    <x:row r="746">
      <x:c r="A746" s="31">
        <x:v>38083</x:v>
      </x:c>
      <x:c r="B746" s="32">
        <x:v>271.43</x:v>
      </x:c>
      <x:c r="C746" s="32">
        <x:v>271.43</x:v>
      </x:c>
      <x:c r="D746" s="32">
        <x:v>271.3</x:v>
      </x:c>
      <x:c r="E746" s="32">
        <x:v>271.3</x:v>
      </x:c>
      <x:c r="F746" s="33">
        <x:v>206260</x:v>
      </x:c>
      <x:c r="G746" s="32" t="n">
        <x:f t="shared" si="24">AVERAGE(E547:E746)</x:f>
        <x:v>173.96374999999998</x:v>
      </x:c>
      <x:c r="H746" s="37" t="n">
        <x:f t="shared" si="25">IFERROR(E746/G746-1,"")</x:f>
        <x:v>0.5595203023618429</x:v>
      </x:c>
      <x:c r="I746" s="38" t="b">
        <x:f t="shared" si="26">E746&lt;G746</x:f>
        <x:v>0</x:v>
      </x:c>
    </x:row>
    <x:row r="747">
      <x:c r="A747" s="31">
        <x:v>38084</x:v>
      </x:c>
      <x:c r="B747" s="32">
        <x:v>272.02999999999997</x:v>
      </x:c>
      <x:c r="C747" s="32">
        <x:v>272.02999999999997</x:v>
      </x:c>
      <x:c r="D747" s="32">
        <x:v>269.47000000000003</x:v>
      </x:c>
      <x:c r="E747" s="32">
        <x:v>269.47000000000003</x:v>
      </x:c>
      <x:c r="F747" s="33">
        <x:v>181000</x:v>
      </x:c>
      <x:c r="G747" s="32" t="n">
        <x:f t="shared" si="24">AVERAGE(E548:E747)</x:f>
        <x:v>174.55244999999996</x:v>
      </x:c>
      <x:c r="H747" s="37" t="n">
        <x:f t="shared" si="25">IFERROR(E747/G747-1,"")</x:f>
        <x:v>0.543776669992315</x:v>
      </x:c>
      <x:c r="I747" s="38" t="b">
        <x:f t="shared" si="26">E747&lt;G747</x:f>
        <x:v>0</x:v>
      </x:c>
    </x:row>
    <x:row r="748">
      <x:c r="A748" s="31">
        <x:v>38085</x:v>
      </x:c>
      <x:c r="B748" s="32">
        <x:v>267.26</x:v>
      </x:c>
      <x:c r="C748" s="32">
        <x:v>267.26</x:v>
      </x:c>
      <x:c r="D748" s="32">
        <x:v>262.47000000000003</x:v>
      </x:c>
      <x:c r="E748" s="32">
        <x:v>262.47000000000003</x:v>
      </x:c>
      <x:c r="F748" s="33">
        <x:v>323850</x:v>
      </x:c>
      <x:c r="G748" s="32" t="n">
        <x:f t="shared" si="24">AVERAGE(E549:E748)</x:f>
        <x:v>175.10469999999998</x:v>
      </x:c>
      <x:c r="H748" s="37" t="n">
        <x:f t="shared" si="25">IFERROR(E748/G748-1,"")</x:f>
        <x:v>0.49893178195673826</x:v>
      </x:c>
      <x:c r="I748" s="38" t="b">
        <x:f t="shared" si="26">E748&lt;G748</x:f>
        <x:v>0</x:v>
      </x:c>
    </x:row>
    <x:row r="749">
      <x:c r="A749" s="31">
        <x:v>38086</x:v>
      </x:c>
      <x:c r="B749" s="32">
        <x:v>263.39999999999998</x:v>
      </x:c>
      <x:c r="C749" s="32">
        <x:v>263.39999999999998</x:v>
      </x:c>
      <x:c r="D749" s="32">
        <x:v>259.64999999999998</x:v>
      </x:c>
      <x:c r="E749" s="32">
        <x:v>259.64999999999998</x:v>
      </x:c>
      <x:c r="F749" s="33">
        <x:v>242160</x:v>
      </x:c>
      <x:c r="G749" s="32" t="n">
        <x:f t="shared" si="24">AVERAGE(E550:E749)</x:f>
        <x:v>175.64079999999998</x:v>
      </x:c>
      <x:c r="H749" s="37" t="n">
        <x:f t="shared" si="25">IFERROR(E749/G749-1,"")</x:f>
        <x:v>0.4783011692044217</x:v>
      </x:c>
      <x:c r="I749" s="38" t="b">
        <x:f t="shared" si="26">E749&lt;G749</x:f>
        <x:v>0</x:v>
      </x:c>
    </x:row>
    <x:row r="750">
      <x:c r="A750" s="31">
        <x:v>38089</x:v>
      </x:c>
      <x:c r="B750" s="32">
        <x:v>258.52</x:v>
      </x:c>
      <x:c r="C750" s="32">
        <x:v>258.52</x:v>
      </x:c>
      <x:c r="D750" s="32">
        <x:v>254.41</x:v>
      </x:c>
      <x:c r="E750" s="32">
        <x:v>254.41</x:v>
      </x:c>
      <x:c r="F750" s="33">
        <x:v>294790</x:v>
      </x:c>
      <x:c r="G750" s="32" t="n">
        <x:f t="shared" si="24">AVERAGE(E551:E750)</x:f>
        <x:v>176.15490000000003</x:v>
      </x:c>
      <x:c r="H750" s="37" t="n">
        <x:f t="shared" si="25">IFERROR(E750/G750-1,"")</x:f>
        <x:v>0.4442402680822388</x:v>
      </x:c>
      <x:c r="I750" s="38" t="b">
        <x:f t="shared" si="26">E750&lt;G750</x:f>
        <x:v>0</x:v>
      </x:c>
    </x:row>
    <x:row r="751">
      <x:c r="A751" s="31">
        <x:v>38090</x:v>
      </x:c>
      <x:c r="B751" s="32">
        <x:v>251.84</x:v>
      </x:c>
      <x:c r="C751" s="32">
        <x:v>251.84</x:v>
      </x:c>
      <x:c r="D751" s="32">
        <x:v>250.52</x:v>
      </x:c>
      <x:c r="E751" s="32">
        <x:v>250.52</x:v>
      </x:c>
      <x:c r="F751" s="33">
        <x:v>316820</x:v>
      </x:c>
      <x:c r="G751" s="32" t="n">
        <x:f t="shared" si="24">AVERAGE(E552:E751)</x:f>
        <x:v>176.64744999999996</x:v>
      </x:c>
      <x:c r="H751" s="37" t="n">
        <x:f t="shared" si="25">IFERROR(E751/G751-1,"")</x:f>
        <x:v>0.41819199767672877</x:v>
      </x:c>
      <x:c r="I751" s="38" t="b">
        <x:f t="shared" si="26">E751&lt;G751</x:f>
        <x:v>0</x:v>
      </x:c>
    </x:row>
    <x:row r="752">
      <x:c r="A752" s="31">
        <x:v>38091</x:v>
      </x:c>
      <x:c r="B752" s="32">
        <x:v>250.45</x:v>
      </x:c>
      <x:c r="C752" s="32">
        <x:v>251.24</x:v>
      </x:c>
      <x:c r="D752" s="32">
        <x:v>250.45</x:v>
      </x:c>
      <x:c r="E752" s="32">
        <x:v>251.24</x:v>
      </x:c>
      <x:c r="F752" s="33">
        <x:v>283850</x:v>
      </x:c>
      <x:c r="G752" s="32" t="n">
        <x:f t="shared" si="24">AVERAGE(E553:E752)</x:f>
        <x:v>177.14044999999996</x:v>
      </x:c>
      <x:c r="H752" s="37" t="n">
        <x:f t="shared" si="25">IFERROR(E752/G752-1,"")</x:f>
        <x:v>0.41830959557797254</x:v>
      </x:c>
      <x:c r="I752" s="38" t="b">
        <x:f t="shared" si="26">E752&lt;G752</x:f>
        <x:v>0</x:v>
      </x:c>
    </x:row>
    <x:row r="753">
      <x:c r="A753" s="31">
        <x:v>38092</x:v>
      </x:c>
      <x:c r="B753" s="32">
        <x:v>253.47</x:v>
      </x:c>
      <x:c r="C753" s="32">
        <x:v>256.05</x:v>
      </x:c>
      <x:c r="D753" s="32">
        <x:v>253.47</x:v>
      </x:c>
      <x:c r="E753" s="32">
        <x:v>256.05</x:v>
      </x:c>
      <x:c r="F753" s="33">
        <x:v>335190</x:v>
      </x:c>
      <x:c r="G753" s="32" t="n">
        <x:f t="shared" si="24">AVERAGE(E554:E753)</x:f>
        <x:v>177.66129999999998</x:v>
      </x:c>
      <x:c r="H753" s="37" t="n">
        <x:f t="shared" si="25">IFERROR(E753/G753-1,"")</x:f>
        <x:v>0.4412255229473163</x:v>
      </x:c>
      <x:c r="I753" s="38" t="b">
        <x:f t="shared" si="26">E753&lt;G753</x:f>
        <x:v>0</x:v>
      </x:c>
    </x:row>
    <x:row r="754">
      <x:c r="A754" s="31">
        <x:v>38093</x:v>
      </x:c>
      <x:c r="B754" s="32">
        <x:v>259.67</x:v>
      </x:c>
      <x:c r="C754" s="32">
        <x:v>259.67</x:v>
      </x:c>
      <x:c r="D754" s="32">
        <x:v>259.43</x:v>
      </x:c>
      <x:c r="E754" s="32">
        <x:v>259.43</x:v>
      </x:c>
      <x:c r="F754" s="33">
        <x:v>230740</x:v>
      </x:c>
      <x:c r="G754" s="32" t="n">
        <x:f t="shared" si="24">AVERAGE(E555:E754)</x:f>
        <x:v>178.19844999999998</x:v>
      </x:c>
      <x:c r="H754" s="37" t="n">
        <x:f t="shared" si="25">IFERROR(E754/G754-1,"")</x:f>
        <x:v>0.4558488022763387</x:v>
      </x:c>
      <x:c r="I754" s="38" t="b">
        <x:f t="shared" si="26">E754&lt;G754</x:f>
        <x:v>0</x:v>
      </x:c>
    </x:row>
    <x:row r="755">
      <x:c r="A755" s="31">
        <x:v>38096</x:v>
      </x:c>
      <x:c r="B755" s="32">
        <x:v>258.62</x:v>
      </x:c>
      <x:c r="C755" s="32">
        <x:v>258.62</x:v>
      </x:c>
      <x:c r="D755" s="32">
        <x:v>255.38</x:v>
      </x:c>
      <x:c r="E755" s="32">
        <x:v>255.38</x:v>
      </x:c>
      <x:c r="F755" s="33">
        <x:v>235000</x:v>
      </x:c>
      <x:c r="G755" s="32" t="n">
        <x:f t="shared" si="24">AVERAGE(E556:E755)</x:f>
        <x:v>178.71399999999997</x:v>
      </x:c>
      <x:c r="H755" s="37" t="n">
        <x:f t="shared" si="25">IFERROR(E755/G755-1,"")</x:f>
        <x:v>0.4289870967019933</x:v>
      </x:c>
      <x:c r="I755" s="38" t="b">
        <x:f t="shared" si="26">E755&lt;G755</x:f>
        <x:v>0</x:v>
      </x:c>
    </x:row>
    <x:row r="756">
      <x:c r="A756" s="31">
        <x:v>38097</x:v>
      </x:c>
      <x:c r="B756" s="32">
        <x:v>252.78</x:v>
      </x:c>
      <x:c r="C756" s="32">
        <x:v>254.82</x:v>
      </x:c>
      <x:c r="D756" s="32">
        <x:v>252.78</x:v>
      </x:c>
      <x:c r="E756" s="32">
        <x:v>254.82</x:v>
      </x:c>
      <x:c r="F756" s="33">
        <x:v>303780</x:v>
      </x:c>
      <x:c r="G756" s="32" t="n">
        <x:f t="shared" si="24">AVERAGE(E557:E756)</x:f>
        <x:v>179.22499999999997</x:v>
      </x:c>
      <x:c r="H756" s="37" t="n">
        <x:f t="shared" si="25">IFERROR(E756/G756-1,"")</x:f>
        <x:v>0.42178825498674866</x:v>
      </x:c>
      <x:c r="I756" s="38" t="b">
        <x:f t="shared" si="26">E756&lt;G756</x:f>
        <x:v>0</x:v>
      </x:c>
    </x:row>
    <x:row r="757">
      <x:c r="A757" s="31">
        <x:v>38098</x:v>
      </x:c>
      <x:c r="B757" s="32">
        <x:v>257.85000000000002</x:v>
      </x:c>
      <x:c r="C757" s="32">
        <x:v>257.85000000000002</x:v>
      </x:c>
      <x:c r="D757" s="32">
        <x:v>256.39999999999998</x:v>
      </x:c>
      <x:c r="E757" s="32">
        <x:v>256.39999999999998</x:v>
      </x:c>
      <x:c r="F757" s="33">
        <x:v>157640</x:v>
      </x:c>
      <x:c r="G757" s="32" t="n">
        <x:f t="shared" si="24">AVERAGE(E558:E757)</x:f>
        <x:v>179.74859999999998</x:v>
      </x:c>
      <x:c r="H757" s="37" t="n">
        <x:f t="shared" si="25">IFERROR(E757/G757-1,"")</x:f>
        <x:v>0.4264367010368926</x:v>
      </x:c>
      <x:c r="I757" s="38" t="b">
        <x:f t="shared" si="26">E757&lt;G757</x:f>
        <x:v>0</x:v>
      </x:c>
    </x:row>
    <x:row r="758">
      <x:c r="A758" s="31">
        <x:v>38099</x:v>
      </x:c>
      <x:c r="B758" s="32">
        <x:v>258.89</x:v>
      </x:c>
      <x:c r="C758" s="32">
        <x:v>258.89</x:v>
      </x:c>
      <x:c r="D758" s="32">
        <x:v>258.39</x:v>
      </x:c>
      <x:c r="E758" s="32">
        <x:v>258.39</x:v>
      </x:c>
      <x:c r="F758" s="33">
        <x:v>199460</x:v>
      </x:c>
      <x:c r="G758" s="32" t="n">
        <x:f t="shared" si="24">AVERAGE(E559:E758)</x:f>
        <x:v>180.28134999999995</x:v>
      </x:c>
      <x:c r="H758" s="37" t="n">
        <x:f t="shared" si="25">IFERROR(E758/G758-1,"")</x:f>
        <x:v>0.43325973540801677</x:v>
      </x:c>
      <x:c r="I758" s="38" t="b">
        <x:f t="shared" si="26">E758&lt;G758</x:f>
        <x:v>0</x:v>
      </x:c>
    </x:row>
    <x:row r="759">
      <x:c r="A759" s="31">
        <x:v>38100</x:v>
      </x:c>
      <x:c r="B759" s="32">
        <x:v>258.85000000000002</x:v>
      </x:c>
      <x:c r="C759" s="32">
        <x:v>259.76</x:v>
      </x:c>
      <x:c r="D759" s="32">
        <x:v>258.85000000000002</x:v>
      </x:c>
      <x:c r="E759" s="32">
        <x:v>259.76</x:v>
      </x:c>
      <x:c r="F759" s="33">
        <x:v>182200</x:v>
      </x:c>
      <x:c r="G759" s="32" t="n">
        <x:f t="shared" si="24">AVERAGE(E560:E759)</x:f>
        <x:v>180.81924999999995</x:v>
      </x:c>
      <x:c r="H759" s="37" t="n">
        <x:f t="shared" si="25">IFERROR(E759/G759-1,"")</x:f>
        <x:v>0.43657271004055187</x:v>
      </x:c>
      <x:c r="I759" s="38" t="b">
        <x:f t="shared" si="26">E759&lt;G759</x:f>
        <x:v>0</x:v>
      </x:c>
    </x:row>
    <x:row r="760">
      <x:c r="A760" s="31">
        <x:v>38103</x:v>
      </x:c>
      <x:c r="B760" s="32">
        <x:v>259.75</x:v>
      </x:c>
      <x:c r="C760" s="32">
        <x:v>260.52999999999997</x:v>
      </x:c>
      <x:c r="D760" s="32">
        <x:v>259.75</x:v>
      </x:c>
      <x:c r="E760" s="32">
        <x:v>260.52999999999997</x:v>
      </x:c>
      <x:c r="F760" s="33">
        <x:v>260660</x:v>
      </x:c>
      <x:c r="G760" s="32" t="n">
        <x:f t="shared" si="24">AVERAGE(E561:E760)</x:f>
        <x:v>181.3609999999999</x:v>
      </x:c>
      <x:c r="H760" s="37" t="n">
        <x:f t="shared" si="25">IFERROR(E760/G760-1,"")</x:f>
        <x:v>0.4365271475124206</x:v>
      </x:c>
      <x:c r="I760" s="38" t="b">
        <x:f t="shared" si="26">E760&lt;G760</x:f>
        <x:v>0</x:v>
      </x:c>
    </x:row>
    <x:row r="761">
      <x:c r="A761" s="31">
        <x:v>38104</x:v>
      </x:c>
      <x:c r="B761" s="32">
        <x:v>261.39</x:v>
      </x:c>
      <x:c r="C761" s="32">
        <x:v>261.39</x:v>
      </x:c>
      <x:c r="D761" s="32">
        <x:v>261.13</x:v>
      </x:c>
      <x:c r="E761" s="32">
        <x:v>261.13</x:v>
      </x:c>
      <x:c r="F761" s="33">
        <x:v>216390</x:v>
      </x:c>
      <x:c r="G761" s="32" t="n">
        <x:f t="shared" si="24">AVERAGE(E562:E761)</x:f>
        <x:v>181.9053499999999</x:v>
      </x:c>
      <x:c r="H761" s="37" t="n">
        <x:f t="shared" si="25">IFERROR(E761/G761-1,"")</x:f>
        <x:v>0.43552677257705796</x:v>
      </x:c>
      <x:c r="I761" s="38" t="b">
        <x:f t="shared" si="26">E761&lt;G761</x:f>
        <x:v>0</x:v>
      </x:c>
    </x:row>
    <x:row r="762">
      <x:c r="A762" s="31">
        <x:v>38105</x:v>
      </x:c>
      <x:c r="B762" s="32">
        <x:v>261.8</x:v>
      </x:c>
      <x:c r="C762" s="32">
        <x:v>262.20999999999998</x:v>
      </x:c>
      <x:c r="D762" s="32">
        <x:v>261.8</x:v>
      </x:c>
      <x:c r="E762" s="32">
        <x:v>262.20999999999998</x:v>
      </x:c>
      <x:c r="F762" s="33">
        <x:v>175020</x:v>
      </x:c>
      <x:c r="G762" s="32" t="n">
        <x:f t="shared" si="24">AVERAGE(E563:E762)</x:f>
        <x:v>182.4608999999999</x:v>
      </x:c>
      <x:c r="H762" s="37" t="n">
        <x:f t="shared" si="25">IFERROR(E762/G762-1,"")</x:f>
        <x:v>0.43707501168743623</x:v>
      </x:c>
      <x:c r="I762" s="38" t="b">
        <x:f t="shared" si="26">E762&lt;G762</x:f>
        <x:v>0</x:v>
      </x:c>
    </x:row>
    <x:row r="763">
      <x:c r="A763" s="31">
        <x:v>38106</x:v>
      </x:c>
      <x:c r="B763" s="32">
        <x:v>263.7</x:v>
      </x:c>
      <x:c r="C763" s="32">
        <x:v>264.43</x:v>
      </x:c>
      <x:c r="D763" s="32">
        <x:v>263.7</x:v>
      </x:c>
      <x:c r="E763" s="32">
        <x:v>264.43</x:v>
      </x:c>
      <x:c r="F763" s="33">
        <x:v>145620</x:v>
      </x:c>
      <x:c r="G763" s="32" t="n">
        <x:f t="shared" si="24">AVERAGE(E564:E763)</x:f>
        <x:v>183.02704999999992</x:v>
      </x:c>
      <x:c r="H763" s="37" t="n">
        <x:f t="shared" si="25">IFERROR(E763/G763-1,"")</x:f>
        <x:v>0.4447591216708138</x:v>
      </x:c>
      <x:c r="I763" s="38" t="b">
        <x:f t="shared" si="26">E763&lt;G763</x:f>
        <x:v>0</x:v>
      </x:c>
    </x:row>
    <x:row r="764">
      <x:c r="A764" s="31">
        <x:v>38111</x:v>
      </x:c>
      <x:c r="B764" s="32">
        <x:v>265.02999999999997</x:v>
      </x:c>
      <x:c r="C764" s="32">
        <x:v>265.60000000000002</x:v>
      </x:c>
      <x:c r="D764" s="32">
        <x:v>265.02999999999997</x:v>
      </x:c>
      <x:c r="E764" s="32">
        <x:v>265.60000000000002</x:v>
      </x:c>
      <x:c r="F764" s="33">
        <x:v>124430</x:v>
      </x:c>
      <x:c r="G764" s="32" t="n">
        <x:f t="shared" si="24">AVERAGE(E565:E764)</x:f>
        <x:v>183.5989499999999</x:v>
      </x:c>
      <x:c r="H764" s="37" t="n">
        <x:f t="shared" si="25">IFERROR(E764/G764-1,"")</x:f>
        <x:v>0.44663136690051974</x:v>
      </x:c>
      <x:c r="I764" s="38" t="b">
        <x:f t="shared" si="26">E764&lt;G764</x:f>
        <x:v>0</x:v>
      </x:c>
    </x:row>
    <x:row r="765">
      <x:c r="A765" s="31">
        <x:v>38112</x:v>
      </x:c>
      <x:c r="B765" s="32">
        <x:v>265.52</x:v>
      </x:c>
      <x:c r="C765" s="32">
        <x:v>265.52</x:v>
      </x:c>
      <x:c r="D765" s="32">
        <x:v>264.13</x:v>
      </x:c>
      <x:c r="E765" s="32">
        <x:v>264.13</x:v>
      </x:c>
      <x:c r="F765" s="33">
        <x:v>121990</x:v>
      </x:c>
      <x:c r="G765" s="32" t="n">
        <x:f t="shared" si="24">AVERAGE(E566:E765)</x:f>
        <x:v>184.16554999999988</x:v>
      </x:c>
      <x:c r="H765" s="37" t="n">
        <x:f t="shared" si="25">IFERROR(E765/G765-1,"")</x:f>
        <x:v>0.4341987412955364</x:v>
      </x:c>
      <x:c r="I765" s="38" t="b">
        <x:f t="shared" si="26">E765&lt;G765</x:f>
        <x:v>0</x:v>
      </x:c>
    </x:row>
    <x:row r="766">
      <x:c r="A766" s="31">
        <x:v>38113</x:v>
      </x:c>
      <x:c r="B766" s="32">
        <x:v>263.13</x:v>
      </x:c>
      <x:c r="C766" s="32">
        <x:v>263.13</x:v>
      </x:c>
      <x:c r="D766" s="32">
        <x:v>261.68</x:v>
      </x:c>
      <x:c r="E766" s="32">
        <x:v>261.68</x:v>
      </x:c>
      <x:c r="F766" s="33">
        <x:v>174530</x:v>
      </x:c>
      <x:c r="G766" s="32" t="n">
        <x:f t="shared" si="24">AVERAGE(E567:E766)</x:f>
        <x:v>184.7209999999999</x:v>
      </x:c>
      <x:c r="H766" s="37" t="n">
        <x:f t="shared" si="25">IFERROR(E766/G766-1,"")</x:f>
        <x:v>0.4166229069786336</x:v>
      </x:c>
      <x:c r="I766" s="38" t="b">
        <x:f t="shared" si="26">E766&lt;G766</x:f>
        <x:v>0</x:v>
      </x:c>
    </x:row>
    <x:row r="767">
      <x:c r="A767" s="31">
        <x:v>38114</x:v>
      </x:c>
      <x:c r="B767" s="32">
        <x:v>261.02999999999997</x:v>
      </x:c>
      <x:c r="C767" s="32">
        <x:v>261.32</x:v>
      </x:c>
      <x:c r="D767" s="32">
        <x:v>261.02999999999997</x:v>
      </x:c>
      <x:c r="E767" s="32">
        <x:v>261.32</x:v>
      </x:c>
      <x:c r="F767" s="33">
        <x:v>165220</x:v>
      </x:c>
      <x:c r="G767" s="32" t="n">
        <x:f t="shared" si="24">AVERAGE(E568:E767)</x:f>
        <x:v>185.27419999999987</x:v>
      </x:c>
      <x:c r="H767" s="37" t="n">
        <x:f t="shared" si="25">IFERROR(E767/G767-1,"")</x:f>
        <x:v>0.41045002488204063</x:v>
      </x:c>
      <x:c r="I767" s="38" t="b">
        <x:f t="shared" si="26">E767&lt;G767</x:f>
        <x:v>0</x:v>
      </x:c>
    </x:row>
    <x:row r="768">
      <x:c r="A768" s="31">
        <x:v>38117</x:v>
      </x:c>
      <x:c r="B768" s="32">
        <x:v>260.27999999999997</x:v>
      </x:c>
      <x:c r="C768" s="32">
        <x:v>260.27999999999997</x:v>
      </x:c>
      <x:c r="D768" s="32">
        <x:v>258.20999999999998</x:v>
      </x:c>
      <x:c r="E768" s="32">
        <x:v>258.20999999999998</x:v>
      </x:c>
      <x:c r="F768" s="33">
        <x:v>175080</x:v>
      </x:c>
      <x:c r="G768" s="32" t="n">
        <x:f t="shared" si="24">AVERAGE(E569:E768)</x:f>
        <x:v>185.81389999999993</x:v>
      </x:c>
      <x:c r="H768" s="37" t="n">
        <x:f t="shared" si="25">IFERROR(E768/G768-1,"")</x:f>
        <x:v>0.3896161697268077</x:v>
      </x:c>
      <x:c r="I768" s="38" t="b">
        <x:f t="shared" si="26">E768&lt;G768</x:f>
        <x:v>0</x:v>
      </x:c>
    </x:row>
    <x:row r="769">
      <x:c r="A769" s="31">
        <x:v>38118</x:v>
      </x:c>
      <x:c r="B769" s="32">
        <x:v>256.16000000000003</x:v>
      </x:c>
      <x:c r="C769" s="32">
        <x:v>256.91000000000003</x:v>
      </x:c>
      <x:c r="D769" s="32">
        <x:v>256.16000000000003</x:v>
      </x:c>
      <x:c r="E769" s="32">
        <x:v>256.91000000000003</x:v>
      </x:c>
      <x:c r="F769" s="33">
        <x:v>242090</x:v>
      </x:c>
      <x:c r="G769" s="32" t="n">
        <x:f t="shared" si="24">AVERAGE(E570:E769)</x:f>
        <x:v>186.34674999999993</x:v>
      </x:c>
      <x:c r="H769" s="37" t="n">
        <x:f t="shared" si="25">IFERROR(E769/G769-1,"")</x:f>
        <x:v>0.3786663840394324</x:v>
      </x:c>
      <x:c r="I769" s="38" t="b">
        <x:f t="shared" si="26">E769&lt;G769</x:f>
        <x:v>0</x:v>
      </x:c>
    </x:row>
    <x:row r="770">
      <x:c r="A770" s="31">
        <x:v>38119</x:v>
      </x:c>
      <x:c r="B770" s="32">
        <x:v>257.69</x:v>
      </x:c>
      <x:c r="C770" s="32">
        <x:v>262.64999999999998</x:v>
      </x:c>
      <x:c r="D770" s="32">
        <x:v>257.69</x:v>
      </x:c>
      <x:c r="E770" s="32">
        <x:v>262.64999999999998</x:v>
      </x:c>
      <x:c r="F770" s="33">
        <x:v>190210</x:v>
      </x:c>
      <x:c r="G770" s="32" t="n">
        <x:f t="shared" si="24">AVERAGE(E571:E770)</x:f>
        <x:v>186.91034999999994</x:v>
      </x:c>
      <x:c r="H770" s="37" t="n">
        <x:f t="shared" si="25">IFERROR(E770/G770-1,"")</x:f>
        <x:v>0.4052191331298671</x:v>
      </x:c>
      <x:c r="I770" s="38" t="b">
        <x:f t="shared" si="26">E770&lt;G770</x:f>
        <x:v>0</x:v>
      </x:c>
    </x:row>
    <x:row r="771">
      <x:c r="A771" s="31">
        <x:v>38120</x:v>
      </x:c>
      <x:c r="B771" s="32">
        <x:v>264.94</x:v>
      </x:c>
      <x:c r="C771" s="32">
        <x:v>264.94</x:v>
      </x:c>
      <x:c r="D771" s="32">
        <x:v>263.63</x:v>
      </x:c>
      <x:c r="E771" s="32">
        <x:v>263.63</x:v>
      </x:c>
      <x:c r="F771" s="33">
        <x:v>173820</x:v>
      </x:c>
      <x:c r="G771" s="32" t="n">
        <x:f t="shared" si="24">AVERAGE(E572:E771)</x:f>
        <x:v>187.48249999999993</x:v>
      </x:c>
      <x:c r="H771" s="37" t="n">
        <x:f t="shared" si="25">IFERROR(E771/G771-1,"")</x:f>
        <x:v>0.4061579080714206</x:v>
      </x:c>
      <x:c r="I771" s="38" t="b">
        <x:f t="shared" si="26">E771&lt;G771</x:f>
        <x:v>0</x:v>
      </x:c>
    </x:row>
    <x:row r="772">
      <x:c r="A772" s="31">
        <x:v>38121</x:v>
      </x:c>
      <x:c r="B772" s="32">
        <x:v>262.82</x:v>
      </x:c>
      <x:c r="C772" s="32">
        <x:v>262.82</x:v>
      </x:c>
      <x:c r="D772" s="32">
        <x:v>261.49</x:v>
      </x:c>
      <x:c r="E772" s="32">
        <x:v>261.49</x:v>
      </x:c>
      <x:c r="F772" s="33">
        <x:v>189550</x:v>
      </x:c>
      <x:c r="G772" s="32" t="n">
        <x:f t="shared" si="24">AVERAGE(E573:E772)</x:f>
        <x:v>188.04179999999988</x:v>
      </x:c>
      <x:c r="H772" s="37" t="n">
        <x:f t="shared" si="25">IFERROR(E772/G772-1,"")</x:f>
        <x:v>0.3905950698195837</x:v>
      </x:c>
      <x:c r="I772" s="38" t="b">
        <x:f t="shared" si="26">E772&lt;G772</x:f>
        <x:v>0</x:v>
      </x:c>
    </x:row>
    <x:row r="773">
      <x:c r="A773" s="31">
        <x:v>38124</x:v>
      </x:c>
      <x:c r="B773" s="32">
        <x:v>260.87</x:v>
      </x:c>
      <x:c r="C773" s="32">
        <x:v>260.87</x:v>
      </x:c>
      <x:c r="D773" s="32">
        <x:v>260.23</x:v>
      </x:c>
      <x:c r="E773" s="32">
        <x:v>260.23</x:v>
      </x:c>
      <x:c r="F773" s="33">
        <x:v>81470</x:v>
      </x:c>
      <x:c r="G773" s="32" t="n">
        <x:f t="shared" si="24">AVERAGE(E574:E773)</x:f>
        <x:v>188.5935999999999</x:v>
      </x:c>
      <x:c r="H773" s="37" t="n">
        <x:f t="shared" si="25">IFERROR(E773/G773-1,"")</x:f>
        <x:v>0.3798453393964596</x:v>
      </x:c>
      <x:c r="I773" s="38" t="b">
        <x:f t="shared" si="26">E773&lt;G773</x:f>
        <x:v>0</x:v>
      </x:c>
    </x:row>
    <x:row r="774">
      <x:c r="A774" s="31">
        <x:v>38125</x:v>
      </x:c>
      <x:c r="B774" s="32">
        <x:v>262.20999999999998</x:v>
      </x:c>
      <x:c r="C774" s="32">
        <x:v>262.20999999999998</x:v>
      </x:c>
      <x:c r="D774" s="32">
        <x:v>260.79000000000002</x:v>
      </x:c>
      <x:c r="E774" s="32">
        <x:v>260.79000000000002</x:v>
      </x:c>
      <x:c r="F774" s="33">
        <x:v>86150</x:v>
      </x:c>
      <x:c r="G774" s="32" t="n">
        <x:f t="shared" si="24">AVERAGE(E575:E774)</x:f>
        <x:v>189.15109999999993</x:v>
      </x:c>
      <x:c r="H774" s="37" t="n">
        <x:f t="shared" si="25">IFERROR(E774/G774-1,"")</x:f>
        <x:v>0.378739008126308</x:v>
      </x:c>
      <x:c r="I774" s="38" t="b">
        <x:f t="shared" si="26">E774&lt;G774</x:f>
        <x:v>0</x:v>
      </x:c>
    </x:row>
    <x:row r="775">
      <x:c r="A775" s="31">
        <x:v>38126</x:v>
      </x:c>
      <x:c r="B775" s="32">
        <x:v>260.79000000000002</x:v>
      </x:c>
      <x:c r="C775" s="32">
        <x:v>261.3</x:v>
      </x:c>
      <x:c r="D775" s="32">
        <x:v>260.79000000000002</x:v>
      </x:c>
      <x:c r="E775" s="32">
        <x:v>261.3</x:v>
      </x:c>
      <x:c r="F775" s="33">
        <x:v>122750</x:v>
      </x:c>
      <x:c r="G775" s="32" t="n">
        <x:f t="shared" si="24">AVERAGE(E576:E775)</x:f>
        <x:v>189.71359999999996</x:v>
      </x:c>
      <x:c r="H775" s="37" t="n">
        <x:f t="shared" si="25">IFERROR(E775/G775-1,"")</x:f>
        <x:v>0.3773393156842739</x:v>
      </x:c>
      <x:c r="I775" s="38" t="b">
        <x:f t="shared" si="26">E775&lt;G775</x:f>
        <x:v>0</x:v>
      </x:c>
    </x:row>
    <x:row r="776">
      <x:c r="A776" s="31">
        <x:v>38127</x:v>
      </x:c>
      <x:c r="B776" s="32">
        <x:v>261.58</x:v>
      </x:c>
      <x:c r="C776" s="32">
        <x:v>261.58</x:v>
      </x:c>
      <x:c r="D776" s="32">
        <x:v>261.58</x:v>
      </x:c>
      <x:c r="E776" s="32">
        <x:v>261.58</x:v>
      </x:c>
      <x:c r="F776" s="33">
        <x:v>109000</x:v>
      </x:c>
      <x:c r="G776" s="32" t="n">
        <x:f t="shared" si="24">AVERAGE(E577:E776)</x:f>
        <x:v>190.2814</x:v>
      </x:c>
      <x:c r="H776" s="37" t="n">
        <x:f t="shared" si="25">IFERROR(E776/G776-1,"")</x:f>
        <x:v>0.3747008378117882</x:v>
      </x:c>
      <x:c r="I776" s="38" t="b">
        <x:f t="shared" si="26">E776&lt;G776</x:f>
        <x:v>0</x:v>
      </x:c>
    </x:row>
    <x:row r="777">
      <x:c r="A777" s="31">
        <x:v>38128</x:v>
      </x:c>
      <x:c r="B777" s="32">
        <x:v>261.54000000000002</x:v>
      </x:c>
      <x:c r="C777" s="32">
        <x:v>261.54000000000002</x:v>
      </x:c>
      <x:c r="D777" s="32">
        <x:v>261.13</x:v>
      </x:c>
      <x:c r="E777" s="32">
        <x:v>261.13</x:v>
      </x:c>
      <x:c r="F777" s="33">
        <x:v>140010</x:v>
      </x:c>
      <x:c r="G777" s="32" t="n">
        <x:f t="shared" si="24">AVERAGE(E578:E777)</x:f>
        <x:v>190.85069999999996</x:v>
      </x:c>
      <x:c r="H777" s="37" t="n">
        <x:f t="shared" si="25">IFERROR(E777/G777-1,"")</x:f>
        <x:v>0.36824229620326276</x:v>
      </x:c>
      <x:c r="I777" s="38" t="b">
        <x:f t="shared" si="26">E777&lt;G777</x:f>
        <x:v>0</x:v>
      </x:c>
    </x:row>
    <x:row r="778">
      <x:c r="A778" s="31">
        <x:v>38131</x:v>
      </x:c>
      <x:c r="B778" s="32">
        <x:v>262.33</x:v>
      </x:c>
      <x:c r="C778" s="32">
        <x:v>262.33</x:v>
      </x:c>
      <x:c r="D778" s="32">
        <x:v>261.97000000000003</x:v>
      </x:c>
      <x:c r="E778" s="32">
        <x:v>261.97000000000003</x:v>
      </x:c>
      <x:c r="F778" s="33">
        <x:v>163900</x:v>
      </x:c>
      <x:c r="G778" s="32" t="n">
        <x:f t="shared" si="24">AVERAGE(E579:E778)</x:f>
        <x:v>191.42894999999996</x:v>
      </x:c>
      <x:c r="H778" s="37" t="n">
        <x:f t="shared" si="25">IFERROR(E778/G778-1,"")</x:f>
        <x:v>0.3684972936434123</x:v>
      </x:c>
      <x:c r="I778" s="38" t="b">
        <x:f t="shared" si="26">E778&lt;G778</x:f>
        <x:v>0</x:v>
      </x:c>
    </x:row>
    <x:row r="779">
      <x:c r="A779" s="31">
        <x:v>38132</x:v>
      </x:c>
      <x:c r="B779" s="32">
        <x:v>261.32</x:v>
      </x:c>
      <x:c r="C779" s="32">
        <x:v>261.32</x:v>
      </x:c>
      <x:c r="D779" s="32">
        <x:v>258.31</x:v>
      </x:c>
      <x:c r="E779" s="32">
        <x:v>258.31</x:v>
      </x:c>
      <x:c r="F779" s="33">
        <x:v>162580</x:v>
      </x:c>
      <x:c r="G779" s="32" t="n">
        <x:f t="shared" si="24">AVERAGE(E580:E779)</x:f>
        <x:v>191.99604999999997</x:v>
      </x:c>
      <x:c r="H779" s="37" t="n">
        <x:f t="shared" si="25">IFERROR(E779/G779-1,"")</x:f>
        <x:v>0.3453922619762231</x:v>
      </x:c>
      <x:c r="I779" s="38" t="b">
        <x:f t="shared" si="26">E779&lt;G779</x:f>
        <x:v>0</x:v>
      </x:c>
    </x:row>
    <x:row r="780">
      <x:c r="A780" s="31">
        <x:v>38133</x:v>
      </x:c>
      <x:c r="B780" s="32">
        <x:v>254.94</x:v>
      </x:c>
      <x:c r="C780" s="32">
        <x:v>254.94</x:v>
      </x:c>
      <x:c r="D780" s="32">
        <x:v>253.98</x:v>
      </x:c>
      <x:c r="E780" s="32">
        <x:v>253.98</x:v>
      </x:c>
      <x:c r="F780" s="33">
        <x:v>138800</x:v>
      </x:c>
      <x:c r="G780" s="32" t="n">
        <x:f t="shared" si="24">AVERAGE(E581:E780)</x:f>
        <x:v>192.54649999999995</x:v>
      </x:c>
      <x:c r="H780" s="37" t="n">
        <x:f t="shared" si="25">IFERROR(E780/G780-1,"")</x:f>
        <x:v>0.3190579937833202</x:v>
      </x:c>
      <x:c r="I780" s="38" t="b">
        <x:f t="shared" si="26">E780&lt;G780</x:f>
        <x:v>0</x:v>
      </x:c>
    </x:row>
    <x:row r="781">
      <x:c r="A781" s="31">
        <x:v>38134</x:v>
      </x:c>
      <x:c r="B781" s="32">
        <x:v>252.93</x:v>
      </x:c>
      <x:c r="C781" s="32">
        <x:v>252.93</x:v>
      </x:c>
      <x:c r="D781" s="32">
        <x:v>251.16</x:v>
      </x:c>
      <x:c r="E781" s="32">
        <x:v>251.16</x:v>
      </x:c>
      <x:c r="F781" s="33">
        <x:v>225210</x:v>
      </x:c>
      <x:c r="G781" s="32" t="n">
        <x:f t="shared" ref="G781:G844" si="27">AVERAGE(E582:E781)</x:f>
        <x:v>193.08515</x:v>
      </x:c>
      <x:c r="H781" s="37" t="n">
        <x:f t="shared" ref="H781:H844" si="28">IFERROR(E781/G781-1,"")</x:f>
        <x:v>0.3007732598804207</x:v>
      </x:c>
      <x:c r="I781" s="38" t="b">
        <x:f t="shared" ref="I781:I844" si="29">E781&lt;G781</x:f>
        <x:v>0</x:v>
      </x:c>
    </x:row>
    <x:row r="782">
      <x:c r="A782" s="31">
        <x:v>38135</x:v>
      </x:c>
      <x:c r="B782" s="32">
        <x:v>251.39</x:v>
      </x:c>
      <x:c r="C782" s="32">
        <x:v>251.46</x:v>
      </x:c>
      <x:c r="D782" s="32">
        <x:v>251.39</x:v>
      </x:c>
      <x:c r="E782" s="32">
        <x:v>251.46</x:v>
      </x:c>
      <x:c r="F782" s="33">
        <x:v>209820</x:v>
      </x:c>
      <x:c r="G782" s="32" t="n">
        <x:f t="shared" si="27">AVERAGE(E583:E782)</x:f>
        <x:v>193.62914999999998</x:v>
      </x:c>
      <x:c r="H782" s="37" t="n">
        <x:f t="shared" si="28">IFERROR(E782/G782-1,"")</x:f>
        <x:v>0.29866809826929486</x:v>
      </x:c>
      <x:c r="I782" s="38" t="b">
        <x:f t="shared" si="29">E782&lt;G782</x:f>
        <x:v>0</x:v>
      </x:c>
    </x:row>
    <x:row r="783">
      <x:c r="A783" s="31">
        <x:v>38138</x:v>
      </x:c>
      <x:c r="B783" s="32">
        <x:v>252.23</x:v>
      </x:c>
      <x:c r="C783" s="32">
        <x:v>252.23</x:v>
      </x:c>
      <x:c r="D783" s="32">
        <x:v>251.99</x:v>
      </x:c>
      <x:c r="E783" s="32">
        <x:v>251.99</x:v>
      </x:c>
      <x:c r="F783" s="33">
        <x:v>130320</x:v>
      </x:c>
      <x:c r="G783" s="32" t="n">
        <x:f t="shared" si="27">AVERAGE(E584:E783)</x:f>
        <x:v>194.17849999999999</x:v>
      </x:c>
      <x:c r="H783" s="37" t="n">
        <x:f t="shared" si="28">IFERROR(E783/G783-1,"")</x:f>
        <x:v>0.2977234863798002</x:v>
      </x:c>
      <x:c r="I783" s="38" t="b">
        <x:f t="shared" si="29">E783&lt;G783</x:f>
        <x:v>0</x:v>
      </x:c>
    </x:row>
    <x:row r="784">
      <x:c r="A784" s="31">
        <x:v>38139</x:v>
      </x:c>
      <x:c r="B784" s="32">
        <x:v>252.64</x:v>
      </x:c>
      <x:c r="C784" s="32">
        <x:v>252.64</x:v>
      </x:c>
      <x:c r="D784" s="32">
        <x:v>252.51</x:v>
      </x:c>
      <x:c r="E784" s="32">
        <x:v>252.51</x:v>
      </x:c>
      <x:c r="F784" s="33">
        <x:v>156630</x:v>
      </x:c>
      <x:c r="G784" s="32" t="n">
        <x:f t="shared" si="27">AVERAGE(E585:E784)</x:f>
        <x:v>194.73625</x:v>
      </x:c>
      <x:c r="H784" s="37" t="n">
        <x:f t="shared" si="28">IFERROR(E784/G784-1,"")</x:f>
        <x:v>0.2966769155717026</x:v>
      </x:c>
      <x:c r="I784" s="38" t="b">
        <x:f t="shared" si="29">E784&lt;G784</x:f>
        <x:v>0</x:v>
      </x:c>
    </x:row>
    <x:row r="785">
      <x:c r="A785" s="31">
        <x:v>38140</x:v>
      </x:c>
      <x:c r="B785" s="32">
        <x:v>252.03</x:v>
      </x:c>
      <x:c r="C785" s="32">
        <x:v>252.12</x:v>
      </x:c>
      <x:c r="D785" s="32">
        <x:v>252.03</x:v>
      </x:c>
      <x:c r="E785" s="32">
        <x:v>252.12</x:v>
      </x:c>
      <x:c r="F785" s="33">
        <x:v>103120</x:v>
      </x:c>
      <x:c r="G785" s="32" t="n">
        <x:f t="shared" si="27">AVERAGE(E586:E785)</x:f>
        <x:v>195.28855</x:v>
      </x:c>
      <x:c r="H785" s="37" t="n">
        <x:f t="shared" si="28">IFERROR(E785/G785-1,"")</x:f>
        <x:v>0.2910127091424459</x:v>
      </x:c>
      <x:c r="I785" s="38" t="b">
        <x:f t="shared" si="29">E785&lt;G785</x:f>
        <x:v>0</x:v>
      </x:c>
    </x:row>
    <x:row r="786">
      <x:c r="A786" s="31">
        <x:v>38141</x:v>
      </x:c>
      <x:c r="B786" s="32">
        <x:v>252.69</x:v>
      </x:c>
      <x:c r="C786" s="32">
        <x:v>252.69</x:v>
      </x:c>
      <x:c r="D786" s="32">
        <x:v>250.99</x:v>
      </x:c>
      <x:c r="E786" s="32">
        <x:v>250.99</x:v>
      </x:c>
      <x:c r="F786" s="33">
        <x:v>140180</x:v>
      </x:c>
      <x:c r="G786" s="32" t="n">
        <x:f t="shared" si="27">AVERAGE(E587:E786)</x:f>
        <x:v>195.834</x:v>
      </x:c>
      <x:c r="H786" s="37" t="n">
        <x:f t="shared" si="28">IFERROR(E786/G786-1,"")</x:f>
        <x:v>0.2816467007771888</x:v>
      </x:c>
      <x:c r="I786" s="38" t="b">
        <x:f t="shared" si="29">E786&lt;G786</x:f>
        <x:v>0</x:v>
      </x:c>
    </x:row>
    <x:row r="787">
      <x:c r="A787" s="31">
        <x:v>38142</x:v>
      </x:c>
      <x:c r="B787" s="32">
        <x:v>250.73</x:v>
      </x:c>
      <x:c r="C787" s="32">
        <x:v>250.73</x:v>
      </x:c>
      <x:c r="D787" s="32">
        <x:v>248.99</x:v>
      </x:c>
      <x:c r="E787" s="32">
        <x:v>248.99</x:v>
      </x:c>
      <x:c r="F787" s="33">
        <x:v>166070</x:v>
      </x:c>
      <x:c r="G787" s="32" t="n">
        <x:f t="shared" si="27">AVERAGE(E588:E787)</x:f>
        <x:v>196.36950000000002</x:v>
      </x:c>
      <x:c r="H787" s="37" t="n">
        <x:f t="shared" si="28">IFERROR(E787/G787-1,"")</x:f>
        <x:v>0.2679667667331229</x:v>
      </x:c>
      <x:c r="I787" s="38" t="b">
        <x:f t="shared" si="29">E787&lt;G787</x:f>
        <x:v>0</x:v>
      </x:c>
    </x:row>
    <x:row r="788">
      <x:c r="A788" s="31">
        <x:v>38145</x:v>
      </x:c>
      <x:c r="B788" s="32">
        <x:v>248.95</x:v>
      </x:c>
      <x:c r="C788" s="32">
        <x:v>248.95</x:v>
      </x:c>
      <x:c r="D788" s="32">
        <x:v>247.37</x:v>
      </x:c>
      <x:c r="E788" s="32">
        <x:v>247.37</x:v>
      </x:c>
      <x:c r="F788" s="33">
        <x:v>111700</x:v>
      </x:c>
      <x:c r="G788" s="32" t="n">
        <x:f t="shared" si="27">AVERAGE(E589:E788)</x:f>
        <x:v>196.8927</x:v>
      </x:c>
      <x:c r="H788" s="37" t="n">
        <x:f t="shared" si="28">IFERROR(E788/G788-1,"")</x:f>
        <x:v>0.25636958607403937</x:v>
      </x:c>
      <x:c r="I788" s="38" t="b">
        <x:f t="shared" si="29">E788&lt;G788</x:f>
        <x:v>0</x:v>
      </x:c>
    </x:row>
    <x:row r="789">
      <x:c r="A789" s="31">
        <x:v>38146</x:v>
      </x:c>
      <x:c r="B789" s="32">
        <x:v>244.76</x:v>
      </x:c>
      <x:c r="C789" s="32">
        <x:v>245.04</x:v>
      </x:c>
      <x:c r="D789" s="32">
        <x:v>244.76</x:v>
      </x:c>
      <x:c r="E789" s="32">
        <x:v>245.04</x:v>
      </x:c>
      <x:c r="F789" s="33">
        <x:v>254420</x:v>
      </x:c>
      <x:c r="G789" s="32" t="n">
        <x:f t="shared" si="27">AVERAGE(E590:E789)</x:f>
        <x:v>197.4034</x:v>
      </x:c>
      <x:c r="H789" s="37" t="n">
        <x:f t="shared" si="28">IFERROR(E789/G789-1,"")</x:f>
        <x:v>0.24131600570202938</x:v>
      </x:c>
      <x:c r="I789" s="38" t="b">
        <x:f t="shared" si="29">E789&lt;G789</x:f>
        <x:v>0</x:v>
      </x:c>
    </x:row>
    <x:row r="790">
      <x:c r="A790" s="31">
        <x:v>38147</x:v>
      </x:c>
      <x:c r="B790" s="32">
        <x:v>245.51</x:v>
      </x:c>
      <x:c r="C790" s="32">
        <x:v>246.64</x:v>
      </x:c>
      <x:c r="D790" s="32">
        <x:v>245.51</x:v>
      </x:c>
      <x:c r="E790" s="32">
        <x:v>246.64</x:v>
      </x:c>
      <x:c r="F790" s="33">
        <x:v>195340</x:v>
      </x:c>
      <x:c r="G790" s="32" t="n">
        <x:f t="shared" si="27">AVERAGE(E591:E790)</x:f>
        <x:v>197.9216</x:v>
      </x:c>
      <x:c r="H790" s="37" t="n">
        <x:f t="shared" si="28">IFERROR(E790/G790-1,"")</x:f>
        <x:v>0.2461499907033895</x:v>
      </x:c>
      <x:c r="I790" s="38" t="b">
        <x:f t="shared" si="29">E790&lt;G790</x:f>
        <x:v>0</x:v>
      </x:c>
    </x:row>
    <x:row r="791">
      <x:c r="A791" s="31">
        <x:v>38148</x:v>
      </x:c>
      <x:c r="B791" s="32">
        <x:v>246.97</x:v>
      </x:c>
      <x:c r="C791" s="32">
        <x:v>247.41</x:v>
      </x:c>
      <x:c r="D791" s="32">
        <x:v>246.97</x:v>
      </x:c>
      <x:c r="E791" s="32">
        <x:v>247.41</x:v>
      </x:c>
      <x:c r="F791" s="33">
        <x:v>88860</x:v>
      </x:c>
      <x:c r="G791" s="32" t="n">
        <x:f t="shared" si="27">AVERAGE(E592:E791)</x:f>
        <x:v>198.44430000000003</x:v>
      </x:c>
      <x:c r="H791" s="37" t="n">
        <x:f t="shared" si="28">IFERROR(E791/G791-1,"")</x:f>
        <x:v>0.24674782797994177</x:v>
      </x:c>
      <x:c r="I791" s="38" t="b">
        <x:f t="shared" si="29">E791&lt;G791</x:f>
        <x:v>0</x:v>
      </x:c>
    </x:row>
    <x:row r="792">
      <x:c r="A792" s="31">
        <x:v>38149</x:v>
      </x:c>
      <x:c r="B792" s="32">
        <x:v>248.27</x:v>
      </x:c>
      <x:c r="C792" s="32">
        <x:v>248.44</x:v>
      </x:c>
      <x:c r="D792" s="32">
        <x:v>248.27</x:v>
      </x:c>
      <x:c r="E792" s="32">
        <x:v>248.44</x:v>
      </x:c>
      <x:c r="F792" s="33">
        <x:v>141860</x:v>
      </x:c>
      <x:c r="G792" s="32" t="n">
        <x:f t="shared" si="27">AVERAGE(E593:E792)</x:f>
        <x:v>198.97525000000005</x:v>
      </x:c>
      <x:c r="H792" s="37" t="n">
        <x:f t="shared" si="28">IFERROR(E792/G792-1,"")</x:f>
        <x:v>0.24859750144804416</x:v>
      </x:c>
      <x:c r="I792" s="38" t="b">
        <x:f t="shared" si="29">E792&lt;G792</x:f>
        <x:v>0</x:v>
      </x:c>
    </x:row>
    <x:row r="793">
      <x:c r="A793" s="31">
        <x:v>38152</x:v>
      </x:c>
      <x:c r="B793" s="32">
        <x:v>251.9</x:v>
      </x:c>
      <x:c r="C793" s="32">
        <x:v>254.26</x:v>
      </x:c>
      <x:c r="D793" s="32">
        <x:v>251.9</x:v>
      </x:c>
      <x:c r="E793" s="32">
        <x:v>254.26</x:v>
      </x:c>
      <x:c r="F793" s="33">
        <x:v>370510</x:v>
      </x:c>
      <x:c r="G793" s="32" t="n">
        <x:f t="shared" si="27">AVERAGE(E594:E793)</x:f>
        <x:v>199.53425000000004</x:v>
      </x:c>
      <x:c r="H793" s="37" t="n">
        <x:f t="shared" si="28">IFERROR(E793/G793-1,"")</x:f>
        <x:v>0.2742674503249438</x:v>
      </x:c>
      <x:c r="I793" s="38" t="b">
        <x:f t="shared" si="29">E793&lt;G793</x:f>
        <x:v>0</x:v>
      </x:c>
    </x:row>
    <x:row r="794">
      <x:c r="A794" s="31">
        <x:v>38153</x:v>
      </x:c>
      <x:c r="B794" s="32">
        <x:v>256.11</x:v>
      </x:c>
      <x:c r="C794" s="32">
        <x:v>256.11</x:v>
      </x:c>
      <x:c r="D794" s="32">
        <x:v>253.54</x:v>
      </x:c>
      <x:c r="E794" s="32">
        <x:v>253.54</x:v>
      </x:c>
      <x:c r="F794" s="33">
        <x:v>246280</x:v>
      </x:c>
      <x:c r="G794" s="32" t="n">
        <x:f t="shared" si="27">AVERAGE(E595:E794)</x:f>
        <x:v>200.09145000000004</x:v>
      </x:c>
      <x:c r="H794" s="37" t="n">
        <x:f t="shared" si="28">IFERROR(E794/G794-1,"")</x:f>
        <x:v>0.26712060910148816</x:v>
      </x:c>
      <x:c r="I794" s="38" t="b">
        <x:f t="shared" si="29">E794&lt;G794</x:f>
        <x:v>0</x:v>
      </x:c>
    </x:row>
    <x:row r="795">
      <x:c r="A795" s="31">
        <x:v>38154</x:v>
      </x:c>
      <x:c r="B795" s="32">
        <x:v>252.37</x:v>
      </x:c>
      <x:c r="C795" s="32">
        <x:v>252.37</x:v>
      </x:c>
      <x:c r="D795" s="32">
        <x:v>251.99</x:v>
      </x:c>
      <x:c r="E795" s="32">
        <x:v>251.99</x:v>
      </x:c>
      <x:c r="F795" s="33">
        <x:v>327550</x:v>
      </x:c>
      <x:c r="G795" s="32" t="n">
        <x:f t="shared" si="27">AVERAGE(E596:E795)</x:f>
        <x:v>200.64010000000005</x:v>
      </x:c>
      <x:c r="H795" s="37" t="n">
        <x:f t="shared" si="28">IFERROR(E795/G795-1,"")</x:f>
        <x:v>0.25593039477153345</x:v>
      </x:c>
      <x:c r="I795" s="38" t="b">
        <x:f t="shared" si="29">E795&lt;G795</x:f>
        <x:v>0</x:v>
      </x:c>
    </x:row>
    <x:row r="796">
      <x:c r="A796" s="31">
        <x:v>38155</x:v>
      </x:c>
      <x:c r="B796" s="32">
        <x:v>251.47</x:v>
      </x:c>
      <x:c r="C796" s="32">
        <x:v>251.47</x:v>
      </x:c>
      <x:c r="D796" s="32">
        <x:v>249.28</x:v>
      </x:c>
      <x:c r="E796" s="32">
        <x:v>249.28</x:v>
      </x:c>
      <x:c r="F796" s="33">
        <x:v>98130</x:v>
      </x:c>
      <x:c r="G796" s="32" t="n">
        <x:f t="shared" si="27">AVERAGE(E597:E796)</x:f>
        <x:v>201.17530000000005</x:v>
      </x:c>
      <x:c r="H796" s="37" t="n">
        <x:f t="shared" si="28">IFERROR(E796/G796-1,"")</x:f>
        <x:v>0.23911832118555276</x:v>
      </x:c>
      <x:c r="I796" s="38" t="b">
        <x:f t="shared" si="29">E796&lt;G796</x:f>
        <x:v>0</x:v>
      </x:c>
    </x:row>
    <x:row r="797">
      <x:c r="A797" s="31">
        <x:v>38156</x:v>
      </x:c>
      <x:c r="B797" s="32">
        <x:v>249.56</x:v>
      </x:c>
      <x:c r="C797" s="32">
        <x:v>249.56</x:v>
      </x:c>
      <x:c r="D797" s="32">
        <x:v>249.29</x:v>
      </x:c>
      <x:c r="E797" s="32">
        <x:v>249.29</x:v>
      </x:c>
      <x:c r="F797" s="33">
        <x:v>109920</x:v>
      </x:c>
      <x:c r="G797" s="32" t="n">
        <x:f t="shared" si="27">AVERAGE(E598:E797)</x:f>
        <x:v>201.70835000000005</x:v>
      </x:c>
      <x:c r="H797" s="37" t="n">
        <x:f t="shared" si="28">IFERROR(E797/G797-1,"")</x:f>
        <x:v>0.2358933083335415</x:v>
      </x:c>
      <x:c r="I797" s="38" t="b">
        <x:f t="shared" si="29">E797&lt;G797</x:f>
        <x:v>0</x:v>
      </x:c>
    </x:row>
    <x:row r="798">
      <x:c r="A798" s="31">
        <x:v>38159</x:v>
      </x:c>
      <x:c r="B798" s="32">
        <x:v>249.32</x:v>
      </x:c>
      <x:c r="C798" s="32">
        <x:v>249.95</x:v>
      </x:c>
      <x:c r="D798" s="32">
        <x:v>249.32</x:v>
      </x:c>
      <x:c r="E798" s="32">
        <x:v>249.95</x:v>
      </x:c>
      <x:c r="F798" s="33">
        <x:v>111990</x:v>
      </x:c>
      <x:c r="G798" s="32" t="n">
        <x:f t="shared" si="27">AVERAGE(E599:E798)</x:f>
        <x:v>202.24760000000006</x:v>
      </x:c>
      <x:c r="H798" s="37" t="n">
        <x:f t="shared" si="28">IFERROR(E798/G798-1,"")</x:f>
        <x:v>0.23586138970252257</x:v>
      </x:c>
      <x:c r="I798" s="38" t="b">
        <x:f t="shared" si="29">E798&lt;G798</x:f>
        <x:v>0</x:v>
      </x:c>
    </x:row>
    <x:row r="799">
      <x:c r="A799" s="31">
        <x:v>38160</x:v>
      </x:c>
      <x:c r="B799" s="32">
        <x:v>248.9</x:v>
      </x:c>
      <x:c r="C799" s="32">
        <x:v>249.26</x:v>
      </x:c>
      <x:c r="D799" s="32">
        <x:v>248.9</x:v>
      </x:c>
      <x:c r="E799" s="32">
        <x:v>249.26</x:v>
      </x:c>
      <x:c r="F799" s="33">
        <x:v>214170</x:v>
      </x:c>
      <x:c r="G799" s="32" t="n">
        <x:f t="shared" si="27">AVERAGE(E600:E799)</x:f>
        <x:v>202.78035000000003</x:v>
      </x:c>
      <x:c r="H799" s="37" t="n">
        <x:f t="shared" si="28">IFERROR(E799/G799-1,"")</x:f>
        <x:v>0.22921180479272252</x:v>
      </x:c>
      <x:c r="I799" s="38" t="b">
        <x:f t="shared" si="29">E799&lt;G799</x:f>
        <x:v>0</x:v>
      </x:c>
    </x:row>
    <x:row r="800">
      <x:c r="A800" s="31">
        <x:v>38161</x:v>
      </x:c>
      <x:c r="B800" s="32">
        <x:v>248.9</x:v>
      </x:c>
      <x:c r="C800" s="32">
        <x:v>249.4</x:v>
      </x:c>
      <x:c r="D800" s="32">
        <x:v>248.9</x:v>
      </x:c>
      <x:c r="E800" s="32">
        <x:v>249.4</x:v>
      </x:c>
      <x:c r="F800" s="33">
        <x:v>128380</x:v>
      </x:c>
      <x:c r="G800" s="32" t="n">
        <x:f t="shared" si="27">AVERAGE(E601:E800)</x:f>
        <x:v>203.3168000000001</x:v>
      </x:c>
      <x:c r="H800" s="37" t="n">
        <x:f t="shared" si="28">IFERROR(E800/G800-1,"")</x:f>
        <x:v>0.2266571183492947</x:v>
      </x:c>
      <x:c r="I800" s="38" t="b">
        <x:f t="shared" si="29">E800&lt;G800</x:f>
        <x:v>0</x:v>
      </x:c>
    </x:row>
    <x:row r="801">
      <x:c r="A801" s="31">
        <x:v>38162</x:v>
      </x:c>
      <x:c r="B801" s="32">
        <x:v>249.63</x:v>
      </x:c>
      <x:c r="C801" s="32">
        <x:v>250</x:v>
      </x:c>
      <x:c r="D801" s="32">
        <x:v>249.63</x:v>
      </x:c>
      <x:c r="E801" s="32">
        <x:v>250</x:v>
      </x:c>
      <x:c r="F801" s="33">
        <x:v>146560</x:v>
      </x:c>
      <x:c r="G801" s="32" t="n">
        <x:f t="shared" si="27">AVERAGE(E602:E801)</x:f>
        <x:v>203.85655000000003</x:v>
      </x:c>
      <x:c r="H801" s="37" t="n">
        <x:f t="shared" si="28">IFERROR(E801/G801-1,"")</x:f>
        <x:v>0.22635255035955404</x:v>
      </x:c>
      <x:c r="I801" s="38" t="b">
        <x:f t="shared" si="29">E801&lt;G801</x:f>
        <x:v>0</x:v>
      </x:c>
    </x:row>
    <x:row r="802">
      <x:c r="A802" s="31">
        <x:v>38163</x:v>
      </x:c>
      <x:c r="B802" s="32">
        <x:v>249.69</x:v>
      </x:c>
      <x:c r="C802" s="32">
        <x:v>249.82</x:v>
      </x:c>
      <x:c r="D802" s="32">
        <x:v>249.69</x:v>
      </x:c>
      <x:c r="E802" s="32">
        <x:v>249.82</x:v>
      </x:c>
      <x:c r="F802" s="33">
        <x:v>93370</x:v>
      </x:c>
      <x:c r="G802" s="32" t="n">
        <x:f t="shared" si="27">AVERAGE(E603:E802)</x:f>
        <x:v>204.39665000000005</x:v>
      </x:c>
      <x:c r="H802" s="37" t="n">
        <x:f t="shared" si="28">IFERROR(E802/G802-1,"")</x:f>
        <x:v>0.2222313819722581</x:v>
      </x:c>
      <x:c r="I802" s="38" t="b">
        <x:f t="shared" si="29">E802&lt;G802</x:f>
        <x:v>0</x:v>
      </x:c>
    </x:row>
    <x:row r="803">
      <x:c r="A803" s="31">
        <x:v>38166</x:v>
      </x:c>
      <x:c r="B803" s="32">
        <x:v>249.37</x:v>
      </x:c>
      <x:c r="C803" s="32">
        <x:v>249.38</x:v>
      </x:c>
      <x:c r="D803" s="32">
        <x:v>249.37</x:v>
      </x:c>
      <x:c r="E803" s="32">
        <x:v>249.38</x:v>
      </x:c>
      <x:c r="F803" s="33">
        <x:v>102190</x:v>
      </x:c>
      <x:c r="G803" s="32" t="n">
        <x:f t="shared" si="27">AVERAGE(E604:E803)</x:f>
        <x:v>204.93600000000004</x:v>
      </x:c>
      <x:c r="H803" s="37" t="n">
        <x:f t="shared" si="28">IFERROR(E803/G803-1,"")</x:f>
        <x:v>0.21686770503962194</x:v>
      </x:c>
      <x:c r="I803" s="38" t="b">
        <x:f t="shared" si="29">E803&lt;G803</x:f>
        <x:v>0</x:v>
      </x:c>
    </x:row>
    <x:row r="804">
      <x:c r="A804" s="31">
        <x:v>38167</x:v>
      </x:c>
      <x:c r="B804" s="32">
        <x:v>248.62</x:v>
      </x:c>
      <x:c r="C804" s="32">
        <x:v>248.62</x:v>
      </x:c>
      <x:c r="D804" s="32">
        <x:v>248.04</x:v>
      </x:c>
      <x:c r="E804" s="32">
        <x:v>248.04</x:v>
      </x:c>
      <x:c r="F804" s="33">
        <x:v>82740</x:v>
      </x:c>
      <x:c r="G804" s="32" t="n">
        <x:f t="shared" si="27">AVERAGE(E605:E804)</x:f>
        <x:v>205.46755000000005</x:v>
      </x:c>
      <x:c r="H804" s="37" t="n">
        <x:f t="shared" si="28">IFERROR(E804/G804-1,"")</x:f>
        <x:v>0.20719792492780464</x:v>
      </x:c>
      <x:c r="I804" s="38" t="b">
        <x:f t="shared" si="29">E804&lt;G804</x:f>
        <x:v>0</x:v>
      </x:c>
    </x:row>
    <x:row r="805">
      <x:c r="A805" s="31">
        <x:v>38168</x:v>
      </x:c>
      <x:c r="B805" s="32">
        <x:v>248.45</x:v>
      </x:c>
      <x:c r="C805" s="32">
        <x:v>249.7</x:v>
      </x:c>
      <x:c r="D805" s="32">
        <x:v>248.45</x:v>
      </x:c>
      <x:c r="E805" s="32">
        <x:v>249.7</x:v>
      </x:c>
      <x:c r="F805" s="33">
        <x:v>264260</x:v>
      </x:c>
      <x:c r="G805" s="32" t="n">
        <x:f t="shared" si="27">AVERAGE(E606:E805)</x:f>
        <x:v>206.00855000000007</x:v>
      </x:c>
      <x:c r="H805" s="37" t="n">
        <x:f t="shared" si="28">IFERROR(E805/G805-1,"")</x:f>
        <x:v>0.2120856148931678</x:v>
      </x:c>
      <x:c r="I805" s="38" t="b">
        <x:f t="shared" si="29">E805&lt;G805</x:f>
        <x:v>0</x:v>
      </x:c>
    </x:row>
    <x:row r="806">
      <x:c r="A806" s="31">
        <x:v>38169</x:v>
      </x:c>
      <x:c r="B806" s="32">
        <x:v>249.42</x:v>
      </x:c>
      <x:c r="C806" s="32">
        <x:v>249.42</x:v>
      </x:c>
      <x:c r="D806" s="32">
        <x:v>248.55</x:v>
      </x:c>
      <x:c r="E806" s="32">
        <x:v>248.55</x:v>
      </x:c>
      <x:c r="F806" s="33">
        <x:v>167760</x:v>
      </x:c>
      <x:c r="G806" s="32" t="n">
        <x:f t="shared" si="27">AVERAGE(E607:E806)</x:f>
        <x:v>206.54430000000008</x:v>
      </x:c>
      <x:c r="H806" s="37" t="n">
        <x:f t="shared" si="28">IFERROR(E806/G806-1,"")</x:f>
        <x:v>0.20337380407011918</x:v>
      </x:c>
      <x:c r="I806" s="38" t="b">
        <x:f t="shared" si="29">E806&lt;G806</x:f>
        <x:v>0</x:v>
      </x:c>
    </x:row>
    <x:row r="807">
      <x:c r="A807" s="31">
        <x:v>38170</x:v>
      </x:c>
      <x:c r="B807" s="32">
        <x:v>248.67</x:v>
      </x:c>
      <x:c r="C807" s="32">
        <x:v>248.67</x:v>
      </x:c>
      <x:c r="D807" s="32">
        <x:v>248.13</x:v>
      </x:c>
      <x:c r="E807" s="32">
        <x:v>248.13</x:v>
      </x:c>
      <x:c r="F807" s="33">
        <x:v>60330</x:v>
      </x:c>
      <x:c r="G807" s="32" t="n">
        <x:f t="shared" si="27">AVERAGE(E608:E807)</x:f>
        <x:v>207.08040000000005</x:v>
      </x:c>
      <x:c r="H807" s="37" t="n">
        <x:f t="shared" si="28">IFERROR(E807/G807-1,"")</x:f>
        <x:v>0.19823025259754146</x:v>
      </x:c>
      <x:c r="I807" s="38" t="b">
        <x:f t="shared" si="29">E807&lt;G807</x:f>
        <x:v>0</x:v>
      </x:c>
    </x:row>
    <x:row r="808">
      <x:c r="A808" s="31">
        <x:v>38173</x:v>
      </x:c>
      <x:c r="B808" s="32">
        <x:v>247.93</x:v>
      </x:c>
      <x:c r="C808" s="32">
        <x:v>247.93</x:v>
      </x:c>
      <x:c r="D808" s="32">
        <x:v>247.61</x:v>
      </x:c>
      <x:c r="E808" s="32">
        <x:v>247.61</x:v>
      </x:c>
      <x:c r="F808" s="33">
        <x:v>129140</x:v>
      </x:c>
      <x:c r="G808" s="32" t="n">
        <x:f t="shared" si="27">AVERAGE(E609:E808)</x:f>
        <x:v>207.61755000000002</x:v>
      </x:c>
      <x:c r="H808" s="37" t="n">
        <x:f t="shared" si="28">IFERROR(E808/G808-1,"")</x:f>
        <x:v>0.19262557524640855</x:v>
      </x:c>
      <x:c r="I808" s="38" t="b">
        <x:f t="shared" si="29">E808&lt;G808</x:f>
        <x:v>0</x:v>
      </x:c>
    </x:row>
    <x:row r="809">
      <x:c r="A809" s="31">
        <x:v>38174</x:v>
      </x:c>
      <x:c r="B809" s="32">
        <x:v>247.49</x:v>
      </x:c>
      <x:c r="C809" s="32">
        <x:v>247.49</x:v>
      </x:c>
      <x:c r="D809" s="32">
        <x:v>247.27</x:v>
      </x:c>
      <x:c r="E809" s="32">
        <x:v>247.27</x:v>
      </x:c>
      <x:c r="F809" s="33">
        <x:v>155010</x:v>
      </x:c>
      <x:c r="G809" s="32" t="n">
        <x:f t="shared" si="27">AVERAGE(E610:E809)</x:f>
        <x:v>208.1536</x:v>
      </x:c>
      <x:c r="H809" s="37" t="n">
        <x:f t="shared" si="28">IFERROR(E809/G809-1,"")</x:f>
        <x:v>0.187920843069733</x:v>
      </x:c>
      <x:c r="I809" s="38" t="b">
        <x:f t="shared" si="29">E809&lt;G809</x:f>
        <x:v>0</x:v>
      </x:c>
    </x:row>
    <x:row r="810">
      <x:c r="A810" s="31">
        <x:v>38175</x:v>
      </x:c>
      <x:c r="B810" s="32">
        <x:v>247.37</x:v>
      </x:c>
      <x:c r="C810" s="32">
        <x:v>247.37</x:v>
      </x:c>
      <x:c r="D810" s="32">
        <x:v>247</x:v>
      </x:c>
      <x:c r="E810" s="32">
        <x:v>247</x:v>
      </x:c>
      <x:c r="F810" s="33">
        <x:v>77650</x:v>
      </x:c>
      <x:c r="G810" s="32" t="n">
        <x:f t="shared" si="27">AVERAGE(E611:E810)</x:f>
        <x:v>208.68695</x:v>
      </x:c>
      <x:c r="H810" s="37" t="n">
        <x:f t="shared" si="28">IFERROR(E810/G810-1,"")</x:f>
        <x:v>0.18359101994638394</x:v>
      </x:c>
      <x:c r="I810" s="38" t="b">
        <x:f t="shared" si="29">E810&lt;G810</x:f>
        <x:v>0</x:v>
      </x:c>
    </x:row>
    <x:row r="811">
      <x:c r="A811" s="31">
        <x:v>38176</x:v>
      </x:c>
      <x:c r="B811" s="32">
        <x:v>246.55</x:v>
      </x:c>
      <x:c r="C811" s="32">
        <x:v>246.55</x:v>
      </x:c>
      <x:c r="D811" s="32">
        <x:v>246.47</x:v>
      </x:c>
      <x:c r="E811" s="32">
        <x:v>246.47</x:v>
      </x:c>
      <x:c r="F811" s="33">
        <x:v>74570</x:v>
      </x:c>
      <x:c r="G811" s="32" t="n">
        <x:f t="shared" si="27">AVERAGE(E612:E811)</x:f>
        <x:v>209.21800000000002</x:v>
      </x:c>
      <x:c r="H811" s="37" t="n">
        <x:f t="shared" si="28">IFERROR(E811/G811-1,"")</x:f>
        <x:v>0.17805351356001853</x:v>
      </x:c>
      <x:c r="I811" s="38" t="b">
        <x:f t="shared" si="29">E811&lt;G811</x:f>
        <x:v>0</x:v>
      </x:c>
    </x:row>
    <x:row r="812">
      <x:c r="A812" s="31">
        <x:v>38177</x:v>
      </x:c>
      <x:c r="B812" s="32">
        <x:v>246.84</x:v>
      </x:c>
      <x:c r="C812" s="32">
        <x:v>246.84</x:v>
      </x:c>
      <x:c r="D812" s="32">
        <x:v>246.32</x:v>
      </x:c>
      <x:c r="E812" s="32">
        <x:v>246.32</x:v>
      </x:c>
      <x:c r="F812" s="33">
        <x:v>134990</x:v>
      </x:c>
      <x:c r="G812" s="32" t="n">
        <x:f t="shared" si="27">AVERAGE(E613:E812)</x:f>
        <x:v>209.75015</x:v>
      </x:c>
      <x:c r="H812" s="37" t="n">
        <x:f t="shared" si="28">IFERROR(E812/G812-1,"")</x:f>
        <x:v>0.17434957734237622</x:v>
      </x:c>
      <x:c r="I812" s="38" t="b">
        <x:f t="shared" si="29">E812&lt;G812</x:f>
        <x:v>0</x:v>
      </x:c>
    </x:row>
    <x:row r="813">
      <x:c r="A813" s="31">
        <x:v>38180</x:v>
      </x:c>
      <x:c r="B813" s="32">
        <x:v>245.8</x:v>
      </x:c>
      <x:c r="C813" s="32">
        <x:v>245.8</x:v>
      </x:c>
      <x:c r="D813" s="32">
        <x:v>245.51</x:v>
      </x:c>
      <x:c r="E813" s="32">
        <x:v>245.51</x:v>
      </x:c>
      <x:c r="F813" s="33">
        <x:v>86010</x:v>
      </x:c>
      <x:c r="G813" s="32" t="n">
        <x:f t="shared" si="27">AVERAGE(E614:E813)</x:f>
        <x:v>210.27785000000003</x:v>
      </x:c>
      <x:c r="H813" s="37" t="n">
        <x:f t="shared" si="28">IFERROR(E813/G813-1,"")</x:f>
        <x:v>0.1675504576444926</x:v>
      </x:c>
      <x:c r="I813" s="38" t="b">
        <x:f t="shared" si="29">E813&lt;G813</x:f>
        <x:v>0</x:v>
      </x:c>
    </x:row>
    <x:row r="814">
      <x:c r="A814" s="31">
        <x:v>38181</x:v>
      </x:c>
      <x:c r="B814" s="32">
        <x:v>246.11</x:v>
      </x:c>
      <x:c r="C814" s="32">
        <x:v>246.11</x:v>
      </x:c>
      <x:c r="D814" s="32">
        <x:v>244.63</x:v>
      </x:c>
      <x:c r="E814" s="32">
        <x:v>244.63</x:v>
      </x:c>
      <x:c r="F814" s="33">
        <x:v>113830</x:v>
      </x:c>
      <x:c r="G814" s="32" t="n">
        <x:f t="shared" si="27">AVERAGE(E615:E814)</x:f>
        <x:v>210.80100000000002</x:v>
      </x:c>
      <x:c r="H814" s="37" t="n">
        <x:f t="shared" si="28">IFERROR(E814/G814-1,"")</x:f>
        <x:v>0.16047836585215425</x:v>
      </x:c>
      <x:c r="I814" s="38" t="b">
        <x:f t="shared" si="29">E814&lt;G814</x:f>
        <x:v>0</x:v>
      </x:c>
    </x:row>
    <x:row r="815">
      <x:c r="A815" s="31">
        <x:v>38182</x:v>
      </x:c>
      <x:c r="B815" s="32">
        <x:v>244.61</x:v>
      </x:c>
      <x:c r="C815" s="32">
        <x:v>244.61</x:v>
      </x:c>
      <x:c r="D815" s="32">
        <x:v>243.48</x:v>
      </x:c>
      <x:c r="E815" s="32">
        <x:v>243.48</x:v>
      </x:c>
      <x:c r="F815" s="33">
        <x:v>101320</x:v>
      </x:c>
      <x:c r="G815" s="32" t="n">
        <x:f t="shared" si="27">AVERAGE(E616:E815)</x:f>
        <x:v>211.31900000000005</x:v>
      </x:c>
      <x:c r="H815" s="37" t="n">
        <x:f t="shared" si="28">IFERROR(E815/G815-1,"")</x:f>
        <x:v>0.15219171016330724</x:v>
      </x:c>
      <x:c r="I815" s="38" t="b">
        <x:f t="shared" si="29">E815&lt;G815</x:f>
        <x:v>0</x:v>
      </x:c>
    </x:row>
    <x:row r="816">
      <x:c r="A816" s="31">
        <x:v>38183</x:v>
      </x:c>
      <x:c r="B816" s="32">
        <x:v>242.32</x:v>
      </x:c>
      <x:c r="C816" s="32">
        <x:v>242.32</x:v>
      </x:c>
      <x:c r="D816" s="32">
        <x:v>242.24</x:v>
      </x:c>
      <x:c r="E816" s="32">
        <x:v>242.24</x:v>
      </x:c>
      <x:c r="F816" s="33">
        <x:v>153350</x:v>
      </x:c>
      <x:c r="G816" s="32" t="n">
        <x:f t="shared" si="27">AVERAGE(E617:E816)</x:f>
        <x:v>211.82250000000005</x:v>
      </x:c>
      <x:c r="H816" s="37" t="n">
        <x:f t="shared" si="28">IFERROR(E816/G816-1,"")</x:f>
        <x:v>0.14359900388296776</x:v>
      </x:c>
      <x:c r="I816" s="38" t="b">
        <x:f t="shared" si="29">E816&lt;G816</x:f>
        <x:v>0</x:v>
      </x:c>
    </x:row>
    <x:row r="817">
      <x:c r="A817" s="31">
        <x:v>38184</x:v>
      </x:c>
      <x:c r="B817" s="32">
        <x:v>242.72</x:v>
      </x:c>
      <x:c r="C817" s="32">
        <x:v>245.57</x:v>
      </x:c>
      <x:c r="D817" s="32">
        <x:v>242.72</x:v>
      </x:c>
      <x:c r="E817" s="32">
        <x:v>245.57</x:v>
      </x:c>
      <x:c r="F817" s="33">
        <x:v>88140</x:v>
      </x:c>
      <x:c r="G817" s="32" t="n">
        <x:f t="shared" si="27">AVERAGE(E618:E817)</x:f>
        <x:v>212.35070000000005</x:v>
      </x:c>
      <x:c r="H817" s="37" t="n">
        <x:f t="shared" si="28">IFERROR(E817/G817-1,"")</x:f>
        <x:v>0.15643602775973875</x:v>
      </x:c>
      <x:c r="I817" s="38" t="b">
        <x:f t="shared" si="29">E817&lt;G817</x:f>
        <x:v>0</x:v>
      </x:c>
    </x:row>
    <x:row r="818">
      <x:c r="A818" s="31">
        <x:v>38187</x:v>
      </x:c>
      <x:c r="B818" s="32">
        <x:v>244.17</x:v>
      </x:c>
      <x:c r="C818" s="32">
        <x:v>244.17</x:v>
      </x:c>
      <x:c r="D818" s="32">
        <x:v>243.08</x:v>
      </x:c>
      <x:c r="E818" s="32">
        <x:v>243.08</x:v>
      </x:c>
      <x:c r="F818" s="33">
        <x:v>129910</x:v>
      </x:c>
      <x:c r="G818" s="32" t="n">
        <x:f t="shared" si="27">AVERAGE(E619:E818)</x:f>
        <x:v>212.86975000000007</x:v>
      </x:c>
      <x:c r="H818" s="37" t="n">
        <x:f t="shared" si="28">IFERROR(E818/G818-1,"")</x:f>
        <x:v>0.14191894339143984</x:v>
      </x:c>
      <x:c r="I818" s="38" t="b">
        <x:f t="shared" si="29">E818&lt;G818</x:f>
        <x:v>0</x:v>
      </x:c>
    </x:row>
    <x:row r="819">
      <x:c r="A819" s="31">
        <x:v>38188</x:v>
      </x:c>
      <x:c r="B819" s="32">
        <x:v>242.26</x:v>
      </x:c>
      <x:c r="C819" s="32">
        <x:v>244.24</x:v>
      </x:c>
      <x:c r="D819" s="32">
        <x:v>242.26</x:v>
      </x:c>
      <x:c r="E819" s="32">
        <x:v>244.24</x:v>
      </x:c>
      <x:c r="F819" s="33">
        <x:v>176400</x:v>
      </x:c>
      <x:c r="G819" s="32" t="n">
        <x:f t="shared" si="27">AVERAGE(E620:E819)</x:f>
        <x:v>213.39435000000006</x:v>
      </x:c>
      <x:c r="H819" s="37" t="n">
        <x:f t="shared" si="28">IFERROR(E819/G819-1,"")</x:f>
        <x:v>0.14454764149097632</x:v>
      </x:c>
      <x:c r="I819" s="38" t="b">
        <x:f t="shared" si="29">E819&lt;G819</x:f>
        <x:v>0</x:v>
      </x:c>
    </x:row>
    <x:row r="820">
      <x:c r="A820" s="31">
        <x:v>38189</x:v>
      </x:c>
      <x:c r="B820" s="32">
        <x:v>243.72</x:v>
      </x:c>
      <x:c r="C820" s="32">
        <x:v>244.02</x:v>
      </x:c>
      <x:c r="D820" s="32">
        <x:v>243.72</x:v>
      </x:c>
      <x:c r="E820" s="32">
        <x:v>244.02</x:v>
      </x:c>
      <x:c r="F820" s="33">
        <x:v>88920</x:v>
      </x:c>
      <x:c r="G820" s="32" t="n">
        <x:f t="shared" si="27">AVERAGE(E621:E820)</x:f>
        <x:v>213.91850000000005</x:v>
      </x:c>
      <x:c r="H820" s="37" t="n">
        <x:f t="shared" si="28">IFERROR(E820/G820-1,"")</x:f>
        <x:v>0.14071480493739408</x:v>
      </x:c>
      <x:c r="I820" s="38" t="b">
        <x:f t="shared" si="29">E820&lt;G820</x:f>
        <x:v>0</x:v>
      </x:c>
    </x:row>
    <x:row r="821">
      <x:c r="A821" s="31">
        <x:v>38190</x:v>
      </x:c>
      <x:c r="B821" s="32">
        <x:v>244.18</x:v>
      </x:c>
      <x:c r="C821" s="32">
        <x:v>244.18</x:v>
      </x:c>
      <x:c r="D821" s="32">
        <x:v>244.13</x:v>
      </x:c>
      <x:c r="E821" s="32">
        <x:v>244.13</x:v>
      </x:c>
      <x:c r="F821" s="33">
        <x:v>49460</x:v>
      </x:c>
      <x:c r="G821" s="32" t="n">
        <x:f t="shared" si="27">AVERAGE(E622:E821)</x:f>
        <x:v>214.44455000000002</x:v>
      </x:c>
      <x:c r="H821" s="37" t="n">
        <x:f t="shared" si="28">IFERROR(E821/G821-1,"")</x:f>
        <x:v>0.1384294914466233</x:v>
      </x:c>
      <x:c r="I821" s="38" t="b">
        <x:f t="shared" si="29">E821&lt;G821</x:f>
        <x:v>0</x:v>
      </x:c>
    </x:row>
    <x:row r="822">
      <x:c r="A822" s="31">
        <x:v>38191</x:v>
      </x:c>
      <x:c r="B822" s="32">
        <x:v>244.04</x:v>
      </x:c>
      <x:c r="C822" s="32">
        <x:v>244.04</x:v>
      </x:c>
      <x:c r="D822" s="32">
        <x:v>243.55</x:v>
      </x:c>
      <x:c r="E822" s="32">
        <x:v>243.55</x:v>
      </x:c>
      <x:c r="F822" s="33">
        <x:v>88370</x:v>
      </x:c>
      <x:c r="G822" s="32" t="n">
        <x:f t="shared" si="27">AVERAGE(E623:E822)</x:f>
        <x:v>214.96915</x:v>
      </x:c>
      <x:c r="H822" s="37" t="n">
        <x:f t="shared" si="28">IFERROR(E822/G822-1,"")</x:f>
        <x:v>0.13295326329382617</x:v>
      </x:c>
      <x:c r="I822" s="38" t="b">
        <x:f t="shared" si="29">E822&lt;G822</x:f>
        <x:v>0</x:v>
      </x:c>
    </x:row>
    <x:row r="823">
      <x:c r="A823" s="31">
        <x:v>38194</x:v>
      </x:c>
      <x:c r="B823" s="32">
        <x:v>242.87</x:v>
      </x:c>
      <x:c r="C823" s="32">
        <x:v>242.87</x:v>
      </x:c>
      <x:c r="D823" s="32">
        <x:v>241.84</x:v>
      </x:c>
      <x:c r="E823" s="32">
        <x:v>241.84</x:v>
      </x:c>
      <x:c r="F823" s="33">
        <x:v>131350</x:v>
      </x:c>
      <x:c r="G823" s="32" t="n">
        <x:f t="shared" si="27">AVERAGE(E624:E823)</x:f>
        <x:v>215.48585</x:v>
      </x:c>
      <x:c r="H823" s="37" t="n">
        <x:f t="shared" si="28">IFERROR(E823/G823-1,"")</x:f>
        <x:v>0.12230106988463518</x:v>
      </x:c>
      <x:c r="I823" s="38" t="b">
        <x:f t="shared" si="29">E823&lt;G823</x:f>
        <x:v>0</x:v>
      </x:c>
    </x:row>
    <x:row r="824">
      <x:c r="A824" s="31">
        <x:v>38195</x:v>
      </x:c>
      <x:c r="B824" s="32">
        <x:v>241.78</x:v>
      </x:c>
      <x:c r="C824" s="32">
        <x:v>241.78</x:v>
      </x:c>
      <x:c r="D824" s="32">
        <x:v>240.94</x:v>
      </x:c>
      <x:c r="E824" s="32">
        <x:v>240.94</x:v>
      </x:c>
      <x:c r="F824" s="33">
        <x:v>161560</x:v>
      </x:c>
      <x:c r="G824" s="32" t="n">
        <x:f t="shared" si="27">AVERAGE(E625:E824)</x:f>
        <x:v>215.99945000000002</x:v>
      </x:c>
      <x:c r="H824" s="37" t="n">
        <x:f t="shared" si="28">IFERROR(E824/G824-1,"")</x:f>
        <x:v>0.11546580326940625</x:v>
      </x:c>
      <x:c r="I824" s="38" t="b">
        <x:f t="shared" si="29">E824&lt;G824</x:f>
        <x:v>0</x:v>
      </x:c>
    </x:row>
    <x:row r="825">
      <x:c r="A825" s="31">
        <x:v>38196</x:v>
      </x:c>
      <x:c r="B825" s="32">
        <x:v>240.17</x:v>
      </x:c>
      <x:c r="C825" s="32">
        <x:v>240.31</x:v>
      </x:c>
      <x:c r="D825" s="32">
        <x:v>240.17</x:v>
      </x:c>
      <x:c r="E825" s="32">
        <x:v>240.31</x:v>
      </x:c>
      <x:c r="F825" s="33">
        <x:v>160560</x:v>
      </x:c>
      <x:c r="G825" s="32" t="n">
        <x:f t="shared" si="27">AVERAGE(E626:E825)</x:f>
        <x:v>216.51475000000002</x:v>
      </x:c>
      <x:c r="H825" s="37" t="n">
        <x:f t="shared" si="28">IFERROR(E825/G825-1,"")</x:f>
        <x:v>0.10990128848034586</x:v>
      </x:c>
      <x:c r="I825" s="38" t="b">
        <x:f t="shared" si="29">E825&lt;G825</x:f>
        <x:v>0</x:v>
      </x:c>
    </x:row>
    <x:row r="826">
      <x:c r="A826" s="31">
        <x:v>38197</x:v>
      </x:c>
      <x:c r="B826" s="32">
        <x:v>238.32</x:v>
      </x:c>
      <x:c r="C826" s="32">
        <x:v>238.32</x:v>
      </x:c>
      <x:c r="D826" s="32">
        <x:v>235.3</x:v>
      </x:c>
      <x:c r="E826" s="32">
        <x:v>235.3</x:v>
      </x:c>
      <x:c r="F826" s="33">
        <x:v>254830</x:v>
      </x:c>
      <x:c r="G826" s="32" t="n">
        <x:f t="shared" si="27">AVERAGE(E627:E826)</x:f>
        <x:v>217.00650000000002</x:v>
      </x:c>
      <x:c r="H826" s="37" t="n">
        <x:f t="shared" si="28">IFERROR(E826/G826-1,"")</x:f>
        <x:v>0.08429931822318681</x:v>
      </x:c>
      <x:c r="I826" s="38" t="b">
        <x:f t="shared" si="29">E826&lt;G826</x:f>
        <x:v>0</x:v>
      </x:c>
    </x:row>
    <x:row r="827">
      <x:c r="A827" s="31">
        <x:v>38198</x:v>
      </x:c>
      <x:c r="B827" s="32">
        <x:v>235.36</x:v>
      </x:c>
      <x:c r="C827" s="32">
        <x:v>238.44</x:v>
      </x:c>
      <x:c r="D827" s="32">
        <x:v>235.36</x:v>
      </x:c>
      <x:c r="E827" s="32">
        <x:v>238.44</x:v>
      </x:c>
      <x:c r="F827" s="33">
        <x:v>280120</x:v>
      </x:c>
      <x:c r="G827" s="32" t="n">
        <x:f t="shared" si="27">AVERAGE(E628:E827)</x:f>
        <x:v>217.51585000000003</x:v>
      </x:c>
      <x:c r="H827" s="37" t="n">
        <x:f t="shared" si="28">IFERROR(E827/G827-1,"")</x:f>
        <x:v>0.09619597836203653</x:v>
      </x:c>
      <x:c r="I827" s="38" t="b">
        <x:f t="shared" si="29">E827&lt;G827</x:f>
        <x:v>0</x:v>
      </x:c>
    </x:row>
    <x:row r="828">
      <x:c r="A828" s="31">
        <x:v>38201</x:v>
      </x:c>
      <x:c r="B828" s="32">
        <x:v>238.41</x:v>
      </x:c>
      <x:c r="C828" s="32">
        <x:v>238.41</x:v>
      </x:c>
      <x:c r="D828" s="32">
        <x:v>237.16</x:v>
      </x:c>
      <x:c r="E828" s="32">
        <x:v>237.16</x:v>
      </x:c>
      <x:c r="F828" s="33">
        <x:v>74260</x:v>
      </x:c>
      <x:c r="G828" s="32" t="n">
        <x:f t="shared" si="27">AVERAGE(E629:E828)</x:f>
        <x:v>218.02105000000003</x:v>
      </x:c>
      <x:c r="H828" s="37" t="n">
        <x:f t="shared" si="28">IFERROR(E828/G828-1,"")</x:f>
        <x:v>0.08778487214881303</x:v>
      </x:c>
      <x:c r="I828" s="38" t="b">
        <x:f t="shared" si="29">E828&lt;G828</x:f>
        <x:v>0</x:v>
      </x:c>
    </x:row>
    <x:row r="829">
      <x:c r="A829" s="31">
        <x:v>38202</x:v>
      </x:c>
      <x:c r="B829" s="32">
        <x:v>236.05</x:v>
      </x:c>
      <x:c r="C829" s="32">
        <x:v>236.05</x:v>
      </x:c>
      <x:c r="D829" s="32">
        <x:v>234.05</x:v>
      </x:c>
      <x:c r="E829" s="32">
        <x:v>234.05</x:v>
      </x:c>
      <x:c r="F829" s="33">
        <x:v>154560</x:v>
      </x:c>
      <x:c r="G829" s="32" t="n">
        <x:f t="shared" si="27">AVERAGE(E630:E829)</x:f>
        <x:v>218.51325000000006</x:v>
      </x:c>
      <x:c r="H829" s="37" t="n">
        <x:f t="shared" si="28">IFERROR(E829/G829-1,"")</x:f>
        <x:v>0.07110209563950898</x:v>
      </x:c>
      <x:c r="I829" s="38" t="b">
        <x:f t="shared" si="29">E829&lt;G829</x:f>
        <x:v>0</x:v>
      </x:c>
    </x:row>
    <x:row r="830">
      <x:c r="A830" s="31">
        <x:v>38203</x:v>
      </x:c>
      <x:c r="B830" s="32">
        <x:v>232.39</x:v>
      </x:c>
      <x:c r="C830" s="32">
        <x:v>232.39</x:v>
      </x:c>
      <x:c r="D830" s="32">
        <x:v>231.51</x:v>
      </x:c>
      <x:c r="E830" s="32">
        <x:v>231.51</x:v>
      </x:c>
      <x:c r="F830" s="33">
        <x:v>216990</x:v>
      </x:c>
      <x:c r="G830" s="32" t="n">
        <x:f t="shared" si="27">AVERAGE(E631:E830)</x:f>
        <x:v>218.99335000000008</x:v>
      </x:c>
      <x:c r="H830" s="37" t="n">
        <x:f t="shared" si="28">IFERROR(E830/G830-1,"")</x:f>
        <x:v>0.05715538850837221</x:v>
      </x:c>
      <x:c r="I830" s="38" t="b">
        <x:f t="shared" si="29">E830&lt;G830</x:f>
        <x:v>0</x:v>
      </x:c>
    </x:row>
    <x:row r="831">
      <x:c r="A831" s="31">
        <x:v>38204</x:v>
      </x:c>
      <x:c r="B831" s="32">
        <x:v>228.84</x:v>
      </x:c>
      <x:c r="C831" s="32">
        <x:v>228.84</x:v>
      </x:c>
      <x:c r="D831" s="32">
        <x:v>228.64</x:v>
      </x:c>
      <x:c r="E831" s="32">
        <x:v>228.64</x:v>
      </x:c>
      <x:c r="F831" s="33">
        <x:v>224350</x:v>
      </x:c>
      <x:c r="G831" s="32" t="n">
        <x:f t="shared" si="27">AVERAGE(E632:E831)</x:f>
        <x:v>219.46245000000008</x:v>
      </x:c>
      <x:c r="H831" s="37" t="n">
        <x:f t="shared" si="28">IFERROR(E831/G831-1,"")</x:f>
        <x:v>0.0418183156161791</x:v>
      </x:c>
      <x:c r="I831" s="38" t="b">
        <x:f t="shared" si="29">E831&lt;G831</x:f>
        <x:v>0</x:v>
      </x:c>
    </x:row>
    <x:row r="832">
      <x:c r="A832" s="31">
        <x:v>38205</x:v>
      </x:c>
      <x:c r="B832" s="32">
        <x:v>226.55</x:v>
      </x:c>
      <x:c r="C832" s="32">
        <x:v>226.55</x:v>
      </x:c>
      <x:c r="D832" s="32">
        <x:v>224.14</x:v>
      </x:c>
      <x:c r="E832" s="32">
        <x:v>224.14</x:v>
      </x:c>
      <x:c r="F832" s="33">
        <x:v>271990</x:v>
      </x:c>
      <x:c r="G832" s="32" t="n">
        <x:f t="shared" si="27">AVERAGE(E633:E832)</x:f>
        <x:v>219.9108500000001</x:v>
      </x:c>
      <x:c r="H832" s="37" t="n">
        <x:f t="shared" si="28">IFERROR(E832/G832-1,"")</x:f>
        <x:v>0.019231202098486166</x:v>
      </x:c>
      <x:c r="I832" s="38" t="b">
        <x:f t="shared" si="29">E832&lt;G832</x:f>
        <x:v>0</x:v>
      </x:c>
    </x:row>
    <x:row r="833">
      <x:c r="A833" s="31">
        <x:v>38208</x:v>
      </x:c>
      <x:c r="B833" s="32">
        <x:v>215.59</x:v>
      </x:c>
      <x:c r="C833" s="32">
        <x:v>215.59</x:v>
      </x:c>
      <x:c r="D833" s="32">
        <x:v>213.74</x:v>
      </x:c>
      <x:c r="E833" s="32">
        <x:v>213.74</x:v>
      </x:c>
      <x:c r="F833" s="33">
        <x:v>348050</x:v>
      </x:c>
      <x:c r="G833" s="32" t="n">
        <x:f t="shared" si="27">AVERAGE(E634:E833)</x:f>
        <x:v>220.30910000000006</x:v>
      </x:c>
      <x:c r="H833" s="37" t="n">
        <x:f t="shared" si="28">IFERROR(E833/G833-1,"")</x:f>
        <x:v>-0.029817651653971877</x:v>
      </x:c>
      <x:c r="I833" s="38" t="b">
        <x:f t="shared" si="29">E833&lt;G833</x:f>
        <x:v>1</x:v>
      </x:c>
    </x:row>
    <x:row r="834">
      <x:c r="A834" s="31">
        <x:v>38209</x:v>
      </x:c>
      <x:c r="B834" s="32">
        <x:v>209.41</x:v>
      </x:c>
      <x:c r="C834" s="32">
        <x:v>222.46</x:v>
      </x:c>
      <x:c r="D834" s="32">
        <x:v>209.41</x:v>
      </x:c>
      <x:c r="E834" s="32">
        <x:v>222.46</x:v>
      </x:c>
      <x:c r="F834" s="33">
        <x:v>315010</x:v>
      </x:c>
      <x:c r="G834" s="32" t="n">
        <x:f t="shared" si="27">AVERAGE(E635:E834)</x:f>
        <x:v>220.75295000000006</x:v>
      </x:c>
      <x:c r="H834" s="37" t="n">
        <x:f t="shared" si="28">IFERROR(E834/G834-1,"")</x:f>
        <x:v>0.007732852494156672</x:v>
      </x:c>
      <x:c r="I834" s="38" t="b">
        <x:f t="shared" si="29">E834&lt;G834</x:f>
        <x:v>0</x:v>
      </x:c>
    </x:row>
    <x:row r="835">
      <x:c r="A835" s="31">
        <x:v>38210</x:v>
      </x:c>
      <x:c r="B835" s="32">
        <x:v>228.17</x:v>
      </x:c>
      <x:c r="C835" s="32">
        <x:v>228.17</x:v>
      </x:c>
      <x:c r="D835" s="32">
        <x:v>227.22</x:v>
      </x:c>
      <x:c r="E835" s="32">
        <x:v>227.22</x:v>
      </x:c>
      <x:c r="F835" s="33">
        <x:v>186650</x:v>
      </x:c>
      <x:c r="G835" s="32" t="n">
        <x:f t="shared" si="27">AVERAGE(E636:E835)</x:f>
        <x:v>221.22545000000008</x:v>
      </x:c>
      <x:c r="H835" s="37" t="n">
        <x:f t="shared" si="28">IFERROR(E835/G835-1,"")</x:f>
        <x:v>0.027097017996798867</x:v>
      </x:c>
      <x:c r="I835" s="38" t="b">
        <x:f t="shared" si="29">E835&lt;G835</x:f>
        <x:v>0</x:v>
      </x:c>
    </x:row>
    <x:row r="836">
      <x:c r="A836" s="31">
        <x:v>38211</x:v>
      </x:c>
      <x:c r="B836" s="32">
        <x:v>227.08</x:v>
      </x:c>
      <x:c r="C836" s="32">
        <x:v>227.08</x:v>
      </x:c>
      <x:c r="D836" s="32">
        <x:v>224.48</x:v>
      </x:c>
      <x:c r="E836" s="32">
        <x:v>224.48</x:v>
      </x:c>
      <x:c r="F836" s="33">
        <x:v>158900</x:v>
      </x:c>
      <x:c r="G836" s="32" t="n">
        <x:f t="shared" si="27">AVERAGE(E637:E836)</x:f>
        <x:v>221.6920000000001</x:v>
      </x:c>
      <x:c r="H836" s="37" t="n">
        <x:f t="shared" si="28">IFERROR(E836/G836-1,"")</x:f>
        <x:v>0.012576006351153302</x:v>
      </x:c>
      <x:c r="I836" s="38" t="b">
        <x:f t="shared" si="29">E836&lt;G836</x:f>
        <x:v>0</x:v>
      </x:c>
    </x:row>
    <x:row r="837">
      <x:c r="A837" s="31">
        <x:v>38212</x:v>
      </x:c>
      <x:c r="B837" s="32">
        <x:v>222.7</x:v>
      </x:c>
      <x:c r="C837" s="32">
        <x:v>223.2</x:v>
      </x:c>
      <x:c r="D837" s="32">
        <x:v>222.7</x:v>
      </x:c>
      <x:c r="E837" s="32">
        <x:v>223.2</x:v>
      </x:c>
      <x:c r="F837" s="33">
        <x:v>128050</x:v>
      </x:c>
      <x:c r="G837" s="32" t="n">
        <x:f t="shared" si="27">AVERAGE(E638:E837)</x:f>
        <x:v>222.15350000000007</x:v>
      </x:c>
      <x:c r="H837" s="37" t="n">
        <x:f t="shared" si="28">IFERROR(E837/G837-1,"")</x:f>
        <x:v>0.0047107067860732155</x:v>
      </x:c>
      <x:c r="I837" s="38" t="b">
        <x:f t="shared" si="29">E837&lt;G837</x:f>
        <x:v>0</x:v>
      </x:c>
    </x:row>
    <x:row r="838">
      <x:c r="A838" s="31">
        <x:v>38215</x:v>
      </x:c>
      <x:c r="B838" s="32">
        <x:v>221.13</x:v>
      </x:c>
      <x:c r="C838" s="32">
        <x:v>221.13</x:v>
      </x:c>
      <x:c r="D838" s="32">
        <x:v>221</x:v>
      </x:c>
      <x:c r="E838" s="32">
        <x:v>221</x:v>
      </x:c>
      <x:c r="F838" s="33">
        <x:v>77070</x:v>
      </x:c>
      <x:c r="G838" s="32" t="n">
        <x:f t="shared" si="27">AVERAGE(E639:E838)</x:f>
        <x:v>222.6013000000001</x:v>
      </x:c>
      <x:c r="H838" s="37" t="n">
        <x:f t="shared" si="28">IFERROR(E838/G838-1,"")</x:f>
        <x:v>-0.0071935788335472095</x:v>
      </x:c>
      <x:c r="I838" s="38" t="b">
        <x:f t="shared" si="29">E838&lt;G838</x:f>
        <x:v>1</x:v>
      </x:c>
    </x:row>
    <x:row r="839">
      <x:c r="A839" s="31">
        <x:v>38216</x:v>
      </x:c>
      <x:c r="B839" s="32">
        <x:v>220.23</x:v>
      </x:c>
      <x:c r="C839" s="32">
        <x:v>222.19</x:v>
      </x:c>
      <x:c r="D839" s="32">
        <x:v>220.23</x:v>
      </x:c>
      <x:c r="E839" s="32">
        <x:v>222.19</x:v>
      </x:c>
      <x:c r="F839" s="33">
        <x:v>79450</x:v>
      </x:c>
      <x:c r="G839" s="32" t="n">
        <x:f t="shared" si="27">AVERAGE(E640:E839)</x:f>
        <x:v>223.05005000000008</x:v>
      </x:c>
      <x:c r="H839" s="37" t="n">
        <x:f t="shared" si="28">IFERROR(E839/G839-1,"")</x:f>
        <x:v>-0.003855861050020337</x:v>
      </x:c>
      <x:c r="I839" s="38" t="b">
        <x:f t="shared" si="29">E839&lt;G839</x:f>
        <x:v>1</x:v>
      </x:c>
    </x:row>
    <x:row r="840">
      <x:c r="A840" s="31">
        <x:v>38217</x:v>
      </x:c>
      <x:c r="B840" s="32">
        <x:v>222.62</x:v>
      </x:c>
      <x:c r="C840" s="32">
        <x:v>223.61</x:v>
      </x:c>
      <x:c r="D840" s="32">
        <x:v>222.62</x:v>
      </x:c>
      <x:c r="E840" s="32">
        <x:v>223.61</x:v>
      </x:c>
      <x:c r="F840" s="33">
        <x:v>99510</x:v>
      </x:c>
      <x:c r="G840" s="32" t="n">
        <x:f t="shared" si="27">AVERAGE(E641:E840)</x:f>
        <x:v>223.50200000000004</x:v>
      </x:c>
      <x:c r="H840" s="37" t="n">
        <x:f t="shared" si="28">IFERROR(E840/G840-1,"")</x:f>
        <x:v>0.00048321715241916863</x:v>
      </x:c>
      <x:c r="I840" s="38" t="b">
        <x:f t="shared" si="29">E840&lt;G840</x:f>
        <x:v>0</x:v>
      </x:c>
    </x:row>
    <x:row r="841">
      <x:c r="A841" s="31">
        <x:v>38218</x:v>
      </x:c>
      <x:c r="B841" s="32">
        <x:v>224.35</x:v>
      </x:c>
      <x:c r="C841" s="32">
        <x:v>226.93</x:v>
      </x:c>
      <x:c r="D841" s="32">
        <x:v>224.35</x:v>
      </x:c>
      <x:c r="E841" s="32">
        <x:v>226.93</x:v>
      </x:c>
      <x:c r="F841" s="33">
        <x:v>147850</x:v>
      </x:c>
      <x:c r="G841" s="32" t="n">
        <x:f t="shared" si="27">AVERAGE(E642:E841)</x:f>
        <x:v>223.96615000000003</x:v>
      </x:c>
      <x:c r="H841" s="37" t="n">
        <x:f t="shared" si="28">IFERROR(E841/G841-1,"")</x:f>
        <x:v>0.013233473004737428</x:v>
      </x:c>
      <x:c r="I841" s="38" t="b">
        <x:f t="shared" si="29">E841&lt;G841</x:f>
        <x:v>0</x:v>
      </x:c>
    </x:row>
    <x:row r="842">
      <x:c r="A842" s="31">
        <x:v>38219</x:v>
      </x:c>
      <x:c r="B842" s="32">
        <x:v>228.2</x:v>
      </x:c>
      <x:c r="C842" s="32">
        <x:v>229.16</x:v>
      </x:c>
      <x:c r="D842" s="32">
        <x:v>228.2</x:v>
      </x:c>
      <x:c r="E842" s="32">
        <x:v>229.16</x:v>
      </x:c>
      <x:c r="F842" s="33">
        <x:v>234890</x:v>
      </x:c>
      <x:c r="G842" s="32" t="n">
        <x:f t="shared" si="27">AVERAGE(E643:E842)</x:f>
        <x:v>224.43090000000004</x:v>
      </x:c>
      <x:c r="H842" s="37" t="n">
        <x:f t="shared" si="28">IFERROR(E842/G842-1,"")</x:f>
        <x:v>0.021071519117910942</x:v>
      </x:c>
      <x:c r="I842" s="38" t="b">
        <x:f t="shared" si="29">E842&lt;G842</x:f>
        <x:v>0</x:v>
      </x:c>
    </x:row>
    <x:row r="843">
      <x:c r="A843" s="31">
        <x:v>38222</x:v>
      </x:c>
      <x:c r="B843" s="32">
        <x:v>232.86</x:v>
      </x:c>
      <x:c r="C843" s="32">
        <x:v>237.3</x:v>
      </x:c>
      <x:c r="D843" s="32">
        <x:v>232.86</x:v>
      </x:c>
      <x:c r="E843" s="32">
        <x:v>237.3</x:v>
      </x:c>
      <x:c r="F843" s="33">
        <x:v>390320</x:v>
      </x:c>
      <x:c r="G843" s="32" t="n">
        <x:f t="shared" si="27">AVERAGE(E644:E843)</x:f>
        <x:v>224.93850000000003</x:v>
      </x:c>
      <x:c r="H843" s="37" t="n">
        <x:f t="shared" si="28">IFERROR(E843/G843-1,"")</x:f>
        <x:v>0.054955021039083896</x:v>
      </x:c>
      <x:c r="I843" s="38" t="b">
        <x:f t="shared" si="29">E843&lt;G843</x:f>
        <x:v>0</x:v>
      </x:c>
    </x:row>
    <x:row r="844">
      <x:c r="A844" s="31">
        <x:v>38223</x:v>
      </x:c>
      <x:c r="B844" s="32">
        <x:v>238.46</x:v>
      </x:c>
      <x:c r="C844" s="32">
        <x:v>238.46</x:v>
      </x:c>
      <x:c r="D844" s="32">
        <x:v>231.85</x:v>
      </x:c>
      <x:c r="E844" s="32">
        <x:v>231.85</x:v>
      </x:c>
      <x:c r="F844" s="33">
        <x:v>295300</x:v>
      </x:c>
      <x:c r="G844" s="32" t="n">
        <x:f t="shared" si="27">AVERAGE(E645:E844)</x:f>
        <x:v>225.41925000000003</x:v>
      </x:c>
      <x:c r="H844" s="37" t="n">
        <x:f t="shared" si="28">IFERROR(E844/G844-1,"")</x:f>
        <x:v>0.02852795402344732</x:v>
      </x:c>
      <x:c r="I844" s="38" t="b">
        <x:f t="shared" si="29">E844&lt;G844</x:f>
        <x:v>0</x:v>
      </x:c>
    </x:row>
    <x:row r="845">
      <x:c r="A845" s="31">
        <x:v>38224</x:v>
      </x:c>
      <x:c r="B845" s="32">
        <x:v>232.02</x:v>
      </x:c>
      <x:c r="C845" s="32">
        <x:v>232.02</x:v>
      </x:c>
      <x:c r="D845" s="32">
        <x:v>231.74</x:v>
      </x:c>
      <x:c r="E845" s="32">
        <x:v>231.74</x:v>
      </x:c>
      <x:c r="F845" s="33">
        <x:v>125070</x:v>
      </x:c>
      <x:c r="G845" s="32" t="n">
        <x:f t="shared" ref="G845:G908" si="30">AVERAGE(E646:E845)</x:f>
        <x:v>225.8981</x:v>
      </x:c>
      <x:c r="H845" s="37" t="n">
        <x:f t="shared" ref="H845:H908" si="31">IFERROR(E845/G845-1,"")</x:f>
        <x:v>0.02586077527876518</x:v>
      </x:c>
      <x:c r="I845" s="38" t="b">
        <x:f t="shared" ref="I845:I908" si="32">E845&lt;G845</x:f>
        <x:v>0</x:v>
      </x:c>
    </x:row>
    <x:row r="846">
      <x:c r="A846" s="31">
        <x:v>38225</x:v>
      </x:c>
      <x:c r="B846" s="32">
        <x:v>231.17</x:v>
      </x:c>
      <x:c r="C846" s="32">
        <x:v>232.71</x:v>
      </x:c>
      <x:c r="D846" s="32">
        <x:v>231.17</x:v>
      </x:c>
      <x:c r="E846" s="32">
        <x:v>232.71</x:v>
      </x:c>
      <x:c r="F846" s="33">
        <x:v>241570</x:v>
      </x:c>
      <x:c r="G846" s="32" t="n">
        <x:f t="shared" si="30">AVERAGE(E647:E846)</x:f>
        <x:v>226.378</x:v>
      </x:c>
      <x:c r="H846" s="37" t="n">
        <x:f t="shared" si="31">IFERROR(E846/G846-1,"")</x:f>
        <x:v>0.02797091590172207</x:v>
      </x:c>
      <x:c r="I846" s="38" t="b">
        <x:f t="shared" si="32">E846&lt;G846</x:f>
        <x:v>0</x:v>
      </x:c>
    </x:row>
    <x:row r="847">
      <x:c r="A847" s="31">
        <x:v>38226</x:v>
      </x:c>
      <x:c r="B847" s="32">
        <x:v>233.67</x:v>
      </x:c>
      <x:c r="C847" s="32">
        <x:v>233.91</x:v>
      </x:c>
      <x:c r="D847" s="32">
        <x:v>233.67</x:v>
      </x:c>
      <x:c r="E847" s="32">
        <x:v>233.91</x:v>
      </x:c>
      <x:c r="F847" s="33">
        <x:v>197710</x:v>
      </x:c>
      <x:c r="G847" s="32" t="n">
        <x:f t="shared" si="30">AVERAGE(E648:E847)</x:f>
        <x:v>226.86090000000004</x:v>
      </x:c>
      <x:c r="H847" s="37" t="n">
        <x:f t="shared" si="31">IFERROR(E847/G847-1,"")</x:f>
        <x:v>0.031072344330820956</x:v>
      </x:c>
      <x:c r="I847" s="38" t="b">
        <x:f t="shared" si="32">E847&lt;G847</x:f>
        <x:v>0</x:v>
      </x:c>
    </x:row>
    <x:row r="848">
      <x:c r="A848" s="31">
        <x:v>38229</x:v>
      </x:c>
      <x:c r="B848" s="32">
        <x:v>233.46</x:v>
      </x:c>
      <x:c r="C848" s="32">
        <x:v>233.46</x:v>
      </x:c>
      <x:c r="D848" s="32">
        <x:v>232.48</x:v>
      </x:c>
      <x:c r="E848" s="32">
        <x:v>232.48</x:v>
      </x:c>
      <x:c r="F848" s="33">
        <x:v>152730</x:v>
      </x:c>
      <x:c r="G848" s="32" t="n">
        <x:f t="shared" si="30">AVERAGE(E649:E848)</x:f>
        <x:v>227.33235000000008</x:v>
      </x:c>
      <x:c r="H848" s="37" t="n">
        <x:f t="shared" si="31">IFERROR(E848/G848-1,"")</x:f>
        <x:v>0.022643719646587623</x:v>
      </x:c>
      <x:c r="I848" s="38" t="b">
        <x:f t="shared" si="32">E848&lt;G848</x:f>
        <x:v>0</x:v>
      </x:c>
    </x:row>
    <x:row r="849">
      <x:c r="A849" s="31">
        <x:v>38230</x:v>
      </x:c>
      <x:c r="B849" s="32">
        <x:v>232.28</x:v>
      </x:c>
      <x:c r="C849" s="32">
        <x:v>232.38</x:v>
      </x:c>
      <x:c r="D849" s="32">
        <x:v>232.28</x:v>
      </x:c>
      <x:c r="E849" s="32">
        <x:v>232.38</x:v>
      </x:c>
      <x:c r="F849" s="33">
        <x:v>193110</x:v>
      </x:c>
      <x:c r="G849" s="32" t="n">
        <x:f t="shared" si="30">AVERAGE(E650:E849)</x:f>
        <x:v>227.7933000000001</x:v>
      </x:c>
      <x:c r="H849" s="37" t="n">
        <x:f t="shared" si="31">IFERROR(E849/G849-1,"")</x:f>
        <x:v>0.020135359556228805</x:v>
      </x:c>
      <x:c r="I849" s="38" t="b">
        <x:f t="shared" si="32">E849&lt;G849</x:f>
        <x:v>0</x:v>
      </x:c>
    </x:row>
    <x:row r="850">
      <x:c r="A850" s="31">
        <x:v>38231</x:v>
      </x:c>
      <x:c r="B850" s="32">
        <x:v>231.89</x:v>
      </x:c>
      <x:c r="C850" s="32">
        <x:v>231.89</x:v>
      </x:c>
      <x:c r="D850" s="32">
        <x:v>231.51</x:v>
      </x:c>
      <x:c r="E850" s="32">
        <x:v>231.51</x:v>
      </x:c>
      <x:c r="F850" s="33">
        <x:v>70830</x:v>
      </x:c>
      <x:c r="G850" s="32" t="n">
        <x:f t="shared" si="30">AVERAGE(E651:E850)</x:f>
        <x:v>228.2319000000001</x:v>
      </x:c>
      <x:c r="H850" s="37" t="n">
        <x:f t="shared" si="31">IFERROR(E850/G850-1,"")</x:f>
        <x:v>0.014363022872788012</x:v>
      </x:c>
      <x:c r="I850" s="38" t="b">
        <x:f t="shared" si="32">E850&lt;G850</x:f>
        <x:v>0</x:v>
      </x:c>
    </x:row>
    <x:row r="851">
      <x:c r="A851" s="31">
        <x:v>38236</x:v>
      </x:c>
      <x:c r="B851" s="32">
        <x:v>231.32</x:v>
      </x:c>
      <x:c r="C851" s="32">
        <x:v>231.32</x:v>
      </x:c>
      <x:c r="D851" s="32">
        <x:v>231.01</x:v>
      </x:c>
      <x:c r="E851" s="32">
        <x:v>231.01</x:v>
      </x:c>
      <x:c r="F851" s="33">
        <x:v>82310</x:v>
      </x:c>
      <x:c r="G851" s="32" t="n">
        <x:f t="shared" si="30">AVERAGE(E652:E851)</x:f>
        <x:v>228.6390000000001</x:v>
      </x:c>
      <x:c r="H851" s="37" t="n">
        <x:f t="shared" si="31">IFERROR(E851/G851-1,"")</x:f>
        <x:v>0.010370059351203942</x:v>
      </x:c>
      <x:c r="I851" s="38" t="b">
        <x:f t="shared" si="32">E851&lt;G851</x:f>
        <x:v>0</x:v>
      </x:c>
    </x:row>
    <x:row r="852">
      <x:c r="A852" s="31">
        <x:v>38237</x:v>
      </x:c>
      <x:c r="B852" s="32">
        <x:v>231.03</x:v>
      </x:c>
      <x:c r="C852" s="32">
        <x:v>231.03</x:v>
      </x:c>
      <x:c r="D852" s="32">
        <x:v>230.82</x:v>
      </x:c>
      <x:c r="E852" s="32">
        <x:v>230.82</x:v>
      </x:c>
      <x:c r="F852" s="33">
        <x:v>61620</x:v>
      </x:c>
      <x:c r="G852" s="32" t="n">
        <x:f t="shared" si="30">AVERAGE(E653:E852)</x:f>
        <x:v>229.0144500000001</x:v>
      </x:c>
      <x:c r="H852" s="37" t="n">
        <x:f t="shared" si="31">IFERROR(E852/G852-1,"")</x:f>
        <x:v>0.007884000332729624</x:v>
      </x:c>
      <x:c r="I852" s="38" t="b">
        <x:f t="shared" si="32">E852&lt;G852</x:f>
        <x:v>0</x:v>
      </x:c>
    </x:row>
    <x:row r="853">
      <x:c r="A853" s="31">
        <x:v>38238</x:v>
      </x:c>
      <x:c r="B853" s="32">
        <x:v>229.89</x:v>
      </x:c>
      <x:c r="C853" s="32">
        <x:v>229.98</x:v>
      </x:c>
      <x:c r="D853" s="32">
        <x:v>229.89</x:v>
      </x:c>
      <x:c r="E853" s="32">
        <x:v>229.98</x:v>
      </x:c>
      <x:c r="F853" s="33">
        <x:v>123820</x:v>
      </x:c>
      <x:c r="G853" s="32" t="n">
        <x:f t="shared" si="30">AVERAGE(E654:E853)</x:f>
        <x:v>229.39100000000013</x:v>
      </x:c>
      <x:c r="H853" s="37" t="n">
        <x:f t="shared" si="31">IFERROR(E853/G853-1,"")</x:f>
        <x:v>0.002567668304335635</x:v>
      </x:c>
      <x:c r="I853" s="38" t="b">
        <x:f t="shared" si="32">E853&lt;G853</x:f>
        <x:v>0</x:v>
      </x:c>
    </x:row>
    <x:row r="854">
      <x:c r="A854" s="31">
        <x:v>38239</x:v>
      </x:c>
      <x:c r="B854" s="32">
        <x:v>230.36</x:v>
      </x:c>
      <x:c r="C854" s="32">
        <x:v>230.36</x:v>
      </x:c>
      <x:c r="D854" s="32">
        <x:v>230.2</x:v>
      </x:c>
      <x:c r="E854" s="32">
        <x:v>230.2</x:v>
      </x:c>
      <x:c r="F854" s="33">
        <x:v>65010</x:v>
      </x:c>
      <x:c r="G854" s="32" t="n">
        <x:f t="shared" si="30">AVERAGE(E655:E854)</x:f>
        <x:v>229.7915500000001</x:v>
      </x:c>
      <x:c r="H854" s="37" t="n">
        <x:f t="shared" si="31">IFERROR(E854/G854-1,"")</x:f>
        <x:v>0.0017774805035255525</x:v>
      </x:c>
      <x:c r="I854" s="38" t="b">
        <x:f t="shared" si="32">E854&lt;G854</x:f>
        <x:v>0</x:v>
      </x:c>
    </x:row>
    <x:row r="855">
      <x:c r="A855" s="31">
        <x:v>38240</x:v>
      </x:c>
      <x:c r="B855" s="32">
        <x:v>230.55</x:v>
      </x:c>
      <x:c r="C855" s="32">
        <x:v>231.13</x:v>
      </x:c>
      <x:c r="D855" s="32">
        <x:v>230.55</x:v>
      </x:c>
      <x:c r="E855" s="32">
        <x:v>231.13</x:v>
      </x:c>
      <x:c r="F855" s="33">
        <x:v>48440</x:v>
      </x:c>
      <x:c r="G855" s="32" t="n">
        <x:f t="shared" si="30">AVERAGE(E656:E855)</x:f>
        <x:v>230.18690000000007</x:v>
      </x:c>
      <x:c r="H855" s="37" t="n">
        <x:f t="shared" si="31">IFERROR(E855/G855-1,"")</x:f>
        <x:v>0.004097105439101467</x:v>
      </x:c>
      <x:c r="I855" s="38" t="b">
        <x:f t="shared" si="32">E855&lt;G855</x:f>
        <x:v>0</x:v>
      </x:c>
    </x:row>
    <x:row r="856">
      <x:c r="A856" s="31">
        <x:v>38243</x:v>
      </x:c>
      <x:c r="B856" s="32">
        <x:v>231.68</x:v>
      </x:c>
      <x:c r="C856" s="32">
        <x:v>231.68</x:v>
      </x:c>
      <x:c r="D856" s="32">
        <x:v>231.42</x:v>
      </x:c>
      <x:c r="E856" s="32">
        <x:v>231.42</x:v>
      </x:c>
      <x:c r="F856" s="33">
        <x:v>96710</x:v>
      </x:c>
      <x:c r="G856" s="32" t="n">
        <x:f t="shared" si="30">AVERAGE(E657:E856)</x:f>
        <x:v>230.56745000000006</x:v>
      </x:c>
      <x:c r="H856" s="37" t="n">
        <x:f t="shared" si="31">IFERROR(E856/G856-1,"")</x:f>
        <x:v>0.003697616467545295</x:v>
      </x:c>
      <x:c r="I856" s="38" t="b">
        <x:f t="shared" si="32">E856&lt;G856</x:f>
        <x:v>0</x:v>
      </x:c>
    </x:row>
    <x:row r="857">
      <x:c r="A857" s="31">
        <x:v>38244</x:v>
      </x:c>
      <x:c r="B857" s="32">
        <x:v>231.45</x:v>
      </x:c>
      <x:c r="C857" s="32">
        <x:v>231.6</x:v>
      </x:c>
      <x:c r="D857" s="32">
        <x:v>231.45</x:v>
      </x:c>
      <x:c r="E857" s="32">
        <x:v>231.6</x:v>
      </x:c>
      <x:c r="F857" s="33">
        <x:v>137930</x:v>
      </x:c>
      <x:c r="G857" s="32" t="n">
        <x:f t="shared" si="30">AVERAGE(E658:E857)</x:f>
        <x:v>230.92555000000007</x:v>
      </x:c>
      <x:c r="H857" s="37" t="n">
        <x:f t="shared" si="31">IFERROR(E857/G857-1,"")</x:f>
        <x:v>0.0029206382749762394</x:v>
      </x:c>
      <x:c r="I857" s="38" t="b">
        <x:f t="shared" si="32">E857&lt;G857</x:f>
        <x:v>0</x:v>
      </x:c>
    </x:row>
    <x:row r="858">
      <x:c r="A858" s="31">
        <x:v>38245</x:v>
      </x:c>
      <x:c r="B858" s="32">
        <x:v>232.03</x:v>
      </x:c>
      <x:c r="C858" s="32">
        <x:v>232.03</x:v>
      </x:c>
      <x:c r="D858" s="32">
        <x:v>231.97</x:v>
      </x:c>
      <x:c r="E858" s="32">
        <x:v>231.97</x:v>
      </x:c>
      <x:c r="F858" s="33">
        <x:v>110400</x:v>
      </x:c>
      <x:c r="G858" s="32" t="n">
        <x:f t="shared" si="30">AVERAGE(E659:E858)</x:f>
        <x:v>231.26885000000004</x:v>
      </x:c>
      <x:c r="H858" s="37" t="n">
        <x:f t="shared" si="31">IFERROR(E858/G858-1,"")</x:f>
        <x:v>0.0030317528711711894</x:v>
      </x:c>
      <x:c r="I858" s="38" t="b">
        <x:f t="shared" si="32">E858&lt;G858</x:f>
        <x:v>0</x:v>
      </x:c>
    </x:row>
    <x:row r="859">
      <x:c r="A859" s="31">
        <x:v>38246</x:v>
      </x:c>
      <x:c r="B859" s="32">
        <x:v>231.95</x:v>
      </x:c>
      <x:c r="C859" s="32">
        <x:v>231.95</x:v>
      </x:c>
      <x:c r="D859" s="32">
        <x:v>231.94</x:v>
      </x:c>
      <x:c r="E859" s="32">
        <x:v>231.94</x:v>
      </x:c>
      <x:c r="F859" s="33">
        <x:v>81340</x:v>
      </x:c>
      <x:c r="G859" s="32" t="n">
        <x:f t="shared" si="30">AVERAGE(E660:E859)</x:f>
        <x:v>231.6015500000001</x:v>
      </x:c>
      <x:c r="H859" s="37" t="n">
        <x:f t="shared" si="31">IFERROR(E859/G859-1,"")</x:f>
        <x:v>0.0014613460056718264</x:v>
      </x:c>
      <x:c r="I859" s="38" t="b">
        <x:f t="shared" si="32">E859&lt;G859</x:f>
        <x:v>0</x:v>
      </x:c>
    </x:row>
    <x:row r="860">
      <x:c r="A860" s="31">
        <x:v>38247</x:v>
      </x:c>
      <x:c r="B860" s="32">
        <x:v>231</x:v>
      </x:c>
      <x:c r="C860" s="32">
        <x:v>231.25</x:v>
      </x:c>
      <x:c r="D860" s="32">
        <x:v>231</x:v>
      </x:c>
      <x:c r="E860" s="32">
        <x:v>231.25</x:v>
      </x:c>
      <x:c r="F860" s="33">
        <x:v>62320</x:v>
      </x:c>
      <x:c r="G860" s="32" t="n">
        <x:f t="shared" si="30">AVERAGE(E661:E860)</x:f>
        <x:v>231.9497500000001</x:v>
      </x:c>
      <x:c r="H860" s="37" t="n">
        <x:f t="shared" si="31">IFERROR(E860/G860-1,"")</x:f>
        <x:v>-0.003016817220109602</x:v>
      </x:c>
      <x:c r="I860" s="38" t="b">
        <x:f t="shared" si="32">E860&lt;G860</x:f>
        <x:v>1</x:v>
      </x:c>
    </x:row>
    <x:row r="861">
      <x:c r="A861" s="31">
        <x:v>38250</x:v>
      </x:c>
      <x:c r="B861" s="32">
        <x:v>231.02</x:v>
      </x:c>
      <x:c r="C861" s="32">
        <x:v>231.02</x:v>
      </x:c>
      <x:c r="D861" s="32">
        <x:v>230.85</x:v>
      </x:c>
      <x:c r="E861" s="32">
        <x:v>230.85</x:v>
      </x:c>
      <x:c r="F861" s="33">
        <x:v>50750</x:v>
      </x:c>
      <x:c r="G861" s="32" t="n">
        <x:f t="shared" si="30">AVERAGE(E662:E861)</x:f>
        <x:v>232.2894000000001</x:v>
      </x:c>
      <x:c r="H861" s="37" t="n">
        <x:f t="shared" si="31">IFERROR(E861/G861-1,"")</x:f>
        <x:v>-0.0061965806446617755</x:v>
      </x:c>
      <x:c r="I861" s="38" t="b">
        <x:f t="shared" si="32">E861&lt;G861</x:f>
        <x:v>1</x:v>
      </x:c>
    </x:row>
    <x:row r="862">
      <x:c r="A862" s="31">
        <x:v>38251</x:v>
      </x:c>
      <x:c r="B862" s="32">
        <x:v>230.76</x:v>
      </x:c>
      <x:c r="C862" s="32">
        <x:v>231.12</x:v>
      </x:c>
      <x:c r="D862" s="32">
        <x:v>230.76</x:v>
      </x:c>
      <x:c r="E862" s="32">
        <x:v>231.12</x:v>
      </x:c>
      <x:c r="F862" s="33">
        <x:v>66810</x:v>
      </x:c>
      <x:c r="G862" s="32" t="n">
        <x:f t="shared" si="30">AVERAGE(E663:E862)</x:f>
        <x:v>232.6256500000001</x:v>
      </x:c>
      <x:c r="H862" s="37" t="n">
        <x:f t="shared" si="31">IFERROR(E862/G862-1,"")</x:f>
        <x:v>-0.006472416089971511</x:v>
      </x:c>
      <x:c r="I862" s="38" t="b">
        <x:f t="shared" si="32">E862&lt;G862</x:f>
        <x:v>1</x:v>
      </x:c>
    </x:row>
    <x:row r="863">
      <x:c r="A863" s="31">
        <x:v>38252</x:v>
      </x:c>
      <x:c r="B863" s="32">
        <x:v>230.37</x:v>
      </x:c>
      <x:c r="C863" s="32">
        <x:v>230.37</x:v>
      </x:c>
      <x:c r="D863" s="32">
        <x:v>230.33</x:v>
      </x:c>
      <x:c r="E863" s="32">
        <x:v>230.33</x:v>
      </x:c>
      <x:c r="F863" s="33">
        <x:v>93730</x:v>
      </x:c>
      <x:c r="G863" s="32" t="n">
        <x:f t="shared" si="30">AVERAGE(E664:E863)</x:f>
        <x:v>232.95300000000015</x:v>
      </x:c>
      <x:c r="H863" s="37" t="n">
        <x:f t="shared" si="31">IFERROR(E863/G863-1,"")</x:f>
        <x:v>-0.011259782016115438</x:v>
      </x:c>
      <x:c r="I863" s="38" t="b">
        <x:f t="shared" si="32">E863&lt;G863</x:f>
        <x:v>1</x:v>
      </x:c>
    </x:row>
    <x:row r="864">
      <x:c r="A864" s="31">
        <x:v>38253</x:v>
      </x:c>
      <x:c r="B864" s="32">
        <x:v>230.45</x:v>
      </x:c>
      <x:c r="C864" s="32">
        <x:v>230.45</x:v>
      </x:c>
      <x:c r="D864" s="32">
        <x:v>230.18</x:v>
      </x:c>
      <x:c r="E864" s="32">
        <x:v>230.18</x:v>
      </x:c>
      <x:c r="F864" s="33">
        <x:v>109170</x:v>
      </x:c>
      <x:c r="G864" s="32" t="n">
        <x:f t="shared" si="30">AVERAGE(E665:E864)</x:f>
        <x:v>233.28145000000015</x:v>
      </x:c>
      <x:c r="H864" s="37" t="n">
        <x:f t="shared" si="31">IFERROR(E864/G864-1,"")</x:f>
        <x:v>-0.013294884784024408</x:v>
      </x:c>
      <x:c r="I864" s="38" t="b">
        <x:f t="shared" si="32">E864&lt;G864</x:f>
        <x:v>1</x:v>
      </x:c>
    </x:row>
    <x:row r="865">
      <x:c r="A865" s="31">
        <x:v>38254</x:v>
      </x:c>
      <x:c r="B865" s="32">
        <x:v>229.89</x:v>
      </x:c>
      <x:c r="C865" s="32">
        <x:v>230.58</x:v>
      </x:c>
      <x:c r="D865" s="32">
        <x:v>229.89</x:v>
      </x:c>
      <x:c r="E865" s="32">
        <x:v>230.58</x:v>
      </x:c>
      <x:c r="F865" s="33">
        <x:v>65780</x:v>
      </x:c>
      <x:c r="G865" s="32" t="n">
        <x:f t="shared" si="30">AVERAGE(E666:E865)</x:f>
        <x:v>233.61405000000013</x:v>
      </x:c>
      <x:c r="H865" s="37" t="n">
        <x:f t="shared" si="31">IFERROR(E865/G865-1,"")</x:f>
        <x:v>-0.012987446602634178</x:v>
      </x:c>
      <x:c r="I865" s="38" t="b">
        <x:f t="shared" si="32">E865&lt;G865</x:f>
        <x:v>1</x:v>
      </x:c>
    </x:row>
    <x:row r="866">
      <x:c r="A866" s="31">
        <x:v>38257</x:v>
      </x:c>
      <x:c r="B866" s="32">
        <x:v>231.06</x:v>
      </x:c>
      <x:c r="C866" s="32">
        <x:v>231.06</x:v>
      </x:c>
      <x:c r="D866" s="32">
        <x:v>230.86</x:v>
      </x:c>
      <x:c r="E866" s="32">
        <x:v>230.86</x:v>
      </x:c>
      <x:c r="F866" s="33">
        <x:v>73530</x:v>
      </x:c>
      <x:c r="G866" s="32" t="n">
        <x:f t="shared" si="30">AVERAGE(E667:E866)</x:f>
        <x:v>233.95035000000018</x:v>
      </x:c>
      <x:c r="H866" s="37" t="n">
        <x:f t="shared" si="31">IFERROR(E866/G866-1,"")</x:f>
        <x:v>-0.013209426701007998</x:v>
      </x:c>
      <x:c r="I866" s="38" t="b">
        <x:f t="shared" si="32">E866&lt;G866</x:f>
        <x:v>1</x:v>
      </x:c>
    </x:row>
    <x:row r="867">
      <x:c r="A867" s="31">
        <x:v>38258</x:v>
      </x:c>
      <x:c r="B867" s="32">
        <x:v>231.61</x:v>
      </x:c>
      <x:c r="C867" s="32">
        <x:v>231.91</x:v>
      </x:c>
      <x:c r="D867" s="32">
        <x:v>231.61</x:v>
      </x:c>
      <x:c r="E867" s="32">
        <x:v>231.91</x:v>
      </x:c>
      <x:c r="F867" s="33">
        <x:v>105950</x:v>
      </x:c>
      <x:c r="G867" s="32" t="n">
        <x:f t="shared" si="30">AVERAGE(E668:E867)</x:f>
        <x:v>234.2975500000002</x:v>
      </x:c>
      <x:c r="H867" s="37" t="n">
        <x:f t="shared" si="31">IFERROR(E867/G867-1,"")</x:f>
        <x:v>-0.010190247401222097</x:v>
      </x:c>
      <x:c r="I867" s="38" t="b">
        <x:f t="shared" si="32">E867&lt;G867</x:f>
        <x:v>1</x:v>
      </x:c>
    </x:row>
    <x:row r="868">
      <x:c r="A868" s="31">
        <x:v>38259</x:v>
      </x:c>
      <x:c r="B868" s="32">
        <x:v>232.4</x:v>
      </x:c>
      <x:c r="C868" s="32">
        <x:v>232.67</x:v>
      </x:c>
      <x:c r="D868" s="32">
        <x:v>232.4</x:v>
      </x:c>
      <x:c r="E868" s="32">
        <x:v>232.67</x:v>
      </x:c>
      <x:c r="F868" s="33">
        <x:v>165390</x:v>
      </x:c>
      <x:c r="G868" s="32" t="n">
        <x:f t="shared" si="30">AVERAGE(E669:E868)</x:f>
        <x:v>234.65585000000019</x:v>
      </x:c>
      <x:c r="H868" s="37" t="n">
        <x:f t="shared" si="31">IFERROR(E868/G868-1,"")</x:f>
        <x:v>-0.008462819060339632</x:v>
      </x:c>
      <x:c r="I868" s="38" t="b">
        <x:f t="shared" si="32">E868&lt;G868</x:f>
        <x:v>1</x:v>
      </x:c>
    </x:row>
    <x:row r="869">
      <x:c r="A869" s="31">
        <x:v>38260</x:v>
      </x:c>
      <x:c r="B869" s="32">
        <x:v>233.32</x:v>
      </x:c>
      <x:c r="C869" s="32">
        <x:v>233.32</x:v>
      </x:c>
      <x:c r="D869" s="32">
        <x:v>233.19</x:v>
      </x:c>
      <x:c r="E869" s="32">
        <x:v>233.19</x:v>
      </x:c>
      <x:c r="F869" s="33">
        <x:v>151500</x:v>
      </x:c>
      <x:c r="G869" s="32" t="n">
        <x:f t="shared" si="30">AVERAGE(E670:E869)</x:f>
        <x:v>235.0125500000002</x:v>
      </x:c>
      <x:c r="H869" s="37" t="n">
        <x:f t="shared" si="31">IFERROR(E869/G869-1,"")</x:f>
        <x:v>-0.007755117758605712</x:v>
      </x:c>
      <x:c r="I869" s="38" t="b">
        <x:f t="shared" si="32">E869&lt;G869</x:f>
        <x:v>1</x:v>
      </x:c>
    </x:row>
    <x:row r="870">
      <x:c r="A870" s="31">
        <x:v>38261</x:v>
      </x:c>
      <x:c r="B870" s="32">
        <x:v>233.22</x:v>
      </x:c>
      <x:c r="C870" s="32">
        <x:v>233.22</x:v>
      </x:c>
      <x:c r="D870" s="32">
        <x:v>232.57</x:v>
      </x:c>
      <x:c r="E870" s="32">
        <x:v>232.57</x:v>
      </x:c>
      <x:c r="F870" s="33">
        <x:v>104790</x:v>
      </x:c>
      <x:c r="G870" s="32" t="n">
        <x:f t="shared" si="30">AVERAGE(E671:E870)</x:f>
        <x:v>235.3667000000002</x:v>
      </x:c>
      <x:c r="H870" s="37" t="n">
        <x:f t="shared" si="31">IFERROR(E870/G870-1,"")</x:f>
        <x:v>-0.011882309604545616</x:v>
      </x:c>
      <x:c r="I870" s="38" t="b">
        <x:f t="shared" si="32">E870&lt;G870</x:f>
        <x:v>1</x:v>
      </x:c>
    </x:row>
    <x:row r="871">
      <x:c r="A871" s="31">
        <x:v>38264</x:v>
      </x:c>
      <x:c r="B871" s="32">
        <x:v>232.52</x:v>
      </x:c>
      <x:c r="C871" s="32">
        <x:v>232.6</x:v>
      </x:c>
      <x:c r="D871" s="32">
        <x:v>232.52</x:v>
      </x:c>
      <x:c r="E871" s="32">
        <x:v>232.6</x:v>
      </x:c>
      <x:c r="F871" s="33">
        <x:v>109850</x:v>
      </x:c>
      <x:c r="G871" s="32" t="n">
        <x:f t="shared" si="30">AVERAGE(E672:E871)</x:f>
        <x:v>235.72050000000021</x:v>
      </x:c>
      <x:c r="H871" s="37" t="n">
        <x:f t="shared" si="31">IFERROR(E871/G871-1,"")</x:f>
        <x:v>-0.013238135843086307</x:v>
      </x:c>
      <x:c r="I871" s="38" t="b">
        <x:f t="shared" si="32">E871&lt;G871</x:f>
        <x:v>1</x:v>
      </x:c>
    </x:row>
    <x:row r="872">
      <x:c r="A872" s="31">
        <x:v>38265</x:v>
      </x:c>
      <x:c r="B872" s="32">
        <x:v>232.45</x:v>
      </x:c>
      <x:c r="C872" s="32">
        <x:v>233.01</x:v>
      </x:c>
      <x:c r="D872" s="32">
        <x:v>232.45</x:v>
      </x:c>
      <x:c r="E872" s="32">
        <x:v>233.01</x:v>
      </x:c>
      <x:c r="F872" s="33">
        <x:v>121590</x:v>
      </x:c>
      <x:c r="G872" s="32" t="n">
        <x:f t="shared" si="30">AVERAGE(E673:E872)</x:f>
        <x:v>236.07485000000023</x:v>
      </x:c>
      <x:c r="H872" s="37" t="n">
        <x:f t="shared" si="31">IFERROR(E872/G872-1,"")</x:f>
        <x:v>-0.012982534988374317</x:v>
      </x:c>
      <x:c r="I872" s="38" t="b">
        <x:f t="shared" si="32">E872&lt;G872</x:f>
        <x:v>1</x:v>
      </x:c>
    </x:row>
    <x:row r="873">
      <x:c r="A873" s="31">
        <x:v>38266</x:v>
      </x:c>
      <x:c r="B873" s="32">
        <x:v>233.07</x:v>
      </x:c>
      <x:c r="C873" s="32">
        <x:v>233.27</x:v>
      </x:c>
      <x:c r="D873" s="32">
        <x:v>233.07</x:v>
      </x:c>
      <x:c r="E873" s="32">
        <x:v>233.27</x:v>
      </x:c>
      <x:c r="F873" s="33">
        <x:v>134130</x:v>
      </x:c>
      <x:c r="G873" s="32" t="n">
        <x:f t="shared" si="30">AVERAGE(E674:E873)</x:f>
        <x:v>236.4231500000002</x:v>
      </x:c>
      <x:c r="H873" s="37" t="n">
        <x:f t="shared" si="31">IFERROR(E873/G873-1,"")</x:f>
        <x:v>-0.013336891924501382</x:v>
      </x:c>
      <x:c r="I873" s="38" t="b">
        <x:f t="shared" si="32">E873&lt;G873</x:f>
        <x:v>1</x:v>
      </x:c>
    </x:row>
    <x:row r="874">
      <x:c r="A874" s="31">
        <x:v>38267</x:v>
      </x:c>
      <x:c r="B874" s="32">
        <x:v>233.14</x:v>
      </x:c>
      <x:c r="C874" s="32">
        <x:v>233.35</x:v>
      </x:c>
      <x:c r="D874" s="32">
        <x:v>233.14</x:v>
      </x:c>
      <x:c r="E874" s="32">
        <x:v>233.35</x:v>
      </x:c>
      <x:c r="F874" s="33">
        <x:v>90440</x:v>
      </x:c>
      <x:c r="G874" s="32" t="n">
        <x:f t="shared" si="30">AVERAGE(E675:E874)</x:f>
        <x:v>236.7592000000002</x:v>
      </x:c>
      <x:c r="H874" s="37" t="n">
        <x:f t="shared" si="31">IFERROR(E874/G874-1,"")</x:f>
        <x:v>-0.01439944044413144</x:v>
      </x:c>
      <x:c r="I874" s="38" t="b">
        <x:f t="shared" si="32">E874&lt;G874</x:f>
        <x:v>1</x:v>
      </x:c>
    </x:row>
    <x:row r="875">
      <x:c r="A875" s="31">
        <x:v>38268</x:v>
      </x:c>
      <x:c r="B875" s="32">
        <x:v>232.44</x:v>
      </x:c>
      <x:c r="C875" s="32">
        <x:v>232.54</x:v>
      </x:c>
      <x:c r="D875" s="32">
        <x:v>232.44</x:v>
      </x:c>
      <x:c r="E875" s="32">
        <x:v>232.54</x:v>
      </x:c>
      <x:c r="F875" s="33">
        <x:v>122670</x:v>
      </x:c>
      <x:c r="G875" s="32" t="n">
        <x:f t="shared" si="30">AVERAGE(E676:E875)</x:f>
        <x:v>237.07820000000018</x:v>
      </x:c>
      <x:c r="H875" s="37" t="n">
        <x:f t="shared" si="31">IFERROR(E875/G875-1,"")</x:f>
        <x:v>-0.01914220708610148</x:v>
      </x:c>
      <x:c r="I875" s="38" t="b">
        <x:f t="shared" si="32">E875&lt;G875</x:f>
        <x:v>1</x:v>
      </x:c>
    </x:row>
    <x:row r="876">
      <x:c r="A876" s="31">
        <x:v>38271</x:v>
      </x:c>
      <x:c r="B876" s="32">
        <x:v>231.12</x:v>
      </x:c>
      <x:c r="C876" s="32">
        <x:v>231.12</x:v>
      </x:c>
      <x:c r="D876" s="32">
        <x:v>230.75</x:v>
      </x:c>
      <x:c r="E876" s="32">
        <x:v>230.75</x:v>
      </x:c>
      <x:c r="F876" s="33">
        <x:v>101810</x:v>
      </x:c>
      <x:c r="G876" s="32" t="n">
        <x:f t="shared" si="30">AVERAGE(E677:E876)</x:f>
        <x:v>237.38850000000016</x:v>
      </x:c>
      <x:c r="H876" s="37" t="n">
        <x:f t="shared" si="31">IFERROR(E876/G876-1,"")</x:f>
        <x:v>-0.027964707641693454</x:v>
      </x:c>
      <x:c r="I876" s="38" t="b">
        <x:f t="shared" si="32">E876&lt;G876</x:f>
        <x:v>1</x:v>
      </x:c>
    </x:row>
    <x:row r="877">
      <x:c r="A877" s="31">
        <x:v>38272</x:v>
      </x:c>
      <x:c r="B877" s="32">
        <x:v>230.28</x:v>
      </x:c>
      <x:c r="C877" s="32">
        <x:v>230.89</x:v>
      </x:c>
      <x:c r="D877" s="32">
        <x:v>230.28</x:v>
      </x:c>
      <x:c r="E877" s="32">
        <x:v>230.89</x:v>
      </x:c>
      <x:c r="F877" s="33">
        <x:v>130260</x:v>
      </x:c>
      <x:c r="G877" s="32" t="n">
        <x:f t="shared" si="30">AVERAGE(E678:E877)</x:f>
        <x:v>237.70330000000016</x:v>
      </x:c>
      <x:c r="H877" s="37" t="n">
        <x:f t="shared" si="31">IFERROR(E877/G877-1,"")</x:f>
        <x:v>-0.02866304338223391</x:v>
      </x:c>
      <x:c r="I877" s="38" t="b">
        <x:f t="shared" si="32">E877&lt;G877</x:f>
        <x:v>1</x:v>
      </x:c>
    </x:row>
    <x:row r="878">
      <x:c r="A878" s="31">
        <x:v>38273</x:v>
      </x:c>
      <x:c r="B878" s="32">
        <x:v>231</x:v>
      </x:c>
      <x:c r="C878" s="32">
        <x:v>231.48</x:v>
      </x:c>
      <x:c r="D878" s="32">
        <x:v>231</x:v>
      </x:c>
      <x:c r="E878" s="32">
        <x:v>231.48</x:v>
      </x:c>
      <x:c r="F878" s="33">
        <x:v>128360</x:v>
      </x:c>
      <x:c r="G878" s="32" t="n">
        <x:f t="shared" si="30">AVERAGE(E679:E878)</x:f>
        <x:v>238.02515000000017</x:v>
      </x:c>
      <x:c r="H878" s="37" t="n">
        <x:f t="shared" si="31">IFERROR(E878/G878-1,"")</x:f>
        <x:v>-0.0274977245051633</x:v>
      </x:c>
      <x:c r="I878" s="38" t="b">
        <x:f t="shared" si="32">E878&lt;G878</x:f>
        <x:v>1</x:v>
      </x:c>
    </x:row>
    <x:row r="879">
      <x:c r="A879" s="31">
        <x:v>38274</x:v>
      </x:c>
      <x:c r="B879" s="32">
        <x:v>231.37</x:v>
      </x:c>
      <x:c r="C879" s="32">
        <x:v>231.81</x:v>
      </x:c>
      <x:c r="D879" s="32">
        <x:v>231.37</x:v>
      </x:c>
      <x:c r="E879" s="32">
        <x:v>231.81</x:v>
      </x:c>
      <x:c r="F879" s="33">
        <x:v>155300</x:v>
      </x:c>
      <x:c r="G879" s="32" t="n">
        <x:f t="shared" si="30">AVERAGE(E680:E879)</x:f>
        <x:v>238.35185000000016</x:v>
      </x:c>
      <x:c r="H879" s="37" t="n">
        <x:f t="shared" si="31">IFERROR(E879/G879-1,"")</x:f>
        <x:v>-0.027446189320536662</x:v>
      </x:c>
      <x:c r="I879" s="38" t="b">
        <x:f t="shared" si="32">E879&lt;G879</x:f>
        <x:v>1</x:v>
      </x:c>
    </x:row>
    <x:row r="880">
      <x:c r="A880" s="31">
        <x:v>38275</x:v>
      </x:c>
      <x:c r="B880" s="32">
        <x:v>231.61</x:v>
      </x:c>
      <x:c r="C880" s="32">
        <x:v>232.16</x:v>
      </x:c>
      <x:c r="D880" s="32">
        <x:v>231.61</x:v>
      </x:c>
      <x:c r="E880" s="32">
        <x:v>232.16</x:v>
      </x:c>
      <x:c r="F880" s="33">
        <x:v>169780</x:v>
      </x:c>
      <x:c r="G880" s="32" t="n">
        <x:f t="shared" si="30">AVERAGE(E681:E880)</x:f>
        <x:v>238.68055000000015</x:v>
      </x:c>
      <x:c r="H880" s="37" t="n">
        <x:f t="shared" si="31">IFERROR(E880/G880-1,"")</x:f>
        <x:v>-0.027319151057763835</x:v>
      </x:c>
      <x:c r="I880" s="38" t="b">
        <x:f t="shared" si="32">E880&lt;G880</x:f>
        <x:v>1</x:v>
      </x:c>
    </x:row>
    <x:row r="881">
      <x:c r="A881" s="31">
        <x:v>38278</x:v>
      </x:c>
      <x:c r="B881" s="32">
        <x:v>233.76</x:v>
      </x:c>
      <x:c r="C881" s="32">
        <x:v>233.76</x:v>
      </x:c>
      <x:c r="D881" s="32">
        <x:v>233.6</x:v>
      </x:c>
      <x:c r="E881" s="32">
        <x:v>233.6</x:v>
      </x:c>
      <x:c r="F881" s="33">
        <x:v>215600</x:v>
      </x:c>
      <x:c r="G881" s="32" t="n">
        <x:f t="shared" si="30">AVERAGE(E682:E881)</x:f>
        <x:v>239.01615000000015</x:v>
      </x:c>
      <x:c r="H881" s="37" t="n">
        <x:f t="shared" si="31">IFERROR(E881/G881-1,"")</x:f>
        <x:v>-0.022660184259516214</x:v>
      </x:c>
      <x:c r="I881" s="38" t="b">
        <x:f t="shared" si="32">E881&lt;G881</x:f>
        <x:v>1</x:v>
      </x:c>
    </x:row>
    <x:row r="882">
      <x:c r="A882" s="31">
        <x:v>38279</x:v>
      </x:c>
      <x:c r="B882" s="32">
        <x:v>234.87</x:v>
      </x:c>
      <x:c r="C882" s="32">
        <x:v>235.69</x:v>
      </x:c>
      <x:c r="D882" s="32">
        <x:v>234.87</x:v>
      </x:c>
      <x:c r="E882" s="32">
        <x:v>235.69</x:v>
      </x:c>
      <x:c r="F882" s="33">
        <x:v>246960</x:v>
      </x:c>
      <x:c r="G882" s="32" t="n">
        <x:f t="shared" si="30">AVERAGE(E683:E882)</x:f>
        <x:v>239.36445000000018</x:v>
      </x:c>
      <x:c r="H882" s="37" t="n">
        <x:f t="shared" si="31">IFERROR(E882/G882-1,"")</x:f>
        <x:v>-0.015350859327691202</x:v>
      </x:c>
      <x:c r="I882" s="38" t="b">
        <x:f t="shared" si="32">E882&lt;G882</x:f>
        <x:v>1</x:v>
      </x:c>
    </x:row>
    <x:row r="883">
      <x:c r="A883" s="31">
        <x:v>38280</x:v>
      </x:c>
      <x:c r="B883" s="32">
        <x:v>236.05</x:v>
      </x:c>
      <x:c r="C883" s="32">
        <x:v>236.05</x:v>
      </x:c>
      <x:c r="D883" s="32">
        <x:v>235.97</x:v>
      </x:c>
      <x:c r="E883" s="32">
        <x:v>235.97</x:v>
      </x:c>
      <x:c r="F883" s="33">
        <x:v>206640</x:v>
      </x:c>
      <x:c r="G883" s="32" t="n">
        <x:f t="shared" si="30">AVERAGE(E684:E883)</x:f>
        <x:v>239.71645000000018</x:v>
      </x:c>
      <x:c r="H883" s="37" t="n">
        <x:f t="shared" si="31">IFERROR(E883/G883-1,"")</x:f>
        <x:v>-0.015628672959240753</x:v>
      </x:c>
      <x:c r="I883" s="38" t="b">
        <x:f t="shared" si="32">E883&lt;G883</x:f>
        <x:v>1</x:v>
      </x:c>
    </x:row>
    <x:row r="884">
      <x:c r="A884" s="31">
        <x:v>38281</x:v>
      </x:c>
      <x:c r="B884" s="32">
        <x:v>234.76</x:v>
      </x:c>
      <x:c r="C884" s="32">
        <x:v>234.76</x:v>
      </x:c>
      <x:c r="D884" s="32">
        <x:v>234.3</x:v>
      </x:c>
      <x:c r="E884" s="32">
        <x:v>234.3</x:v>
      </x:c>
      <x:c r="F884" s="33">
        <x:v>156810</x:v>
      </x:c>
      <x:c r="G884" s="32" t="n">
        <x:f t="shared" si="30">AVERAGE(E685:E884)</x:f>
        <x:v>240.05765000000022</x:v>
      </x:c>
      <x:c r="H884" s="37" t="n">
        <x:f t="shared" si="31">IFERROR(E884/G884-1,"")</x:f>
        <x:v>-0.023984447069277715</x:v>
      </x:c>
      <x:c r="I884" s="38" t="b">
        <x:f t="shared" si="32">E884&lt;G884</x:f>
        <x:v>1</x:v>
      </x:c>
    </x:row>
    <x:row r="885">
      <x:c r="A885" s="31">
        <x:v>38282</x:v>
      </x:c>
      <x:c r="B885" s="32">
        <x:v>233.76</x:v>
      </x:c>
      <x:c r="C885" s="32">
        <x:v>233.76</x:v>
      </x:c>
      <x:c r="D885" s="32">
        <x:v>232.85</x:v>
      </x:c>
      <x:c r="E885" s="32">
        <x:v>232.85</x:v>
      </x:c>
      <x:c r="F885" s="33">
        <x:v>108220</x:v>
      </x:c>
      <x:c r="G885" s="32" t="n">
        <x:f t="shared" si="30">AVERAGE(E686:E885)</x:f>
        <x:v>240.3872000000002</x:v>
      </x:c>
      <x:c r="H885" s="37" t="n">
        <x:f t="shared" si="31">IFERROR(E885/G885-1,"")</x:f>
        <x:v>-0.03135441487733204</x:v>
      </x:c>
      <x:c r="I885" s="38" t="b">
        <x:f t="shared" si="32">E885&lt;G885</x:f>
        <x:v>1</x:v>
      </x:c>
    </x:row>
    <x:row r="886">
      <x:c r="A886" s="31">
        <x:v>38285</x:v>
      </x:c>
      <x:c r="B886" s="32">
        <x:v>233.2</x:v>
      </x:c>
      <x:c r="C886" s="32">
        <x:v>233.55</x:v>
      </x:c>
      <x:c r="D886" s="32">
        <x:v>233.2</x:v>
      </x:c>
      <x:c r="E886" s="32">
        <x:v>233.55</x:v>
      </x:c>
      <x:c r="F886" s="33">
        <x:v>102480</x:v>
      </x:c>
      <x:c r="G886" s="32" t="n">
        <x:f t="shared" si="30">AVERAGE(E687:E886)</x:f>
        <x:v>240.7091500000002</x:v>
      </x:c>
      <x:c r="H886" s="37" t="n">
        <x:f t="shared" si="31">IFERROR(E886/G886-1,"")</x:f>
        <x:v>-0.029741910517320114</x:v>
      </x:c>
      <x:c r="I886" s="38" t="b">
        <x:f t="shared" si="32">E886&lt;G886</x:f>
        <x:v>1</x:v>
      </x:c>
    </x:row>
    <x:row r="887">
      <x:c r="A887" s="31">
        <x:v>38286</x:v>
      </x:c>
      <x:c r="B887" s="32">
        <x:v>234.12</x:v>
      </x:c>
      <x:c r="C887" s="32">
        <x:v>234.12</x:v>
      </x:c>
      <x:c r="D887" s="32">
        <x:v>233.56</x:v>
      </x:c>
      <x:c r="E887" s="32">
        <x:v>233.56</x:v>
      </x:c>
      <x:c r="F887" s="33">
        <x:v>181960</x:v>
      </x:c>
      <x:c r="G887" s="32" t="n">
        <x:f t="shared" si="30">AVERAGE(E688:E887)</x:f>
        <x:v>241.0256500000002</x:v>
      </x:c>
      <x:c r="H887" s="37" t="n">
        <x:f t="shared" si="31">IFERROR(E887/G887-1,"")</x:f>
        <x:v>-0.030974504165843797</x:v>
      </x:c>
      <x:c r="I887" s="38" t="b">
        <x:f t="shared" si="32">E887&lt;G887</x:f>
        <x:v>1</x:v>
      </x:c>
    </x:row>
    <x:row r="888">
      <x:c r="A888" s="31">
        <x:v>38287</x:v>
      </x:c>
      <x:c r="B888" s="32">
        <x:v>233.79</x:v>
      </x:c>
      <x:c r="C888" s="32">
        <x:v>234.28</x:v>
      </x:c>
      <x:c r="D888" s="32">
        <x:v>233.79</x:v>
      </x:c>
      <x:c r="E888" s="32">
        <x:v>234.28</x:v>
      </x:c>
      <x:c r="F888" s="33">
        <x:v>156980</x:v>
      </x:c>
      <x:c r="G888" s="32" t="n">
        <x:f t="shared" si="30">AVERAGE(E689:E888)</x:f>
        <x:v>241.3412000000002</x:v>
      </x:c>
      <x:c r="H888" s="37" t="n">
        <x:f t="shared" si="31">IFERROR(E888/G888-1,"")</x:f>
        <x:v>-0.029258162302997603</x:v>
      </x:c>
      <x:c r="I888" s="38" t="b">
        <x:f t="shared" si="32">E888&lt;G888</x:f>
        <x:v>1</x:v>
      </x:c>
    </x:row>
    <x:row r="889">
      <x:c r="A889" s="31">
        <x:v>38288</x:v>
      </x:c>
      <x:c r="B889" s="32">
        <x:v>234.57</x:v>
      </x:c>
      <x:c r="C889" s="32">
        <x:v>234.57</x:v>
      </x:c>
      <x:c r="D889" s="32">
        <x:v>232.97</x:v>
      </x:c>
      <x:c r="E889" s="32">
        <x:v>232.97</x:v>
      </x:c>
      <x:c r="F889" s="33">
        <x:v>96950</x:v>
      </x:c>
      <x:c r="G889" s="32" t="n">
        <x:f t="shared" si="30">AVERAGE(E690:E889)</x:f>
        <x:v>241.6480500000002</x:v>
      </x:c>
      <x:c r="H889" s="37" t="n">
        <x:f t="shared" si="31">IFERROR(E889/G889-1,"")</x:f>
        <x:v>-0.03591193887142974</x:v>
      </x:c>
      <x:c r="I889" s="38" t="b">
        <x:f t="shared" si="32">E889&lt;G889</x:f>
        <x:v>1</x:v>
      </x:c>
    </x:row>
    <x:row r="890">
      <x:c r="A890" s="31">
        <x:v>38289</x:v>
      </x:c>
      <x:c r="B890" s="32">
        <x:v>231.8</x:v>
      </x:c>
      <x:c r="C890" s="32">
        <x:v>232.59</x:v>
      </x:c>
      <x:c r="D890" s="32">
        <x:v>231.8</x:v>
      </x:c>
      <x:c r="E890" s="32">
        <x:v>232.59</x:v>
      </x:c>
      <x:c r="F890" s="33">
        <x:v>162470</x:v>
      </x:c>
      <x:c r="G890" s="32" t="n">
        <x:f t="shared" si="30">AVERAGE(E691:E890)</x:f>
        <x:v>241.9446500000002</x:v>
      </x:c>
      <x:c r="H890" s="37" t="n">
        <x:f t="shared" si="31">IFERROR(E890/G890-1,"")</x:f>
        <x:v>-0.03866442180060681</x:v>
      </x:c>
      <x:c r="I890" s="38" t="b">
        <x:f t="shared" si="32">E890&lt;G890</x:f>
        <x:v>1</x:v>
      </x:c>
    </x:row>
    <x:row r="891">
      <x:c r="A891" s="31">
        <x:v>38292</x:v>
      </x:c>
      <x:c r="B891" s="32">
        <x:v>232.57</x:v>
      </x:c>
      <x:c r="C891" s="32">
        <x:v>232.57</x:v>
      </x:c>
      <x:c r="D891" s="32">
        <x:v>232.3</x:v>
      </x:c>
      <x:c r="E891" s="32">
        <x:v>232.3</x:v>
      </x:c>
      <x:c r="F891" s="33">
        <x:v>93680</x:v>
      </x:c>
      <x:c r="G891" s="32" t="n">
        <x:f t="shared" si="30">AVERAGE(E692:E891)</x:f>
        <x:v>242.2355000000002</x:v>
      </x:c>
      <x:c r="H891" s="37" t="n">
        <x:f t="shared" si="31">IFERROR(E891/G891-1,"")</x:f>
        <x:v>-0.04101587091900316</x:v>
      </x:c>
      <x:c r="I891" s="38" t="b">
        <x:f t="shared" si="32">E891&lt;G891</x:f>
        <x:v>1</x:v>
      </x:c>
    </x:row>
    <x:row r="892">
      <x:c r="A892" s="31">
        <x:v>38293</x:v>
      </x:c>
      <x:c r="B892" s="32">
        <x:v>232.45</x:v>
      </x:c>
      <x:c r="C892" s="32">
        <x:v>232.67</x:v>
      </x:c>
      <x:c r="D892" s="32">
        <x:v>232.45</x:v>
      </x:c>
      <x:c r="E892" s="32">
        <x:v>232.67</x:v>
      </x:c>
      <x:c r="F892" s="33">
        <x:v>154450</x:v>
      </x:c>
      <x:c r="G892" s="32" t="n">
        <x:f t="shared" si="30">AVERAGE(E693:E892)</x:f>
        <x:v>242.52300000000022</x:v>
      </x:c>
      <x:c r="H892" s="37" t="n">
        <x:f t="shared" si="31">IFERROR(E892/G892-1,"")</x:f>
        <x:v>-0.04062707454550796</x:v>
      </x:c>
      <x:c r="I892" s="38" t="b">
        <x:f t="shared" si="32">E892&lt;G892</x:f>
        <x:v>1</x:v>
      </x:c>
    </x:row>
    <x:row r="893">
      <x:c r="A893" s="31">
        <x:v>38294</x:v>
      </x:c>
      <x:c r="B893" s="32">
        <x:v>232.4</x:v>
      </x:c>
      <x:c r="C893" s="32">
        <x:v>232.4</x:v>
      </x:c>
      <x:c r="D893" s="32">
        <x:v>231.68</x:v>
      </x:c>
      <x:c r="E893" s="32">
        <x:v>231.68</x:v>
      </x:c>
      <x:c r="F893" s="33">
        <x:v>126240</x:v>
      </x:c>
      <x:c r="G893" s="32" t="n">
        <x:f t="shared" si="30">AVERAGE(E694:E893)</x:f>
        <x:v>242.7996500000002</x:v>
      </x:c>
      <x:c r="H893" s="37" t="n">
        <x:f t="shared" si="31">IFERROR(E893/G893-1,"")</x:f>
        <x:v>-0.04579763603448439</x:v>
      </x:c>
      <x:c r="I893" s="38" t="b">
        <x:f t="shared" si="32">E893&lt;G893</x:f>
        <x:v>1</x:v>
      </x:c>
    </x:row>
    <x:row r="894">
      <x:c r="A894" s="31">
        <x:v>38295</x:v>
      </x:c>
      <x:c r="B894" s="32">
        <x:v>231.3</x:v>
      </x:c>
      <x:c r="C894" s="32">
        <x:v>231.3</x:v>
      </x:c>
      <x:c r="D894" s="32">
        <x:v>231.06</x:v>
      </x:c>
      <x:c r="E894" s="32">
        <x:v>231.06</x:v>
      </x:c>
      <x:c r="F894" s="33">
        <x:v>68980</x:v>
      </x:c>
      <x:c r="G894" s="32" t="n">
        <x:f t="shared" si="30">AVERAGE(E695:E894)</x:f>
        <x:v>243.06700000000018</x:v>
      </x:c>
      <x:c r="H894" s="37" t="n">
        <x:f t="shared" si="31">IFERROR(E894/G894-1,"")</x:f>
        <x:v>-0.04939790263589938</x:v>
      </x:c>
      <x:c r="I894" s="38" t="b">
        <x:f t="shared" si="32">E894&lt;G894</x:f>
        <x:v>1</x:v>
      </x:c>
    </x:row>
    <x:row r="895">
      <x:c r="A895" s="31">
        <x:v>38296</x:v>
      </x:c>
      <x:c r="B895" s="32">
        <x:v>230.84</x:v>
      </x:c>
      <x:c r="C895" s="32">
        <x:v>230.84</x:v>
      </x:c>
      <x:c r="D895" s="32">
        <x:v>230.55</x:v>
      </x:c>
      <x:c r="E895" s="32">
        <x:v>230.55</x:v>
      </x:c>
      <x:c r="F895" s="33">
        <x:v>100270</x:v>
      </x:c>
      <x:c r="G895" s="32" t="n">
        <x:f t="shared" si="30">AVERAGE(E696:E895)</x:f>
        <x:v>243.3038500000002</x:v>
      </x:c>
      <x:c r="H895" s="37" t="n">
        <x:f t="shared" si="31">IFERROR(E895/G895-1,"")</x:f>
        <x:v>-0.052419433560135564</x:v>
      </x:c>
      <x:c r="I895" s="38" t="b">
        <x:f t="shared" si="32">E895&lt;G895</x:f>
        <x:v>1</x:v>
      </x:c>
    </x:row>
    <x:row r="896">
      <x:c r="A896" s="31">
        <x:v>38299</x:v>
      </x:c>
      <x:c r="B896" s="32">
        <x:v>229.92</x:v>
      </x:c>
      <x:c r="C896" s="32">
        <x:v>230.11</x:v>
      </x:c>
      <x:c r="D896" s="32">
        <x:v>229.92</x:v>
      </x:c>
      <x:c r="E896" s="32">
        <x:v>230.11</x:v>
      </x:c>
      <x:c r="F896" s="33">
        <x:v>103600</x:v>
      </x:c>
      <x:c r="G896" s="32" t="n">
        <x:f t="shared" si="30">AVERAGE(E697:E896)</x:f>
        <x:v>243.4950500000002</x:v>
      </x:c>
      <x:c r="H896" s="37" t="n">
        <x:f t="shared" si="31">IFERROR(E896/G896-1,"")</x:f>
        <x:v>-0.054970521988024657</x:v>
      </x:c>
      <x:c r="I896" s="38" t="b">
        <x:f t="shared" si="32">E896&lt;G896</x:f>
        <x:v>1</x:v>
      </x:c>
    </x:row>
    <x:row r="897">
      <x:c r="A897" s="31">
        <x:v>38300</x:v>
      </x:c>
      <x:c r="B897" s="32">
        <x:v>229.47</x:v>
      </x:c>
      <x:c r="C897" s="32">
        <x:v>229.47</x:v>
      </x:c>
      <x:c r="D897" s="32">
        <x:v>228.96</x:v>
      </x:c>
      <x:c r="E897" s="32">
        <x:v>228.96</x:v>
      </x:c>
      <x:c r="F897" s="33">
        <x:v>110600</x:v>
      </x:c>
      <x:c r="G897" s="32" t="n">
        <x:f t="shared" si="30">AVERAGE(E698:E897)</x:f>
        <x:v>243.63585000000018</x:v>
      </x:c>
      <x:c r="H897" s="37" t="n">
        <x:f t="shared" si="31">IFERROR(E897/G897-1,"")</x:f>
        <x:v>-0.06023682475300807</x:v>
      </x:c>
      <x:c r="I897" s="38" t="b">
        <x:f t="shared" si="32">E897&lt;G897</x:f>
        <x:v>1</x:v>
      </x:c>
    </x:row>
    <x:row r="898">
      <x:c r="A898" s="31">
        <x:v>38301</x:v>
      </x:c>
      <x:c r="B898" s="32">
        <x:v>228.46</x:v>
      </x:c>
      <x:c r="C898" s="32">
        <x:v>228.75</x:v>
      </x:c>
      <x:c r="D898" s="32">
        <x:v>228.46</x:v>
      </x:c>
      <x:c r="E898" s="32">
        <x:v>228.75</x:v>
      </x:c>
      <x:c r="F898" s="33">
        <x:v>106460</x:v>
      </x:c>
      <x:c r="G898" s="32" t="n">
        <x:f t="shared" si="30">AVERAGE(E699:E898)</x:f>
        <x:v>243.72730000000018</x:v>
      </x:c>
      <x:c r="H898" s="37" t="n">
        <x:f t="shared" si="31">IFERROR(E898/G898-1,"")</x:f>
        <x:v>-0.06145105615989743</x:v>
      </x:c>
      <x:c r="I898" s="38" t="b">
        <x:f t="shared" si="32">E898&lt;G898</x:f>
        <x:v>1</x:v>
      </x:c>
    </x:row>
    <x:row r="899">
      <x:c r="A899" s="31">
        <x:v>38302</x:v>
      </x:c>
      <x:c r="B899" s="32">
        <x:v>228.85</x:v>
      </x:c>
      <x:c r="C899" s="32">
        <x:v>228.85</x:v>
      </x:c>
      <x:c r="D899" s="32">
        <x:v>228.16</x:v>
      </x:c>
      <x:c r="E899" s="32">
        <x:v>228.16</x:v>
      </x:c>
      <x:c r="F899" s="33">
        <x:v>117110</x:v>
      </x:c>
      <x:c r="G899" s="32" t="n">
        <x:f t="shared" si="30">AVERAGE(E700:E899)</x:f>
        <x:v>243.79650000000015</x:v>
      </x:c>
      <x:c r="H899" s="37" t="n">
        <x:f t="shared" si="31">IFERROR(E899/G899-1,"")</x:f>
        <x:v>-0.06413750812665542</x:v>
      </x:c>
      <x:c r="I899" s="38" t="b">
        <x:f t="shared" si="32">E899&lt;G899</x:f>
        <x:v>1</x:v>
      </x:c>
    </x:row>
    <x:row r="900">
      <x:c r="A900" s="31">
        <x:v>38303</x:v>
      </x:c>
      <x:c r="B900" s="32">
        <x:v>227.01</x:v>
      </x:c>
      <x:c r="C900" s="32">
        <x:v>227.01</x:v>
      </x:c>
      <x:c r="D900" s="32">
        <x:v>226.99</x:v>
      </x:c>
      <x:c r="E900" s="32">
        <x:v>226.99</x:v>
      </x:c>
      <x:c r="F900" s="33">
        <x:v>226570</x:v>
      </x:c>
      <x:c r="G900" s="32" t="n">
        <x:f t="shared" si="30">AVERAGE(E701:E900)</x:f>
        <x:v>243.89575000000016</x:v>
      </x:c>
      <x:c r="H900" s="37" t="n">
        <x:f t="shared" si="31">IFERROR(E900/G900-1,"")</x:f>
        <x:v>-0.06931547597692922</x:v>
      </x:c>
      <x:c r="I900" s="38" t="b">
        <x:f t="shared" si="32">E900&lt;G900</x:f>
        <x:v>1</x:v>
      </x:c>
    </x:row>
    <x:row r="901">
      <x:c r="A901" s="31">
        <x:v>38306</x:v>
      </x:c>
      <x:c r="B901" s="32">
        <x:v>226.89</x:v>
      </x:c>
      <x:c r="C901" s="32">
        <x:v>226.89</x:v>
      </x:c>
      <x:c r="D901" s="32">
        <x:v>226.65</x:v>
      </x:c>
      <x:c r="E901" s="32">
        <x:v>226.65</x:v>
      </x:c>
      <x:c r="F901" s="33">
        <x:v>98220</x:v>
      </x:c>
      <x:c r="G901" s="32" t="n">
        <x:f t="shared" si="30">AVERAGE(E702:E901)</x:f>
        <x:v>244.03120000000013</x:v>
      </x:c>
      <x:c r="H901" s="37" t="n">
        <x:f t="shared" si="31">IFERROR(E901/G901-1,"")</x:f>
        <x:v>-0.0712253187297367</x:v>
      </x:c>
      <x:c r="I901" s="38" t="b">
        <x:f t="shared" si="32">E901&lt;G901</x:f>
        <x:v>1</x:v>
      </x:c>
    </x:row>
    <x:row r="902">
      <x:c r="A902" s="31">
        <x:v>38307</x:v>
      </x:c>
      <x:c r="B902" s="32">
        <x:v>226.72</x:v>
      </x:c>
      <x:c r="C902" s="32">
        <x:v>226.72</x:v>
      </x:c>
      <x:c r="D902" s="32">
        <x:v>226.07</x:v>
      </x:c>
      <x:c r="E902" s="32">
        <x:v>226.07</x:v>
      </x:c>
      <x:c r="F902" s="33">
        <x:v>82500</x:v>
      </x:c>
      <x:c r="G902" s="32" t="n">
        <x:f t="shared" si="30">AVERAGE(E703:E902)</x:f>
        <x:v>244.12025000000017</x:v>
      </x:c>
      <x:c r="H902" s="37" t="n">
        <x:f t="shared" si="31">IFERROR(E902/G902-1,"")</x:f>
        <x:v>-0.07393999473620139</x:v>
      </x:c>
      <x:c r="I902" s="38" t="b">
        <x:f t="shared" si="32">E902&lt;G902</x:f>
        <x:v>1</x:v>
      </x:c>
    </x:row>
    <x:row r="903">
      <x:c r="A903" s="31">
        <x:v>38308</x:v>
      </x:c>
      <x:c r="B903" s="32">
        <x:v>226.18</x:v>
      </x:c>
      <x:c r="C903" s="32">
        <x:v>226.18</x:v>
      </x:c>
      <x:c r="D903" s="32">
        <x:v>225.76</x:v>
      </x:c>
      <x:c r="E903" s="32">
        <x:v>225.76</x:v>
      </x:c>
      <x:c r="F903" s="33">
        <x:v>81450</x:v>
      </x:c>
      <x:c r="G903" s="32" t="n">
        <x:f t="shared" si="30">AVERAGE(E704:E903)</x:f>
        <x:v>244.1724000000002</x:v>
      </x:c>
      <x:c r="H903" s="37" t="n">
        <x:f t="shared" si="31">IFERROR(E903/G903-1,"")</x:f>
        <x:v>-0.0754073760998385</x:v>
      </x:c>
      <x:c r="I903" s="38" t="b">
        <x:f t="shared" si="32">E903&lt;G903</x:f>
        <x:v>1</x:v>
      </x:c>
    </x:row>
    <x:row r="904">
      <x:c r="A904" s="31">
        <x:v>38309</x:v>
      </x:c>
      <x:c r="B904" s="32">
        <x:v>225.48</x:v>
      </x:c>
      <x:c r="C904" s="32">
        <x:v>225.65</x:v>
      </x:c>
      <x:c r="D904" s="32">
        <x:v>225.48</x:v>
      </x:c>
      <x:c r="E904" s="32">
        <x:v>225.65</x:v>
      </x:c>
      <x:c r="F904" s="33">
        <x:v>113460</x:v>
      </x:c>
      <x:c r="G904" s="32" t="n">
        <x:f t="shared" si="30">AVERAGE(E705:E904)</x:f>
        <x:v>244.23355000000018</x:v>
      </x:c>
      <x:c r="H904" s="37" t="n">
        <x:f t="shared" si="31">IFERROR(E904/G904-1,"")</x:f>
        <x:v>-0.07608925964512314</x:v>
      </x:c>
      <x:c r="I904" s="38" t="b">
        <x:f t="shared" si="32">E904&lt;G904</x:f>
        <x:v>1</x:v>
      </x:c>
    </x:row>
    <x:row r="905">
      <x:c r="A905" s="31">
        <x:v>38310</x:v>
      </x:c>
      <x:c r="B905" s="32">
        <x:v>224.14</x:v>
      </x:c>
      <x:c r="C905" s="32">
        <x:v>224.72</x:v>
      </x:c>
      <x:c r="D905" s="32">
        <x:v>224.14</x:v>
      </x:c>
      <x:c r="E905" s="32">
        <x:v>224.72</x:v>
      </x:c>
      <x:c r="F905" s="33">
        <x:v>100660</x:v>
      </x:c>
      <x:c r="G905" s="32" t="n">
        <x:f t="shared" si="30">AVERAGE(E706:E905)</x:f>
        <x:v>244.29440000000017</x:v>
      </x:c>
      <x:c r="H905" s="37" t="n">
        <x:f t="shared" si="31">IFERROR(E905/G905-1,"")</x:f>
        <x:v>-0.080126273872836</x:v>
      </x:c>
      <x:c r="I905" s="38" t="b">
        <x:f t="shared" si="32">E905&lt;G905</x:f>
        <x:v>1</x:v>
      </x:c>
    </x:row>
    <x:row r="906">
      <x:c r="A906" s="31">
        <x:v>38313</x:v>
      </x:c>
      <x:c r="B906" s="32">
        <x:v>224.82</x:v>
      </x:c>
      <x:c r="C906" s="32">
        <x:v>224.82</x:v>
      </x:c>
      <x:c r="D906" s="32">
        <x:v>223.85</x:v>
      </x:c>
      <x:c r="E906" s="32">
        <x:v>223.85</x:v>
      </x:c>
      <x:c r="F906" s="33">
        <x:v>177400</x:v>
      </x:c>
      <x:c r="G906" s="32" t="n">
        <x:f t="shared" si="30">AVERAGE(E707:E906)</x:f>
        <x:v>244.34865000000016</x:v>
      </x:c>
      <x:c r="H906" s="37" t="n">
        <x:f t="shared" si="31">IFERROR(E906/G906-1,"")</x:f>
        <x:v>-0.08389098937113082</x:v>
      </x:c>
      <x:c r="I906" s="38" t="b">
        <x:f t="shared" si="32">E906&lt;G906</x:f>
        <x:v>1</x:v>
      </x:c>
    </x:row>
    <x:row r="907">
      <x:c r="A907" s="31">
        <x:v>38314</x:v>
      </x:c>
      <x:c r="B907" s="32">
        <x:v>223.63</x:v>
      </x:c>
      <x:c r="C907" s="32">
        <x:v>223.63</x:v>
      </x:c>
      <x:c r="D907" s="32">
        <x:v>222.62</x:v>
      </x:c>
      <x:c r="E907" s="32">
        <x:v>222.62</x:v>
      </x:c>
      <x:c r="F907" s="33">
        <x:v>136020</x:v>
      </x:c>
      <x:c r="G907" s="32" t="n">
        <x:f t="shared" si="30">AVERAGE(E708:E907)</x:f>
        <x:v>244.39770000000019</x:v>
      </x:c>
      <x:c r="H907" s="37" t="n">
        <x:f t="shared" si="31">IFERROR(E907/G907-1,"")</x:f>
        <x:v>-0.08910763071829297</x:v>
      </x:c>
      <x:c r="I907" s="38" t="b">
        <x:f t="shared" si="32">E907&lt;G907</x:f>
        <x:v>1</x:v>
      </x:c>
    </x:row>
    <x:row r="908">
      <x:c r="A908" s="31">
        <x:v>38315</x:v>
      </x:c>
      <x:c r="B908" s="32">
        <x:v>222.24</x:v>
      </x:c>
      <x:c r="C908" s="32">
        <x:v>222.24</x:v>
      </x:c>
      <x:c r="D908" s="32">
        <x:v>221.89</x:v>
      </x:c>
      <x:c r="E908" s="32">
        <x:v>221.89</x:v>
      </x:c>
      <x:c r="F908" s="33">
        <x:v>159840</x:v>
      </x:c>
      <x:c r="G908" s="32" t="n">
        <x:f t="shared" si="30">AVERAGE(E709:E908)</x:f>
        <x:v>244.43835000000018</x:v>
      </x:c>
      <x:c r="H908" s="37" t="n">
        <x:f t="shared" si="31">IFERROR(E908/G908-1,"")</x:f>
        <x:v>-0.09224554984927769</x:v>
      </x:c>
      <x:c r="I908" s="38" t="b">
        <x:f t="shared" si="32">E908&lt;G908</x:f>
        <x:v>1</x:v>
      </x:c>
    </x:row>
    <x:row r="909">
      <x:c r="A909" s="31">
        <x:v>38316</x:v>
      </x:c>
      <x:c r="B909" s="32">
        <x:v>221.32</x:v>
      </x:c>
      <x:c r="C909" s="32">
        <x:v>221.33</x:v>
      </x:c>
      <x:c r="D909" s="32">
        <x:v>221.32</x:v>
      </x:c>
      <x:c r="E909" s="32">
        <x:v>221.33</x:v>
      </x:c>
      <x:c r="F909" s="33">
        <x:v>137330</x:v>
      </x:c>
      <x:c r="G909" s="32" t="n">
        <x:f t="shared" ref="G909:G972" si="33">AVERAGE(E710:E909)</x:f>
        <x:v>244.45950000000016</x:v>
      </x:c>
      <x:c r="H909" s="37" t="n">
        <x:f t="shared" ref="H909:H972" si="34">IFERROR(E909/G909-1,"")</x:f>
        <x:v>-0.09461485440328621</x:v>
      </x:c>
      <x:c r="I909" s="38" t="b">
        <x:f t="shared" ref="I909:I972" si="35">E909&lt;G909</x:f>
        <x:v>1</x:v>
      </x:c>
    </x:row>
    <x:row r="910">
      <x:c r="A910" s="31">
        <x:v>38317</x:v>
      </x:c>
      <x:c r="B910" s="32">
        <x:v>221.06</x:v>
      </x:c>
      <x:c r="C910" s="32">
        <x:v>221.69</x:v>
      </x:c>
      <x:c r="D910" s="32">
        <x:v>221.06</x:v>
      </x:c>
      <x:c r="E910" s="32">
        <x:v>221.69</x:v>
      </x:c>
      <x:c r="F910" s="33">
        <x:v>120270</x:v>
      </x:c>
      <x:c r="G910" s="32" t="n">
        <x:f t="shared" si="33">AVERAGE(E711:E910)</x:f>
        <x:v>244.47685000000016</x:v>
      </x:c>
      <x:c r="H910" s="37" t="n">
        <x:f t="shared" si="34">IFERROR(E910/G910-1,"")</x:f>
        <x:v>-0.09320657559192269</x:v>
      </x:c>
      <x:c r="I910" s="38" t="b">
        <x:f t="shared" si="35">E910&lt;G910</x:f>
        <x:v>1</x:v>
      </x:c>
    </x:row>
    <x:row r="911">
      <x:c r="A911" s="31">
        <x:v>38320</x:v>
      </x:c>
      <x:c r="B911" s="32">
        <x:v>222.12</x:v>
      </x:c>
      <x:c r="C911" s="32">
        <x:v>224.47</x:v>
      </x:c>
      <x:c r="D911" s="32">
        <x:v>222.12</x:v>
      </x:c>
      <x:c r="E911" s="32">
        <x:v>224.47</x:v>
      </x:c>
      <x:c r="F911" s="33">
        <x:v>186870</x:v>
      </x:c>
      <x:c r="G911" s="32" t="n">
        <x:f t="shared" si="33">AVERAGE(E712:E911)</x:f>
        <x:v>244.50390000000013</x:v>
      </x:c>
      <x:c r="H911" s="37" t="n">
        <x:f t="shared" si="34">IFERROR(E911/G911-1,"")</x:f>
        <x:v>-0.08193693433928917</x:v>
      </x:c>
      <x:c r="I911" s="38" t="b">
        <x:f t="shared" si="35">E911&lt;G911</x:f>
        <x:v>1</x:v>
      </x:c>
    </x:row>
    <x:row r="912">
      <x:c r="A912" s="31">
        <x:v>38321</x:v>
      </x:c>
      <x:c r="B912" s="32">
        <x:v>228.41</x:v>
      </x:c>
      <x:c r="C912" s="32">
        <x:v>229.56</x:v>
      </x:c>
      <x:c r="D912" s="32">
        <x:v>228.41</x:v>
      </x:c>
      <x:c r="E912" s="32">
        <x:v>229.56</x:v>
      </x:c>
      <x:c r="F912" s="33">
        <x:v>279520</x:v>
      </x:c>
      <x:c r="G912" s="32" t="n">
        <x:f t="shared" si="33">AVERAGE(E713:E912)</x:f>
        <x:v>244.54175000000015</x:v>
      </x:c>
      <x:c r="H912" s="37" t="n">
        <x:f t="shared" si="34">IFERROR(E912/G912-1,"")</x:f>
        <x:v>-0.061264589788860735</x:v>
      </x:c>
      <x:c r="I912" s="38" t="b">
        <x:f t="shared" si="35">E912&lt;G912</x:f>
        <x:v>1</x:v>
      </x:c>
    </x:row>
    <x:row r="913">
      <x:c r="A913" s="31">
        <x:v>38322</x:v>
      </x:c>
      <x:c r="B913" s="32">
        <x:v>233.51</x:v>
      </x:c>
      <x:c r="C913" s="32">
        <x:v>233.51</x:v>
      </x:c>
      <x:c r="D913" s="32">
        <x:v>232.08</x:v>
      </x:c>
      <x:c r="E913" s="32">
        <x:v>232.08</x:v>
      </x:c>
      <x:c r="F913" s="33">
        <x:v>301730</x:v>
      </x:c>
      <x:c r="G913" s="32" t="n">
        <x:f t="shared" si="33">AVERAGE(E714:E913)</x:f>
        <x:v>244.56380000000016</x:v>
      </x:c>
      <x:c r="H913" s="37" t="n">
        <x:f t="shared" si="34">IFERROR(E913/G913-1,"")</x:f>
        <x:v>-0.05104516694621253</x:v>
      </x:c>
      <x:c r="I913" s="38" t="b">
        <x:f t="shared" si="35">E913&lt;G913</x:f>
        <x:v>1</x:v>
      </x:c>
    </x:row>
    <x:row r="914">
      <x:c r="A914" s="31">
        <x:v>38323</x:v>
      </x:c>
      <x:c r="B914" s="32">
        <x:v>230.67</x:v>
      </x:c>
      <x:c r="C914" s="32">
        <x:v>230.67</x:v>
      </x:c>
      <x:c r="D914" s="32">
        <x:v>227.69</x:v>
      </x:c>
      <x:c r="E914" s="32">
        <x:v>227.69</x:v>
      </x:c>
      <x:c r="F914" s="33">
        <x:v>121140</x:v>
      </x:c>
      <x:c r="G914" s="32" t="n">
        <x:f t="shared" si="33">AVERAGE(E715:E914)</x:f>
        <x:v>244.52575000000016</x:v>
      </x:c>
      <x:c r="H914" s="37" t="n">
        <x:f t="shared" si="34">IFERROR(E914/G914-1,"")</x:f>
        <x:v>-0.06885062207150028</x:v>
      </x:c>
      <x:c r="I914" s="38" t="b">
        <x:f t="shared" si="35">E914&lt;G914</x:f>
        <x:v>1</x:v>
      </x:c>
    </x:row>
    <x:row r="915">
      <x:c r="A915" s="31">
        <x:v>38324</x:v>
      </x:c>
      <x:c r="B915" s="32">
        <x:v>228.15</x:v>
      </x:c>
      <x:c r="C915" s="32">
        <x:v>229.04</x:v>
      </x:c>
      <x:c r="D915" s="32">
        <x:v>228.15</x:v>
      </x:c>
      <x:c r="E915" s="32">
        <x:v>229.04</x:v>
      </x:c>
      <x:c r="F915" s="33">
        <x:v>121790</x:v>
      </x:c>
      <x:c r="G915" s="32" t="n">
        <x:f t="shared" si="33">AVERAGE(E716:E915)</x:f>
        <x:v>244.43920000000017</x:v>
      </x:c>
      <x:c r="H915" s="37" t="n">
        <x:f t="shared" si="34">IFERROR(E915/G915-1,"")</x:f>
        <x:v>-0.06299807886787456</x:v>
      </x:c>
      <x:c r="I915" s="38" t="b">
        <x:f t="shared" si="35">E915&lt;G915</x:f>
        <x:v>1</x:v>
      </x:c>
    </x:row>
    <x:row r="916">
      <x:c r="A916" s="31">
        <x:v>38327</x:v>
      </x:c>
      <x:c r="B916" s="32">
        <x:v>229.59</x:v>
      </x:c>
      <x:c r="C916" s="32">
        <x:v>229.59</x:v>
      </x:c>
      <x:c r="D916" s="32">
        <x:v>228.93</x:v>
      </x:c>
      <x:c r="E916" s="32">
        <x:v>228.93</x:v>
      </x:c>
      <x:c r="F916" s="33">
        <x:v>131210</x:v>
      </x:c>
      <x:c r="G916" s="32" t="n">
        <x:f t="shared" si="33">AVERAGE(E717:E916)</x:f>
        <x:v>244.30885000000012</x:v>
      </x:c>
      <x:c r="H916" s="37" t="n">
        <x:f t="shared" si="34">IFERROR(E916/G916-1,"")</x:f>
        <x:v>-0.06294839503358185</x:v>
      </x:c>
      <x:c r="I916" s="38" t="b">
        <x:f t="shared" si="35">E916&lt;G916</x:f>
        <x:v>1</x:v>
      </x:c>
    </x:row>
    <x:row r="917">
      <x:c r="A917" s="31">
        <x:v>38328</x:v>
      </x:c>
      <x:c r="B917" s="32">
        <x:v>229.59</x:v>
      </x:c>
      <x:c r="C917" s="32">
        <x:v>229.81</x:v>
      </x:c>
      <x:c r="D917" s="32">
        <x:v>229.59</x:v>
      </x:c>
      <x:c r="E917" s="32">
        <x:v>229.81</x:v>
      </x:c>
      <x:c r="F917" s="33">
        <x:v>158840</x:v>
      </x:c>
      <x:c r="G917" s="32" t="n">
        <x:f t="shared" si="33">AVERAGE(E718:E917)</x:f>
        <x:v>244.18235000000013</x:v>
      </x:c>
      <x:c r="H917" s="37" t="n">
        <x:f t="shared" si="34">IFERROR(E917/G917-1,"")</x:f>
        <x:v>-0.05885908625254899</x:v>
      </x:c>
      <x:c r="I917" s="38" t="b">
        <x:f t="shared" si="35">E917&lt;G917</x:f>
        <x:v>1</x:v>
      </x:c>
    </x:row>
    <x:row r="918">
      <x:c r="A918" s="31">
        <x:v>38329</x:v>
      </x:c>
      <x:c r="B918" s="32">
        <x:v>229.55</x:v>
      </x:c>
      <x:c r="C918" s="32">
        <x:v>229.66</x:v>
      </x:c>
      <x:c r="D918" s="32">
        <x:v>229.55</x:v>
      </x:c>
      <x:c r="E918" s="32">
        <x:v>229.66</x:v>
      </x:c>
      <x:c r="F918" s="33">
        <x:v>124450</x:v>
      </x:c>
      <x:c r="G918" s="32" t="n">
        <x:f t="shared" si="33">AVERAGE(E719:E918)</x:f>
        <x:v>244.07745000000014</x:v>
      </x:c>
      <x:c r="H918" s="37" t="n">
        <x:f t="shared" si="34">IFERROR(E918/G918-1,"")</x:f>
        <x:v>-0.05906916021943087</x:v>
      </x:c>
      <x:c r="I918" s="38" t="b">
        <x:f t="shared" si="35">E918&lt;G918</x:f>
        <x:v>1</x:v>
      </x:c>
    </x:row>
    <x:row r="919">
      <x:c r="A919" s="31">
        <x:v>38330</x:v>
      </x:c>
      <x:c r="B919" s="32">
        <x:v>230.11</x:v>
      </x:c>
      <x:c r="C919" s="32">
        <x:v>230.11</x:v>
      </x:c>
      <x:c r="D919" s="32">
        <x:v>229.59</x:v>
      </x:c>
      <x:c r="E919" s="32">
        <x:v>229.59</x:v>
      </x:c>
      <x:c r="F919" s="33">
        <x:v>67590</x:v>
      </x:c>
      <x:c r="G919" s="32" t="n">
        <x:f t="shared" si="33">AVERAGE(E720:E919)</x:f>
        <x:v>243.92240000000012</x:v>
      </x:c>
      <x:c r="H919" s="37" t="n">
        <x:f t="shared" si="34">IFERROR(E919/G919-1,"")</x:f>
        <x:v>-0.05875803124272361</x:v>
      </x:c>
      <x:c r="I919" s="38" t="b">
        <x:f t="shared" si="35">E919&lt;G919</x:f>
        <x:v>1</x:v>
      </x:c>
    </x:row>
    <x:row r="920">
      <x:c r="A920" s="31">
        <x:v>38331</x:v>
      </x:c>
      <x:c r="B920" s="32">
        <x:v>229.63</x:v>
      </x:c>
      <x:c r="C920" s="32">
        <x:v>230.11</x:v>
      </x:c>
      <x:c r="D920" s="32">
        <x:v>230.1</x:v>
      </x:c>
      <x:c r="E920" s="32">
        <x:v>230.1</x:v>
      </x:c>
      <x:c r="F920" s="33">
        <x:v>115910</x:v>
      </x:c>
      <x:c r="G920" s="32" t="n">
        <x:f t="shared" si="33">AVERAGE(E721:E920)</x:f>
        <x:v>243.71565000000007</x:v>
      </x:c>
      <x:c r="H920" s="37" t="n">
        <x:f t="shared" si="34">IFERROR(E920/G920-1,"")</x:f>
        <x:v>-0.05586694986555052</x:v>
      </x:c>
      <x:c r="I920" s="38" t="b">
        <x:f t="shared" si="35">E920&lt;G920</x:f>
        <x:v>1</x:v>
      </x:c>
    </x:row>
    <x:row r="921">
      <x:c r="A921" s="31">
        <x:v>38334</x:v>
      </x:c>
      <x:c r="B921" s="32">
        <x:v>231.02</x:v>
      </x:c>
      <x:c r="C921" s="32">
        <x:v>231.02</x:v>
      </x:c>
      <x:c r="D921" s="32">
        <x:v>230.71</x:v>
      </x:c>
      <x:c r="E921" s="32">
        <x:v>230.71</x:v>
      </x:c>
      <x:c r="F921" s="33">
        <x:v>92620</x:v>
      </x:c>
      <x:c r="G921" s="32" t="n">
        <x:f t="shared" si="33">AVERAGE(E722:E921)</x:f>
        <x:v>243.50205000000005</x:v>
      </x:c>
      <x:c r="H921" s="37" t="n">
        <x:f t="shared" si="34">IFERROR(E921/G921-1,"")</x:f>
        <x:v>-0.05253364396726867</x:v>
      </x:c>
      <x:c r="I921" s="38" t="b">
        <x:f t="shared" si="35">E921&lt;G921</x:f>
        <x:v>1</x:v>
      </x:c>
    </x:row>
    <x:row r="922">
      <x:c r="A922" s="31">
        <x:v>38335</x:v>
      </x:c>
      <x:c r="B922" s="32">
        <x:v>230.71</x:v>
      </x:c>
      <x:c r="C922" s="32">
        <x:v>230.72</x:v>
      </x:c>
      <x:c r="D922" s="32">
        <x:v>230.71</x:v>
      </x:c>
      <x:c r="E922" s="32">
        <x:v>230.72</x:v>
      </x:c>
      <x:c r="F922" s="33">
        <x:v>115020</x:v>
      </x:c>
      <x:c r="G922" s="32" t="n">
        <x:f t="shared" si="33">AVERAGE(E723:E922)</x:f>
        <x:v>243.30635000000007</x:v>
      </x:c>
      <x:c r="H922" s="37" t="n">
        <x:f t="shared" si="34">IFERROR(E922/G922-1,"")</x:f>
        <x:v>-0.051730462439636526</x:v>
      </x:c>
      <x:c r="I922" s="38" t="b">
        <x:f t="shared" si="35">E922&lt;G922</x:f>
        <x:v>1</x:v>
      </x:c>
    </x:row>
    <x:row r="923">
      <x:c r="A923" s="31">
        <x:v>38336</x:v>
      </x:c>
      <x:c r="B923" s="32">
        <x:v>231.53</x:v>
      </x:c>
      <x:c r="C923" s="32">
        <x:v>232.06</x:v>
      </x:c>
      <x:c r="D923" s="32">
        <x:v>231.53</x:v>
      </x:c>
      <x:c r="E923" s="32">
        <x:v>232.06</x:v>
      </x:c>
      <x:c r="F923" s="33">
        <x:v>157590</x:v>
      </x:c>
      <x:c r="G923" s="32" t="n">
        <x:f t="shared" si="33">AVERAGE(E724:E923)</x:f>
        <x:v>243.1415000000001</x:v>
      </x:c>
      <x:c r="H923" s="37" t="n">
        <x:f t="shared" si="34">IFERROR(E923/G923-1,"")</x:f>
        <x:v>-0.045576341348556704</x:v>
      </x:c>
      <x:c r="I923" s="38" t="b">
        <x:f t="shared" si="35">E923&lt;G923</x:f>
        <x:v>1</x:v>
      </x:c>
    </x:row>
    <x:row r="924">
      <x:c r="A924" s="31">
        <x:v>38337</x:v>
      </x:c>
      <x:c r="B924" s="32">
        <x:v>232.18</x:v>
      </x:c>
      <x:c r="C924" s="32">
        <x:v>232.57</x:v>
      </x:c>
      <x:c r="D924" s="32">
        <x:v>232.18</x:v>
      </x:c>
      <x:c r="E924" s="32">
        <x:v>232.57</x:v>
      </x:c>
      <x:c r="F924" s="33">
        <x:v>202560</x:v>
      </x:c>
      <x:c r="G924" s="32" t="n">
        <x:f t="shared" si="33">AVERAGE(E725:E924)</x:f>
        <x:v>242.9667000000001</x:v>
      </x:c>
      <x:c r="H924" s="37" t="n">
        <x:f t="shared" si="34">IFERROR(E924/G924-1,"")</x:f>
        <x:v>-0.04279063756473667</x:v>
      </x:c>
      <x:c r="I924" s="38" t="b">
        <x:f t="shared" si="35">E924&lt;G924</x:f>
        <x:v>1</x:v>
      </x:c>
    </x:row>
    <x:row r="925">
      <x:c r="A925" s="31">
        <x:v>38338</x:v>
      </x:c>
      <x:c r="B925" s="32">
        <x:v>233.56</x:v>
      </x:c>
      <x:c r="C925" s="32">
        <x:v>233.93</x:v>
      </x:c>
      <x:c r="D925" s="32">
        <x:v>233.56</x:v>
      </x:c>
      <x:c r="E925" s="32">
        <x:v>233.93</x:v>
      </x:c>
      <x:c r="F925" s="33">
        <x:v>221590</x:v>
      </x:c>
      <x:c r="G925" s="32" t="n">
        <x:f t="shared" si="33">AVERAGE(E726:E925)</x:f>
        <x:v>242.8123000000001</x:v>
      </x:c>
      <x:c r="H925" s="37" t="n">
        <x:f t="shared" si="34">IFERROR(E925/G925-1,"")</x:f>
        <x:v>-0.03658093103191273</x:v>
      </x:c>
      <x:c r="I925" s="38" t="b">
        <x:f t="shared" si="35">E925&lt;G925</x:f>
        <x:v>1</x:v>
      </x:c>
    </x:row>
    <x:row r="926">
      <x:c r="A926" s="31">
        <x:v>38341</x:v>
      </x:c>
      <x:c r="B926" s="32">
        <x:v>234.12</x:v>
      </x:c>
      <x:c r="C926" s="32">
        <x:v>234.32</x:v>
      </x:c>
      <x:c r="D926" s="32">
        <x:v>234.12</x:v>
      </x:c>
      <x:c r="E926" s="32">
        <x:v>234.32</x:v>
      </x:c>
      <x:c r="F926" s="33">
        <x:v>213420</x:v>
      </x:c>
      <x:c r="G926" s="32" t="n">
        <x:f t="shared" si="33">AVERAGE(E727:E926)</x:f>
        <x:v>242.70230000000006</x:v>
      </x:c>
      <x:c r="H926" s="37" t="n">
        <x:f t="shared" si="34">IFERROR(E926/G926-1,"")</x:f>
        <x:v>-0.03453737356423925</x:v>
      </x:c>
      <x:c r="I926" s="38" t="b">
        <x:f t="shared" si="35">E926&lt;G926</x:f>
        <x:v>1</x:v>
      </x:c>
    </x:row>
    <x:row r="927">
      <x:c r="A927" s="31">
        <x:v>38342</x:v>
      </x:c>
      <x:c r="B927" s="32">
        <x:v>234.01</x:v>
      </x:c>
      <x:c r="C927" s="32">
        <x:v>234.01</x:v>
      </x:c>
      <x:c r="D927" s="32">
        <x:v>233.59</x:v>
      </x:c>
      <x:c r="E927" s="32">
        <x:v>233.59</x:v>
      </x:c>
      <x:c r="F927" s="33">
        <x:v>179680</x:v>
      </x:c>
      <x:c r="G927" s="32" t="n">
        <x:f t="shared" si="33">AVERAGE(E728:E927)</x:f>
        <x:v>242.59290000000007</x:v>
      </x:c>
      <x:c r="H927" s="37" t="n">
        <x:f t="shared" si="34">IFERROR(E927/G927-1,"")</x:f>
        <x:v>-0.037111143813360004</x:v>
      </x:c>
      <x:c r="I927" s="38" t="b">
        <x:f t="shared" si="35">E927&lt;G927</x:f>
        <x:v>1</x:v>
      </x:c>
    </x:row>
    <x:row r="928">
      <x:c r="A928" s="31">
        <x:v>38343</x:v>
      </x:c>
      <x:c r="B928" s="32">
        <x:v>234.41</x:v>
      </x:c>
      <x:c r="C928" s="32">
        <x:v>235.45</x:v>
      </x:c>
      <x:c r="D928" s="32">
        <x:v>234.41</x:v>
      </x:c>
      <x:c r="E928" s="32">
        <x:v>235.45</x:v>
      </x:c>
      <x:c r="F928" s="33">
        <x:v>136140</x:v>
      </x:c>
      <x:c r="G928" s="32" t="n">
        <x:f t="shared" si="33">AVERAGE(E729:E928)</x:f>
        <x:v>242.46405000000007</x:v>
      </x:c>
      <x:c r="H928" s="37" t="n">
        <x:f t="shared" si="34">IFERROR(E928/G928-1,"")</x:f>
        <x:v>-0.02892820605776436</x:v>
      </x:c>
      <x:c r="I928" s="38" t="b">
        <x:f t="shared" si="35">E928&lt;G928</x:f>
        <x:v>1</x:v>
      </x:c>
    </x:row>
    <x:row r="929">
      <x:c r="A929" s="31">
        <x:v>38344</x:v>
      </x:c>
      <x:c r="B929" s="32">
        <x:v>237.15</x:v>
      </x:c>
      <x:c r="C929" s="32">
        <x:v>237.15</x:v>
      </x:c>
      <x:c r="D929" s="32">
        <x:v>236.9</x:v>
      </x:c>
      <x:c r="E929" s="32">
        <x:v>236.9</x:v>
      </x:c>
      <x:c r="F929" s="33">
        <x:v>201150</x:v>
      </x:c>
      <x:c r="G929" s="32" t="n">
        <x:f t="shared" si="33">AVERAGE(E730:E929)</x:f>
        <x:v>242.33415000000008</x:v>
      </x:c>
      <x:c r="H929" s="37" t="n">
        <x:f t="shared" si="34">IFERROR(E929/G929-1,"")</x:f>
        <x:v>-0.022424202284325512</x:v>
      </x:c>
      <x:c r="I929" s="38" t="b">
        <x:f t="shared" si="35">E929&lt;G929</x:f>
        <x:v>1</x:v>
      </x:c>
    </x:row>
    <x:row r="930">
      <x:c r="A930" s="31">
        <x:v>38345</x:v>
      </x:c>
      <x:c r="B930" s="32">
        <x:v>239.28</x:v>
      </x:c>
      <x:c r="C930" s="32">
        <x:v>240.24</x:v>
      </x:c>
      <x:c r="D930" s="32">
        <x:v>239.28</x:v>
      </x:c>
      <x:c r="E930" s="32">
        <x:v>240.24</x:v>
      </x:c>
      <x:c r="F930" s="33">
        <x:v>466140</x:v>
      </x:c>
      <x:c r="G930" s="32" t="n">
        <x:f t="shared" si="33">AVERAGE(E731:E930)</x:f>
        <x:v>242.21280000000002</x:v>
      </x:c>
      <x:c r="H930" s="37" t="n">
        <x:f t="shared" si="34">IFERROR(E930/G930-1,"")</x:f>
        <x:v>-0.008144903985255914</x:v>
      </x:c>
      <x:c r="I930" s="38" t="b">
        <x:f t="shared" si="35">E930&lt;G930</x:f>
        <x:v>1</x:v>
      </x:c>
    </x:row>
    <x:row r="931">
      <x:c r="A931" s="31">
        <x:v>38348</x:v>
      </x:c>
      <x:c r="B931" s="32">
        <x:v>240.49</x:v>
      </x:c>
      <x:c r="C931" s="32">
        <x:v>240.49</x:v>
      </x:c>
      <x:c r="D931" s="32">
        <x:v>239.89</x:v>
      </x:c>
      <x:c r="E931" s="32">
        <x:v>239.89</x:v>
      </x:c>
      <x:c r="F931" s="33">
        <x:v>343000</x:v>
      </x:c>
      <x:c r="G931" s="32" t="n">
        <x:f t="shared" si="33">AVERAGE(E732:E931)</x:f>
        <x:v>242.09675000000004</x:v>
      </x:c>
      <x:c r="H931" s="37" t="n">
        <x:f t="shared" si="34">IFERROR(E931/G931-1,"")</x:f>
        <x:v>-0.009115157473200464</x:v>
      </x:c>
      <x:c r="I931" s="38" t="b">
        <x:f t="shared" si="35">E931&lt;G931</x:f>
        <x:v>1</x:v>
      </x:c>
    </x:row>
    <x:row r="932">
      <x:c r="A932" s="31">
        <x:v>38349</x:v>
      </x:c>
      <x:c r="B932" s="32">
        <x:v>240.5</x:v>
      </x:c>
      <x:c r="C932" s="32">
        <x:v>240.5</x:v>
      </x:c>
      <x:c r="D932" s="32">
        <x:v>239.49</x:v>
      </x:c>
      <x:c r="E932" s="32">
        <x:v>239.49</x:v>
      </x:c>
      <x:c r="F932" s="33">
        <x:v>198320</x:v>
      </x:c>
      <x:c r="G932" s="32" t="n">
        <x:f t="shared" si="33">AVERAGE(E733:E932)</x:f>
        <x:v>241.99065000000002</x:v>
      </x:c>
      <x:c r="H932" s="37" t="n">
        <x:f t="shared" si="34">IFERROR(E932/G932-1,"")</x:f>
        <x:v>-0.010333663717999042</x:v>
      </x:c>
      <x:c r="I932" s="38" t="b">
        <x:f t="shared" si="35">E932&lt;G932</x:f>
        <x:v>1</x:v>
      </x:c>
    </x:row>
    <x:row r="933">
      <x:c r="A933" s="31">
        <x:v>38350</x:v>
      </x:c>
      <x:c r="B933" s="32">
        <x:v>237.65</x:v>
      </x:c>
      <x:c r="C933" s="32">
        <x:v>237.65</x:v>
      </x:c>
      <x:c r="D933" s="32">
        <x:v>237.56</x:v>
      </x:c>
      <x:c r="E933" s="32">
        <x:v>237.56</x:v>
      </x:c>
      <x:c r="F933" s="33">
        <x:v>171340</x:v>
      </x:c>
      <x:c r="G933" s="32" t="n">
        <x:f t="shared" si="33">AVERAGE(E734:E933)</x:f>
        <x:v>241.87075000000002</x:v>
      </x:c>
      <x:c r="H933" s="37" t="n">
        <x:f t="shared" si="34">IFERROR(E933/G933-1,"")</x:f>
        <x:v>-0.017822535383050675</x:v>
      </x:c>
      <x:c r="I933" s="38" t="b">
        <x:f t="shared" si="35">E933&lt;G933</x:f>
        <x:v>1</x:v>
      </x:c>
    </x:row>
    <x:row r="934">
      <x:c r="A934" s="31">
        <x:v>38351</x:v>
      </x:c>
      <x:c r="B934" s="32">
        <x:v>237.03</x:v>
      </x:c>
      <x:c r="C934" s="32">
        <x:v>237.51</x:v>
      </x:c>
      <x:c r="D934" s="32">
        <x:v>237.03</x:v>
      </x:c>
      <x:c r="E934" s="32">
        <x:v>237.51</x:v>
      </x:c>
      <x:c r="F934" s="33">
        <x:v>164460</x:v>
      </x:c>
      <x:c r="G934" s="32" t="n">
        <x:f t="shared" si="33">AVERAGE(E735:E934)</x:f>
        <x:v>241.74875000000003</x:v>
      </x:c>
      <x:c r="H934" s="37" t="n">
        <x:f t="shared" si="34">IFERROR(E934/G934-1,"")</x:f>
        <x:v>-0.01753369976059871</x:v>
      </x:c>
      <x:c r="I934" s="38" t="b">
        <x:f t="shared" si="35">E934&lt;G934</x:f>
        <x:v>1</x:v>
      </x:c>
    </x:row>
    <x:row r="935">
      <x:c r="A935" s="31">
        <x:v>38352</x:v>
      </x:c>
      <x:c r="B935" s="32">
        <x:v>237.59</x:v>
      </x:c>
      <x:c r="C935" s="32">
        <x:v>239.29</x:v>
      </x:c>
      <x:c r="D935" s="32">
        <x:v>237.59</x:v>
      </x:c>
      <x:c r="E935" s="32">
        <x:v>239.29</x:v>
      </x:c>
      <x:c r="F935" s="33">
        <x:v>248000</x:v>
      </x:c>
      <x:c r="G935" s="32" t="n">
        <x:f t="shared" si="33">AVERAGE(E736:E935)</x:f>
        <x:v>241.63785000000004</x:v>
      </x:c>
      <x:c r="H935" s="37" t="n">
        <x:f t="shared" si="34">IFERROR(E935/G935-1,"")</x:f>
        <x:v>-0.009716399976245627</x:v>
      </x:c>
      <x:c r="I935" s="38" t="b">
        <x:f t="shared" si="35">E935&lt;G935</x:f>
        <x:v>1</x:v>
      </x:c>
    </x:row>
    <x:row r="936">
      <x:c r="A936" s="31">
        <x:v>38356</x:v>
      </x:c>
      <x:c r="B936" s="32">
        <x:v>238.39</x:v>
      </x:c>
      <x:c r="C936" s="32">
        <x:v>238.39</x:v>
      </x:c>
      <x:c r="D936" s="32">
        <x:v>237.23</x:v>
      </x:c>
      <x:c r="E936" s="32">
        <x:v>237.23</x:v>
      </x:c>
      <x:c r="F936" s="33">
        <x:v>116280</x:v>
      </x:c>
      <x:c r="G936" s="32" t="n">
        <x:f t="shared" si="33">AVERAGE(E737:E936)</x:f>
        <x:v>241.53695000000005</x:v>
      </x:c>
      <x:c r="H936" s="37" t="n">
        <x:f t="shared" si="34">IFERROR(E936/G936-1,"")</x:f>
        <x:v>-0.017831433244479</x:v>
      </x:c>
      <x:c r="I936" s="38" t="b">
        <x:f t="shared" si="35">E936&lt;G936</x:f>
        <x:v>1</x:v>
      </x:c>
    </x:row>
    <x:row r="937">
      <x:c r="A937" s="31">
        <x:v>38357</x:v>
      </x:c>
      <x:c r="B937" s="32">
        <x:v>236.93</x:v>
      </x:c>
      <x:c r="C937" s="32">
        <x:v>236.93</x:v>
      </x:c>
      <x:c r="D937" s="32">
        <x:v>236.72</x:v>
      </x:c>
      <x:c r="E937" s="32">
        <x:v>236.72</x:v>
      </x:c>
      <x:c r="F937" s="33">
        <x:v>121640</x:v>
      </x:c>
      <x:c r="G937" s="32" t="n">
        <x:f t="shared" si="33">AVERAGE(E738:E937)</x:f>
        <x:v>241.43390000000002</x:v>
      </x:c>
      <x:c r="H937" s="37" t="n">
        <x:f t="shared" si="34">IFERROR(E937/G937-1,"")</x:f>
        <x:v>-0.01952459865826639</x:v>
      </x:c>
      <x:c r="I937" s="38" t="b">
        <x:f t="shared" si="35">E937&lt;G937</x:f>
        <x:v>1</x:v>
      </x:c>
    </x:row>
    <x:row r="938">
      <x:c r="A938" s="31">
        <x:v>38358</x:v>
      </x:c>
      <x:c r="B938" s="32">
        <x:v>236.06</x:v>
      </x:c>
      <x:c r="C938" s="32">
        <x:v>236.06</x:v>
      </x:c>
      <x:c r="D938" s="32">
        <x:v>235.53</x:v>
      </x:c>
      <x:c r="E938" s="32">
        <x:v>235.53</x:v>
      </x:c>
      <x:c r="F938" s="33">
        <x:v>162000</x:v>
      </x:c>
      <x:c r="G938" s="32" t="n">
        <x:f t="shared" si="33">AVERAGE(E739:E938)</x:f>
        <x:v>241.287</x:v>
      </x:c>
      <x:c r="H938" s="37" t="n">
        <x:f t="shared" si="34">IFERROR(E938/G938-1,"")</x:f>
        <x:v>-0.02385955314625321</x:v>
      </x:c>
      <x:c r="I938" s="38" t="b">
        <x:f t="shared" si="35">E938&lt;G938</x:f>
        <x:v>1</x:v>
      </x:c>
    </x:row>
    <x:row r="939">
      <x:c r="A939" s="31">
        <x:v>38359</x:v>
      </x:c>
      <x:c r="B939" s="32">
        <x:v>235.17</x:v>
      </x:c>
      <x:c r="C939" s="32">
        <x:v>235.38</x:v>
      </x:c>
      <x:c r="D939" s="32">
        <x:v>235.17</x:v>
      </x:c>
      <x:c r="E939" s="32">
        <x:v>235.38</x:v>
      </x:c>
      <x:c r="F939" s="33">
        <x:v>75150</x:v>
      </x:c>
      <x:c r="G939" s="32" t="n">
        <x:f t="shared" si="33">AVERAGE(E740:E939)</x:f>
        <x:v>241.1024</x:v>
      </x:c>
      <x:c r="H939" s="37" t="n">
        <x:f t="shared" si="34">IFERROR(E939/G939-1,"")</x:f>
        <x:v>-0.023734313718984157</x:v>
      </x:c>
      <x:c r="I939" s="38" t="b">
        <x:f t="shared" si="35">E939&lt;G939</x:f>
        <x:v>1</x:v>
      </x:c>
    </x:row>
    <x:row r="940">
      <x:c r="A940" s="31">
        <x:v>38362</x:v>
      </x:c>
      <x:c r="B940" s="32">
        <x:v>234.57</x:v>
      </x:c>
      <x:c r="C940" s="32">
        <x:v>234.57</x:v>
      </x:c>
      <x:c r="D940" s="32">
        <x:v>233.97</x:v>
      </x:c>
      <x:c r="E940" s="32">
        <x:v>233.97</x:v>
      </x:c>
      <x:c r="F940" s="33">
        <x:v>71290</x:v>
      </x:c>
      <x:c r="G940" s="32" t="n">
        <x:f t="shared" si="33">AVERAGE(E741:E940)</x:f>
        <x:v>240.89395000000002</x:v>
      </x:c>
      <x:c r="H940" s="37" t="n">
        <x:f t="shared" si="34">IFERROR(E940/G940-1,"")</x:f>
        <x:v>-0.028742730981828335</x:v>
      </x:c>
      <x:c r="I940" s="38" t="b">
        <x:f t="shared" si="35">E940&lt;G940</x:f>
        <x:v>1</x:v>
      </x:c>
    </x:row>
    <x:row r="941">
      <x:c r="A941" s="31">
        <x:v>38363</x:v>
      </x:c>
      <x:c r="B941" s="32">
        <x:v>235.01</x:v>
      </x:c>
      <x:c r="C941" s="32">
        <x:v>235.01</x:v>
      </x:c>
      <x:c r="D941" s="32">
        <x:v>234.72</x:v>
      </x:c>
      <x:c r="E941" s="32">
        <x:v>234.72</x:v>
      </x:c>
      <x:c r="F941" s="33">
        <x:v>62850</x:v>
      </x:c>
      <x:c r="G941" s="32" t="n">
        <x:f t="shared" si="33">AVERAGE(E742:E941)</x:f>
        <x:v>240.70115</x:v>
      </x:c>
      <x:c r="H941" s="37" t="n">
        <x:f t="shared" si="34">IFERROR(E941/G941-1,"")</x:f>
        <x:v>-0.024848863414237976</x:v>
      </x:c>
      <x:c r="I941" s="38" t="b">
        <x:f t="shared" si="35">E941&lt;G941</x:f>
        <x:v>1</x:v>
      </x:c>
    </x:row>
    <x:row r="942">
      <x:c r="A942" s="31">
        <x:v>38364</x:v>
      </x:c>
      <x:c r="B942" s="32">
        <x:v>234.65</x:v>
      </x:c>
      <x:c r="C942" s="32">
        <x:v>234.83</x:v>
      </x:c>
      <x:c r="D942" s="32">
        <x:v>234.65</x:v>
      </x:c>
      <x:c r="E942" s="32">
        <x:v>234.83</x:v>
      </x:c>
      <x:c r="F942" s="33">
        <x:v>57590</x:v>
      </x:c>
      <x:c r="G942" s="32" t="n">
        <x:f t="shared" si="33">AVERAGE(E743:E942)</x:f>
        <x:v>240.48810000000006</x:v>
      </x:c>
      <x:c r="H942" s="37" t="n">
        <x:f t="shared" si="34">IFERROR(E942/G942-1,"")</x:f>
        <x:v>-0.023527567476311906</x:v>
      </x:c>
      <x:c r="I942" s="38" t="b">
        <x:f t="shared" si="35">E942&lt;G942</x:f>
        <x:v>1</x:v>
      </x:c>
    </x:row>
    <x:row r="943">
      <x:c r="A943" s="31">
        <x:v>38365</x:v>
      </x:c>
      <x:c r="B943" s="32">
        <x:v>235.34</x:v>
      </x:c>
      <x:c r="C943" s="32">
        <x:v>235.34</x:v>
      </x:c>
      <x:c r="D943" s="32">
        <x:v>234.47</x:v>
      </x:c>
      <x:c r="E943" s="32">
        <x:v>234.47</x:v>
      </x:c>
      <x:c r="F943" s="33">
        <x:v>65510</x:v>
      </x:c>
      <x:c r="G943" s="32" t="n">
        <x:f t="shared" si="33">AVERAGE(E744:E943)</x:f>
        <x:v>240.26190000000003</x:v>
      </x:c>
      <x:c r="H943" s="37" t="n">
        <x:f t="shared" si="34">IFERROR(E943/G943-1,"")</x:f>
        <x:v>-0.024106610328146205</x:v>
      </x:c>
      <x:c r="I943" s="38" t="b">
        <x:f t="shared" si="35">E943&lt;G943</x:f>
        <x:v>1</x:v>
      </x:c>
    </x:row>
    <x:row r="944">
      <x:c r="A944" s="31">
        <x:v>38366</x:v>
      </x:c>
      <x:c r="B944" s="32">
        <x:v>234.6</x:v>
      </x:c>
      <x:c r="C944" s="32">
        <x:v>235.85</x:v>
      </x:c>
      <x:c r="D944" s="32">
        <x:v>234.6</x:v>
      </x:c>
      <x:c r="E944" s="32">
        <x:v>235.85</x:v>
      </x:c>
      <x:c r="F944" s="33">
        <x:v>111480</x:v>
      </x:c>
      <x:c r="G944" s="32" t="n">
        <x:f t="shared" si="33">AVERAGE(E745:E944)</x:f>
        <x:v>240.07670000000002</x:v>
      </x:c>
      <x:c r="H944" s="37" t="n">
        <x:f t="shared" si="34">IFERROR(E944/G944-1,"")</x:f>
        <x:v>-0.017605623536145032</x:v>
      </x:c>
      <x:c r="I944" s="38" t="b">
        <x:f t="shared" si="35">E944&lt;G944</x:f>
        <x:v>1</x:v>
      </x:c>
    </x:row>
    <x:row r="945">
      <x:c r="A945" s="31">
        <x:v>38369</x:v>
      </x:c>
      <x:c r="B945" s="32">
        <x:v>236.05</x:v>
      </x:c>
      <x:c r="C945" s="32">
        <x:v>236.07</x:v>
      </x:c>
      <x:c r="D945" s="32">
        <x:v>236.05</x:v>
      </x:c>
      <x:c r="E945" s="32">
        <x:v>236.07</x:v>
      </x:c>
      <x:c r="F945" s="33">
        <x:v>126610</x:v>
      </x:c>
      <x:c r="G945" s="32" t="n">
        <x:f t="shared" si="33">AVERAGE(E746:E945)</x:f>
        <x:v>239.9036</x:v>
      </x:c>
      <x:c r="H945" s="37" t="n">
        <x:f t="shared" si="34">IFERROR(E945/G945-1,"")</x:f>
        <x:v>-0.01597975186699996</x:v>
      </x:c>
      <x:c r="I945" s="38" t="b">
        <x:f t="shared" si="35">E945&lt;G945</x:f>
        <x:v>1</x:v>
      </x:c>
    </x:row>
    <x:row r="946">
      <x:c r="A946" s="31">
        <x:v>38370</x:v>
      </x:c>
      <x:c r="B946" s="32">
        <x:v>236.32</x:v>
      </x:c>
      <x:c r="C946" s="32">
        <x:v>236.32</x:v>
      </x:c>
      <x:c r="D946" s="32">
        <x:v>235.33</x:v>
      </x:c>
      <x:c r="E946" s="32">
        <x:v>235.33</x:v>
      </x:c>
      <x:c r="F946" s="33">
        <x:v>150210</x:v>
      </x:c>
      <x:c r="G946" s="32" t="n">
        <x:f t="shared" si="33">AVERAGE(E747:E946)</x:f>
        <x:v>239.72375</x:v>
      </x:c>
      <x:c r="H946" s="37" t="n">
        <x:f t="shared" si="34">IFERROR(E946/G946-1,"")</x:f>
        <x:v>-0.018328388405404072</x:v>
      </x:c>
      <x:c r="I946" s="38" t="b">
        <x:f t="shared" si="35">E946&lt;G946</x:f>
        <x:v>1</x:v>
      </x:c>
    </x:row>
    <x:row r="947">
      <x:c r="A947" s="31">
        <x:v>38371</x:v>
      </x:c>
      <x:c r="B947" s="32">
        <x:v>234.15</x:v>
      </x:c>
      <x:c r="C947" s="32">
        <x:v>234.61</x:v>
      </x:c>
      <x:c r="D947" s="32">
        <x:v>234.15</x:v>
      </x:c>
      <x:c r="E947" s="32">
        <x:v>234.61</x:v>
      </x:c>
      <x:c r="F947" s="33">
        <x:v>84460</x:v>
      </x:c>
      <x:c r="G947" s="32" t="n">
        <x:f t="shared" si="33">AVERAGE(E748:E947)</x:f>
        <x:v>239.54945</x:v>
      </x:c>
      <x:c r="H947" s="37" t="n">
        <x:f t="shared" si="34">IFERROR(E947/G947-1,"")</x:f>
        <x:v>-0.020619750953300042</x:v>
      </x:c>
      <x:c r="I947" s="38" t="b">
        <x:f t="shared" si="35">E947&lt;G947</x:f>
        <x:v>1</x:v>
      </x:c>
    </x:row>
    <x:row r="948">
      <x:c r="A948" s="31">
        <x:v>38372</x:v>
      </x:c>
      <x:c r="B948" s="32">
        <x:v>234.75</x:v>
      </x:c>
      <x:c r="C948" s="32">
        <x:v>234.75</x:v>
      </x:c>
      <x:c r="D948" s="32">
        <x:v>234.59</x:v>
      </x:c>
      <x:c r="E948" s="32">
        <x:v>234.59</x:v>
      </x:c>
      <x:c r="F948" s="33">
        <x:v>111450</x:v>
      </x:c>
      <x:c r="G948" s="32" t="n">
        <x:f t="shared" si="33">AVERAGE(E749:E948)</x:f>
        <x:v>239.41004999999998</x:v>
      </x:c>
      <x:c r="H948" s="37" t="n">
        <x:f t="shared" si="34">IFERROR(E948/G948-1,"")</x:f>
        <x:v>-0.020133031173920957</x:v>
      </x:c>
      <x:c r="I948" s="38" t="b">
        <x:f t="shared" si="35">E948&lt;G948</x:f>
        <x:v>1</x:v>
      </x:c>
    </x:row>
    <x:row r="949">
      <x:c r="A949" s="31">
        <x:v>38373</x:v>
      </x:c>
      <x:c r="B949" s="32">
        <x:v>235.75</x:v>
      </x:c>
      <x:c r="C949" s="32">
        <x:v>236.07</x:v>
      </x:c>
      <x:c r="D949" s="32">
        <x:v>235.75</x:v>
      </x:c>
      <x:c r="E949" s="32">
        <x:v>236.07</x:v>
      </x:c>
      <x:c r="F949" s="33">
        <x:v>135610</x:v>
      </x:c>
      <x:c r="G949" s="32" t="n">
        <x:f t="shared" si="33">AVERAGE(E750:E949)</x:f>
        <x:v>239.29214999999996</x:v>
      </x:c>
      <x:c r="H949" s="37" t="n">
        <x:f t="shared" si="34">IFERROR(E949/G949-1,"")</x:f>
        <x:v>-0.013465339335201665</x:v>
      </x:c>
      <x:c r="I949" s="38" t="b">
        <x:f t="shared" si="35">E949&lt;G949</x:f>
        <x:v>1</x:v>
      </x:c>
    </x:row>
    <x:row r="950">
      <x:c r="A950" s="31">
        <x:v>38376</x:v>
      </x:c>
      <x:c r="B950" s="32">
        <x:v>235.98</x:v>
      </x:c>
      <x:c r="C950" s="32">
        <x:v>235.98</x:v>
      </x:c>
      <x:c r="D950" s="32">
        <x:v>234.7</x:v>
      </x:c>
      <x:c r="E950" s="32">
        <x:v>234.7</x:v>
      </x:c>
      <x:c r="F950" s="33">
        <x:v>179260</x:v>
      </x:c>
      <x:c r="G950" s="32" t="n">
        <x:f t="shared" si="33">AVERAGE(E751:E950)</x:f>
        <x:v>239.19359999999998</x:v>
      </x:c>
      <x:c r="H950" s="37" t="n">
        <x:f t="shared" si="34">IFERROR(E950/G950-1,"")</x:f>
        <x:v>-0.018786455824905013</x:v>
      </x:c>
      <x:c r="I950" s="38" t="b">
        <x:f t="shared" si="35">E950&lt;G950</x:f>
        <x:v>1</x:v>
      </x:c>
    </x:row>
    <x:row r="951">
      <x:c r="A951" s="31">
        <x:v>38377</x:v>
      </x:c>
      <x:c r="B951" s="32">
        <x:v>234.47</x:v>
      </x:c>
      <x:c r="C951" s="32">
        <x:v>234.58</x:v>
      </x:c>
      <x:c r="D951" s="32">
        <x:v>234.47</x:v>
      </x:c>
      <x:c r="E951" s="32">
        <x:v>234.58</x:v>
      </x:c>
      <x:c r="F951" s="33">
        <x:v>141120</x:v>
      </x:c>
      <x:c r="G951" s="32" t="n">
        <x:f t="shared" si="33">AVERAGE(E752:E951)</x:f>
        <x:v>239.11389999999992</x:v>
      </x:c>
      <x:c r="H951" s="37" t="n">
        <x:f t="shared" si="34">IFERROR(E951/G951-1,"")</x:f>
        <x:v>-0.018961256539247184</x:v>
      </x:c>
      <x:c r="I951" s="38" t="b">
        <x:f t="shared" si="35">E951&lt;G951</x:f>
        <x:v>1</x:v>
      </x:c>
    </x:row>
    <x:row r="952">
      <x:c r="A952" s="31">
        <x:v>38378</x:v>
      </x:c>
      <x:c r="B952" s="32">
        <x:v>234.72</x:v>
      </x:c>
      <x:c r="C952" s="32">
        <x:v>234.91</x:v>
      </x:c>
      <x:c r="D952" s="32">
        <x:v>234.72</x:v>
      </x:c>
      <x:c r="E952" s="32">
        <x:v>234.91</x:v>
      </x:c>
      <x:c r="F952" s="33">
        <x:v>66460</x:v>
      </x:c>
      <x:c r="G952" s="32" t="n">
        <x:f t="shared" si="33">AVERAGE(E753:E952)</x:f>
        <x:v>239.03224999999998</x:v>
      </x:c>
      <x:c r="H952" s="37" t="n">
        <x:f t="shared" si="34">IFERROR(E952/G952-1,"")</x:f>
        <x:v>-0.017245580878730737</x:v>
      </x:c>
      <x:c r="I952" s="38" t="b">
        <x:f t="shared" si="35">E952&lt;G952</x:f>
        <x:v>1</x:v>
      </x:c>
    </x:row>
    <x:row r="953">
      <x:c r="A953" s="31">
        <x:v>38379</x:v>
      </x:c>
      <x:c r="B953" s="32">
        <x:v>234.28</x:v>
      </x:c>
      <x:c r="C953" s="32">
        <x:v>234.28</x:v>
      </x:c>
      <x:c r="D953" s="32">
        <x:v>233.76</x:v>
      </x:c>
      <x:c r="E953" s="32">
        <x:v>233.76</x:v>
      </x:c>
      <x:c r="F953" s="33">
        <x:v>133650</x:v>
      </x:c>
      <x:c r="G953" s="32" t="n">
        <x:f t="shared" si="33">AVERAGE(E754:E953)</x:f>
        <x:v>238.92079999999996</x:v>
      </x:c>
      <x:c r="H953" s="37" t="n">
        <x:f t="shared" si="34">IFERROR(E953/G953-1,"")</x:f>
        <x:v>-0.021600463417165705</x:v>
      </x:c>
      <x:c r="I953" s="38" t="b">
        <x:f t="shared" si="35">E953&lt;G953</x:f>
        <x:v>1</x:v>
      </x:c>
    </x:row>
    <x:row r="954">
      <x:c r="A954" s="31">
        <x:v>38380</x:v>
      </x:c>
      <x:c r="B954" s="32">
        <x:v>234.04</x:v>
      </x:c>
      <x:c r="C954" s="32">
        <x:v>234.18</x:v>
      </x:c>
      <x:c r="D954" s="32">
        <x:v>234.04</x:v>
      </x:c>
      <x:c r="E954" s="32">
        <x:v>234.18</x:v>
      </x:c>
      <x:c r="F954" s="33">
        <x:v>107560</x:v>
      </x:c>
      <x:c r="G954" s="32" t="n">
        <x:f t="shared" si="33">AVERAGE(E755:E954)</x:f>
        <x:v>238.79455</x:v>
      </x:c>
      <x:c r="H954" s="37" t="n">
        <x:f t="shared" si="34">IFERROR(E954/G954-1,"")</x:f>
        <x:v>-0.01932435225175777</x:v>
      </x:c>
      <x:c r="I954" s="38" t="b">
        <x:f t="shared" si="35">E954&lt;G954</x:f>
        <x:v>1</x:v>
      </x:c>
    </x:row>
    <x:row r="955">
      <x:c r="A955" s="31">
        <x:v>38383</x:v>
      </x:c>
      <x:c r="B955" s="32">
        <x:v>233.21</x:v>
      </x:c>
      <x:c r="C955" s="32">
        <x:v>233.32</x:v>
      </x:c>
      <x:c r="D955" s="32">
        <x:v>233.21</x:v>
      </x:c>
      <x:c r="E955" s="32">
        <x:v>233.32</x:v>
      </x:c>
      <x:c r="F955" s="33">
        <x:v>88080</x:v>
      </x:c>
      <x:c r="G955" s="32" t="n">
        <x:f t="shared" si="33">AVERAGE(E756:E955)</x:f>
        <x:v>238.68424999999996</x:v>
      </x:c>
      <x:c r="H955" s="37" t="n">
        <x:f t="shared" si="34">IFERROR(E955/G955-1,"")</x:f>
        <x:v>-0.022474252071512768</x:v>
      </x:c>
      <x:c r="I955" s="38" t="b">
        <x:f t="shared" si="35">E955&lt;G955</x:f>
        <x:v>1</x:v>
      </x:c>
    </x:row>
    <x:row r="956">
      <x:c r="A956" s="31">
        <x:v>38384</x:v>
      </x:c>
      <x:c r="B956" s="32">
        <x:v>232.93</x:v>
      </x:c>
      <x:c r="C956" s="32">
        <x:v>232.93</x:v>
      </x:c>
      <x:c r="D956" s="32">
        <x:v>232.41</x:v>
      </x:c>
      <x:c r="E956" s="32">
        <x:v>232.41</x:v>
      </x:c>
      <x:c r="F956" s="33">
        <x:v>127000</x:v>
      </x:c>
      <x:c r="G956" s="32" t="n">
        <x:f t="shared" si="33">AVERAGE(E757:E956)</x:f>
        <x:v>238.57219999999998</x:v>
      </x:c>
      <x:c r="H956" s="37" t="n">
        <x:f t="shared" si="34">IFERROR(E956/G956-1,"")</x:f>
        <x:v>-0.02582949731779305</x:v>
      </x:c>
      <x:c r="I956" s="38" t="b">
        <x:f t="shared" si="35">E956&lt;G956</x:f>
        <x:v>1</x:v>
      </x:c>
    </x:row>
    <x:row r="957">
      <x:c r="A957" s="31">
        <x:v>38385</x:v>
      </x:c>
      <x:c r="B957" s="32">
        <x:v>232.91</x:v>
      </x:c>
      <x:c r="C957" s="32">
        <x:v>232.91</x:v>
      </x:c>
      <x:c r="D957" s="32">
        <x:v>232.85</x:v>
      </x:c>
      <x:c r="E957" s="32">
        <x:v>232.85</x:v>
      </x:c>
      <x:c r="F957" s="33">
        <x:v>102220</x:v>
      </x:c>
      <x:c r="G957" s="32" t="n">
        <x:f t="shared" si="33">AVERAGE(E758:E957)</x:f>
        <x:v>238.45444999999995</x:v>
      </x:c>
      <x:c r="H957" s="37" t="n">
        <x:f t="shared" si="34">IFERROR(E957/G957-1,"")</x:f>
        <x:v>-0.023503230910557393</x:v>
      </x:c>
      <x:c r="I957" s="38" t="b">
        <x:f t="shared" si="35">E957&lt;G957</x:f>
        <x:v>1</x:v>
      </x:c>
    </x:row>
    <x:row r="958">
      <x:c r="A958" s="31">
        <x:v>38386</x:v>
      </x:c>
      <x:c r="B958" s="32">
        <x:v>233.31</x:v>
      </x:c>
      <x:c r="C958" s="32">
        <x:v>233.36</x:v>
      </x:c>
      <x:c r="D958" s="32">
        <x:v>233.31</x:v>
      </x:c>
      <x:c r="E958" s="32">
        <x:v>233.36</x:v>
      </x:c>
      <x:c r="F958" s="33">
        <x:v>91450</x:v>
      </x:c>
      <x:c r="G958" s="32" t="n">
        <x:f t="shared" si="33">AVERAGE(E759:E958)</x:f>
        <x:v>238.32929999999996</x:v>
      </x:c>
      <x:c r="H958" s="37" t="n">
        <x:f t="shared" si="34">IFERROR(E958/G958-1,"")</x:f>
        <x:v>-0.02085056264588514</x:v>
      </x:c>
      <x:c r="I958" s="38" t="b">
        <x:f t="shared" si="35">E958&lt;G958</x:f>
        <x:v>1</x:v>
      </x:c>
    </x:row>
    <x:row r="959">
      <x:c r="A959" s="31">
        <x:v>38387</x:v>
      </x:c>
      <x:c r="B959" s="32">
        <x:v>233.68</x:v>
      </x:c>
      <x:c r="C959" s="32">
        <x:v>236.02</x:v>
      </x:c>
      <x:c r="D959" s="32">
        <x:v>233.68</x:v>
      </x:c>
      <x:c r="E959" s="32">
        <x:v>236.02</x:v>
      </x:c>
      <x:c r="F959" s="33">
        <x:v>99550</x:v>
      </x:c>
      <x:c r="G959" s="32" t="n">
        <x:f t="shared" si="33">AVERAGE(E760:E959)</x:f>
        <x:v>238.21059999999994</x:v>
      </x:c>
      <x:c r="H959" s="37" t="n">
        <x:f t="shared" si="34">IFERROR(E959/G959-1,"")</x:f>
        <x:v>-0.009196064322913977</x:v>
      </x:c>
      <x:c r="I959" s="38" t="b">
        <x:f t="shared" si="35">E959&lt;G959</x:f>
        <x:v>1</x:v>
      </x:c>
    </x:row>
    <x:row r="960">
      <x:c r="A960" s="31">
        <x:v>38397</x:v>
      </x:c>
      <x:c r="B960" s="32">
        <x:v>235.78</x:v>
      </x:c>
      <x:c r="C960" s="32">
        <x:v>235.78</x:v>
      </x:c>
      <x:c r="D960" s="32">
        <x:v>235.28</x:v>
      </x:c>
      <x:c r="E960" s="32">
        <x:v>235.28</x:v>
      </x:c>
      <x:c r="F960" s="33">
        <x:v>75830</x:v>
      </x:c>
      <x:c r="G960" s="32" t="n">
        <x:f t="shared" si="33">AVERAGE(E761:E960)</x:f>
        <x:v>238.08434999999994</x:v>
      </x:c>
      <x:c r="H960" s="37" t="n">
        <x:f t="shared" si="34">IFERROR(E960/G960-1,"")</x:f>
        <x:v>-0.011778808644919092</x:v>
      </x:c>
      <x:c r="I960" s="38" t="b">
        <x:f t="shared" si="35">E960&lt;G960</x:f>
        <x:v>1</x:v>
      </x:c>
    </x:row>
    <x:row r="961">
      <x:c r="A961" s="31">
        <x:v>38398</x:v>
      </x:c>
      <x:c r="B961" s="32">
        <x:v>235.33</x:v>
      </x:c>
      <x:c r="C961" s="32">
        <x:v>235.36</x:v>
      </x:c>
      <x:c r="D961" s="32">
        <x:v>235.33</x:v>
      </x:c>
      <x:c r="E961" s="32">
        <x:v>235.36</x:v>
      </x:c>
      <x:c r="F961" s="33">
        <x:v>87640</x:v>
      </x:c>
      <x:c r="G961" s="32" t="n">
        <x:f t="shared" si="33">AVERAGE(E762:E961)</x:f>
        <x:v>237.95549999999992</x:v>
      </x:c>
      <x:c r="H961" s="37" t="n">
        <x:f t="shared" si="34">IFERROR(E961/G961-1,"")</x:f>
        <x:v>-0.010907501612696047</x:v>
      </x:c>
      <x:c r="I961" s="38" t="b">
        <x:f t="shared" si="35">E961&lt;G961</x:f>
        <x:v>1</x:v>
      </x:c>
    </x:row>
    <x:row r="962">
      <x:c r="A962" s="31">
        <x:v>38399</x:v>
      </x:c>
      <x:c r="B962" s="32">
        <x:v>234.28</x:v>
      </x:c>
      <x:c r="C962" s="32">
        <x:v>234.49</x:v>
      </x:c>
      <x:c r="D962" s="32">
        <x:v>234.28</x:v>
      </x:c>
      <x:c r="E962" s="32">
        <x:v>234.49</x:v>
      </x:c>
      <x:c r="F962" s="33">
        <x:v>89750</x:v>
      </x:c>
      <x:c r="G962" s="32" t="n">
        <x:f t="shared" si="33">AVERAGE(E763:E962)</x:f>
        <x:v>237.81689999999992</x:v>
      </x:c>
      <x:c r="H962" s="37" t="n">
        <x:f t="shared" si="34">IFERROR(E962/G962-1,"")</x:f>
        <x:v>-0.013989333811011417</x:v>
      </x:c>
      <x:c r="I962" s="38" t="b">
        <x:f t="shared" si="35">E962&lt;G962</x:f>
        <x:v>1</x:v>
      </x:c>
    </x:row>
    <x:row r="963">
      <x:c r="A963" s="31">
        <x:v>38400</x:v>
      </x:c>
      <x:c r="B963" s="32">
        <x:v>234.64</x:v>
      </x:c>
      <x:c r="C963" s="32">
        <x:v>234.64</x:v>
      </x:c>
      <x:c r="D963" s="32">
        <x:v>234.02</x:v>
      </x:c>
      <x:c r="E963" s="32">
        <x:v>234.02</x:v>
      </x:c>
      <x:c r="F963" s="33">
        <x:v>56200</x:v>
      </x:c>
      <x:c r="G963" s="32" t="n">
        <x:f t="shared" si="33">AVERAGE(E764:E963)</x:f>
        <x:v>237.6648499999999</x:v>
      </x:c>
      <x:c r="H963" s="37" t="n">
        <x:f t="shared" si="34">IFERROR(E963/G963-1,"")</x:f>
        <x:v>-0.015336091979945232</x:v>
      </x:c>
      <x:c r="I963" s="38" t="b">
        <x:f t="shared" si="35">E963&lt;G963</x:f>
        <x:v>1</x:v>
      </x:c>
    </x:row>
    <x:row r="964">
      <x:c r="A964" s="31">
        <x:v>38401</x:v>
      </x:c>
      <x:c r="B964" s="32">
        <x:v>234.41</x:v>
      </x:c>
      <x:c r="C964" s="32">
        <x:v>234.41</x:v>
      </x:c>
      <x:c r="D964" s="32">
        <x:v>233.62</x:v>
      </x:c>
      <x:c r="E964" s="32">
        <x:v>233.62</x:v>
      </x:c>
      <x:c r="F964" s="33">
        <x:v>68350</x:v>
      </x:c>
      <x:c r="G964" s="32" t="n">
        <x:f t="shared" si="33">AVERAGE(E765:E964)</x:f>
        <x:v>237.50494999999992</x:v>
      </x:c>
      <x:c r="H964" s="37" t="n">
        <x:f t="shared" si="34">IFERROR(E964/G964-1,"")</x:f>
        <x:v>-0.01635734328905536</x:v>
      </x:c>
      <x:c r="I964" s="38" t="b">
        <x:f t="shared" si="35">E964&lt;G964</x:f>
        <x:v>1</x:v>
      </x:c>
    </x:row>
    <x:row r="965">
      <x:c r="A965" s="31">
        <x:v>38404</x:v>
      </x:c>
      <x:c r="B965" s="32">
        <x:v>233.72</x:v>
      </x:c>
      <x:c r="C965" s="32">
        <x:v>233.72</x:v>
      </x:c>
      <x:c r="D965" s="32">
        <x:v>233.13</x:v>
      </x:c>
      <x:c r="E965" s="32">
        <x:v>233.13</x:v>
      </x:c>
      <x:c r="F965" s="33">
        <x:v>65600</x:v>
      </x:c>
      <x:c r="G965" s="32" t="n">
        <x:f t="shared" si="33">AVERAGE(E766:E965)</x:f>
        <x:v>237.34994999999992</x:v>
      </x:c>
      <x:c r="H965" s="37" t="n">
        <x:f t="shared" si="34">IFERROR(E965/G965-1,"")</x:f>
        <x:v>-0.017779443391498173</x:v>
      </x:c>
      <x:c r="I965" s="38" t="b">
        <x:f t="shared" si="35">E965&lt;G965</x:f>
        <x:v>1</x:v>
      </x:c>
    </x:row>
    <x:row r="966">
      <x:c r="A966" s="31">
        <x:v>38405</x:v>
      </x:c>
      <x:c r="B966" s="32">
        <x:v>233.92</x:v>
      </x:c>
      <x:c r="C966" s="32">
        <x:v>233.92</x:v>
      </x:c>
      <x:c r="D966" s="32">
        <x:v>233.03</x:v>
      </x:c>
      <x:c r="E966" s="32">
        <x:v>233.03</x:v>
      </x:c>
      <x:c r="F966" s="33">
        <x:v>112830</x:v>
      </x:c>
      <x:c r="G966" s="32" t="n">
        <x:f t="shared" si="33">AVERAGE(E767:E966)</x:f>
        <x:v>237.20669999999987</x:v>
      </x:c>
      <x:c r="H966" s="37" t="n">
        <x:f t="shared" si="34">IFERROR(E966/G966-1,"")</x:f>
        <x:v>-0.01760785003121701</x:v>
      </x:c>
      <x:c r="I966" s="38" t="b">
        <x:f t="shared" si="35">E966&lt;G966</x:f>
        <x:v>1</x:v>
      </x:c>
    </x:row>
    <x:row r="967">
      <x:c r="A967" s="31">
        <x:v>38406</x:v>
      </x:c>
      <x:c r="B967" s="32">
        <x:v>233.18</x:v>
      </x:c>
      <x:c r="C967" s="32">
        <x:v>234.15</x:v>
      </x:c>
      <x:c r="D967" s="32">
        <x:v>233.18</x:v>
      </x:c>
      <x:c r="E967" s="32">
        <x:v>234.15</x:v>
      </x:c>
      <x:c r="F967" s="33">
        <x:v>86930</x:v>
      </x:c>
      <x:c r="G967" s="32" t="n">
        <x:f t="shared" si="33">AVERAGE(E768:E967)</x:f>
        <x:v>237.0708499999999</x:v>
      </x:c>
      <x:c r="H967" s="37" t="n">
        <x:f t="shared" si="34">IFERROR(E967/G967-1,"")</x:f>
        <x:v>-0.012320578426237905</x:v>
      </x:c>
      <x:c r="I967" s="38" t="b">
        <x:f t="shared" si="35">E967&lt;G967</x:f>
        <x:v>1</x:v>
      </x:c>
    </x:row>
    <x:row r="968">
      <x:c r="A968" s="31">
        <x:v>38407</x:v>
      </x:c>
      <x:c r="B968" s="32">
        <x:v>234.09</x:v>
      </x:c>
      <x:c r="C968" s="32">
        <x:v>234.38</x:v>
      </x:c>
      <x:c r="D968" s="32">
        <x:v>234.09</x:v>
      </x:c>
      <x:c r="E968" s="32">
        <x:v>234.38</x:v>
      </x:c>
      <x:c r="F968" s="33">
        <x:v>69470</x:v>
      </x:c>
      <x:c r="G968" s="32" t="n">
        <x:f t="shared" si="33">AVERAGE(E769:E968)</x:f>
        <x:v>236.95169999999987</x:v>
      </x:c>
      <x:c r="H968" s="37" t="n">
        <x:f t="shared" si="34">IFERROR(E968/G968-1,"")</x:f>
        <x:v>-0.010853266720601162</x:v>
      </x:c>
      <x:c r="I968" s="38" t="b">
        <x:f t="shared" si="35">E968&lt;G968</x:f>
        <x:v>1</x:v>
      </x:c>
    </x:row>
    <x:row r="969">
      <x:c r="A969" s="31">
        <x:v>38408</x:v>
      </x:c>
      <x:c r="B969" s="32">
        <x:v>234.88</x:v>
      </x:c>
      <x:c r="C969" s="32">
        <x:v>235.14</x:v>
      </x:c>
      <x:c r="D969" s="32">
        <x:v>234.88</x:v>
      </x:c>
      <x:c r="E969" s="32">
        <x:v>235.14</x:v>
      </x:c>
      <x:c r="F969" s="33">
        <x:v>62280</x:v>
      </x:c>
      <x:c r="G969" s="32" t="n">
        <x:f t="shared" si="33">AVERAGE(E770:E969)</x:f>
        <x:v>236.84284999999986</x:v>
      </x:c>
      <x:c r="H969" s="37" t="n">
        <x:f t="shared" si="34">IFERROR(E969/G969-1,"")</x:f>
        <x:v>-0.0071897885032200515</x:v>
      </x:c>
      <x:c r="I969" s="38" t="b">
        <x:f t="shared" si="35">E969&lt;G969</x:f>
        <x:v>1</x:v>
      </x:c>
    </x:row>
    <x:row r="970">
      <x:c r="A970" s="31">
        <x:v>38411</x:v>
      </x:c>
      <x:c r="B970" s="32">
        <x:v>235.21</x:v>
      </x:c>
      <x:c r="C970" s="32">
        <x:v>235.21</x:v>
      </x:c>
      <x:c r="D970" s="32">
        <x:v>235.1</x:v>
      </x:c>
      <x:c r="E970" s="32">
        <x:v>235.1</x:v>
      </x:c>
      <x:c r="F970" s="33">
        <x:v>94460</x:v>
      </x:c>
      <x:c r="G970" s="32" t="n">
        <x:f t="shared" si="33">AVERAGE(E771:E970)</x:f>
        <x:v>236.70509999999985</x:v>
      </x:c>
      <x:c r="H970" s="37" t="n">
        <x:f t="shared" si="34">IFERROR(E970/G970-1,"")</x:f>
        <x:v>-0.006781011477994592</x:v>
      </x:c>
      <x:c r="I970" s="38" t="b">
        <x:f t="shared" si="35">E970&lt;G970</x:f>
        <x:v>1</x:v>
      </x:c>
    </x:row>
    <x:row r="971">
      <x:c r="A971" s="31">
        <x:v>38412</x:v>
      </x:c>
      <x:c r="B971" s="32">
        <x:v>235.96</x:v>
      </x:c>
      <x:c r="C971" s="32">
        <x:v>235.96</x:v>
      </x:c>
      <x:c r="D971" s="32">
        <x:v>235.81</x:v>
      </x:c>
      <x:c r="E971" s="32">
        <x:v>235.81</x:v>
      </x:c>
      <x:c r="F971" s="33">
        <x:v>131510</x:v>
      </x:c>
      <x:c r="G971" s="32" t="n">
        <x:f t="shared" si="33">AVERAGE(E772:E971)</x:f>
        <x:v>236.5659999999998</x:v>
      </x:c>
      <x:c r="H971" s="37" t="n">
        <x:f t="shared" si="34">IFERROR(E971/G971-1,"")</x:f>
        <x:v>-0.0031957255057776246</x:v>
      </x:c>
      <x:c r="I971" s="38" t="b">
        <x:f t="shared" si="35">E971&lt;G971</x:f>
        <x:v>1</x:v>
      </x:c>
    </x:row>
    <x:row r="972">
      <x:c r="A972" s="31">
        <x:v>38413</x:v>
      </x:c>
      <x:c r="B972" s="32">
        <x:v>236.74</x:v>
      </x:c>
      <x:c r="C972" s="32">
        <x:v>236.74</x:v>
      </x:c>
      <x:c r="D972" s="32">
        <x:v>236.41</x:v>
      </x:c>
      <x:c r="E972" s="32">
        <x:v>236.41</x:v>
      </x:c>
      <x:c r="F972" s="33">
        <x:v>139170</x:v>
      </x:c>
      <x:c r="G972" s="32" t="n">
        <x:f t="shared" si="33">AVERAGE(E773:E972)</x:f>
        <x:v>236.44059999999982</x:v>
      </x:c>
      <x:c r="H972" s="37" t="n">
        <x:f t="shared" si="34">IFERROR(E972/G972-1,"")</x:f>
        <x:v>-0.00012941939751387466</x:v>
      </x:c>
      <x:c r="I972" s="38" t="b">
        <x:f t="shared" si="35">E972&lt;G972</x:f>
        <x:v>1</x:v>
      </x:c>
    </x:row>
    <x:row r="973">
      <x:c r="A973" s="31">
        <x:v>38414</x:v>
      </x:c>
      <x:c r="B973" s="32">
        <x:v>236.77</x:v>
      </x:c>
      <x:c r="C973" s="32">
        <x:v>237.62</x:v>
      </x:c>
      <x:c r="D973" s="32">
        <x:v>236.77</x:v>
      </x:c>
      <x:c r="E973" s="32">
        <x:v>237.62</x:v>
      </x:c>
      <x:c r="F973" s="33">
        <x:v>197070</x:v>
      </x:c>
      <x:c r="G973" s="32" t="n">
        <x:f t="shared" ref="G973:G1036" si="36">AVERAGE(E774:E973)</x:f>
        <x:v>236.32754999999983</x:v>
      </x:c>
      <x:c r="H973" s="37" t="n">
        <x:f t="shared" ref="H973:H1036" si="37">IFERROR(E973/G973-1,"")</x:f>
        <x:v>0.0054688926449759645</x:v>
      </x:c>
      <x:c r="I973" s="38" t="b">
        <x:f t="shared" ref="I973:I1036" si="38">E973&lt;G973</x:f>
        <x:v>0</x:v>
      </x:c>
    </x:row>
    <x:row r="974">
      <x:c r="A974" s="31">
        <x:v>38415</x:v>
      </x:c>
      <x:c r="B974" s="32">
        <x:v>237.92</x:v>
      </x:c>
      <x:c r="C974" s="32">
        <x:v>237.92</x:v>
      </x:c>
      <x:c r="D974" s="32">
        <x:v>237.78</x:v>
      </x:c>
      <x:c r="E974" s="32">
        <x:v>237.78</x:v>
      </x:c>
      <x:c r="F974" s="33">
        <x:v>201470</x:v>
      </x:c>
      <x:c r="G974" s="32" t="n">
        <x:f t="shared" si="36">AVERAGE(E775:E974)</x:f>
        <x:v>236.21249999999986</x:v>
      </x:c>
      <x:c r="H974" s="37" t="n">
        <x:f t="shared" si="37">IFERROR(E974/G974-1,"")</x:f>
        <x:v>0.006635973964121966</x:v>
      </x:c>
      <x:c r="I974" s="38" t="b">
        <x:f t="shared" si="38">E974&lt;G974</x:f>
        <x:v>0</x:v>
      </x:c>
    </x:row>
    <x:row r="975">
      <x:c r="A975" s="31">
        <x:v>38418</x:v>
      </x:c>
      <x:c r="B975" s="32">
        <x:v>237.92</x:v>
      </x:c>
      <x:c r="C975" s="32">
        <x:v>238.11</x:v>
      </x:c>
      <x:c r="D975" s="32">
        <x:v>237.92</x:v>
      </x:c>
      <x:c r="E975" s="32">
        <x:v>238.11</x:v>
      </x:c>
      <x:c r="F975" s="33">
        <x:v>163530</x:v>
      </x:c>
      <x:c r="G975" s="32" t="n">
        <x:f t="shared" si="36">AVERAGE(E776:E975)</x:f>
        <x:v>236.09654999999984</x:v>
      </x:c>
      <x:c r="H975" s="37" t="n">
        <x:f t="shared" si="37">IFERROR(E975/G975-1,"")</x:f>
        <x:v>0.008528078872817924</x:v>
      </x:c>
      <x:c r="I975" s="38" t="b">
        <x:f t="shared" si="38">E975&lt;G975</x:f>
        <x:v>0</x:v>
      </x:c>
    </x:row>
    <x:row r="976">
      <x:c r="A976" s="31">
        <x:v>38419</x:v>
      </x:c>
      <x:c r="B976" s="32">
        <x:v>238.13</x:v>
      </x:c>
      <x:c r="C976" s="32">
        <x:v>238.13</x:v>
      </x:c>
      <x:c r="D976" s="32">
        <x:v>237.55</x:v>
      </x:c>
      <x:c r="E976" s="32">
        <x:v>237.55</x:v>
      </x:c>
      <x:c r="F976" s="33">
        <x:v>168650</x:v>
      </x:c>
      <x:c r="G976" s="32" t="n">
        <x:f t="shared" si="36">AVERAGE(E777:E976)</x:f>
        <x:v>235.97639999999984</x:v>
      </x:c>
      <x:c r="H976" s="37" t="n">
        <x:f t="shared" si="37">IFERROR(E976/G976-1,"")</x:f>
        <x:v>0.0066684634565159495</x:v>
      </x:c>
      <x:c r="I976" s="38" t="b">
        <x:f t="shared" si="38">E976&lt;G976</x:f>
        <x:v>0</x:v>
      </x:c>
    </x:row>
    <x:row r="977">
      <x:c r="A977" s="31">
        <x:v>38420</x:v>
      </x:c>
      <x:c r="B977" s="32">
        <x:v>236.86</x:v>
      </x:c>
      <x:c r="C977" s="32">
        <x:v>237.19</x:v>
      </x:c>
      <x:c r="D977" s="32">
        <x:v>236.86</x:v>
      </x:c>
      <x:c r="E977" s="32">
        <x:v>237.19</x:v>
      </x:c>
      <x:c r="F977" s="33">
        <x:v>114930</x:v>
      </x:c>
      <x:c r="G977" s="32" t="n">
        <x:f t="shared" si="36">AVERAGE(E778:E977)</x:f>
        <x:v>235.85669999999985</x:v>
      </x:c>
      <x:c r="H977" s="37" t="n">
        <x:f t="shared" si="37">IFERROR(E977/G977-1,"")</x:f>
        <x:v>0.00565300879729147</x:v>
      </x:c>
      <x:c r="I977" s="38" t="b">
        <x:f t="shared" si="38">E977&lt;G977</x:f>
        <x:v>0</x:v>
      </x:c>
    </x:row>
    <x:row r="978">
      <x:c r="A978" s="31">
        <x:v>38421</x:v>
      </x:c>
      <x:c r="B978" s="32">
        <x:v>236.89</x:v>
      </x:c>
      <x:c r="C978" s="32">
        <x:v>236.89</x:v>
      </x:c>
      <x:c r="D978" s="32">
        <x:v>236.81</x:v>
      </x:c>
      <x:c r="E978" s="32">
        <x:v>236.81</x:v>
      </x:c>
      <x:c r="F978" s="33">
        <x:v>115370</x:v>
      </x:c>
      <x:c r="G978" s="32" t="n">
        <x:f t="shared" si="36">AVERAGE(E779:E978)</x:f>
        <x:v>235.73089999999985</x:v>
      </x:c>
      <x:c r="H978" s="37" t="n">
        <x:f t="shared" si="37">IFERROR(E978/G978-1,"")</x:f>
        <x:v>0.0045776773431067674</x:v>
      </x:c>
      <x:c r="I978" s="38" t="b">
        <x:f t="shared" si="38">E978&lt;G978</x:f>
        <x:v>0</x:v>
      </x:c>
    </x:row>
    <x:row r="979">
      <x:c r="A979" s="31">
        <x:v>38422</x:v>
      </x:c>
      <x:c r="B979" s="32">
        <x:v>237.12</x:v>
      </x:c>
      <x:c r="C979" s="32">
        <x:v>237.12</x:v>
      </x:c>
      <x:c r="D979" s="32">
        <x:v>237.01</x:v>
      </x:c>
      <x:c r="E979" s="32">
        <x:v>237.01</x:v>
      </x:c>
      <x:c r="F979" s="33">
        <x:v>176510</x:v>
      </x:c>
      <x:c r="G979" s="32" t="n">
        <x:f t="shared" si="36">AVERAGE(E780:E979)</x:f>
        <x:v>235.62439999999987</x:v>
      </x:c>
      <x:c r="H979" s="37" t="n">
        <x:f t="shared" si="37">IFERROR(E979/G979-1,"")</x:f>
        <x:v>0.0058805454783126265</x:v>
      </x:c>
      <x:c r="I979" s="38" t="b">
        <x:f t="shared" si="38">E979&lt;G979</x:f>
        <x:v>0</x:v>
      </x:c>
    </x:row>
    <x:row r="980">
      <x:c r="A980" s="31">
        <x:v>38425</x:v>
      </x:c>
      <x:c r="B980" s="32">
        <x:v>237.16</x:v>
      </x:c>
      <x:c r="C980" s="32">
        <x:v>237.16</x:v>
      </x:c>
      <x:c r="D980" s="32">
        <x:v>236.67</x:v>
      </x:c>
      <x:c r="E980" s="32">
        <x:v>236.67</x:v>
      </x:c>
      <x:c r="F980" s="33">
        <x:v>74610</x:v>
      </x:c>
      <x:c r="G980" s="32" t="n">
        <x:f t="shared" si="36">AVERAGE(E781:E980)</x:f>
        <x:v>235.53784999999988</x:v>
      </x:c>
      <x:c r="H980" s="37" t="n">
        <x:f t="shared" si="37">IFERROR(E980/G980-1,"")</x:f>
        <x:v>0.004806658462748636</x:v>
      </x:c>
      <x:c r="I980" s="38" t="b">
        <x:f t="shared" si="38">E980&lt;G980</x:f>
        <x:v>0</x:v>
      </x:c>
    </x:row>
    <x:row r="981">
      <x:c r="A981" s="31">
        <x:v>38426</x:v>
      </x:c>
      <x:c r="B981" s="32">
        <x:v>237.52</x:v>
      </x:c>
      <x:c r="C981" s="32">
        <x:v>237.96</x:v>
      </x:c>
      <x:c r="D981" s="32">
        <x:v>237.52</x:v>
      </x:c>
      <x:c r="E981" s="32">
        <x:v>237.96</x:v>
      </x:c>
      <x:c r="F981" s="33">
        <x:v>136010</x:v>
      </x:c>
      <x:c r="G981" s="32" t="n">
        <x:f t="shared" si="36">AVERAGE(E782:E981)</x:f>
        <x:v>235.47184999999988</x:v>
      </x:c>
      <x:c r="H981" s="37" t="n">
        <x:f t="shared" si="37">IFERROR(E981/G981-1,"")</x:f>
        <x:v>0.010566655844425288</x:v>
      </x:c>
      <x:c r="I981" s="38" t="b">
        <x:f t="shared" si="38">E981&lt;G981</x:f>
        <x:v>0</x:v>
      </x:c>
    </x:row>
    <x:row r="982">
      <x:c r="A982" s="31">
        <x:v>38427</x:v>
      </x:c>
      <x:c r="B982" s="32">
        <x:v>238.12</x:v>
      </x:c>
      <x:c r="C982" s="32">
        <x:v>238.47</x:v>
      </x:c>
      <x:c r="D982" s="32">
        <x:v>238.12</x:v>
      </x:c>
      <x:c r="E982" s="32">
        <x:v>238.47</x:v>
      </x:c>
      <x:c r="F982" s="33">
        <x:v>184510</x:v>
      </x:c>
      <x:c r="G982" s="32" t="n">
        <x:f t="shared" si="36">AVERAGE(E783:E982)</x:f>
        <x:v>235.40689999999987</x:v>
      </x:c>
      <x:c r="H982" s="37" t="n">
        <x:f t="shared" si="37">IFERROR(E982/G982-1,"")</x:f>
        <x:v>0.013011938052793326</x:v>
      </x:c>
      <x:c r="I982" s="38" t="b">
        <x:f t="shared" si="38">E982&lt;G982</x:f>
        <x:v>0</x:v>
      </x:c>
    </x:row>
    <x:row r="983">
      <x:c r="A983" s="31">
        <x:v>38428</x:v>
      </x:c>
      <x:c r="B983" s="32">
        <x:v>238.18</x:v>
      </x:c>
      <x:c r="C983" s="32">
        <x:v>238.18</x:v>
      </x:c>
      <x:c r="D983" s="32">
        <x:v>237.87</x:v>
      </x:c>
      <x:c r="E983" s="32">
        <x:v>237.87</x:v>
      </x:c>
      <x:c r="F983" s="33">
        <x:v>150420</x:v>
      </x:c>
      <x:c r="G983" s="32" t="n">
        <x:f t="shared" si="36">AVERAGE(E784:E983)</x:f>
        <x:v>235.3362999999999</x:v>
      </x:c>
      <x:c r="H983" s="37" t="n">
        <x:f t="shared" si="37">IFERROR(E983/G983-1,"")</x:f>
        <x:v>0.010766294872487148</x:v>
      </x:c>
      <x:c r="I983" s="38" t="b">
        <x:f t="shared" si="38">E983&lt;G983</x:f>
        <x:v>0</x:v>
      </x:c>
    </x:row>
    <x:row r="984">
      <x:c r="A984" s="31">
        <x:v>38429</x:v>
      </x:c>
      <x:c r="B984" s="32">
        <x:v>238</x:v>
      </x:c>
      <x:c r="C984" s="32">
        <x:v>238.39</x:v>
      </x:c>
      <x:c r="D984" s="32">
        <x:v>238</x:v>
      </x:c>
      <x:c r="E984" s="32">
        <x:v>238.39</x:v>
      </x:c>
      <x:c r="F984" s="33">
        <x:v>135740</x:v>
      </x:c>
      <x:c r="G984" s="32" t="n">
        <x:f t="shared" si="36">AVERAGE(E785:E984)</x:f>
        <x:v>235.26569999999992</x:v>
      </x:c>
      <x:c r="H984" s="37" t="n">
        <x:f t="shared" si="37">IFERROR(E984/G984-1,"")</x:f>
        <x:v>0.013279878877371587</x:v>
      </x:c>
      <x:c r="I984" s="38" t="b">
        <x:f t="shared" si="38">E984&lt;G984</x:f>
        <x:v>0</x:v>
      </x:c>
    </x:row>
    <x:row r="985">
      <x:c r="A985" s="31">
        <x:v>38432</x:v>
      </x:c>
      <x:c r="B985" s="32">
        <x:v>238.11</x:v>
      </x:c>
      <x:c r="C985" s="32">
        <x:v>241.86</x:v>
      </x:c>
      <x:c r="D985" s="32">
        <x:v>238.11</x:v>
      </x:c>
      <x:c r="E985" s="32">
        <x:v>241.86</x:v>
      </x:c>
      <x:c r="F985" s="33">
        <x:v>362770</x:v>
      </x:c>
      <x:c r="G985" s="32" t="n">
        <x:f t="shared" si="36">AVERAGE(E786:E985)</x:f>
        <x:v>235.21439999999993</x:v>
      </x:c>
      <x:c r="H985" s="37" t="n">
        <x:f t="shared" si="37">IFERROR(E985/G985-1,"")</x:f>
        <x:v>0.028253372242516228</x:v>
      </x:c>
      <x:c r="I985" s="38" t="b">
        <x:f t="shared" si="38">E985&lt;G985</x:f>
        <x:v>0</x:v>
      </x:c>
    </x:row>
    <x:row r="986">
      <x:c r="A986" s="31">
        <x:v>38433</x:v>
      </x:c>
      <x:c r="B986" s="32">
        <x:v>241.97</x:v>
      </x:c>
      <x:c r="C986" s="32">
        <x:v>241.97</x:v>
      </x:c>
      <x:c r="D986" s="32">
        <x:v>241.54</x:v>
      </x:c>
      <x:c r="E986" s="32">
        <x:v>241.54</x:v>
      </x:c>
      <x:c r="F986" s="33">
        <x:v>299110</x:v>
      </x:c>
      <x:c r="G986" s="32" t="n">
        <x:f t="shared" si="36">AVERAGE(E787:E986)</x:f>
        <x:v>235.16714999999994</x:v>
      </x:c>
      <x:c r="H986" s="37" t="n">
        <x:f t="shared" si="37">IFERROR(E986/G986-1,"")</x:f>
        <x:v>0.02709923558626315</x:v>
      </x:c>
      <x:c r="I986" s="38" t="b">
        <x:f t="shared" si="38">E986&lt;G986</x:f>
        <x:v>0</x:v>
      </x:c>
    </x:row>
    <x:row r="987">
      <x:c r="A987" s="31">
        <x:v>38434</x:v>
      </x:c>
      <x:c r="B987" s="32">
        <x:v>242.84</x:v>
      </x:c>
      <x:c r="C987" s="32">
        <x:v>244.24</x:v>
      </x:c>
      <x:c r="D987" s="32">
        <x:v>242.84</x:v>
      </x:c>
      <x:c r="E987" s="32">
        <x:v>244.24</x:v>
      </x:c>
      <x:c r="F987" s="33">
        <x:v>480740</x:v>
      </x:c>
      <x:c r="G987" s="32" t="n">
        <x:f t="shared" si="36">AVERAGE(E788:E987)</x:f>
        <x:v>235.14339999999993</x:v>
      </x:c>
      <x:c r="H987" s="37" t="n">
        <x:f t="shared" si="37">IFERROR(E987/G987-1,"")</x:f>
        <x:v>0.03868532988806006</x:v>
      </x:c>
      <x:c r="I987" s="38" t="b">
        <x:f t="shared" si="38">E987&lt;G987</x:f>
        <x:v>0</x:v>
      </x:c>
    </x:row>
    <x:row r="988">
      <x:c r="A988" s="31">
        <x:v>38435</x:v>
      </x:c>
      <x:c r="B988" s="32">
        <x:v>247.23</x:v>
      </x:c>
      <x:c r="C988" s="32">
        <x:v>250.64</x:v>
      </x:c>
      <x:c r="D988" s="32">
        <x:v>247.23</x:v>
      </x:c>
      <x:c r="E988" s="32">
        <x:v>250.64</x:v>
      </x:c>
      <x:c r="F988" s="33">
        <x:v>568680</x:v>
      </x:c>
      <x:c r="G988" s="32" t="n">
        <x:f t="shared" si="36">AVERAGE(E789:E988)</x:f>
        <x:v>235.15974999999995</x:v>
      </x:c>
      <x:c r="H988" s="37" t="n">
        <x:f t="shared" si="37">IFERROR(E988/G988-1,"")</x:f>
        <x:v>0.0658286547761684</x:v>
      </x:c>
      <x:c r="I988" s="38" t="b">
        <x:f t="shared" si="38">E988&lt;G988</x:f>
        <x:v>0</x:v>
      </x:c>
    </x:row>
    <x:row r="989">
      <x:c r="A989" s="31">
        <x:v>38436</x:v>
      </x:c>
      <x:c r="B989" s="32">
        <x:v>252.64</x:v>
      </x:c>
      <x:c r="C989" s="32">
        <x:v>252.64</x:v>
      </x:c>
      <x:c r="D989" s="32">
        <x:v>248.43</x:v>
      </x:c>
      <x:c r="E989" s="32">
        <x:v>248.43</x:v>
      </x:c>
      <x:c r="F989" s="33">
        <x:v>477940</x:v>
      </x:c>
      <x:c r="G989" s="32" t="n">
        <x:f t="shared" si="36">AVERAGE(E790:E989)</x:f>
        <x:v>235.17669999999995</x:v>
      </x:c>
      <x:c r="H989" s="37" t="n">
        <x:f t="shared" si="37">IFERROR(E989/G989-1,"")</x:f>
        <x:v>0.05635464737790796</x:v>
      </x:c>
      <x:c r="I989" s="38" t="b">
        <x:f t="shared" si="38">E989&lt;G989</x:f>
        <x:v>0</x:v>
      </x:c>
    </x:row>
    <x:row r="990">
      <x:c r="A990" s="31">
        <x:v>38439</x:v>
      </x:c>
      <x:c r="B990" s="32">
        <x:v>246.54</x:v>
      </x:c>
      <x:c r="C990" s="32">
        <x:v>246.54</x:v>
      </x:c>
      <x:c r="D990" s="32">
        <x:v>244.84</x:v>
      </x:c>
      <x:c r="E990" s="32">
        <x:v>244.84</x:v>
      </x:c>
      <x:c r="F990" s="33">
        <x:v>386990</x:v>
      </x:c>
      <x:c r="G990" s="32" t="n">
        <x:f t="shared" si="36">AVERAGE(E791:E990)</x:f>
        <x:v>235.16769999999997</x:v>
      </x:c>
      <x:c r="H990" s="37" t="n">
        <x:f t="shared" si="37">IFERROR(E990/G990-1,"")</x:f>
        <x:v>0.0411293727837625</x:v>
      </x:c>
      <x:c r="I990" s="38" t="b">
        <x:f t="shared" si="38">E990&lt;G990</x:f>
        <x:v>0</x:v>
      </x:c>
    </x:row>
    <x:row r="991">
      <x:c r="A991" s="31">
        <x:v>38440</x:v>
      </x:c>
      <x:c r="B991" s="32">
        <x:v>243.96</x:v>
      </x:c>
      <x:c r="C991" s="32">
        <x:v>244.22</x:v>
      </x:c>
      <x:c r="D991" s="32">
        <x:v>243.96</x:v>
      </x:c>
      <x:c r="E991" s="32">
        <x:v>244.22</x:v>
      </x:c>
      <x:c r="F991" s="33">
        <x:v>300440</x:v>
      </x:c>
      <x:c r="G991" s="32" t="n">
        <x:f t="shared" si="36">AVERAGE(E792:E991)</x:f>
        <x:v>235.15175</x:v>
      </x:c>
      <x:c r="H991" s="37" t="n">
        <x:f t="shared" si="37">IFERROR(E991/G991-1,"")</x:f>
        <x:v>0.038563395764649844</x:v>
      </x:c>
      <x:c r="I991" s="38" t="b">
        <x:f t="shared" si="38">E991&lt;G991</x:f>
        <x:v>0</x:v>
      </x:c>
    </x:row>
    <x:row r="992">
      <x:c r="A992" s="31">
        <x:v>38441</x:v>
      </x:c>
      <x:c r="B992" s="32">
        <x:v>245.2</x:v>
      </x:c>
      <x:c r="C992" s="32">
        <x:v>245.2</x:v>
      </x:c>
      <x:c r="D992" s="32">
        <x:v>245.17</x:v>
      </x:c>
      <x:c r="E992" s="32">
        <x:v>245.17</x:v>
      </x:c>
      <x:c r="F992" s="33">
        <x:v>246290</x:v>
      </x:c>
      <x:c r="G992" s="32" t="n">
        <x:f t="shared" si="36">AVERAGE(E793:E992)</x:f>
        <x:v>235.13539999999998</x:v>
      </x:c>
      <x:c r="H992" s="37" t="n">
        <x:f t="shared" si="37">IFERROR(E992/G992-1,"")</x:f>
        <x:v>0.04267583698583888</x:v>
      </x:c>
      <x:c r="I992" s="38" t="b">
        <x:f t="shared" si="38">E992&lt;G992</x:f>
        <x:v>0</x:v>
      </x:c>
    </x:row>
    <x:row r="993">
      <x:c r="A993" s="31">
        <x:v>38442</x:v>
      </x:c>
      <x:c r="B993" s="32">
        <x:v>245.09</x:v>
      </x:c>
      <x:c r="C993" s="32">
        <x:v>246.51</x:v>
      </x:c>
      <x:c r="D993" s="32">
        <x:v>245.09</x:v>
      </x:c>
      <x:c r="E993" s="32">
        <x:v>246.51</x:v>
      </x:c>
      <x:c r="F993" s="33">
        <x:v>474190</x:v>
      </x:c>
      <x:c r="G993" s="32" t="n">
        <x:f t="shared" si="36">AVERAGE(E794:E993)</x:f>
        <x:v>235.09665</x:v>
      </x:c>
      <x:c r="H993" s="37" t="n">
        <x:f t="shared" si="37">IFERROR(E993/G993-1,"")</x:f>
        <x:v>0.04854748036605372</x:v>
      </x:c>
      <x:c r="I993" s="38" t="b">
        <x:f t="shared" si="38">E993&lt;G993</x:f>
        <x:v>0</x:v>
      </x:c>
    </x:row>
    <x:row r="994">
      <x:c r="A994" s="31">
        <x:v>38443</x:v>
      </x:c>
      <x:c r="B994" s="32">
        <x:v>247.05</x:v>
      </x:c>
      <x:c r="C994" s="32">
        <x:v>247.05</x:v>
      </x:c>
      <x:c r="D994" s="32">
        <x:v>245.55</x:v>
      </x:c>
      <x:c r="E994" s="32">
        <x:v>245.55</x:v>
      </x:c>
      <x:c r="F994" s="33">
        <x:v>339980</x:v>
      </x:c>
      <x:c r="G994" s="32" t="n">
        <x:f t="shared" si="36">AVERAGE(E795:E994)</x:f>
        <x:v>235.0567</x:v>
      </x:c>
      <x:c r="H994" s="37" t="n">
        <x:f t="shared" si="37">IFERROR(E994/G994-1,"")</x:f>
        <x:v>0.04464156945962405</x:v>
      </x:c>
      <x:c r="I994" s="38" t="b">
        <x:f t="shared" si="38">E994&lt;G994</x:f>
        <x:v>0</x:v>
      </x:c>
    </x:row>
    <x:row r="995">
      <x:c r="A995" s="31">
        <x:v>38446</x:v>
      </x:c>
      <x:c r="B995" s="32">
        <x:v>247</x:v>
      </x:c>
      <x:c r="C995" s="32">
        <x:v>247</x:v>
      </x:c>
      <x:c r="D995" s="32">
        <x:v>245.68</x:v>
      </x:c>
      <x:c r="E995" s="32">
        <x:v>245.68</x:v>
      </x:c>
      <x:c r="F995" s="33">
        <x:v>217540</x:v>
      </x:c>
      <x:c r="G995" s="32" t="n">
        <x:f t="shared" si="36">AVERAGE(E796:E995)</x:f>
        <x:v>235.02515</x:v>
      </x:c>
      <x:c r="H995" s="37" t="n">
        <x:f t="shared" si="37">IFERROR(E995/G995-1,"")</x:f>
        <x:v>0.04533493543137834</x:v>
      </x:c>
      <x:c r="I995" s="38" t="b">
        <x:f t="shared" si="38">E995&lt;G995</x:f>
        <x:v>0</x:v>
      </x:c>
    </x:row>
    <x:row r="996">
      <x:c r="A996" s="31">
        <x:v>38447</x:v>
      </x:c>
      <x:c r="B996" s="32">
        <x:v>246.08</x:v>
      </x:c>
      <x:c r="C996" s="32">
        <x:v>246.08</x:v>
      </x:c>
      <x:c r="D996" s="32">
        <x:v>245.56</x:v>
      </x:c>
      <x:c r="E996" s="32">
        <x:v>245.56</x:v>
      </x:c>
      <x:c r="F996" s="33">
        <x:v>180090</x:v>
      </x:c>
      <x:c r="G996" s="32" t="n">
        <x:f t="shared" si="36">AVERAGE(E797:E996)</x:f>
        <x:v>235.00654999999995</x:v>
      </x:c>
      <x:c r="H996" s="37" t="n">
        <x:f t="shared" si="37">IFERROR(E996/G996-1,"")</x:f>
        <x:v>0.044907046207861345</x:v>
      </x:c>
      <x:c r="I996" s="38" t="b">
        <x:f t="shared" si="38">E996&lt;G996</x:f>
        <x:v>0</x:v>
      </x:c>
    </x:row>
    <x:row r="997">
      <x:c r="A997" s="31">
        <x:v>38448</x:v>
      </x:c>
      <x:c r="B997" s="32">
        <x:v>247.42</x:v>
      </x:c>
      <x:c r="C997" s="32">
        <x:v>247.42</x:v>
      </x:c>
      <x:c r="D997" s="32">
        <x:v>244.98</x:v>
      </x:c>
      <x:c r="E997" s="32">
        <x:v>244.98</x:v>
      </x:c>
      <x:c r="F997" s="33">
        <x:v>264080</x:v>
      </x:c>
      <x:c r="G997" s="32" t="n">
        <x:f t="shared" si="36">AVERAGE(E798:E997)</x:f>
        <x:v>234.985</x:v>
      </x:c>
      <x:c r="H997" s="37" t="n">
        <x:f t="shared" si="37">IFERROR(E997/G997-1,"")</x:f>
        <x:v>0.04253462986999157</x:v>
      </x:c>
      <x:c r="I997" s="38" t="b">
        <x:f t="shared" si="38">E997&lt;G997</x:f>
        <x:v>0</x:v>
      </x:c>
    </x:row>
    <x:row r="998">
      <x:c r="A998" s="31">
        <x:v>38449</x:v>
      </x:c>
      <x:c r="B998" s="32">
        <x:v>244.93</x:v>
      </x:c>
      <x:c r="C998" s="32">
        <x:v>245.21</x:v>
      </x:c>
      <x:c r="D998" s="32">
        <x:v>244.93</x:v>
      </x:c>
      <x:c r="E998" s="32">
        <x:v>245.21</x:v>
      </x:c>
      <x:c r="F998" s="33">
        <x:v>260570</x:v>
      </x:c>
      <x:c r="G998" s="32" t="n">
        <x:f t="shared" si="36">AVERAGE(E799:E998)</x:f>
        <x:v>234.96130000000002</x:v>
      </x:c>
      <x:c r="H998" s="37" t="n">
        <x:f t="shared" si="37">IFERROR(E998/G998-1,"")</x:f>
        <x:v>0.04361867252181528</x:v>
      </x:c>
      <x:c r="I998" s="38" t="b">
        <x:f t="shared" si="38">E998&lt;G998</x:f>
        <x:v>0</x:v>
      </x:c>
    </x:row>
    <x:row r="999">
      <x:c r="A999" s="31">
        <x:v>38450</x:v>
      </x:c>
      <x:c r="B999" s="32">
        <x:v>246.42</x:v>
      </x:c>
      <x:c r="C999" s="32">
        <x:v>246.42</x:v>
      </x:c>
      <x:c r="D999" s="32">
        <x:v>245.88</x:v>
      </x:c>
      <x:c r="E999" s="32">
        <x:v>245.88</x:v>
      </x:c>
      <x:c r="F999" s="33">
        <x:v>233010</x:v>
      </x:c>
      <x:c r="G999" s="32" t="n">
        <x:f t="shared" si="36">AVERAGE(E800:E999)</x:f>
        <x:v>234.94440000000003</x:v>
      </x:c>
      <x:c r="H999" s="37" t="n">
        <x:f t="shared" si="37">IFERROR(E999/G999-1,"")</x:f>
        <x:v>0.04654548054773788</x:v>
      </x:c>
      <x:c r="I999" s="38" t="b">
        <x:f t="shared" si="38">E999&lt;G999</x:f>
        <x:v>0</x:v>
      </x:c>
    </x:row>
    <x:row r="1000">
      <x:c r="A1000" s="31">
        <x:v>38453</x:v>
      </x:c>
      <x:c r="B1000" s="32">
        <x:v>245.81</x:v>
      </x:c>
      <x:c r="C1000" s="32">
        <x:v>246.13</x:v>
      </x:c>
      <x:c r="D1000" s="32">
        <x:v>245.81</x:v>
      </x:c>
      <x:c r="E1000" s="32">
        <x:v>246.13</x:v>
      </x:c>
      <x:c r="F1000" s="33">
        <x:v>166440</x:v>
      </x:c>
      <x:c r="G1000" s="32" t="n">
        <x:f t="shared" si="36">AVERAGE(E801:E1000)</x:f>
        <x:v>234.92805</x:v>
      </x:c>
      <x:c r="H1000" s="37" t="n">
        <x:f t="shared" si="37">IFERROR(E1000/G1000-1,"")</x:f>
        <x:v>0.04768247129280634</x:v>
      </x:c>
      <x:c r="I1000" s="38" t="b">
        <x:f t="shared" si="38">E1000&lt;G1000</x:f>
        <x:v>0</x:v>
      </x:c>
    </x:row>
    <x:row r="1001">
      <x:c r="A1001" s="31">
        <x:v>38454</x:v>
      </x:c>
      <x:c r="B1001" s="32">
        <x:v>248.79</x:v>
      </x:c>
      <x:c r="C1001" s="32">
        <x:v>248.79</x:v>
      </x:c>
      <x:c r="D1001" s="32">
        <x:v>248.08</x:v>
      </x:c>
      <x:c r="E1001" s="32">
        <x:v>248.08</x:v>
      </x:c>
      <x:c r="F1001" s="33">
        <x:v>244650</x:v>
      </x:c>
      <x:c r="G1001" s="32" t="n">
        <x:f t="shared" si="36">AVERAGE(E802:E1001)</x:f>
        <x:v>234.91845000000004</x:v>
      </x:c>
      <x:c r="H1001" s="37" t="n">
        <x:f t="shared" si="37">IFERROR(E1001/G1001-1,"")</x:f>
        <x:v>0.05602603797190042</x:v>
      </x:c>
      <x:c r="I1001" s="38" t="b">
        <x:f t="shared" si="38">E1001&lt;G1001</x:f>
        <x:v>0</x:v>
      </x:c>
    </x:row>
    <x:row r="1002">
      <x:c r="A1002" s="31">
        <x:v>38455</x:v>
      </x:c>
      <x:c r="B1002" s="32">
        <x:v>245.82</x:v>
      </x:c>
      <x:c r="C1002" s="32">
        <x:v>246.25</x:v>
      </x:c>
      <x:c r="D1002" s="32">
        <x:v>245.82</x:v>
      </x:c>
      <x:c r="E1002" s="32">
        <x:v>246.25</x:v>
      </x:c>
      <x:c r="F1002" s="33">
        <x:v>237560</x:v>
      </x:c>
      <x:c r="G1002" s="32" t="n">
        <x:f t="shared" si="36">AVERAGE(E803:E1002)</x:f>
        <x:v>234.90060000000005</x:v>
      </x:c>
      <x:c r="H1002" s="37" t="n">
        <x:f t="shared" si="37">IFERROR(E1002/G1002-1,"")</x:f>
        <x:v>0.04831575568559621</x:v>
      </x:c>
      <x:c r="I1002" s="38" t="b">
        <x:f t="shared" si="38">E1002&lt;G1002</x:f>
        <x:v>0</x:v>
      </x:c>
    </x:row>
    <x:row r="1003">
      <x:c r="A1003" s="31">
        <x:v>38456</x:v>
      </x:c>
      <x:c r="B1003" s="32">
        <x:v>246.02</x:v>
      </x:c>
      <x:c r="C1003" s="32">
        <x:v>246.02</x:v>
      </x:c>
      <x:c r="D1003" s="32">
        <x:v>245.95</x:v>
      </x:c>
      <x:c r="E1003" s="32">
        <x:v>245.95</x:v>
      </x:c>
      <x:c r="F1003" s="33">
        <x:v>180610</x:v>
      </x:c>
      <x:c r="G1003" s="32" t="n">
        <x:f t="shared" si="36">AVERAGE(E804:E1003)</x:f>
        <x:v>234.88345000000004</x:v>
      </x:c>
      <x:c r="H1003" s="37" t="n">
        <x:f t="shared" si="37">IFERROR(E1003/G1003-1,"")</x:f>
        <x:v>0.047115069197084525</x:v>
      </x:c>
      <x:c r="I1003" s="38" t="b">
        <x:f t="shared" si="38">E1003&lt;G1003</x:f>
        <x:v>0</x:v>
      </x:c>
    </x:row>
    <x:row r="1004">
      <x:c r="A1004" s="31">
        <x:v>38457</x:v>
      </x:c>
      <x:c r="B1004" s="32">
        <x:v>246.4</x:v>
      </x:c>
      <x:c r="C1004" s="32">
        <x:v>246.83</x:v>
      </x:c>
      <x:c r="D1004" s="32">
        <x:v>246.4</x:v>
      </x:c>
      <x:c r="E1004" s="32">
        <x:v>246.83</x:v>
      </x:c>
      <x:c r="F1004" s="33">
        <x:v>161210</x:v>
      </x:c>
      <x:c r="G1004" s="32" t="n">
        <x:f t="shared" si="36">AVERAGE(E805:E1004)</x:f>
        <x:v>234.87740000000005</x:v>
      </x:c>
      <x:c r="H1004" s="37" t="n">
        <x:f t="shared" si="37">IFERROR(E1004/G1004-1,"")</x:f>
        <x:v>0.05088867639032091</x:v>
      </x:c>
      <x:c r="I1004" s="38" t="b">
        <x:f t="shared" si="38">E1004&lt;G1004</x:f>
        <x:v>0</x:v>
      </x:c>
    </x:row>
    <x:row r="1005">
      <x:c r="A1005" s="31">
        <x:v>38460</x:v>
      </x:c>
      <x:c r="B1005" s="32">
        <x:v>246.75</x:v>
      </x:c>
      <x:c r="C1005" s="32">
        <x:v>246.75</x:v>
      </x:c>
      <x:c r="D1005" s="32">
        <x:v>245.44</x:v>
      </x:c>
      <x:c r="E1005" s="32">
        <x:v>245.44</x:v>
      </x:c>
      <x:c r="F1005" s="33">
        <x:v>201730</x:v>
      </x:c>
      <x:c r="G1005" s="32" t="n">
        <x:f t="shared" si="36">AVERAGE(E806:E1005)</x:f>
        <x:v>234.85610000000005</x:v>
      </x:c>
      <x:c r="H1005" s="37" t="n">
        <x:f t="shared" si="37">IFERROR(E1005/G1005-1,"")</x:f>
        <x:v>0.045065467748123034</x:v>
      </x:c>
      <x:c r="I1005" s="38" t="b">
        <x:f t="shared" si="38">E1005&lt;G1005</x:f>
        <x:v>0</x:v>
      </x:c>
    </x:row>
    <x:row r="1006">
      <x:c r="A1006" s="31">
        <x:v>38461</x:v>
      </x:c>
      <x:c r="B1006" s="32">
        <x:v>245.37</x:v>
      </x:c>
      <x:c r="C1006" s="32">
        <x:v>245.37</x:v>
      </x:c>
      <x:c r="D1006" s="32">
        <x:v>244.87</x:v>
      </x:c>
      <x:c r="E1006" s="32">
        <x:v>244.87</x:v>
      </x:c>
      <x:c r="F1006" s="33">
        <x:v>349050</x:v>
      </x:c>
      <x:c r="G1006" s="32" t="n">
        <x:f t="shared" si="36">AVERAGE(E807:E1006)</x:f>
        <x:v>234.83770000000007</x:v>
      </x:c>
      <x:c r="H1006" s="37" t="n">
        <x:f t="shared" si="37">IFERROR(E1006/G1006-1,"")</x:f>
        <x:v>0.04272014246434841</x:v>
      </x:c>
      <x:c r="I1006" s="38" t="b">
        <x:f t="shared" si="38">E1006&lt;G1006</x:f>
        <x:v>0</x:v>
      </x:c>
    </x:row>
    <x:row r="1007">
      <x:c r="A1007" s="31">
        <x:v>38462</x:v>
      </x:c>
      <x:c r="B1007" s="32">
        <x:v>247.45</x:v>
      </x:c>
      <x:c r="C1007" s="32">
        <x:v>247.45</x:v>
      </x:c>
      <x:c r="D1007" s="32">
        <x:v>246.77</x:v>
      </x:c>
      <x:c r="E1007" s="32">
        <x:v>246.77</x:v>
      </x:c>
      <x:c r="F1007" s="33">
        <x:v>238110</x:v>
      </x:c>
      <x:c r="G1007" s="32" t="n">
        <x:f t="shared" si="36">AVERAGE(E808:E1007)</x:f>
        <x:v>234.83090000000007</x:v>
      </x:c>
      <x:c r="H1007" s="37" t="n">
        <x:f t="shared" si="37">IFERROR(E1007/G1007-1,"")</x:f>
        <x:v>0.05084126492723029</x:v>
      </x:c>
      <x:c r="I1007" s="38" t="b">
        <x:f t="shared" si="38">E1007&lt;G1007</x:f>
        <x:v>0</x:v>
      </x:c>
    </x:row>
    <x:row r="1008">
      <x:c r="A1008" s="31">
        <x:v>38463</x:v>
      </x:c>
      <x:c r="B1008" s="32">
        <x:v>245.82</x:v>
      </x:c>
      <x:c r="C1008" s="32">
        <x:v>245.82</x:v>
      </x:c>
      <x:c r="D1008" s="32">
        <x:v>245.58</x:v>
      </x:c>
      <x:c r="E1008" s="32">
        <x:v>245.58</x:v>
      </x:c>
      <x:c r="F1008" s="33">
        <x:v>167070</x:v>
      </x:c>
      <x:c r="G1008" s="32" t="n">
        <x:f t="shared" si="36">AVERAGE(E809:E1008)</x:f>
        <x:v>234.8207500000001</x:v>
      </x:c>
      <x:c r="H1008" s="37" t="n">
        <x:f t="shared" si="37">IFERROR(E1008/G1008-1,"")</x:f>
        <x:v>0.04581899172027981</x:v>
      </x:c>
      <x:c r="I1008" s="38" t="b">
        <x:f t="shared" si="38">E1008&lt;G1008</x:f>
        <x:v>0</x:v>
      </x:c>
    </x:row>
    <x:row r="1009">
      <x:c r="A1009" s="31">
        <x:v>38464</x:v>
      </x:c>
      <x:c r="B1009" s="32">
        <x:v>246.06</x:v>
      </x:c>
      <x:c r="C1009" s="32">
        <x:v>246.06</x:v>
      </x:c>
      <x:c r="D1009" s="32">
        <x:v>245.63</x:v>
      </x:c>
      <x:c r="E1009" s="32">
        <x:v>245.63</x:v>
      </x:c>
      <x:c r="F1009" s="33">
        <x:v>190350</x:v>
      </x:c>
      <x:c r="G1009" s="32" t="n">
        <x:f t="shared" si="36">AVERAGE(E810:E1009)</x:f>
        <x:v>234.81255000000007</x:v>
      </x:c>
      <x:c r="H1009" s="37" t="n">
        <x:f t="shared" si="37">IFERROR(E1009/G1009-1,"")</x:f>
        <x:v>0.046068449067138584</x:v>
      </x:c>
      <x:c r="I1009" s="38" t="b">
        <x:f t="shared" si="38">E1009&lt;G1009</x:f>
        <x:v>0</x:v>
      </x:c>
    </x:row>
    <x:row r="1010">
      <x:c r="A1010" s="31">
        <x:v>38467</x:v>
      </x:c>
      <x:c r="B1010" s="32">
        <x:v>246.37</x:v>
      </x:c>
      <x:c r="C1010" s="32">
        <x:v>246.37</x:v>
      </x:c>
      <x:c r="D1010" s="32">
        <x:v>245.69</x:v>
      </x:c>
      <x:c r="E1010" s="32">
        <x:v>245.69</x:v>
      </x:c>
      <x:c r="F1010" s="33">
        <x:v>232120</x:v>
      </x:c>
      <x:c r="G1010" s="32" t="n">
        <x:f t="shared" si="36">AVERAGE(E811:E1010)</x:f>
        <x:v>234.8060000000001</x:v>
      </x:c>
      <x:c r="H1010" s="37" t="n">
        <x:f t="shared" si="37">IFERROR(E1010/G1010-1,"")</x:f>
        <x:v>0.046353159629651364</x:v>
      </x:c>
      <x:c r="I1010" s="38" t="b">
        <x:f t="shared" si="38">E1010&lt;G1010</x:f>
        <x:v>0</x:v>
      </x:c>
    </x:row>
    <x:row r="1011">
      <x:c r="A1011" s="31">
        <x:v>38468</x:v>
      </x:c>
      <x:c r="B1011" s="32">
        <x:v>247.2</x:v>
      </x:c>
      <x:c r="C1011" s="32">
        <x:v>247.2</x:v>
      </x:c>
      <x:c r="D1011" s="32">
        <x:v>246.65</x:v>
      </x:c>
      <x:c r="E1011" s="32">
        <x:v>246.65</x:v>
      </x:c>
      <x:c r="F1011" s="33">
        <x:v>296220</x:v>
      </x:c>
      <x:c r="G1011" s="32" t="n">
        <x:f t="shared" si="36">AVERAGE(E812:E1011)</x:f>
        <x:v>234.8069000000001</x:v>
      </x:c>
      <x:c r="H1011" s="37" t="n">
        <x:f t="shared" si="37">IFERROR(E1011/G1011-1,"")</x:f>
        <x:v>0.05043761490824972</x:v>
      </x:c>
      <x:c r="I1011" s="38" t="b">
        <x:f t="shared" si="38">E1011&lt;G1011</x:f>
        <x:v>0</x:v>
      </x:c>
    </x:row>
    <x:row r="1012">
      <x:c r="A1012" s="31">
        <x:v>38469</x:v>
      </x:c>
      <x:c r="B1012" s="32">
        <x:v>247.18</x:v>
      </x:c>
      <x:c r="C1012" s="32">
        <x:v>247.18</x:v>
      </x:c>
      <x:c r="D1012" s="32">
        <x:v>246.43</x:v>
      </x:c>
      <x:c r="E1012" s="32">
        <x:v>246.43</x:v>
      </x:c>
      <x:c r="F1012" s="33">
        <x:v>213030</x:v>
      </x:c>
      <x:c r="G1012" s="32" t="n">
        <x:f t="shared" si="36">AVERAGE(E813:E1012)</x:f>
        <x:v>234.8074500000001</x:v>
      </x:c>
      <x:c r="H1012" s="37" t="n">
        <x:f t="shared" si="37">IFERROR(E1012/G1012-1,"")</x:f>
        <x:v>0.0494982165174056</x:v>
      </x:c>
      <x:c r="I1012" s="38" t="b">
        <x:f t="shared" si="38">E1012&lt;G1012</x:f>
        <x:v>0</x:v>
      </x:c>
    </x:row>
    <x:row r="1013">
      <x:c r="A1013" s="31">
        <x:v>38470</x:v>
      </x:c>
      <x:c r="B1013" s="32">
        <x:v>244.95</x:v>
      </x:c>
      <x:c r="C1013" s="32">
        <x:v>245.67</x:v>
      </x:c>
      <x:c r="D1013" s="32">
        <x:v>244.95</x:v>
      </x:c>
      <x:c r="E1013" s="32">
        <x:v>245.67</x:v>
      </x:c>
      <x:c r="F1013" s="33">
        <x:v>204500</x:v>
      </x:c>
      <x:c r="G1013" s="32" t="n">
        <x:f t="shared" si="36">AVERAGE(E814:E1013)</x:f>
        <x:v>234.80825000000007</x:v>
      </x:c>
      <x:c r="H1013" s="37" t="n">
        <x:f t="shared" si="37">IFERROR(E1013/G1013-1,"")</x:f>
        <x:v>0.046257957290682494</x:v>
      </x:c>
      <x:c r="I1013" s="38" t="b">
        <x:f t="shared" si="38">E1013&lt;G1013</x:f>
        <x:v>0</x:v>
      </x:c>
    </x:row>
    <x:row r="1014">
      <x:c r="A1014" s="31">
        <x:v>38471</x:v>
      </x:c>
      <x:c r="B1014" s="32">
        <x:v>246.03</x:v>
      </x:c>
      <x:c r="C1014" s="32">
        <x:v>246.25</x:v>
      </x:c>
      <x:c r="D1014" s="32">
        <x:v>246.03</x:v>
      </x:c>
      <x:c r="E1014" s="32">
        <x:v>246.25</x:v>
      </x:c>
      <x:c r="F1014" s="33">
        <x:v>180330</x:v>
      </x:c>
      <x:c r="G1014" s="32" t="n">
        <x:f t="shared" si="36">AVERAGE(E815:E1014)</x:f>
        <x:v>234.81635000000006</x:v>
      </x:c>
      <x:c r="H1014" s="37" t="n">
        <x:f t="shared" si="37">IFERROR(E1014/G1014-1,"")</x:f>
        <x:v>0.04869188197499841</x:v>
      </x:c>
      <x:c r="I1014" s="38" t="b">
        <x:f t="shared" si="38">E1014&lt;G1014</x:f>
        <x:v>0</x:v>
      </x:c>
    </x:row>
    <x:row r="1015">
      <x:c r="A1015" s="31">
        <x:v>38476</x:v>
      </x:c>
      <x:c r="B1015" s="32">
        <x:v>245.56</x:v>
      </x:c>
      <x:c r="C1015" s="32">
        <x:v>245.56</x:v>
      </x:c>
      <x:c r="D1015" s="32">
        <x:v>244.03</x:v>
      </x:c>
      <x:c r="E1015" s="32">
        <x:v>244.03</x:v>
      </x:c>
      <x:c r="F1015" s="33">
        <x:v>135890</x:v>
      </x:c>
      <x:c r="G1015" s="32" t="n">
        <x:f t="shared" si="36">AVERAGE(E816:E1015)</x:f>
        <x:v>234.81910000000008</x:v>
      </x:c>
      <x:c r="H1015" s="37" t="n">
        <x:f t="shared" si="37">IFERROR(E1015/G1015-1,"")</x:f>
        <x:v>0.03922551444920752</x:v>
      </x:c>
      <x:c r="I1015" s="38" t="b">
        <x:f t="shared" si="38">E1015&lt;G1015</x:f>
        <x:v>0</x:v>
      </x:c>
    </x:row>
    <x:row r="1016">
      <x:c r="A1016" s="31">
        <x:v>38477</x:v>
      </x:c>
      <x:c r="B1016" s="32">
        <x:v>244.04</x:v>
      </x:c>
      <x:c r="C1016" s="32">
        <x:v>244.71</x:v>
      </x:c>
      <x:c r="D1016" s="32">
        <x:v>244.04</x:v>
      </x:c>
      <x:c r="E1016" s="32">
        <x:v>244.71</x:v>
      </x:c>
      <x:c r="F1016" s="33">
        <x:v>178940</x:v>
      </x:c>
      <x:c r="G1016" s="32" t="n">
        <x:f t="shared" si="36">AVERAGE(E817:E1016)</x:f>
        <x:v>234.83145000000005</x:v>
      </x:c>
      <x:c r="H1016" s="37" t="n">
        <x:f t="shared" si="37">IFERROR(E1016/G1016-1,"")</x:f>
        <x:v>0.0420665545436949</x:v>
      </x:c>
      <x:c r="I1016" s="38" t="b">
        <x:f t="shared" si="38">E1016&lt;G1016</x:f>
        <x:v>0</x:v>
      </x:c>
    </x:row>
    <x:row r="1017">
      <x:c r="A1017" s="31">
        <x:v>38478</x:v>
      </x:c>
      <x:c r="B1017" s="32">
        <x:v>245.17</x:v>
      </x:c>
      <x:c r="C1017" s="32">
        <x:v>245.24</x:v>
      </x:c>
      <x:c r="D1017" s="32">
        <x:v>245.17</x:v>
      </x:c>
      <x:c r="E1017" s="32">
        <x:v>245.24</x:v>
      </x:c>
      <x:c r="F1017" s="33">
        <x:v>126290</x:v>
      </x:c>
      <x:c r="G1017" s="32" t="n">
        <x:f t="shared" si="36">AVERAGE(E818:E1017)</x:f>
        <x:v>234.82980000000003</x:v>
      </x:c>
      <x:c r="H1017" s="37" t="n">
        <x:f t="shared" si="37">IFERROR(E1017/G1017-1,"")</x:f>
        <x:v>0.04433083024386164</x:v>
      </x:c>
      <x:c r="I1017" s="38" t="b">
        <x:f t="shared" si="38">E1017&lt;G1017</x:f>
        <x:v>0</x:v>
      </x:c>
    </x:row>
    <x:row r="1018">
      <x:c r="A1018" s="31">
        <x:v>38481</x:v>
      </x:c>
      <x:c r="B1018" s="32">
        <x:v>245.23</x:v>
      </x:c>
      <x:c r="C1018" s="32">
        <x:v>245.23</x:v>
      </x:c>
      <x:c r="D1018" s="32">
        <x:v>244.48</x:v>
      </x:c>
      <x:c r="E1018" s="32">
        <x:v>244.48</x:v>
      </x:c>
      <x:c r="F1018" s="33">
        <x:v>104030</x:v>
      </x:c>
      <x:c r="G1018" s="32" t="n">
        <x:f t="shared" si="36">AVERAGE(E819:E1018)</x:f>
        <x:v>234.83680000000007</x:v>
      </x:c>
      <x:c r="H1018" s="37" t="n">
        <x:f t="shared" si="37">IFERROR(E1018/G1018-1,"")</x:f>
        <x:v>0.041063410845318726</x:v>
      </x:c>
      <x:c r="I1018" s="38" t="b">
        <x:f t="shared" si="38">E1018&lt;G1018</x:f>
        <x:v>0</x:v>
      </x:c>
    </x:row>
    <x:row r="1019">
      <x:c r="A1019" s="31">
        <x:v>38482</x:v>
      </x:c>
      <x:c r="B1019" s="32">
        <x:v>244.43</x:v>
      </x:c>
      <x:c r="C1019" s="32">
        <x:v>244.43</x:v>
      </x:c>
      <x:c r="D1019" s="32">
        <x:v>244.14</x:v>
      </x:c>
      <x:c r="E1019" s="32">
        <x:v>244.14</x:v>
      </x:c>
      <x:c r="F1019" s="33">
        <x:v>153110</x:v>
      </x:c>
      <x:c r="G1019" s="32" t="n">
        <x:f t="shared" si="36">AVERAGE(E820:E1019)</x:f>
        <x:v>234.83630000000005</x:v>
      </x:c>
      <x:c r="H1019" s="37" t="n">
        <x:f t="shared" si="37">IFERROR(E1019/G1019-1,"")</x:f>
        <x:v>0.039617810364070305</x:v>
      </x:c>
      <x:c r="I1019" s="38" t="b">
        <x:f t="shared" si="38">E1019&lt;G1019</x:f>
        <x:v>0</x:v>
      </x:c>
    </x:row>
    <x:row r="1020">
      <x:c r="A1020" s="31">
        <x:v>38483</x:v>
      </x:c>
      <x:c r="B1020" s="32">
        <x:v>243.5</x:v>
      </x:c>
      <x:c r="C1020" s="32">
        <x:v>243.5</x:v>
      </x:c>
      <x:c r="D1020" s="32">
        <x:v>243.1</x:v>
      </x:c>
      <x:c r="E1020" s="32">
        <x:v>243.1</x:v>
      </x:c>
      <x:c r="F1020" s="33">
        <x:v>117160</x:v>
      </x:c>
      <x:c r="G1020" s="32" t="n">
        <x:f t="shared" si="36">AVERAGE(E821:E1020)</x:f>
        <x:v>234.83170000000007</x:v>
      </x:c>
      <x:c r="H1020" s="37" t="n">
        <x:f t="shared" si="37">IFERROR(E1020/G1020-1,"")</x:f>
        <x:v>0.03520947129369634</x:v>
      </x:c>
      <x:c r="I1020" s="38" t="b">
        <x:f t="shared" si="38">E1020&lt;G1020</x:f>
        <x:v>0</x:v>
      </x:c>
    </x:row>
    <x:row r="1021">
      <x:c r="A1021" s="31">
        <x:v>38484</x:v>
      </x:c>
      <x:c r="B1021" s="32">
        <x:v>242.69</x:v>
      </x:c>
      <x:c r="C1021" s="32">
        <x:v>242.81</x:v>
      </x:c>
      <x:c r="D1021" s="32">
        <x:v>242.69</x:v>
      </x:c>
      <x:c r="E1021" s="32">
        <x:v>242.81</x:v>
      </x:c>
      <x:c r="F1021" s="33">
        <x:v>165250</x:v>
      </x:c>
      <x:c r="G1021" s="32" t="n">
        <x:f t="shared" si="36">AVERAGE(E822:E1021)</x:f>
        <x:v>234.82510000000005</x:v>
      </x:c>
      <x:c r="H1021" s="37" t="n">
        <x:f t="shared" si="37">IFERROR(E1021/G1021-1,"")</x:f>
        <x:v>0.034003605236407664</x:v>
      </x:c>
      <x:c r="I1021" s="38" t="b">
        <x:f t="shared" si="38">E1021&lt;G1021</x:f>
        <x:v>0</x:v>
      </x:c>
    </x:row>
    <x:row r="1022">
      <x:c r="A1022" s="31">
        <x:v>38485</x:v>
      </x:c>
      <x:c r="B1022" s="32">
        <x:v>243.05</x:v>
      </x:c>
      <x:c r="C1022" s="32">
        <x:v>243.36</x:v>
      </x:c>
      <x:c r="D1022" s="32">
        <x:v>243.05</x:v>
      </x:c>
      <x:c r="E1022" s="32">
        <x:v>243.36</x:v>
      </x:c>
      <x:c r="F1022" s="33">
        <x:v>131490</x:v>
      </x:c>
      <x:c r="G1022" s="32" t="n">
        <x:f t="shared" si="36">AVERAGE(E823:E1022)</x:f>
        <x:v>234.8241500000001</x:v>
      </x:c>
      <x:c r="H1022" s="37" t="n">
        <x:f t="shared" si="37">IFERROR(E1022/G1022-1,"")</x:f>
        <x:v>0.03634996656008305</x:v>
      </x:c>
      <x:c r="I1022" s="38" t="b">
        <x:f t="shared" si="38">E1022&lt;G1022</x:f>
        <x:v>0</x:v>
      </x:c>
    </x:row>
    <x:row r="1023">
      <x:c r="A1023" s="31">
        <x:v>38488</x:v>
      </x:c>
      <x:c r="B1023" s="32">
        <x:v>243.58</x:v>
      </x:c>
      <x:c r="C1023" s="32">
        <x:v>243.58</x:v>
      </x:c>
      <x:c r="D1023" s="32">
        <x:v>242.45</x:v>
      </x:c>
      <x:c r="E1023" s="32">
        <x:v>242.45</x:v>
      </x:c>
      <x:c r="F1023" s="33">
        <x:v>113840</x:v>
      </x:c>
      <x:c r="G1023" s="32" t="n">
        <x:f t="shared" si="36">AVERAGE(E824:E1023)</x:f>
        <x:v>234.8272000000001</x:v>
      </x:c>
      <x:c r="H1023" s="37" t="n">
        <x:f t="shared" si="37">IFERROR(E1023/G1023-1,"")</x:f>
        <x:v>0.032461316235938176</x:v>
      </x:c>
      <x:c r="I1023" s="38" t="b">
        <x:f t="shared" si="38">E1023&lt;G1023</x:f>
        <x:v>0</x:v>
      </x:c>
    </x:row>
    <x:row r="1024">
      <x:c r="A1024" s="31">
        <x:v>38489</x:v>
      </x:c>
      <x:c r="B1024" s="32">
        <x:v>242.02</x:v>
      </x:c>
      <x:c r="C1024" s="32">
        <x:v>242.02</x:v>
      </x:c>
      <x:c r="D1024" s="32">
        <x:v>241.53</x:v>
      </x:c>
      <x:c r="E1024" s="32">
        <x:v>241.53</x:v>
      </x:c>
      <x:c r="F1024" s="33">
        <x:v>206520</x:v>
      </x:c>
      <x:c r="G1024" s="32" t="n">
        <x:f t="shared" si="36">AVERAGE(E825:E1024)</x:f>
        <x:v>234.83015000000006</x:v>
      </x:c>
      <x:c r="H1024" s="37" t="n">
        <x:f t="shared" si="37">IFERROR(E1024/G1024-1,"")</x:f>
        <x:v>0.02853062096157566</x:v>
      </x:c>
      <x:c r="I1024" s="38" t="b">
        <x:f t="shared" si="38">E1024&lt;G1024</x:f>
        <x:v>0</x:v>
      </x:c>
    </x:row>
    <x:row r="1025">
      <x:c r="A1025" s="31">
        <x:v>38490</x:v>
      </x:c>
      <x:c r="B1025" s="32">
        <x:v>241.67</x:v>
      </x:c>
      <x:c r="C1025" s="32">
        <x:v>241.67</x:v>
      </x:c>
      <x:c r="D1025" s="32">
        <x:v>241.39</x:v>
      </x:c>
      <x:c r="E1025" s="32">
        <x:v>241.39</x:v>
      </x:c>
      <x:c r="F1025" s="33">
        <x:v>132440</x:v>
      </x:c>
      <x:c r="G1025" s="32" t="n">
        <x:f t="shared" si="36">AVERAGE(E826:E1025)</x:f>
        <x:v>234.83555000000004</x:v>
      </x:c>
      <x:c r="H1025" s="37" t="n">
        <x:f t="shared" si="37">IFERROR(E1025/G1025-1,"")</x:f>
        <x:v>0.027910808223030825</x:v>
      </x:c>
      <x:c r="I1025" s="38" t="b">
        <x:f t="shared" si="38">E1025&lt;G1025</x:f>
        <x:v>0</x:v>
      </x:c>
    </x:row>
    <x:row r="1026">
      <x:c r="A1026" s="31">
        <x:v>38491</x:v>
      </x:c>
      <x:c r="B1026" s="32">
        <x:v>241.79</x:v>
      </x:c>
      <x:c r="C1026" s="32">
        <x:v>242.48</x:v>
      </x:c>
      <x:c r="D1026" s="32">
        <x:v>241.79</x:v>
      </x:c>
      <x:c r="E1026" s="32">
        <x:v>242.48</x:v>
      </x:c>
      <x:c r="F1026" s="33">
        <x:v>179810</x:v>
      </x:c>
      <x:c r="G1026" s="32" t="n">
        <x:f t="shared" si="36">AVERAGE(E827:E1026)</x:f>
        <x:v>234.87145000000007</x:v>
      </x:c>
      <x:c r="H1026" s="37" t="n">
        <x:f t="shared" si="37">IFERROR(E1026/G1026-1,"")</x:f>
        <x:v>0.03239452900725026</x:v>
      </x:c>
      <x:c r="I1026" s="38" t="b">
        <x:f t="shared" si="38">E1026&lt;G1026</x:f>
        <x:v>0</x:v>
      </x:c>
    </x:row>
    <x:row r="1027">
      <x:c r="A1027" s="31">
        <x:v>38492</x:v>
      </x:c>
      <x:c r="B1027" s="32">
        <x:v>242.69</x:v>
      </x:c>
      <x:c r="C1027" s="32">
        <x:v>243.69</x:v>
      </x:c>
      <x:c r="D1027" s="32">
        <x:v>242.69</x:v>
      </x:c>
      <x:c r="E1027" s="32">
        <x:v>243.69</x:v>
      </x:c>
      <x:c r="F1027" s="33">
        <x:v>217670</x:v>
      </x:c>
      <x:c r="G1027" s="32" t="n">
        <x:f t="shared" si="36">AVERAGE(E828:E1027)</x:f>
        <x:v>234.8977000000001</x:v>
      </x:c>
      <x:c r="H1027" s="37" t="n">
        <x:f t="shared" si="37">IFERROR(E1027/G1027-1,"")</x:f>
        <x:v>0.03743033669550577</x:v>
      </x:c>
      <x:c r="I1027" s="38" t="b">
        <x:f t="shared" si="38">E1027&lt;G1027</x:f>
        <x:v>0</x:v>
      </x:c>
    </x:row>
    <x:row r="1028">
      <x:c r="A1028" s="31">
        <x:v>38495</x:v>
      </x:c>
      <x:c r="B1028" s="32">
        <x:v>243.55</x:v>
      </x:c>
      <x:c r="C1028" s="32">
        <x:v>243.55</x:v>
      </x:c>
      <x:c r="D1028" s="32">
        <x:v>243.39</x:v>
      </x:c>
      <x:c r="E1028" s="32">
        <x:v>243.39</x:v>
      </x:c>
      <x:c r="F1028" s="33">
        <x:v>97210</x:v>
      </x:c>
      <x:c r="G1028" s="32" t="n">
        <x:f t="shared" si="36">AVERAGE(E829:E1028)</x:f>
        <x:v>234.9288500000001</x:v>
      </x:c>
      <x:c r="H1028" s="37" t="n">
        <x:f t="shared" si="37">IFERROR(E1028/G1028-1,"")</x:f>
        <x:v>0.03601579797457788</x:v>
      </x:c>
      <x:c r="I1028" s="38" t="b">
        <x:f t="shared" si="38">E1028&lt;G1028</x:f>
        <x:v>0</x:v>
      </x:c>
    </x:row>
    <x:row r="1029">
      <x:c r="A1029" s="31">
        <x:v>38496</x:v>
      </x:c>
      <x:c r="B1029" s="32">
        <x:v>243.72</x:v>
      </x:c>
      <x:c r="C1029" s="32">
        <x:v>243.72</x:v>
      </x:c>
      <x:c r="D1029" s="32">
        <x:v>243.72</x:v>
      </x:c>
      <x:c r="E1029" s="32">
        <x:v>243.72</x:v>
      </x:c>
      <x:c r="F1029" s="33">
        <x:v>110920</x:v>
      </x:c>
      <x:c r="G1029" s="32" t="n">
        <x:f t="shared" si="36">AVERAGE(E830:E1029)</x:f>
        <x:v>234.97720000000012</x:v>
      </x:c>
      <x:c r="H1029" s="37" t="n">
        <x:f t="shared" si="37">IFERROR(E1029/G1029-1,"")</x:f>
        <x:v>0.03720701412732752</x:v>
      </x:c>
      <x:c r="I1029" s="38" t="b">
        <x:f t="shared" si="38">E1029&lt;G1029</x:f>
        <x:v>0</x:v>
      </x:c>
    </x:row>
    <x:row r="1030">
      <x:c r="A1030" s="31">
        <x:v>38497</x:v>
      </x:c>
      <x:c r="B1030" s="32">
        <x:v>242.85</x:v>
      </x:c>
      <x:c r="C1030" s="32">
        <x:v>243.19</x:v>
      </x:c>
      <x:c r="D1030" s="32">
        <x:v>242.85</x:v>
      </x:c>
      <x:c r="E1030" s="32">
        <x:v>243.19</x:v>
      </x:c>
      <x:c r="F1030" s="33">
        <x:v>105090</x:v>
      </x:c>
      <x:c r="G1030" s="32" t="n">
        <x:f t="shared" si="36">AVERAGE(E831:E1030)</x:f>
        <x:v>235.03560000000013</x:v>
      </x:c>
      <x:c r="H1030" s="37" t="n">
        <x:f t="shared" si="37">IFERROR(E1030/G1030-1,"")</x:f>
        <x:v>0.03469431864789785</x:v>
      </x:c>
      <x:c r="I1030" s="38" t="b">
        <x:f t="shared" si="38">E1030&lt;G1030</x:f>
        <x:v>0</x:v>
      </x:c>
    </x:row>
    <x:row r="1031">
      <x:c r="A1031" s="31">
        <x:v>38498</x:v>
      </x:c>
      <x:c r="B1031" s="32">
        <x:v>243.14</x:v>
      </x:c>
      <x:c r="C1031" s="32">
        <x:v>243.24</x:v>
      </x:c>
      <x:c r="D1031" s="32">
        <x:v>243.14</x:v>
      </x:c>
      <x:c r="E1031" s="32">
        <x:v>243.24</x:v>
      </x:c>
      <x:c r="F1031" s="33">
        <x:v>148720</x:v>
      </x:c>
      <x:c r="G1031" s="32" t="n">
        <x:f t="shared" si="36">AVERAGE(E832:E1031)</x:f>
        <x:v>235.10860000000008</x:v>
      </x:c>
      <x:c r="H1031" s="37" t="n">
        <x:f t="shared" si="37">IFERROR(E1031/G1031-1,"")</x:f>
        <x:v>0.034585719110232116</x:v>
      </x:c>
      <x:c r="I1031" s="38" t="b">
        <x:f t="shared" si="38">E1031&lt;G1031</x:f>
        <x:v>0</x:v>
      </x:c>
    </x:row>
    <x:row r="1032">
      <x:c r="A1032" s="31">
        <x:v>38499</x:v>
      </x:c>
      <x:c r="B1032" s="32">
        <x:v>243.2</x:v>
      </x:c>
      <x:c r="C1032" s="32">
        <x:v>244.13</x:v>
      </x:c>
      <x:c r="D1032" s="32">
        <x:v>243.2</x:v>
      </x:c>
      <x:c r="E1032" s="32">
        <x:v>244.13</x:v>
      </x:c>
      <x:c r="F1032" s="33">
        <x:v>151570</x:v>
      </x:c>
      <x:c r="G1032" s="32" t="n">
        <x:f t="shared" si="36">AVERAGE(E833:E1032)</x:f>
        <x:v>235.20855000000006</x:v>
      </x:c>
      <x:c r="H1032" s="37" t="n">
        <x:f t="shared" si="37">IFERROR(E1032/G1032-1,"")</x:f>
        <x:v>0.037929956202697346</x:v>
      </x:c>
      <x:c r="I1032" s="38" t="b">
        <x:f t="shared" si="38">E1032&lt;G1032</x:f>
        <x:v>0</x:v>
      </x:c>
    </x:row>
    <x:row r="1033">
      <x:c r="A1033" s="31">
        <x:v>38502</x:v>
      </x:c>
      <x:c r="B1033" s="32">
        <x:v>243.27</x:v>
      </x:c>
      <x:c r="C1033" s="32">
        <x:v>244.56</x:v>
      </x:c>
      <x:c r="D1033" s="32">
        <x:v>243.27</x:v>
      </x:c>
      <x:c r="E1033" s="32">
        <x:v>244.56</x:v>
      </x:c>
      <x:c r="F1033" s="33">
        <x:v>154600</x:v>
      </x:c>
      <x:c r="G1033" s="32" t="n">
        <x:f t="shared" si="36">AVERAGE(E834:E1033)</x:f>
        <x:v>235.36265000000003</x:v>
      </x:c>
      <x:c r="H1033" s="37" t="n">
        <x:f t="shared" si="37">IFERROR(E1033/G1033-1,"")</x:f>
        <x:v>0.039077355731676144</x:v>
      </x:c>
      <x:c r="I1033" s="38" t="b">
        <x:f t="shared" si="38">E1033&lt;G1033</x:f>
        <x:v>0</x:v>
      </x:c>
    </x:row>
    <x:row r="1034">
      <x:c r="A1034" s="31">
        <x:v>38503</x:v>
      </x:c>
      <x:c r="B1034" s="32">
        <x:v>243.74</x:v>
      </x:c>
      <x:c r="C1034" s="32">
        <x:v>244.24</x:v>
      </x:c>
      <x:c r="D1034" s="32">
        <x:v>243.74</x:v>
      </x:c>
      <x:c r="E1034" s="32">
        <x:v>244.24</x:v>
      </x:c>
      <x:c r="F1034" s="33">
        <x:v>187650</x:v>
      </x:c>
      <x:c r="G1034" s="32" t="n">
        <x:f t="shared" si="36">AVERAGE(E835:E1034)</x:f>
        <x:v>235.47155000000004</x:v>
      </x:c>
      <x:c r="H1034" s="37" t="n">
        <x:f t="shared" si="37">IFERROR(E1034/G1034-1,"")</x:f>
        <x:v>0.0372378319164246</x:v>
      </x:c>
      <x:c r="I1034" s="38" t="b">
        <x:f t="shared" si="38">E1034&lt;G1034</x:f>
        <x:v>0</x:v>
      </x:c>
    </x:row>
    <x:row r="1035">
      <x:c r="A1035" s="31">
        <x:v>38504</x:v>
      </x:c>
      <x:c r="B1035" s="32">
        <x:v>244.1</x:v>
      </x:c>
      <x:c r="C1035" s="32">
        <x:v>244.73</x:v>
      </x:c>
      <x:c r="D1035" s="32">
        <x:v>244.1</x:v>
      </x:c>
      <x:c r="E1035" s="32">
        <x:v>244.73</x:v>
      </x:c>
      <x:c r="F1035" s="33">
        <x:v>255920</x:v>
      </x:c>
      <x:c r="G1035" s="32" t="n">
        <x:f t="shared" si="36">AVERAGE(E836:E1035)</x:f>
        <x:v>235.55910000000003</x:v>
      </x:c>
      <x:c r="H1035" s="37" t="n">
        <x:f t="shared" si="37">IFERROR(E1035/G1035-1,"")</x:f>
        <x:v>0.03893248021409468</x:v>
      </x:c>
      <x:c r="I1035" s="38" t="b">
        <x:f t="shared" si="38">E1035&lt;G1035</x:f>
        <x:v>0</x:v>
      </x:c>
    </x:row>
    <x:row r="1036">
      <x:c r="A1036" s="31">
        <x:v>38505</x:v>
      </x:c>
      <x:c r="B1036" s="32">
        <x:v>245.18</x:v>
      </x:c>
      <x:c r="C1036" s="32">
        <x:v>245.18</x:v>
      </x:c>
      <x:c r="D1036" s="32">
        <x:v>244.88</x:v>
      </x:c>
      <x:c r="E1036" s="32">
        <x:v>244.88</x:v>
      </x:c>
      <x:c r="F1036" s="33">
        <x:v>185810</x:v>
      </x:c>
      <x:c r="G1036" s="32" t="n">
        <x:f t="shared" si="36">AVERAGE(E837:E1036)</x:f>
        <x:v>235.6611</x:v>
      </x:c>
      <x:c r="H1036" s="37" t="n">
        <x:f t="shared" si="37">IFERROR(E1036/G1036-1,"")</x:f>
        <x:v>0.039119311587699324</x:v>
      </x:c>
      <x:c r="I1036" s="38" t="b">
        <x:f t="shared" si="38">E1036&lt;G1036</x:f>
        <x:v>0</x:v>
      </x:c>
    </x:row>
    <x:row r="1037">
      <x:c r="A1037" s="31">
        <x:v>38506</x:v>
      </x:c>
      <x:c r="B1037" s="32">
        <x:v>245.26</x:v>
      </x:c>
      <x:c r="C1037" s="32">
        <x:v>245.38</x:v>
      </x:c>
      <x:c r="D1037" s="32">
        <x:v>245.26</x:v>
      </x:c>
      <x:c r="E1037" s="32">
        <x:v>245.38</x:v>
      </x:c>
      <x:c r="F1037" s="33">
        <x:v>164960</x:v>
      </x:c>
      <x:c r="G1037" s="32" t="n">
        <x:f t="shared" ref="G1037:G1100" si="39">AVERAGE(E838:E1037)</x:f>
        <x:v>235.77200000000002</x:v>
      </x:c>
      <x:c r="H1037" s="37" t="n">
        <x:f t="shared" ref="H1037:H1100" si="40">IFERROR(E1037/G1037-1,"")</x:f>
        <x:v>0.04075123424325189</x:v>
      </x:c>
      <x:c r="I1037" s="38" t="b">
        <x:f t="shared" ref="I1037:I1100" si="41">E1037&lt;G1037</x:f>
        <x:v>0</x:v>
      </x:c>
    </x:row>
    <x:row r="1038">
      <x:c r="A1038" s="31">
        <x:v>38509</x:v>
      </x:c>
      <x:c r="B1038" s="32">
        <x:v>245.67</x:v>
      </x:c>
      <x:c r="C1038" s="32">
        <x:v>245.76</x:v>
      </x:c>
      <x:c r="D1038" s="32">
        <x:v>245.67</x:v>
      </x:c>
      <x:c r="E1038" s="32">
        <x:v>245.76</x:v>
      </x:c>
      <x:c r="F1038" s="33">
        <x:v>208800</x:v>
      </x:c>
      <x:c r="G1038" s="32" t="n">
        <x:f t="shared" si="39">AVERAGE(E839:E1038)</x:f>
        <x:v>235.8958</x:v>
      </x:c>
      <x:c r="H1038" s="37" t="n">
        <x:f t="shared" si="40">IFERROR(E1038/G1038-1,"")</x:f>
        <x:v>0.041815920419100205</x:v>
      </x:c>
      <x:c r="I1038" s="38" t="b">
        <x:f t="shared" si="41">E1038&lt;G1038</x:f>
        <x:v>0</x:v>
      </x:c>
    </x:row>
    <x:row r="1039">
      <x:c r="A1039" s="31">
        <x:v>38510</x:v>
      </x:c>
      <x:c r="B1039" s="32">
        <x:v>247.1</x:v>
      </x:c>
      <x:c r="C1039" s="32">
        <x:v>247.1</x:v>
      </x:c>
      <x:c r="D1039" s="32">
        <x:v>246.67</x:v>
      </x:c>
      <x:c r="E1039" s="32">
        <x:v>246.67</x:v>
      </x:c>
      <x:c r="F1039" s="33">
        <x:v>304140</x:v>
      </x:c>
      <x:c r="G1039" s="32" t="n">
        <x:f t="shared" si="39">AVERAGE(E840:E1039)</x:f>
        <x:v>236.0182</x:v>
      </x:c>
      <x:c r="H1039" s="37" t="n">
        <x:f t="shared" si="40">IFERROR(E1039/G1039-1,"")</x:f>
        <x:v>0.04513126530072675</x:v>
      </x:c>
      <x:c r="I1039" s="38" t="b">
        <x:f t="shared" si="41">E1039&lt;G1039</x:f>
        <x:v>0</x:v>
      </x:c>
    </x:row>
    <x:row r="1040">
      <x:c r="A1040" s="31">
        <x:v>38511</x:v>
      </x:c>
      <x:c r="B1040" s="32">
        <x:v>247.12</x:v>
      </x:c>
      <x:c r="C1040" s="32">
        <x:v>247.21</x:v>
      </x:c>
      <x:c r="D1040" s="32">
        <x:v>247.12</x:v>
      </x:c>
      <x:c r="E1040" s="32">
        <x:v>247.21</x:v>
      </x:c>
      <x:c r="F1040" s="33">
        <x:v>216490</x:v>
      </x:c>
      <x:c r="G1040" s="32" t="n">
        <x:f t="shared" si="39">AVERAGE(E841:E1040)</x:f>
        <x:v>236.1362</x:v>
      </x:c>
      <x:c r="H1040" s="37" t="n">
        <x:f t="shared" si="40">IFERROR(E1040/G1040-1,"")</x:f>
        <x:v>0.04689581690566724</x:v>
      </x:c>
      <x:c r="I1040" s="38" t="b">
        <x:f t="shared" si="41">E1040&lt;G1040</x:f>
        <x:v>0</x:v>
      </x:c>
    </x:row>
    <x:row r="1041">
      <x:c r="A1041" s="31">
        <x:v>38512</x:v>
      </x:c>
      <x:c r="B1041" s="32">
        <x:v>247.2</x:v>
      </x:c>
      <x:c r="C1041" s="32">
        <x:v>247.2</x:v>
      </x:c>
      <x:c r="D1041" s="32">
        <x:v>247.06</x:v>
      </x:c>
      <x:c r="E1041" s="32">
        <x:v>247.06</x:v>
      </x:c>
      <x:c r="F1041" s="33">
        <x:v>227990</x:v>
      </x:c>
      <x:c r="G1041" s="32" t="n">
        <x:f t="shared" si="39">AVERAGE(E842:E1041)</x:f>
        <x:v>236.23684999999995</x:v>
      </x:c>
      <x:c r="H1041" s="37" t="n">
        <x:f t="shared" si="40">IFERROR(E1041/G1041-1,"")</x:f>
        <x:v>0.04581482524847447</x:v>
      </x:c>
      <x:c r="I1041" s="38" t="b">
        <x:f t="shared" si="41">E1041&lt;G1041</x:f>
        <x:v>0</x:v>
      </x:c>
    </x:row>
    <x:row r="1042">
      <x:c r="A1042" s="31">
        <x:v>38513</x:v>
      </x:c>
      <x:c r="B1042" s="32">
        <x:v>246.46</x:v>
      </x:c>
      <x:c r="C1042" s="32">
        <x:v>246.59</x:v>
      </x:c>
      <x:c r="D1042" s="32">
        <x:v>246.46</x:v>
      </x:c>
      <x:c r="E1042" s="32">
        <x:v>246.59</x:v>
      </x:c>
      <x:c r="F1042" s="33">
        <x:v>156750</x:v>
      </x:c>
      <x:c r="G1042" s="32" t="n">
        <x:f t="shared" si="39">AVERAGE(E843:E1042)</x:f>
        <x:v>236.32399999999996</x:v>
      </x:c>
      <x:c r="H1042" s="37" t="n">
        <x:f t="shared" si="40">IFERROR(E1042/G1042-1,"")</x:f>
        <x:v>0.043440361537550265</x:v>
      </x:c>
      <x:c r="I1042" s="38" t="b">
        <x:f t="shared" si="41">E1042&lt;G1042</x:f>
        <x:v>0</x:v>
      </x:c>
    </x:row>
    <x:row r="1043">
      <x:c r="A1043" s="31">
        <x:v>38516</x:v>
      </x:c>
      <x:c r="B1043" s="32">
        <x:v>246.57</x:v>
      </x:c>
      <x:c r="C1043" s="32">
        <x:v>246.57</x:v>
      </x:c>
      <x:c r="D1043" s="32">
        <x:v>245.83</x:v>
      </x:c>
      <x:c r="E1043" s="32">
        <x:v>245.83</x:v>
      </x:c>
      <x:c r="F1043" s="33">
        <x:v>177160</x:v>
      </x:c>
      <x:c r="G1043" s="32" t="n">
        <x:f t="shared" si="39">AVERAGE(E844:E1043)</x:f>
        <x:v>236.36664999999994</x:v>
      </x:c>
      <x:c r="H1043" s="37" t="n">
        <x:f t="shared" si="40">IFERROR(E1043/G1043-1,"")</x:f>
        <x:v>0.040036739531571275</x:v>
      </x:c>
      <x:c r="I1043" s="38" t="b">
        <x:f t="shared" si="41">E1043&lt;G1043</x:f>
        <x:v>0</x:v>
      </x:c>
    </x:row>
    <x:row r="1044">
      <x:c r="A1044" s="31">
        <x:v>38517</x:v>
      </x:c>
      <x:c r="B1044" s="32">
        <x:v>245.46</x:v>
      </x:c>
      <x:c r="C1044" s="32">
        <x:v>245.73</x:v>
      </x:c>
      <x:c r="D1044" s="32">
        <x:v>245.46</x:v>
      </x:c>
      <x:c r="E1044" s="32">
        <x:v>245.73</x:v>
      </x:c>
      <x:c r="F1044" s="33">
        <x:v>163230</x:v>
      </x:c>
      <x:c r="G1044" s="32" t="n">
        <x:f t="shared" si="39">AVERAGE(E845:E1044)</x:f>
        <x:v>236.4360499999999</x:v>
      </x:c>
      <x:c r="H1044" s="37" t="n">
        <x:f t="shared" si="40">IFERROR(E1044/G1044-1,"")</x:f>
        <x:v>0.03930851492401466</x:v>
      </x:c>
      <x:c r="I1044" s="38" t="b">
        <x:f t="shared" si="41">E1044&lt;G1044</x:f>
        <x:v>0</x:v>
      </x:c>
    </x:row>
    <x:row r="1045">
      <x:c r="A1045" s="31">
        <x:v>38518</x:v>
      </x:c>
      <x:c r="B1045" s="32">
        <x:v>246.05</x:v>
      </x:c>
      <x:c r="C1045" s="32">
        <x:v>246.07</x:v>
      </x:c>
      <x:c r="D1045" s="32">
        <x:v>246.05</x:v>
      </x:c>
      <x:c r="E1045" s="32">
        <x:v>246.07</x:v>
      </x:c>
      <x:c r="F1045" s="33">
        <x:v>278430</x:v>
      </x:c>
      <x:c r="G1045" s="32" t="n">
        <x:f t="shared" si="39">AVERAGE(E846:E1045)</x:f>
        <x:v>236.50769999999994</x:v>
      </x:c>
      <x:c r="H1045" s="37" t="n">
        <x:f t="shared" si="40">IFERROR(E1045/G1045-1,"")</x:f>
        <x:v>0.040431241773523974</x:v>
      </x:c>
      <x:c r="I1045" s="38" t="b">
        <x:f t="shared" si="41">E1045&lt;G1045</x:f>
        <x:v>0</x:v>
      </x:c>
    </x:row>
    <x:row r="1046">
      <x:c r="A1046" s="31">
        <x:v>38519</x:v>
      </x:c>
      <x:c r="B1046" s="32">
        <x:v>246.18</x:v>
      </x:c>
      <x:c r="C1046" s="32">
        <x:v>246.29</x:v>
      </x:c>
      <x:c r="D1046" s="32">
        <x:v>246.18</x:v>
      </x:c>
      <x:c r="E1046" s="32">
        <x:v>246.29</x:v>
      </x:c>
      <x:c r="F1046" s="33">
        <x:v>266620</x:v>
      </x:c>
      <x:c r="G1046" s="32" t="n">
        <x:f t="shared" si="39">AVERAGE(E847:E1046)</x:f>
        <x:v>236.57559999999995</x:v>
      </x:c>
      <x:c r="H1046" s="37" t="n">
        <x:f t="shared" si="40">IFERROR(E1046/G1046-1,"")</x:f>
        <x:v>0.041062560974166606</x:v>
      </x:c>
      <x:c r="I1046" s="38" t="b">
        <x:f t="shared" si="41">E1046&lt;G1046</x:f>
        <x:v>0</x:v>
      </x:c>
    </x:row>
    <x:row r="1047">
      <x:c r="A1047" s="31">
        <x:v>38520</x:v>
      </x:c>
      <x:c r="B1047" s="32">
        <x:v>246.45</x:v>
      </x:c>
      <x:c r="C1047" s="32">
        <x:v>246.56</x:v>
      </x:c>
      <x:c r="D1047" s="32">
        <x:v>246.45</x:v>
      </x:c>
      <x:c r="E1047" s="32">
        <x:v>246.56</x:v>
      </x:c>
      <x:c r="F1047" s="33">
        <x:v>233030</x:v>
      </x:c>
      <x:c r="G1047" s="32" t="n">
        <x:f t="shared" si="39">AVERAGE(E848:E1047)</x:f>
        <x:v>236.63884999999993</x:v>
      </x:c>
      <x:c r="H1047" s="37" t="n">
        <x:f t="shared" si="40">IFERROR(E1047/G1047-1,"")</x:f>
        <x:v>0.04192527980929617</x:v>
      </x:c>
      <x:c r="I1047" s="38" t="b">
        <x:f t="shared" si="41">E1047&lt;G1047</x:f>
        <x:v>0</x:v>
      </x:c>
    </x:row>
    <x:row r="1048">
      <x:c r="A1048" s="31">
        <x:v>38523</x:v>
      </x:c>
      <x:c r="B1048" s="32">
        <x:v>247.31</x:v>
      </x:c>
      <x:c r="C1048" s="32">
        <x:v>247.31</x:v>
      </x:c>
      <x:c r="D1048" s="32">
        <x:v>246.42</x:v>
      </x:c>
      <x:c r="E1048" s="32">
        <x:v>246.42</x:v>
      </x:c>
      <x:c r="F1048" s="33">
        <x:v>266780</x:v>
      </x:c>
      <x:c r="G1048" s="32" t="n">
        <x:f t="shared" si="39">AVERAGE(E849:E1048)</x:f>
        <x:v>236.70854999999992</x:v>
      </x:c>
      <x:c r="H1048" s="37" t="n">
        <x:f t="shared" si="40">IFERROR(E1048/G1048-1,"")</x:f>
        <x:v>0.04102703514511874</x:v>
      </x:c>
      <x:c r="I1048" s="38" t="b">
        <x:f t="shared" si="41">E1048&lt;G1048</x:f>
        <x:v>0</x:v>
      </x:c>
    </x:row>
    <x:row r="1049">
      <x:c r="A1049" s="31">
        <x:v>38524</x:v>
      </x:c>
      <x:c r="B1049" s="32">
        <x:v>246.92</x:v>
      </x:c>
      <x:c r="C1049" s="32">
        <x:v>246.92</x:v>
      </x:c>
      <x:c r="D1049" s="32">
        <x:v>246.56</x:v>
      </x:c>
      <x:c r="E1049" s="32">
        <x:v>246.56</x:v>
      </x:c>
      <x:c r="F1049" s="33">
        <x:v>346260</x:v>
      </x:c>
      <x:c r="G1049" s="32" t="n">
        <x:f t="shared" si="39">AVERAGE(E850:E1049)</x:f>
        <x:v>236.77944999999997</x:v>
      </x:c>
      <x:c r="H1049" s="37" t="n">
        <x:f t="shared" si="40">IFERROR(E1049/G1049-1,"")</x:f>
        <x:v>0.0413065829826027</x:v>
      </x:c>
      <x:c r="I1049" s="38" t="b">
        <x:f t="shared" si="41">E1049&lt;G1049</x:f>
        <x:v>0</x:v>
      </x:c>
    </x:row>
    <x:row r="1050">
      <x:c r="A1050" s="31">
        <x:v>38525</x:v>
      </x:c>
      <x:c r="B1050" s="32">
        <x:v>247.42</x:v>
      </x:c>
      <x:c r="C1050" s="32">
        <x:v>247.42</x:v>
      </x:c>
      <x:c r="D1050" s="32">
        <x:v>246.76</x:v>
      </x:c>
      <x:c r="E1050" s="32">
        <x:v>246.76</x:v>
      </x:c>
      <x:c r="F1050" s="33">
        <x:v>323450</x:v>
      </x:c>
      <x:c r="G1050" s="32" t="n">
        <x:f t="shared" si="39">AVERAGE(E851:E1050)</x:f>
        <x:v>236.85569999999996</x:v>
      </x:c>
      <x:c r="H1050" s="37" t="n">
        <x:f t="shared" si="40">IFERROR(E1050/G1050-1,"")</x:f>
        <x:v>0.041815755331199744</x:v>
      </x:c>
      <x:c r="I1050" s="38" t="b">
        <x:f t="shared" si="41">E1050&lt;G1050</x:f>
        <x:v>0</x:v>
      </x:c>
    </x:row>
    <x:row r="1051">
      <x:c r="A1051" s="31">
        <x:v>38526</x:v>
      </x:c>
      <x:c r="B1051" s="32">
        <x:v>247.3</x:v>
      </x:c>
      <x:c r="C1051" s="32">
        <x:v>247.3</x:v>
      </x:c>
      <x:c r="D1051" s="32">
        <x:v>247</x:v>
      </x:c>
      <x:c r="E1051" s="32">
        <x:v>247</x:v>
      </x:c>
      <x:c r="F1051" s="33">
        <x:v>290220</x:v>
      </x:c>
      <x:c r="G1051" s="32" t="n">
        <x:f t="shared" si="39">AVERAGE(E852:E1051)</x:f>
        <x:v>236.93564999999998</x:v>
      </x:c>
      <x:c r="H1051" s="37" t="n">
        <x:f t="shared" si="40">IFERROR(E1051/G1051-1,"")</x:f>
        <x:v>0.0424771451657866</x:v>
      </x:c>
      <x:c r="I1051" s="38" t="b">
        <x:f t="shared" si="41">E1051&lt;G1051</x:f>
        <x:v>0</x:v>
      </x:c>
    </x:row>
    <x:row r="1052">
      <x:c r="A1052" s="31">
        <x:v>38527</x:v>
      </x:c>
      <x:c r="B1052" s="32">
        <x:v>247.71</x:v>
      </x:c>
      <x:c r="C1052" s="32">
        <x:v>247.71</x:v>
      </x:c>
      <x:c r="D1052" s="32">
        <x:v>246.78</x:v>
      </x:c>
      <x:c r="E1052" s="32">
        <x:v>246.78</x:v>
      </x:c>
      <x:c r="F1052" s="33">
        <x:v>207680</x:v>
      </x:c>
      <x:c r="G1052" s="32" t="n">
        <x:f t="shared" si="39">AVERAGE(E853:E1052)</x:f>
        <x:v>237.01544999999996</x:v>
      </x:c>
      <x:c r="H1052" s="37" t="n">
        <x:f t="shared" si="40">IFERROR(E1052/G1052-1,"")</x:f>
        <x:v>0.0411979472224282</x:v>
      </x:c>
      <x:c r="I1052" s="38" t="b">
        <x:f t="shared" si="41">E1052&lt;G1052</x:f>
        <x:v>0</x:v>
      </x:c>
    </x:row>
    <x:row r="1053">
      <x:c r="A1053" s="31">
        <x:v>38530</x:v>
      </x:c>
      <x:c r="B1053" s="32">
        <x:v>245.94</x:v>
      </x:c>
      <x:c r="C1053" s="32">
        <x:v>245.99</x:v>
      </x:c>
      <x:c r="D1053" s="32">
        <x:v>245.94</x:v>
      </x:c>
      <x:c r="E1053" s="32">
        <x:v>245.99</x:v>
      </x:c>
      <x:c r="F1053" s="33">
        <x:v>212050</x:v>
      </x:c>
      <x:c r="G1053" s="32" t="n">
        <x:f t="shared" si="39">AVERAGE(E854:E1053)</x:f>
        <x:v>237.09549999999993</x:v>
      </x:c>
      <x:c r="H1053" s="37" t="n">
        <x:f t="shared" si="40">IFERROR(E1053/G1053-1,"")</x:f>
        <x:v>0.03751441929517885</x:v>
      </x:c>
      <x:c r="I1053" s="38" t="b">
        <x:f t="shared" si="41">E1053&lt;G1053</x:f>
        <x:v>0</x:v>
      </x:c>
    </x:row>
    <x:row r="1054">
      <x:c r="A1054" s="31">
        <x:v>38531</x:v>
      </x:c>
      <x:c r="B1054" s="32">
        <x:v>245.31</x:v>
      </x:c>
      <x:c r="C1054" s="32">
        <x:v>245.31</x:v>
      </x:c>
      <x:c r="D1054" s="32">
        <x:v>245.02</x:v>
      </x:c>
      <x:c r="E1054" s="32">
        <x:v>245.02</x:v>
      </x:c>
      <x:c r="F1054" s="33">
        <x:v>250440</x:v>
      </x:c>
      <x:c r="G1054" s="32" t="n">
        <x:f t="shared" si="39">AVERAGE(E855:E1054)</x:f>
        <x:v>237.1695999999999</x:v>
      </x:c>
      <x:c r="H1054" s="37" t="n">
        <x:f t="shared" si="40">IFERROR(E1054/G1054-1,"")</x:f>
        <x:v>0.033100363621645146</x:v>
      </x:c>
      <x:c r="I1054" s="38" t="b">
        <x:f t="shared" si="41">E1054&lt;G1054</x:f>
        <x:v>0</x:v>
      </x:c>
    </x:row>
    <x:row r="1055">
      <x:c r="A1055" s="31">
        <x:v>38532</x:v>
      </x:c>
      <x:c r="B1055" s="32">
        <x:v>244.83</x:v>
      </x:c>
      <x:c r="C1055" s="32">
        <x:v>246.44</x:v>
      </x:c>
      <x:c r="D1055" s="32">
        <x:v>244.83</x:v>
      </x:c>
      <x:c r="E1055" s="32">
        <x:v>246.44</x:v>
      </x:c>
      <x:c r="F1055" s="33">
        <x:v>223690</x:v>
      </x:c>
      <x:c r="G1055" s="32" t="n">
        <x:f t="shared" si="39">AVERAGE(E856:E1055)</x:f>
        <x:v>237.24614999999991</x:v>
      </x:c>
      <x:c r="H1055" s="37" t="n">
        <x:f t="shared" si="40">IFERROR(E1055/G1055-1,"")</x:f>
        <x:v>0.038752367530516585</x:v>
      </x:c>
      <x:c r="I1055" s="38" t="b">
        <x:f t="shared" si="41">E1055&lt;G1055</x:f>
        <x:v>0</x:v>
      </x:c>
    </x:row>
    <x:row r="1056">
      <x:c r="A1056" s="31">
        <x:v>38533</x:v>
      </x:c>
      <x:c r="B1056" s="32">
        <x:v>247.45</x:v>
      </x:c>
      <x:c r="C1056" s="32">
        <x:v>247.45</x:v>
      </x:c>
      <x:c r="D1056" s="32">
        <x:v>246.81</x:v>
      </x:c>
      <x:c r="E1056" s="32">
        <x:v>246.81</x:v>
      </x:c>
      <x:c r="F1056" s="33">
        <x:v>209420</x:v>
      </x:c>
      <x:c r="G1056" s="32" t="n">
        <x:f t="shared" si="39">AVERAGE(E857:E1056)</x:f>
        <x:v>237.3230999999999</x:v>
      </x:c>
      <x:c r="H1056" s="37" t="n">
        <x:f t="shared" si="40">IFERROR(E1056/G1056-1,"")</x:f>
        <x:v>0.03997461688305992</x:v>
      </x:c>
      <x:c r="I1056" s="38" t="b">
        <x:f t="shared" si="41">E1056&lt;G1056</x:f>
        <x:v>0</x:v>
      </x:c>
    </x:row>
    <x:row r="1057">
      <x:c r="A1057" s="31">
        <x:v>38534</x:v>
      </x:c>
      <x:c r="B1057" s="32">
        <x:v>246.83</x:v>
      </x:c>
      <x:c r="C1057" s="32">
        <x:v>246.83</x:v>
      </x:c>
      <x:c r="D1057" s="32">
        <x:v>246.51</x:v>
      </x:c>
      <x:c r="E1057" s="32">
        <x:v>246.51</x:v>
      </x:c>
      <x:c r="F1057" s="33">
        <x:v>211240</x:v>
      </x:c>
      <x:c r="G1057" s="32" t="n">
        <x:f t="shared" si="39">AVERAGE(E858:E1057)</x:f>
        <x:v>237.3976499999999</x:v>
      </x:c>
      <x:c r="H1057" s="37" t="n">
        <x:f t="shared" si="40">IFERROR(E1057/G1057-1,"")</x:f>
        <x:v>0.03838433110016082</x:v>
      </x:c>
      <x:c r="I1057" s="38" t="b">
        <x:f t="shared" si="41">E1057&lt;G1057</x:f>
        <x:v>0</x:v>
      </x:c>
    </x:row>
    <x:row r="1058">
      <x:c r="A1058" s="31">
        <x:v>38537</x:v>
      </x:c>
      <x:c r="B1058" s="32">
        <x:v>246.92</x:v>
      </x:c>
      <x:c r="C1058" s="32">
        <x:v>247.77</x:v>
      </x:c>
      <x:c r="D1058" s="32">
        <x:v>246.92</x:v>
      </x:c>
      <x:c r="E1058" s="32">
        <x:v>247.77</x:v>
      </x:c>
      <x:c r="F1058" s="33">
        <x:v>208650</x:v>
      </x:c>
      <x:c r="G1058" s="32" t="n">
        <x:f t="shared" si="39">AVERAGE(E859:E1058)</x:f>
        <x:v>237.4766499999999</x:v>
      </x:c>
      <x:c r="H1058" s="37" t="n">
        <x:f t="shared" si="40">IFERROR(E1058/G1058-1,"")</x:f>
        <x:v>0.04334468251931356</x:v>
      </x:c>
      <x:c r="I1058" s="38" t="b">
        <x:f t="shared" si="41">E1058&lt;G1058</x:f>
        <x:v>0</x:v>
      </x:c>
    </x:row>
    <x:row r="1059">
      <x:c r="A1059" s="31">
        <x:v>38538</x:v>
      </x:c>
      <x:c r="B1059" s="32">
        <x:v>247.81</x:v>
      </x:c>
      <x:c r="C1059" s="32">
        <x:v>247.89</x:v>
      </x:c>
      <x:c r="D1059" s="32">
        <x:v>247.81</x:v>
      </x:c>
      <x:c r="E1059" s="32">
        <x:v>247.89</x:v>
      </x:c>
      <x:c r="F1059" s="33">
        <x:v>231080</x:v>
      </x:c>
      <x:c r="G1059" s="32" t="n">
        <x:f t="shared" si="39">AVERAGE(E860:E1059)</x:f>
        <x:v>237.55639999999988</x:v>
      </x:c>
      <x:c r="H1059" s="37" t="n">
        <x:f t="shared" si="40">IFERROR(E1059/G1059-1,"")</x:f>
        <x:v>0.04349956473494343</x:v>
      </x:c>
      <x:c r="I1059" s="38" t="b">
        <x:f t="shared" si="41">E1059&lt;G1059</x:f>
        <x:v>0</x:v>
      </x:c>
    </x:row>
    <x:row r="1060">
      <x:c r="A1060" s="31">
        <x:v>38539</x:v>
      </x:c>
      <x:c r="B1060" s="32">
        <x:v>247.52</x:v>
      </x:c>
      <x:c r="C1060" s="32">
        <x:v>247.52</x:v>
      </x:c>
      <x:c r="D1060" s="32">
        <x:v>247.1</x:v>
      </x:c>
      <x:c r="E1060" s="32">
        <x:v>247.1</x:v>
      </x:c>
      <x:c r="F1060" s="33">
        <x:v>282410</x:v>
      </x:c>
      <x:c r="G1060" s="32" t="n">
        <x:f t="shared" si="39">AVERAGE(E861:E1060)</x:f>
        <x:v>237.6356499999999</x:v>
      </x:c>
      <x:c r="H1060" s="37" t="n">
        <x:f t="shared" si="40">IFERROR(E1060/G1060-1,"")</x:f>
        <x:v>0.03982714714732438</x:v>
      </x:c>
      <x:c r="I1060" s="38" t="b">
        <x:f t="shared" si="41">E1060&lt;G1060</x:f>
        <x:v>0</x:v>
      </x:c>
    </x:row>
    <x:row r="1061">
      <x:c r="A1061" s="31">
        <x:v>38540</x:v>
      </x:c>
      <x:c r="B1061" s="32">
        <x:v>247.4</x:v>
      </x:c>
      <x:c r="C1061" s="32">
        <x:v>247.4</x:v>
      </x:c>
      <x:c r="D1061" s="32">
        <x:v>246.78</x:v>
      </x:c>
      <x:c r="E1061" s="32">
        <x:v>246.78</x:v>
      </x:c>
      <x:c r="F1061" s="33">
        <x:v>305940</x:v>
      </x:c>
      <x:c r="G1061" s="32" t="n">
        <x:f t="shared" si="39">AVERAGE(E862:E1061)</x:f>
        <x:v>237.71529999999987</x:v>
      </x:c>
      <x:c r="H1061" s="37" t="n">
        <x:f t="shared" si="40">IFERROR(E1061/G1061-1,"")</x:f>
        <x:v>0.03813258969868638</x:v>
      </x:c>
      <x:c r="I1061" s="38" t="b">
        <x:f t="shared" si="41">E1061&lt;G1061</x:f>
        <x:v>0</x:v>
      </x:c>
    </x:row>
    <x:row r="1062">
      <x:c r="A1062" s="31">
        <x:v>38541</x:v>
      </x:c>
      <x:c r="B1062" s="32">
        <x:v>247.31</x:v>
      </x:c>
      <x:c r="C1062" s="32">
        <x:v>248.32</x:v>
      </x:c>
      <x:c r="D1062" s="32">
        <x:v>247.31</x:v>
      </x:c>
      <x:c r="E1062" s="32">
        <x:v>248.32</x:v>
      </x:c>
      <x:c r="F1062" s="33">
        <x:v>237490</x:v>
      </x:c>
      <x:c r="G1062" s="32" t="n">
        <x:f t="shared" si="39">AVERAGE(E863:E1062)</x:f>
        <x:v>237.8012999999999</x:v>
      </x:c>
      <x:c r="H1062" s="37" t="n">
        <x:f t="shared" si="40">IFERROR(E1062/G1062-1,"")</x:f>
        <x:v>0.04423314759002617</x:v>
      </x:c>
      <x:c r="I1062" s="38" t="b">
        <x:f t="shared" si="41">E1062&lt;G1062</x:f>
        <x:v>0</x:v>
      </x:c>
    </x:row>
    <x:row r="1063">
      <x:c r="A1063" s="31">
        <x:v>38544</x:v>
      </x:c>
      <x:c r="B1063" s="32">
        <x:v>248.7</x:v>
      </x:c>
      <x:c r="C1063" s="32">
        <x:v>249.53</x:v>
      </x:c>
      <x:c r="D1063" s="32">
        <x:v>248.7</x:v>
      </x:c>
      <x:c r="E1063" s="32">
        <x:v>249.53</x:v>
      </x:c>
      <x:c r="F1063" s="33">
        <x:v>282310</x:v>
      </x:c>
      <x:c r="G1063" s="32" t="n">
        <x:f t="shared" si="39">AVERAGE(E864:E1063)</x:f>
        <x:v>237.8972999999999</x:v>
      </x:c>
      <x:c r="H1063" s="37" t="n">
        <x:f t="shared" si="40">IFERROR(E1063/G1063-1,"")</x:f>
        <x:v>0.048897990855718554</x:v>
      </x:c>
      <x:c r="I1063" s="38" t="b">
        <x:f t="shared" si="41">E1063&lt;G1063</x:f>
        <x:v>0</x:v>
      </x:c>
    </x:row>
    <x:row r="1064">
      <x:c r="A1064" s="31">
        <x:v>38545</x:v>
      </x:c>
      <x:c r="B1064" s="32">
        <x:v>249.51</x:v>
      </x:c>
      <x:c r="C1064" s="32">
        <x:v>249.51</x:v>
      </x:c>
      <x:c r="D1064" s="32">
        <x:v>249.49</x:v>
      </x:c>
      <x:c r="E1064" s="32">
        <x:v>249.49</x:v>
      </x:c>
      <x:c r="F1064" s="33">
        <x:v>320560</x:v>
      </x:c>
      <x:c r="G1064" s="32" t="n">
        <x:f t="shared" si="39">AVERAGE(E865:E1064)</x:f>
        <x:v>237.99384999999987</x:v>
      </x:c>
      <x:c r="H1064" s="37" t="n">
        <x:f t="shared" si="40">IFERROR(E1064/G1064-1,"")</x:f>
        <x:v>0.04830439946242371</x:v>
      </x:c>
      <x:c r="I1064" s="38" t="b">
        <x:f t="shared" si="41">E1064&lt;G1064</x:f>
        <x:v>0</x:v>
      </x:c>
    </x:row>
    <x:row r="1065">
      <x:c r="A1065" s="31">
        <x:v>38546</x:v>
      </x:c>
      <x:c r="B1065" s="32">
        <x:v>249.43</x:v>
      </x:c>
      <x:c r="C1065" s="32">
        <x:v>249.81</x:v>
      </x:c>
      <x:c r="D1065" s="32">
        <x:v>249.43</x:v>
      </x:c>
      <x:c r="E1065" s="32">
        <x:v>249.81</x:v>
      </x:c>
      <x:c r="F1065" s="33">
        <x:v>300130</x:v>
      </x:c>
      <x:c r="G1065" s="32" t="n">
        <x:f t="shared" si="39">AVERAGE(E866:E1065)</x:f>
        <x:v>238.0899999999999</x:v>
      </x:c>
      <x:c r="H1065" s="37" t="n">
        <x:f t="shared" si="40">IFERROR(E1065/G1065-1,"")</x:f>
        <x:v>0.04922508295182548</x:v>
      </x:c>
      <x:c r="I1065" s="38" t="b">
        <x:f t="shared" si="41">E1065&lt;G1065</x:f>
        <x:v>0</x:v>
      </x:c>
    </x:row>
    <x:row r="1066">
      <x:c r="A1066" s="31">
        <x:v>38547</x:v>
      </x:c>
      <x:c r="B1066" s="32">
        <x:v>249.76</x:v>
      </x:c>
      <x:c r="C1066" s="32">
        <x:v>249.76</x:v>
      </x:c>
      <x:c r="D1066" s="32">
        <x:v>248.67</x:v>
      </x:c>
      <x:c r="E1066" s="32">
        <x:v>248.67</x:v>
      </x:c>
      <x:c r="F1066" s="33">
        <x:v>268530</x:v>
      </x:c>
      <x:c r="G1066" s="32" t="n">
        <x:f t="shared" si="39">AVERAGE(E867:E1066)</x:f>
        <x:v>238.17904999999985</x:v>
      </x:c>
      <x:c r="H1066" s="37" t="n">
        <x:f t="shared" si="40">IFERROR(E1066/G1066-1,"")</x:f>
        <x:v>0.04404648519674659</x:v>
      </x:c>
      <x:c r="I1066" s="38" t="b">
        <x:f t="shared" si="41">E1066&lt;G1066</x:f>
        <x:v>0</x:v>
      </x:c>
    </x:row>
    <x:row r="1067">
      <x:c r="A1067" s="31">
        <x:v>38548</x:v>
      </x:c>
      <x:c r="B1067" s="32">
        <x:v>248.79</x:v>
      </x:c>
      <x:c r="C1067" s="32">
        <x:v>248.94</x:v>
      </x:c>
      <x:c r="D1067" s="32">
        <x:v>248.79</x:v>
      </x:c>
      <x:c r="E1067" s="32">
        <x:v>248.94</x:v>
      </x:c>
      <x:c r="F1067" s="33">
        <x:v>225820</x:v>
      </x:c>
      <x:c r="G1067" s="32" t="n">
        <x:f t="shared" si="39">AVERAGE(E868:E1067)</x:f>
        <x:v>238.26419999999985</x:v>
      </x:c>
      <x:c r="H1067" s="37" t="n">
        <x:f t="shared" si="40">IFERROR(E1067/G1067-1,"")</x:f>
        <x:v>0.044806563470299654</x:v>
      </x:c>
      <x:c r="I1067" s="38" t="b">
        <x:f t="shared" si="41">E1067&lt;G1067</x:f>
        <x:v>0</x:v>
      </x:c>
    </x:row>
    <x:row r="1068">
      <x:c r="A1068" s="31">
        <x:v>38551</x:v>
      </x:c>
      <x:c r="B1068" s="32">
        <x:v>249.1</x:v>
      </x:c>
      <x:c r="C1068" s="32">
        <x:v>249.1</x:v>
      </x:c>
      <x:c r="D1068" s="32">
        <x:v>248.79</x:v>
      </x:c>
      <x:c r="E1068" s="32">
        <x:v>248.79</x:v>
      </x:c>
      <x:c r="F1068" s="33">
        <x:v>297790</x:v>
      </x:c>
      <x:c r="G1068" s="32" t="n">
        <x:f t="shared" si="39">AVERAGE(E869:E1068)</x:f>
        <x:v>238.34479999999985</x:v>
      </x:c>
      <x:c r="H1068" s="37" t="n">
        <x:f t="shared" si="40">IFERROR(E1068/G1068-1,"")</x:f>
        <x:v>0.04382390553517479</x:v>
      </x:c>
      <x:c r="I1068" s="38" t="b">
        <x:f t="shared" si="41">E1068&lt;G1068</x:f>
        <x:v>0</x:v>
      </x:c>
    </x:row>
    <x:row r="1069">
      <x:c r="A1069" s="31">
        <x:v>38552</x:v>
      </x:c>
      <x:c r="B1069" s="32">
        <x:v>248.38</x:v>
      </x:c>
      <x:c r="C1069" s="32">
        <x:v>248.38</x:v>
      </x:c>
      <x:c r="D1069" s="32">
        <x:v>248.32</x:v>
      </x:c>
      <x:c r="E1069" s="32">
        <x:v>248.32</x:v>
      </x:c>
      <x:c r="F1069" s="33">
        <x:v>315660</x:v>
      </x:c>
      <x:c r="G1069" s="32" t="n">
        <x:f t="shared" si="39">AVERAGE(E870:E1069)</x:f>
        <x:v>238.42044999999987</x:v>
      </x:c>
      <x:c r="H1069" s="37" t="n">
        <x:f t="shared" si="40">IFERROR(E1069/G1069-1,"")</x:f>
        <x:v>0.041521396339953665</x:v>
      </x:c>
      <x:c r="I1069" s="38" t="b">
        <x:f t="shared" si="41">E1069&lt;G1069</x:f>
        <x:v>0</x:v>
      </x:c>
    </x:row>
    <x:row r="1070">
      <x:c r="A1070" s="31">
        <x:v>38553</x:v>
      </x:c>
      <x:c r="B1070" s="32">
        <x:v>248.15</x:v>
      </x:c>
      <x:c r="C1070" s="32">
        <x:v>248.15</x:v>
      </x:c>
      <x:c r="D1070" s="32">
        <x:v>248</x:v>
      </x:c>
      <x:c r="E1070" s="32">
        <x:v>248</x:v>
      </x:c>
      <x:c r="F1070" s="33">
        <x:v>241700</x:v>
      </x:c>
      <x:c r="G1070" s="32" t="n">
        <x:f t="shared" si="39">AVERAGE(E871:E1070)</x:f>
        <x:v>238.49759999999984</x:v>
      </x:c>
      <x:c r="H1070" s="37" t="n">
        <x:f t="shared" si="40">IFERROR(E1070/G1070-1,"")</x:f>
        <x:v>0.03984274894170925</x:v>
      </x:c>
      <x:c r="I1070" s="38" t="b">
        <x:f t="shared" si="41">E1070&lt;G1070</x:f>
        <x:v>0</x:v>
      </x:c>
    </x:row>
    <x:row r="1071">
      <x:c r="A1071" s="31">
        <x:v>38554</x:v>
      </x:c>
      <x:c r="B1071" s="32">
        <x:v>247.59</x:v>
      </x:c>
      <x:c r="C1071" s="32">
        <x:v>247.59</x:v>
      </x:c>
      <x:c r="D1071" s="32">
        <x:v>246.54</x:v>
      </x:c>
      <x:c r="E1071" s="32">
        <x:v>246.54</x:v>
      </x:c>
      <x:c r="F1071" s="33">
        <x:v>276230</x:v>
      </x:c>
      <x:c r="G1071" s="32" t="n">
        <x:f t="shared" si="39">AVERAGE(E872:E1071)</x:f>
        <x:v>238.56729999999982</x:v>
      </x:c>
      <x:c r="H1071" s="37" t="n">
        <x:f t="shared" si="40">IFERROR(E1071/G1071-1,"")</x:f>
        <x:v>0.033419081324222555</x:v>
      </x:c>
      <x:c r="I1071" s="38" t="b">
        <x:f t="shared" si="41">E1071&lt;G1071</x:f>
        <x:v>0</x:v>
      </x:c>
    </x:row>
    <x:row r="1072">
      <x:c r="A1072" s="31">
        <x:v>38555</x:v>
      </x:c>
      <x:c r="B1072" s="32">
        <x:v>245.77</x:v>
      </x:c>
      <x:c r="C1072" s="32">
        <x:v>245.77</x:v>
      </x:c>
      <x:c r="D1072" s="32">
        <x:v>245.77</x:v>
      </x:c>
      <x:c r="E1072" s="32">
        <x:v>245.77</x:v>
      </x:c>
      <x:c r="F1072" s="33">
        <x:v>384800</x:v>
      </x:c>
      <x:c r="G1072" s="32" t="n">
        <x:f t="shared" si="39">AVERAGE(E873:E1072)</x:f>
        <x:v>238.63109999999978</x:v>
      </x:c>
      <x:c r="H1072" s="37" t="n">
        <x:f t="shared" si="40">IFERROR(E1072/G1072-1,"")</x:f>
        <x:v>0.029916050338787636</x:v>
      </x:c>
      <x:c r="I1072" s="38" t="b">
        <x:f t="shared" si="41">E1072&lt;G1072</x:f>
        <x:v>0</x:v>
      </x:c>
    </x:row>
    <x:row r="1073">
      <x:c r="A1073" s="31">
        <x:v>38558</x:v>
      </x:c>
      <x:c r="B1073" s="32">
        <x:v>246.31</x:v>
      </x:c>
      <x:c r="C1073" s="32">
        <x:v>246.31</x:v>
      </x:c>
      <x:c r="D1073" s="32">
        <x:v>246.31</x:v>
      </x:c>
      <x:c r="E1073" s="32">
        <x:v>246.31</x:v>
      </x:c>
      <x:c r="F1073" s="33">
        <x:v>273910</x:v>
      </x:c>
      <x:c r="G1073" s="32" t="n">
        <x:f t="shared" si="39">AVERAGE(E874:E1073)</x:f>
        <x:v>238.69629999999984</x:v>
      </x:c>
      <x:c r="H1073" s="37" t="n">
        <x:f t="shared" si="40">IFERROR(E1073/G1073-1,"")</x:f>
        <x:v>0.03189701725581906</x:v>
      </x:c>
      <x:c r="I1073" s="38" t="b">
        <x:f t="shared" si="41">E1073&lt;G1073</x:f>
        <x:v>0</x:v>
      </x:c>
    </x:row>
    <x:row r="1074">
      <x:c r="A1074" s="31">
        <x:v>38559</x:v>
      </x:c>
      <x:c r="B1074" s="32">
        <x:v>245.95</x:v>
      </x:c>
      <x:c r="C1074" s="32">
        <x:v>245.95</x:v>
      </x:c>
      <x:c r="D1074" s="32">
        <x:v>245.95</x:v>
      </x:c>
      <x:c r="E1074" s="32">
        <x:v>245.95</x:v>
      </x:c>
      <x:c r="F1074" s="33">
        <x:v>267060</x:v>
      </x:c>
      <x:c r="G1074" s="32" t="n">
        <x:f t="shared" si="39">AVERAGE(E875:E1074)</x:f>
        <x:v>238.7592999999998</x:v>
      </x:c>
      <x:c r="H1074" s="37" t="n">
        <x:f t="shared" si="40">IFERROR(E1074/G1074-1,"")</x:f>
        <x:v>0.03011694204163029</x:v>
      </x:c>
      <x:c r="I1074" s="38" t="b">
        <x:f t="shared" si="41">E1074&lt;G1074</x:f>
        <x:v>0</x:v>
      </x:c>
    </x:row>
    <x:row r="1075">
      <x:c r="A1075" s="31">
        <x:v>38560</x:v>
      </x:c>
      <x:c r="B1075" s="32">
        <x:v>244.24</x:v>
      </x:c>
      <x:c r="C1075" s="32">
        <x:v>244.24</x:v>
      </x:c>
      <x:c r="D1075" s="32">
        <x:v>244.24</x:v>
      </x:c>
      <x:c r="E1075" s="32">
        <x:v>244.24</x:v>
      </x:c>
      <x:c r="F1075" s="33">
        <x:v>271670</x:v>
      </x:c>
      <x:c r="G1075" s="32" t="n">
        <x:f t="shared" si="39">AVERAGE(E876:E1075)</x:f>
        <x:v>238.81779999999978</x:v>
      </x:c>
      <x:c r="H1075" s="37" t="n">
        <x:f t="shared" si="40">IFERROR(E1075/G1075-1,"")</x:f>
        <x:v>0.022704337783868045</x:v>
      </x:c>
      <x:c r="I1075" s="38" t="b">
        <x:f t="shared" si="41">E1075&lt;G1075</x:f>
        <x:v>0</x:v>
      </x:c>
    </x:row>
    <x:row r="1076">
      <x:c r="A1076" s="31">
        <x:v>38561</x:v>
      </x:c>
      <x:c r="B1076" s="32">
        <x:v>243.67</x:v>
      </x:c>
      <x:c r="C1076" s="32">
        <x:v>243.67</x:v>
      </x:c>
      <x:c r="D1076" s="32">
        <x:v>243.67</x:v>
      </x:c>
      <x:c r="E1076" s="32">
        <x:v>243.67</x:v>
      </x:c>
      <x:c r="F1076" s="33">
        <x:v>241380</x:v>
      </x:c>
      <x:c r="G1076" s="32" t="n">
        <x:f t="shared" si="39">AVERAGE(E877:E1076)</x:f>
        <x:v>238.88239999999976</x:v>
      </x:c>
      <x:c r="H1076" s="37" t="n">
        <x:f t="shared" si="40">IFERROR(E1076/G1076-1,"")</x:f>
        <x:v>0.02004166066650459</x:v>
      </x:c>
      <x:c r="I1076" s="38" t="b">
        <x:f t="shared" si="41">E1076&lt;G1076</x:f>
        <x:v>0</x:v>
      </x:c>
    </x:row>
    <x:row r="1077">
      <x:c r="A1077" s="31">
        <x:v>38562</x:v>
      </x:c>
      <x:c r="B1077" s="32">
        <x:v>245.53</x:v>
      </x:c>
      <x:c r="C1077" s="32">
        <x:v>245.53</x:v>
      </x:c>
      <x:c r="D1077" s="32">
        <x:v>245.53</x:v>
      </x:c>
      <x:c r="E1077" s="32">
        <x:v>245.53</x:v>
      </x:c>
      <x:c r="F1077" s="33">
        <x:v>287710</x:v>
      </x:c>
      <x:c r="G1077" s="32" t="n">
        <x:f t="shared" si="39">AVERAGE(E878:E1077)</x:f>
        <x:v>238.95559999999975</x:v>
      </x:c>
      <x:c r="H1077" s="37" t="n">
        <x:f t="shared" si="40">IFERROR(E1077/G1077-1,"")</x:f>
        <x:v>0.027513061003802575</x:v>
      </x:c>
      <x:c r="I1077" s="38" t="b">
        <x:f t="shared" si="41">E1077&lt;G1077</x:f>
        <x:v>0</x:v>
      </x:c>
    </x:row>
    <x:row r="1078">
      <x:c r="A1078" s="31">
        <x:v>38565</x:v>
      </x:c>
      <x:c r="B1078" s="32">
        <x:v>245.48</x:v>
      </x:c>
      <x:c r="C1078" s="32">
        <x:v>245.48</x:v>
      </x:c>
      <x:c r="D1078" s="32">
        <x:v>245.48</x:v>
      </x:c>
      <x:c r="E1078" s="32">
        <x:v>245.48</x:v>
      </x:c>
      <x:c r="F1078" s="33">
        <x:v>314340</x:v>
      </x:c>
      <x:c r="G1078" s="32" t="n">
        <x:f t="shared" si="39">AVERAGE(E879:E1078)</x:f>
        <x:v>239.0255999999998</x:v>
      </x:c>
      <x:c r="H1078" s="37" t="n">
        <x:f t="shared" si="40">IFERROR(E1078/G1078-1,"")</x:f>
        <x:v>0.02700296537274749</x:v>
      </x:c>
      <x:c r="I1078" s="38" t="b">
        <x:f t="shared" si="41">E1078&lt;G1078</x:f>
        <x:v>0</x:v>
      </x:c>
    </x:row>
    <x:row r="1079">
      <x:c r="A1079" s="31">
        <x:v>38566</x:v>
      </x:c>
      <x:c r="B1079" s="32">
        <x:v>246.53</x:v>
      </x:c>
      <x:c r="C1079" s="32">
        <x:v>246.53</x:v>
      </x:c>
      <x:c r="D1079" s="32">
        <x:v>246.53</x:v>
      </x:c>
      <x:c r="E1079" s="32">
        <x:v>246.53</x:v>
      </x:c>
      <x:c r="F1079" s="33">
        <x:v>313870</x:v>
      </x:c>
      <x:c r="G1079" s="32" t="n">
        <x:f t="shared" si="39">AVERAGE(E880:E1079)</x:f>
        <x:v>239.09919999999977</x:v>
      </x:c>
      <x:c r="H1079" s="37" t="n">
        <x:f t="shared" si="40">IFERROR(E1079/G1079-1,"")</x:f>
        <x:v>0.03107831393831617</x:v>
      </x:c>
      <x:c r="I1079" s="38" t="b">
        <x:f t="shared" si="41">E1079&lt;G1079</x:f>
        <x:v>0</x:v>
      </x:c>
    </x:row>
    <x:row r="1080">
      <x:c r="A1080" s="31">
        <x:v>38567</x:v>
      </x:c>
      <x:c r="B1080" s="32">
        <x:v>247.96</x:v>
      </x:c>
      <x:c r="C1080" s="32">
        <x:v>247.96</x:v>
      </x:c>
      <x:c r="D1080" s="32">
        <x:v>247.96</x:v>
      </x:c>
      <x:c r="E1080" s="32">
        <x:v>247.96</x:v>
      </x:c>
      <x:c r="F1080" s="33">
        <x:v>304140</x:v>
      </x:c>
      <x:c r="G1080" s="32" t="n">
        <x:f t="shared" si="39">AVERAGE(E881:E1080)</x:f>
        <x:v>239.17819999999978</x:v>
      </x:c>
      <x:c r="H1080" s="37" t="n">
        <x:f t="shared" si="40">IFERROR(E1080/G1080-1,"")</x:f>
        <x:v>0.03671655694373577</x:v>
      </x:c>
      <x:c r="I1080" s="38" t="b">
        <x:f t="shared" si="41">E1080&lt;G1080</x:f>
        <x:v>0</x:v>
      </x:c>
    </x:row>
    <x:row r="1081">
      <x:c r="A1081" s="31">
        <x:v>38568</x:v>
      </x:c>
      <x:c r="B1081" s="32">
        <x:v>253.51</x:v>
      </x:c>
      <x:c r="C1081" s="32">
        <x:v>253.51</x:v>
      </x:c>
      <x:c r="D1081" s="32">
        <x:v>253.51</x:v>
      </x:c>
      <x:c r="E1081" s="32">
        <x:v>253.51</x:v>
      </x:c>
      <x:c r="F1081" s="33">
        <x:v>600550</x:v>
      </x:c>
      <x:c r="G1081" s="32" t="n">
        <x:f t="shared" si="39">AVERAGE(E882:E1081)</x:f>
        <x:v>239.2777499999998</x:v>
      </x:c>
      <x:c r="H1081" s="37" t="n">
        <x:f t="shared" si="40">IFERROR(E1081/G1081-1,"")</x:f>
        <x:v>0.05948003941026769</x:v>
      </x:c>
      <x:c r="I1081" s="38" t="b">
        <x:f t="shared" si="41">E1081&lt;G1081</x:f>
        <x:v>0</x:v>
      </x:c>
    </x:row>
    <x:row r="1082">
      <x:c r="A1082" s="31">
        <x:v>38569</x:v>
      </x:c>
      <x:c r="B1082" s="32">
        <x:v>250.93</x:v>
      </x:c>
      <x:c r="C1082" s="32">
        <x:v>250.93</x:v>
      </x:c>
      <x:c r="D1082" s="32">
        <x:v>250.93</x:v>
      </x:c>
      <x:c r="E1082" s="32">
        <x:v>250.93</x:v>
      </x:c>
      <x:c r="F1082" s="33">
        <x:v>320750</x:v>
      </x:c>
      <x:c r="G1082" s="32" t="n">
        <x:f t="shared" si="39">AVERAGE(E883:E1082)</x:f>
        <x:v>239.3539499999998</x:v>
      </x:c>
      <x:c r="H1082" s="37" t="n">
        <x:f t="shared" si="40">IFERROR(E1082/G1082-1,"")</x:f>
        <x:v>0.04836373078447309</x:v>
      </x:c>
      <x:c r="I1082" s="38" t="b">
        <x:f t="shared" si="41">E1082&lt;G1082</x:f>
        <x:v>0</x:v>
      </x:c>
    </x:row>
    <x:row r="1083">
      <x:c r="A1083" s="31">
        <x:v>38572</x:v>
      </x:c>
      <x:c r="B1083" s="32">
        <x:v>250.27</x:v>
      </x:c>
      <x:c r="C1083" s="32">
        <x:v>250.27</x:v>
      </x:c>
      <x:c r="D1083" s="32">
        <x:v>248.87</x:v>
      </x:c>
      <x:c r="E1083" s="32">
        <x:v>248.87</x:v>
      </x:c>
      <x:c r="F1083" s="33">
        <x:v>228170</x:v>
      </x:c>
      <x:c r="G1083" s="32" t="n">
        <x:f t="shared" si="39">AVERAGE(E884:E1083)</x:f>
        <x:v>239.41844999999978</x:v>
      </x:c>
      <x:c r="H1083" s="37" t="n">
        <x:f t="shared" si="40">IFERROR(E1083/G1083-1,"")</x:f>
        <x:v>0.03947711632081918</x:v>
      </x:c>
      <x:c r="I1083" s="38" t="b">
        <x:f t="shared" si="41">E1083&lt;G1083</x:f>
        <x:v>0</x:v>
      </x:c>
    </x:row>
    <x:row r="1084">
      <x:c r="A1084" s="31">
        <x:v>38573</x:v>
      </x:c>
      <x:c r="B1084" s="32">
        <x:v>249.58</x:v>
      </x:c>
      <x:c r="C1084" s="32">
        <x:v>249.58</x:v>
      </x:c>
      <x:c r="D1084" s="32">
        <x:v>249.31</x:v>
      </x:c>
      <x:c r="E1084" s="32">
        <x:v>249.31</x:v>
      </x:c>
      <x:c r="F1084" s="33">
        <x:v>299230</x:v>
      </x:c>
      <x:c r="G1084" s="32" t="n">
        <x:f t="shared" si="39">AVERAGE(E885:E1084)</x:f>
        <x:v>239.4934999999998</x:v>
      </x:c>
      <x:c r="H1084" s="37" t="n">
        <x:f t="shared" si="40">IFERROR(E1084/G1084-1,"")</x:f>
        <x:v>0.04098858632906621</x:v>
      </x:c>
      <x:c r="I1084" s="38" t="b">
        <x:f t="shared" si="41">E1084&lt;G1084</x:f>
        <x:v>0</x:v>
      </x:c>
    </x:row>
    <x:row r="1085">
      <x:c r="A1085" s="31">
        <x:v>38574</x:v>
      </x:c>
      <x:c r="B1085" s="32">
        <x:v>249</x:v>
      </x:c>
      <x:c r="C1085" s="32">
        <x:v>249.04</x:v>
      </x:c>
      <x:c r="D1085" s="32">
        <x:v>249</x:v>
      </x:c>
      <x:c r="E1085" s="32">
        <x:v>249.04</x:v>
      </x:c>
      <x:c r="F1085" s="33">
        <x:v>244970</x:v>
      </x:c>
      <x:c r="G1085" s="32" t="n">
        <x:f t="shared" si="39">AVERAGE(E886:E1085)</x:f>
        <x:v>239.57444999999984</x:v>
      </x:c>
      <x:c r="H1085" s="37" t="n">
        <x:f t="shared" si="40">IFERROR(E1085/G1085-1,"")</x:f>
        <x:v>0.039509847565131206</x:v>
      </x:c>
      <x:c r="I1085" s="38" t="b">
        <x:f t="shared" si="41">E1085&lt;G1085</x:f>
        <x:v>0</x:v>
      </x:c>
    </x:row>
    <x:row r="1086">
      <x:c r="A1086" s="31">
        <x:v>38575</x:v>
      </x:c>
      <x:c r="B1086" s="32">
        <x:v>249.21</x:v>
      </x:c>
      <x:c r="C1086" s="32">
        <x:v>249.21</x:v>
      </x:c>
      <x:c r="D1086" s="32">
        <x:v>248.99</x:v>
      </x:c>
      <x:c r="E1086" s="32">
        <x:v>248.99</x:v>
      </x:c>
      <x:c r="F1086" s="33">
        <x:v>301510</x:v>
      </x:c>
      <x:c r="G1086" s="32" t="n">
        <x:f t="shared" si="39">AVERAGE(E887:E1086)</x:f>
        <x:v>239.65164999999982</x:v>
      </x:c>
      <x:c r="H1086" s="37" t="n">
        <x:f t="shared" si="40">IFERROR(E1086/G1086-1,"")</x:f>
        <x:v>0.03896634969965862</x:v>
      </x:c>
      <x:c r="I1086" s="38" t="b">
        <x:f t="shared" si="41">E1086&lt;G1086</x:f>
        <x:v>0</x:v>
      </x:c>
    </x:row>
    <x:row r="1087">
      <x:c r="A1087" s="31">
        <x:v>38576</x:v>
      </x:c>
      <x:c r="B1087" s="32">
        <x:v>248.89</x:v>
      </x:c>
      <x:c r="C1087" s="32">
        <x:v>249.23</x:v>
      </x:c>
      <x:c r="D1087" s="32">
        <x:v>248.89</x:v>
      </x:c>
      <x:c r="E1087" s="32">
        <x:v>249.23</x:v>
      </x:c>
      <x:c r="F1087" s="33">
        <x:v>265650</x:v>
      </x:c>
      <x:c r="G1087" s="32" t="n">
        <x:f t="shared" si="39">AVERAGE(E888:E1087)</x:f>
        <x:v>239.72999999999982</x:v>
      </x:c>
      <x:c r="H1087" s="37" t="n">
        <x:f t="shared" si="40">IFERROR(E1087/G1087-1,"")</x:f>
        <x:v>0.03962791473741367</x:v>
      </x:c>
      <x:c r="I1087" s="38" t="b">
        <x:f t="shared" si="41">E1087&lt;G1087</x:f>
        <x:v>0</x:v>
      </x:c>
    </x:row>
    <x:row r="1088">
      <x:c r="A1088" s="31">
        <x:v>38579</x:v>
      </x:c>
      <x:c r="B1088" s="32">
        <x:v>249.09</x:v>
      </x:c>
      <x:c r="C1088" s="32">
        <x:v>249.09</x:v>
      </x:c>
      <x:c r="D1088" s="32">
        <x:v>248.24</x:v>
      </x:c>
      <x:c r="E1088" s="32">
        <x:v>248.24</x:v>
      </x:c>
      <x:c r="F1088" s="33">
        <x:v>373600</x:v>
      </x:c>
      <x:c r="G1088" s="32" t="n">
        <x:f t="shared" si="39">AVERAGE(E889:E1088)</x:f>
        <x:v>239.7997999999998</x:v>
      </x:c>
      <x:c r="H1088" s="37" t="n">
        <x:f t="shared" si="40">IFERROR(E1088/G1088-1,"")</x:f>
        <x:v>0.03519686004742373</x:v>
      </x:c>
      <x:c r="I1088" s="38" t="b">
        <x:f t="shared" si="41">E1088&lt;G1088</x:f>
        <x:v>0</x:v>
      </x:c>
    </x:row>
    <x:row r="1089">
      <x:c r="A1089" s="31">
        <x:v>38580</x:v>
      </x:c>
      <x:c r="B1089" s="32">
        <x:v>247.9</x:v>
      </x:c>
      <x:c r="C1089" s="32">
        <x:v>247.9</x:v>
      </x:c>
      <x:c r="D1089" s="32">
        <x:v>247.53</x:v>
      </x:c>
      <x:c r="E1089" s="32">
        <x:v>247.53</x:v>
      </x:c>
      <x:c r="F1089" s="33">
        <x:v>267800</x:v>
      </x:c>
      <x:c r="G1089" s="32" t="n">
        <x:f t="shared" si="39">AVERAGE(E890:E1089)</x:f>
        <x:v>239.8725999999998</x:v>
      </x:c>
      <x:c r="H1089" s="37" t="n">
        <x:f t="shared" si="40">IFERROR(E1089/G1089-1,"")</x:f>
        <x:v>0.03192277900852458</x:v>
      </x:c>
      <x:c r="I1089" s="38" t="b">
        <x:f t="shared" si="41">E1089&lt;G1089</x:f>
        <x:v>0</x:v>
      </x:c>
    </x:row>
    <x:row r="1090">
      <x:c r="A1090" s="31">
        <x:v>38581</x:v>
      </x:c>
      <x:c r="B1090" s="32">
        <x:v>247.46</x:v>
      </x:c>
      <x:c r="C1090" s="32">
        <x:v>247.46</x:v>
      </x:c>
      <x:c r="D1090" s="32">
        <x:v>247.33</x:v>
      </x:c>
      <x:c r="E1090" s="32">
        <x:v>247.33</x:v>
      </x:c>
      <x:c r="F1090" s="33">
        <x:v>317720</x:v>
      </x:c>
      <x:c r="G1090" s="32" t="n">
        <x:f t="shared" si="39">AVERAGE(E891:E1090)</x:f>
        <x:v>239.94629999999978</x:v>
      </x:c>
      <x:c r="H1090" s="37" t="n">
        <x:f t="shared" si="40">IFERROR(E1090/G1090-1,"")</x:f>
        <x:v>0.030772301969233196</x:v>
      </x:c>
      <x:c r="I1090" s="38" t="b">
        <x:f t="shared" si="41">E1090&lt;G1090</x:f>
        <x:v>0</x:v>
      </x:c>
    </x:row>
    <x:row r="1091">
      <x:c r="A1091" s="31">
        <x:v>38582</x:v>
      </x:c>
      <x:c r="B1091" s="32">
        <x:v>247.3</x:v>
      </x:c>
      <x:c r="C1091" s="32">
        <x:v>247.35</x:v>
      </x:c>
      <x:c r="D1091" s="32">
        <x:v>247.3</x:v>
      </x:c>
      <x:c r="E1091" s="32">
        <x:v>247.35</x:v>
      </x:c>
      <x:c r="F1091" s="33">
        <x:v>243580</x:v>
      </x:c>
      <x:c r="G1091" s="32" t="n">
        <x:f t="shared" si="39">AVERAGE(E892:E1091)</x:f>
        <x:v>240.02154999999982</x:v>
      </x:c>
      <x:c r="H1091" s="37" t="n">
        <x:f t="shared" si="40">IFERROR(E1091/G1091-1,"")</x:f>
        <x:v>0.030532466772255074</x:v>
      </x:c>
      <x:c r="I1091" s="38" t="b">
        <x:f t="shared" si="41">E1091&lt;G1091</x:f>
        <x:v>0</x:v>
      </x:c>
    </x:row>
    <x:row r="1092">
      <x:c r="A1092" s="31">
        <x:v>38583</x:v>
      </x:c>
      <x:c r="B1092" s="32">
        <x:v>247.47</x:v>
      </x:c>
      <x:c r="C1092" s="32">
        <x:v>247.84</x:v>
      </x:c>
      <x:c r="D1092" s="32">
        <x:v>247.47</x:v>
      </x:c>
      <x:c r="E1092" s="32">
        <x:v>247.84</x:v>
      </x:c>
      <x:c r="F1092" s="33">
        <x:v>241640</x:v>
      </x:c>
      <x:c r="G1092" s="32" t="n">
        <x:f t="shared" si="39">AVERAGE(E893:E1092)</x:f>
        <x:v>240.09739999999977</x:v>
      </x:c>
      <x:c r="H1092" s="37" t="n">
        <x:f t="shared" si="40">IFERROR(E1092/G1092-1,"")</x:f>
        <x:v>0.03224774612303283</x:v>
      </x:c>
      <x:c r="I1092" s="38" t="b">
        <x:f t="shared" si="41">E1092&lt;G1092</x:f>
        <x:v>0</x:v>
      </x:c>
    </x:row>
    <x:row r="1093">
      <x:c r="A1093" s="31">
        <x:v>38586</x:v>
      </x:c>
      <x:c r="B1093" s="32">
        <x:v>247.82</x:v>
      </x:c>
      <x:c r="C1093" s="32">
        <x:v>247.91</x:v>
      </x:c>
      <x:c r="D1093" s="32">
        <x:v>247.82</x:v>
      </x:c>
      <x:c r="E1093" s="32">
        <x:v>247.91</x:v>
      </x:c>
      <x:c r="F1093" s="33">
        <x:v>302890</x:v>
      </x:c>
      <x:c r="G1093" s="32" t="n">
        <x:f t="shared" si="39">AVERAGE(E894:E1093)</x:f>
        <x:v>240.1785499999998</x:v>
      </x:c>
      <x:c r="H1093" s="37" t="n">
        <x:f t="shared" si="40">IFERROR(E1093/G1093-1,"")</x:f>
        <x:v>0.03219042666383065</x:v>
      </x:c>
      <x:c r="I1093" s="38" t="b">
        <x:f t="shared" si="41">E1093&lt;G1093</x:f>
        <x:v>0</x:v>
      </x:c>
    </x:row>
    <x:row r="1094">
      <x:c r="A1094" s="31">
        <x:v>38587</x:v>
      </x:c>
      <x:c r="B1094" s="32">
        <x:v>247.89</x:v>
      </x:c>
      <x:c r="C1094" s="32">
        <x:v>248.19</x:v>
      </x:c>
      <x:c r="D1094" s="32">
        <x:v>247.89</x:v>
      </x:c>
      <x:c r="E1094" s="32">
        <x:v>248.19</x:v>
      </x:c>
      <x:c r="F1094" s="33">
        <x:v>245650</x:v>
      </x:c>
      <x:c r="G1094" s="32" t="n">
        <x:f t="shared" si="39">AVERAGE(E895:E1094)</x:f>
        <x:v>240.26419999999985</x:v>
      </x:c>
      <x:c r="H1094" s="37" t="n">
        <x:f t="shared" si="40">IFERROR(E1094/G1094-1,"")</x:f>
        <x:v>0.032987852538997275</x:v>
      </x:c>
      <x:c r="I1094" s="38" t="b">
        <x:f t="shared" si="41">E1094&lt;G1094</x:f>
        <x:v>0</x:v>
      </x:c>
    </x:row>
    <x:row r="1095">
      <x:c r="A1095" s="31">
        <x:v>38588</x:v>
      </x:c>
      <x:c r="B1095" s="32">
        <x:v>247.98</x:v>
      </x:c>
      <x:c r="C1095" s="32">
        <x:v>248.41</x:v>
      </x:c>
      <x:c r="D1095" s="32">
        <x:v>247.98</x:v>
      </x:c>
      <x:c r="E1095" s="32">
        <x:v>248.41</x:v>
      </x:c>
      <x:c r="F1095" s="33">
        <x:v>247390</x:v>
      </x:c>
      <x:c r="G1095" s="32" t="n">
        <x:f t="shared" si="39">AVERAGE(E896:E1095)</x:f>
        <x:v>240.35349999999988</x:v>
      </x:c>
      <x:c r="H1095" s="37" t="n">
        <x:f t="shared" si="40">IFERROR(E1095/G1095-1,"")</x:f>
        <x:v>0.03351937874838562</x:v>
      </x:c>
      <x:c r="I1095" s="38" t="b">
        <x:f t="shared" si="41">E1095&lt;G1095</x:f>
        <x:v>0</x:v>
      </x:c>
    </x:row>
    <x:row r="1096">
      <x:c r="A1096" s="31">
        <x:v>38589</x:v>
      </x:c>
      <x:c r="B1096" s="32">
        <x:v>248.64</x:v>
      </x:c>
      <x:c r="C1096" s="32">
        <x:v>249.07</x:v>
      </x:c>
      <x:c r="D1096" s="32">
        <x:v>248.64</x:v>
      </x:c>
      <x:c r="E1096" s="32">
        <x:v>249.07</x:v>
      </x:c>
      <x:c r="F1096" s="33">
        <x:v>191950</x:v>
      </x:c>
      <x:c r="G1096" s="32" t="n">
        <x:f t="shared" si="39">AVERAGE(E897:E1096)</x:f>
        <x:v>240.44829999999988</x:v>
      </x:c>
      <x:c r="H1096" s="37" t="n">
        <x:f t="shared" si="40">IFERROR(E1096/G1096-1,"")</x:f>
        <x:v>0.03585677253696584</x:v>
      </x:c>
      <x:c r="I1096" s="38" t="b">
        <x:f t="shared" si="41">E1096&lt;G1096</x:f>
        <x:v>0</x:v>
      </x:c>
    </x:row>
    <x:row r="1097">
      <x:c r="A1097" s="31">
        <x:v>38590</x:v>
      </x:c>
      <x:c r="B1097" s="32">
        <x:v>249.38</x:v>
      </x:c>
      <x:c r="C1097" s="32">
        <x:v>249.74</x:v>
      </x:c>
      <x:c r="D1097" s="32">
        <x:v>249.38</x:v>
      </x:c>
      <x:c r="E1097" s="32">
        <x:v>249.74</x:v>
      </x:c>
      <x:c r="F1097" s="33">
        <x:v>232500</x:v>
      </x:c>
      <x:c r="G1097" s="32" t="n">
        <x:f t="shared" si="39">AVERAGE(E898:E1097)</x:f>
        <x:v>240.55219999999986</x:v>
      </x:c>
      <x:c r="H1097" s="37" t="n">
        <x:f t="shared" si="40">IFERROR(E1097/G1097-1,"")</x:f>
        <x:v>0.038194620543899216</x:v>
      </x:c>
      <x:c r="I1097" s="38" t="b">
        <x:f t="shared" si="41">E1097&lt;G1097</x:f>
        <x:v>0</x:v>
      </x:c>
    </x:row>
    <x:row r="1098">
      <x:c r="A1098" s="31">
        <x:v>38593</x:v>
      </x:c>
      <x:c r="B1098" s="32">
        <x:v>251.05</x:v>
      </x:c>
      <x:c r="C1098" s="32">
        <x:v>253.7</x:v>
      </x:c>
      <x:c r="D1098" s="32">
        <x:v>251.05</x:v>
      </x:c>
      <x:c r="E1098" s="32">
        <x:v>253.7</x:v>
      </x:c>
      <x:c r="F1098" s="33">
        <x:v>355300</x:v>
      </x:c>
      <x:c r="G1098" s="32" t="n">
        <x:f t="shared" si="39">AVERAGE(E899:E1098)</x:f>
        <x:v>240.67694999999986</x:v>
      </x:c>
      <x:c r="H1098" s="37" t="n">
        <x:f t="shared" si="40">IFERROR(E1098/G1098-1,"")</x:f>
        <x:v>0.054110084077432896</x:v>
      </x:c>
      <x:c r="I1098" s="38" t="b">
        <x:f t="shared" si="41">E1098&lt;G1098</x:f>
        <x:v>0</x:v>
      </x:c>
    </x:row>
    <x:row r="1099">
      <x:c r="A1099" s="31">
        <x:v>38594</x:v>
      </x:c>
      <x:c r="B1099" s="32">
        <x:v>255.92</x:v>
      </x:c>
      <x:c r="C1099" s="32">
        <x:v>255.94</x:v>
      </x:c>
      <x:c r="D1099" s="32">
        <x:v>255.92</x:v>
      </x:c>
      <x:c r="E1099" s="32">
        <x:v>255.94</x:v>
      </x:c>
      <x:c r="F1099" s="33">
        <x:v>497490</x:v>
      </x:c>
      <x:c r="G1099" s="32" t="n">
        <x:f t="shared" si="39">AVERAGE(E900:E1099)</x:f>
        <x:v>240.81584999999987</x:v>
      </x:c>
      <x:c r="H1099" s="37" t="n">
        <x:f t="shared" si="40">IFERROR(E1099/G1099-1,"")</x:f>
        <x:v>0.06280379800582114</x:v>
      </x:c>
      <x:c r="I1099" s="38" t="b">
        <x:f t="shared" si="41">E1099&lt;G1099</x:f>
        <x:v>0</x:v>
      </x:c>
    </x:row>
    <x:row r="1100">
      <x:c r="A1100" s="31">
        <x:v>38595</x:v>
      </x:c>
      <x:c r="B1100" s="32">
        <x:v>256.23</x:v>
      </x:c>
      <x:c r="C1100" s="32">
        <x:v>256.23</x:v>
      </x:c>
      <x:c r="D1100" s="32">
        <x:v>254.5</x:v>
      </x:c>
      <x:c r="E1100" s="32">
        <x:v>254.5</x:v>
      </x:c>
      <x:c r="F1100" s="33">
        <x:v>361470</x:v>
      </x:c>
      <x:c r="G1100" s="32" t="n">
        <x:f t="shared" si="39">AVERAGE(E901:E1100)</x:f>
        <x:v>240.95339999999985</x:v>
      </x:c>
      <x:c r="H1100" s="37" t="n">
        <x:f t="shared" si="40">IFERROR(E1100/G1100-1,"")</x:f>
        <x:v>0.05622082942178919</x:v>
      </x:c>
      <x:c r="I1100" s="38" t="b">
        <x:f t="shared" si="41">E1100&lt;G1100</x:f>
        <x:v>0</x:v>
      </x:c>
    </x:row>
    <x:row r="1101">
      <x:c r="A1101" s="31">
        <x:v>38596</x:v>
      </x:c>
      <x:c r="B1101" s="32">
        <x:v>255.02</x:v>
      </x:c>
      <x:c r="C1101" s="32">
        <x:v>255.02</x:v>
      </x:c>
      <x:c r="D1101" s="32">
        <x:v>254.95</x:v>
      </x:c>
      <x:c r="E1101" s="32">
        <x:v>254.95</x:v>
      </x:c>
      <x:c r="F1101" s="33">
        <x:v>254540</x:v>
      </x:c>
      <x:c r="G1101" s="32" t="n">
        <x:f t="shared" ref="G1101:G1164" si="42">AVERAGE(E902:E1101)</x:f>
        <x:v>241.09489999999983</x:v>
      </x:c>
      <x:c r="H1101" s="37" t="n">
        <x:f t="shared" ref="H1101:H1164" si="43">IFERROR(E1101/G1101-1,"")</x:f>
        <x:v>0.0574674122098815</x:v>
      </x:c>
      <x:c r="I1101" s="38" t="b">
        <x:f t="shared" ref="I1101:I1164" si="44">E1101&lt;G1101</x:f>
        <x:v>0</x:v>
      </x:c>
    </x:row>
    <x:row r="1102">
      <x:c r="A1102" s="31">
        <x:v>38600</x:v>
      </x:c>
      <x:c r="B1102" s="32">
        <x:v>254.56</x:v>
      </x:c>
      <x:c r="C1102" s="32">
        <x:v>255.55</x:v>
      </x:c>
      <x:c r="D1102" s="32">
        <x:v>254.56</x:v>
      </x:c>
      <x:c r="E1102" s="32">
        <x:v>255.55</x:v>
      </x:c>
      <x:c r="F1102" s="33">
        <x:v>306360</x:v>
      </x:c>
      <x:c r="G1102" s="32" t="n">
        <x:f t="shared" si="42">AVERAGE(E903:E1102)</x:f>
        <x:v>241.24229999999986</x:v>
      </x:c>
      <x:c r="H1102" s="37" t="n">
        <x:f t="shared" si="43">IFERROR(E1102/G1102-1,"")</x:f>
        <x:v>0.05930842145013604</x:v>
      </x:c>
      <x:c r="I1102" s="38" t="b">
        <x:f t="shared" si="44">E1102&lt;G1102</x:f>
        <x:v>0</x:v>
      </x:c>
    </x:row>
    <x:row r="1103">
      <x:c r="A1103" s="31">
        <x:v>38601</x:v>
      </x:c>
      <x:c r="B1103" s="32">
        <x:v>255.68</x:v>
      </x:c>
      <x:c r="C1103" s="32">
        <x:v>257.58</x:v>
      </x:c>
      <x:c r="D1103" s="32">
        <x:v>255.68</x:v>
      </x:c>
      <x:c r="E1103" s="32">
        <x:v>257.58</x:v>
      </x:c>
      <x:c r="F1103" s="33">
        <x:v>381050</x:v>
      </x:c>
      <x:c r="G1103" s="32" t="n">
        <x:f t="shared" si="42">AVERAGE(E904:E1103)</x:f>
        <x:v>241.40139999999988</x:v>
      </x:c>
      <x:c r="H1103" s="37" t="n">
        <x:f t="shared" si="43">IFERROR(E1103/G1103-1,"")</x:f>
        <x:v>0.06701949533018503</x:v>
      </x:c>
      <x:c r="I1103" s="38" t="b">
        <x:f t="shared" si="44">E1103&lt;G1103</x:f>
        <x:v>0</x:v>
      </x:c>
    </x:row>
    <x:row r="1104">
      <x:c r="A1104" s="31">
        <x:v>38602</x:v>
      </x:c>
      <x:c r="B1104" s="32">
        <x:v>258.73</x:v>
      </x:c>
      <x:c r="C1104" s="32">
        <x:v>259.57</x:v>
      </x:c>
      <x:c r="D1104" s="32">
        <x:v>258.73</x:v>
      </x:c>
      <x:c r="E1104" s="32">
        <x:v>259.57</x:v>
      </x:c>
      <x:c r="F1104" s="33">
        <x:v>653290</x:v>
      </x:c>
      <x:c r="G1104" s="32" t="n">
        <x:f t="shared" si="42">AVERAGE(E905:E1104)</x:f>
        <x:v>241.5709999999999</x:v>
      </x:c>
      <x:c r="H1104" s="37" t="n">
        <x:f t="shared" si="43">IFERROR(E1104/G1104-1,"")</x:f>
        <x:v>0.0745081156264622</x:v>
      </x:c>
      <x:c r="I1104" s="38" t="b">
        <x:f t="shared" si="44">E1104&lt;G1104</x:f>
        <x:v>0</x:v>
      </x:c>
    </x:row>
    <x:row r="1105">
      <x:c r="A1105" s="31">
        <x:v>38603</x:v>
      </x:c>
      <x:c r="B1105" s="32">
        <x:v>262.27</x:v>
      </x:c>
      <x:c r="C1105" s="32">
        <x:v>262.27</x:v>
      </x:c>
      <x:c r="D1105" s="32">
        <x:v>260.61</x:v>
      </x:c>
      <x:c r="E1105" s="32">
        <x:v>260.61</x:v>
      </x:c>
      <x:c r="F1105" s="33">
        <x:v>533320</x:v>
      </x:c>
      <x:c r="G1105" s="32" t="n">
        <x:f t="shared" si="42">AVERAGE(E906:E1105)</x:f>
        <x:v>241.75044999999992</x:v>
      </x:c>
      <x:c r="H1105" s="37" t="n">
        <x:f t="shared" si="43">IFERROR(E1105/G1105-1,"")</x:f>
        <x:v>0.07801247112466636</x:v>
      </x:c>
      <x:c r="I1105" s="38" t="b">
        <x:f t="shared" si="44">E1105&lt;G1105</x:f>
        <x:v>0</x:v>
      </x:c>
    </x:row>
    <x:row r="1106">
      <x:c r="A1106" s="31">
        <x:v>38604</x:v>
      </x:c>
      <x:c r="B1106" s="32">
        <x:v>260.45</x:v>
      </x:c>
      <x:c r="C1106" s="32">
        <x:v>260.45</x:v>
      </x:c>
      <x:c r="D1106" s="32">
        <x:v>259.95999999999998</x:v>
      </x:c>
      <x:c r="E1106" s="32">
        <x:v>259.95999999999998</x:v>
      </x:c>
      <x:c r="F1106" s="33">
        <x:v>621870</x:v>
      </x:c>
      <x:c r="G1106" s="32" t="n">
        <x:f t="shared" si="42">AVERAGE(E907:E1106)</x:f>
        <x:v>241.93099999999993</x:v>
      </x:c>
      <x:c r="H1106" s="37" t="n">
        <x:f t="shared" si="43">IFERROR(E1106/G1106-1,"")</x:f>
        <x:v>0.07452124779379266</x:v>
      </x:c>
      <x:c r="I1106" s="38" t="b">
        <x:f t="shared" si="44">E1106&lt;G1106</x:f>
        <x:v>0</x:v>
      </x:c>
    </x:row>
    <x:row r="1107">
      <x:c r="A1107" s="31">
        <x:v>38607</x:v>
      </x:c>
      <x:c r="B1107" s="32">
        <x:v>262.89999999999998</x:v>
      </x:c>
      <x:c r="C1107" s="32">
        <x:v>262.89999999999998</x:v>
      </x:c>
      <x:c r="D1107" s="32">
        <x:v>262.18</x:v>
      </x:c>
      <x:c r="E1107" s="32">
        <x:v>262.18</x:v>
      </x:c>
      <x:c r="F1107" s="33">
        <x:v>624400</x:v>
      </x:c>
      <x:c r="G1107" s="32" t="n">
        <x:f t="shared" si="42">AVERAGE(E908:E1107)</x:f>
        <x:v>242.12879999999993</x:v>
      </x:c>
      <x:c r="H1107" s="37" t="n">
        <x:f t="shared" si="43">IFERROR(E1107/G1107-1,"")</x:f>
        <x:v>0.08281212313446429</x:v>
      </x:c>
      <x:c r="I1107" s="38" t="b">
        <x:f t="shared" si="44">E1107&lt;G1107</x:f>
        <x:v>0</x:v>
      </x:c>
    </x:row>
    <x:row r="1108">
      <x:c r="A1108" s="31">
        <x:v>38608</x:v>
      </x:c>
      <x:c r="B1108" s="32">
        <x:v>263.41000000000003</x:v>
      </x:c>
      <x:c r="C1108" s="32">
        <x:v>264.08999999999997</x:v>
      </x:c>
      <x:c r="D1108" s="32">
        <x:v>263.41000000000003</x:v>
      </x:c>
      <x:c r="E1108" s="32">
        <x:v>264.08999999999997</x:v>
      </x:c>
      <x:c r="F1108" s="33">
        <x:v>751620</x:v>
      </x:c>
      <x:c r="G1108" s="32" t="n">
        <x:f t="shared" si="42">AVERAGE(E909:E1108)</x:f>
        <x:v>242.33979999999988</x:v>
      </x:c>
      <x:c r="H1108" s="37" t="n">
        <x:f t="shared" si="43">IFERROR(E1108/G1108-1,"")</x:f>
        <x:v>0.08975083746045875</x:v>
      </x:c>
      <x:c r="I1108" s="38" t="b">
        <x:f t="shared" si="44">E1108&lt;G1108</x:f>
        <x:v>0</x:v>
      </x:c>
    </x:row>
    <x:row r="1109">
      <x:c r="A1109" s="31">
        <x:v>38609</x:v>
      </x:c>
      <x:c r="B1109" s="32">
        <x:v>264.51</x:v>
      </x:c>
      <x:c r="C1109" s="32">
        <x:v>264.51</x:v>
      </x:c>
      <x:c r="D1109" s="32">
        <x:v>264.02999999999997</x:v>
      </x:c>
      <x:c r="E1109" s="32">
        <x:v>264.02999999999997</x:v>
      </x:c>
      <x:c r="F1109" s="33">
        <x:v>572400</x:v>
      </x:c>
      <x:c r="G1109" s="32" t="n">
        <x:f t="shared" si="42">AVERAGE(E910:E1109)</x:f>
        <x:v>242.55329999999987</x:v>
      </x:c>
      <x:c r="H1109" s="37" t="n">
        <x:f t="shared" si="43">IFERROR(E1109/G1109-1,"")</x:f>
        <x:v>0.08854424986178344</x:v>
      </x:c>
      <x:c r="I1109" s="38" t="b">
        <x:f t="shared" si="44">E1109&lt;G1109</x:f>
        <x:v>0</x:v>
      </x:c>
    </x:row>
    <x:row r="1110">
      <x:c r="A1110" s="31">
        <x:v>38610</x:v>
      </x:c>
      <x:c r="B1110" s="32">
        <x:v>265.02999999999997</x:v>
      </x:c>
      <x:c r="C1110" s="32">
        <x:v>265.49</x:v>
      </x:c>
      <x:c r="D1110" s="32">
        <x:v>265.02999999999997</x:v>
      </x:c>
      <x:c r="E1110" s="32">
        <x:v>265.49</x:v>
      </x:c>
      <x:c r="F1110" s="33">
        <x:v>653950</x:v>
      </x:c>
      <x:c r="G1110" s="32" t="n">
        <x:f t="shared" si="42">AVERAGE(E911:E1110)</x:f>
        <x:v>242.7722999999999</x:v>
      </x:c>
      <x:c r="H1110" s="37" t="n">
        <x:f t="shared" si="43">IFERROR(E1110/G1110-1,"")</x:f>
        <x:v>0.09357616169554817</x:v>
      </x:c>
      <x:c r="I1110" s="38" t="b">
        <x:f t="shared" si="44">E1110&lt;G1110</x:f>
        <x:v>0</x:v>
      </x:c>
    </x:row>
    <x:row r="1111">
      <x:c r="A1111" s="31">
        <x:v>38611</x:v>
      </x:c>
      <x:c r="B1111" s="32">
        <x:v>268.19</x:v>
      </x:c>
      <x:c r="C1111" s="32">
        <x:v>268.19</x:v>
      </x:c>
      <x:c r="D1111" s="32">
        <x:v>268.08</x:v>
      </x:c>
      <x:c r="E1111" s="32">
        <x:v>268.08</x:v>
      </x:c>
      <x:c r="F1111" s="33">
        <x:v>653610</x:v>
      </x:c>
      <x:c r="G1111" s="32" t="n">
        <x:f t="shared" si="42">AVERAGE(E912:E1111)</x:f>
        <x:v>242.99034999999992</x:v>
      </x:c>
      <x:c r="H1111" s="37" t="n">
        <x:f t="shared" si="43">IFERROR(E1111/G1111-1,"")</x:f>
        <x:v>0.1032536888810609</x:v>
      </x:c>
      <x:c r="I1111" s="38" t="b">
        <x:f t="shared" si="44">E1111&lt;G1111</x:f>
        <x:v>0</x:v>
      </x:c>
    </x:row>
    <x:row r="1112">
      <x:c r="A1112" s="31">
        <x:v>38614</x:v>
      </x:c>
      <x:c r="B1112" s="32">
        <x:v>270.07</x:v>
      </x:c>
      <x:c r="C1112" s="32">
        <x:v>274.81</x:v>
      </x:c>
      <x:c r="D1112" s="32">
        <x:v>270.07</x:v>
      </x:c>
      <x:c r="E1112" s="32">
        <x:v>274.81</x:v>
      </x:c>
      <x:c r="F1112" s="33">
        <x:v>661130</x:v>
      </x:c>
      <x:c r="G1112" s="32" t="n">
        <x:f t="shared" si="42">AVERAGE(E913:E1112)</x:f>
        <x:v>243.21659999999991</x:v>
      </x:c>
      <x:c r="H1112" s="37" t="n">
        <x:f t="shared" si="43">IFERROR(E1112/G1112-1,"")</x:f>
        <x:v>0.12989820596127122</x:v>
      </x:c>
      <x:c r="I1112" s="38" t="b">
        <x:f t="shared" si="44">E1112&lt;G1112</x:f>
        <x:v>0</x:v>
      </x:c>
    </x:row>
    <x:row r="1113">
      <x:c r="A1113" s="31">
        <x:v>38615</x:v>
      </x:c>
      <x:c r="B1113" s="32">
        <x:v>284.55</x:v>
      </x:c>
      <x:c r="C1113" s="32">
        <x:v>285.99</x:v>
      </x:c>
      <x:c r="D1113" s="32">
        <x:v>284.55</x:v>
      </x:c>
      <x:c r="E1113" s="32">
        <x:v>285.99</x:v>
      </x:c>
      <x:c r="F1113" s="33">
        <x:v>1145880</x:v>
      </x:c>
      <x:c r="G1113" s="32" t="n">
        <x:f t="shared" si="42">AVERAGE(E914:E1113)</x:f>
        <x:v>243.4861499999999</x:v>
      </x:c>
      <x:c r="H1113" s="37" t="n">
        <x:f t="shared" si="43">IFERROR(E1113/G1113-1,"")</x:f>
        <x:v>0.17456372775207196</x:v>
      </x:c>
      <x:c r="I1113" s="38" t="b">
        <x:f t="shared" si="44">E1113&lt;G1113</x:f>
        <x:v>0</x:v>
      </x:c>
    </x:row>
    <x:row r="1114">
      <x:c r="A1114" s="31">
        <x:v>38616</x:v>
      </x:c>
      <x:c r="B1114" s="32">
        <x:v>288.45999999999998</x:v>
      </x:c>
      <x:c r="C1114" s="32">
        <x:v>288.45999999999998</x:v>
      </x:c>
      <x:c r="D1114" s="32">
        <x:v>276.61</x:v>
      </x:c>
      <x:c r="E1114" s="32">
        <x:v>276.61</x:v>
      </x:c>
      <x:c r="F1114" s="33">
        <x:v>1057650</x:v>
      </x:c>
      <x:c r="G1114" s="32" t="n">
        <x:f t="shared" si="42">AVERAGE(E915:E1114)</x:f>
        <x:v>243.73074999999994</x:v>
      </x:c>
      <x:c r="H1114" s="37" t="n">
        <x:f t="shared" si="43">IFERROR(E1114/G1114-1,"")</x:f>
        <x:v>0.13489988440112732</x:v>
      </x:c>
      <x:c r="I1114" s="38" t="b">
        <x:f t="shared" si="44">E1114&lt;G1114</x:f>
        <x:v>0</x:v>
      </x:c>
    </x:row>
    <x:row r="1115">
      <x:c r="A1115" s="31">
        <x:v>38617</x:v>
      </x:c>
      <x:c r="B1115" s="32">
        <x:v>277.77999999999997</x:v>
      </x:c>
      <x:c r="C1115" s="32">
        <x:v>280.39999999999998</x:v>
      </x:c>
      <x:c r="D1115" s="32">
        <x:v>277.77999999999997</x:v>
      </x:c>
      <x:c r="E1115" s="32">
        <x:v>280.39999999999998</x:v>
      </x:c>
      <x:c r="F1115" s="33">
        <x:v>839760</x:v>
      </x:c>
      <x:c r="G1115" s="32" t="n">
        <x:f t="shared" si="42">AVERAGE(E916:E1115)</x:f>
        <x:v>243.9875499999999</x:v>
      </x:c>
      <x:c r="H1115" s="37" t="n">
        <x:f t="shared" si="43">IFERROR(E1115/G1115-1,"")</x:f>
        <x:v>0.1492389673161605</x:v>
      </x:c>
      <x:c r="I1115" s="38" t="b">
        <x:f t="shared" si="44">E1115&lt;G1115</x:f>
        <x:v>0</x:v>
      </x:c>
    </x:row>
    <x:row r="1116">
      <x:c r="A1116" s="31">
        <x:v>38618</x:v>
      </x:c>
      <x:c r="B1116" s="32">
        <x:v>281.27999999999997</x:v>
      </x:c>
      <x:c r="C1116" s="32">
        <x:v>281.27999999999997</x:v>
      </x:c>
      <x:c r="D1116" s="32">
        <x:v>278.35000000000002</x:v>
      </x:c>
      <x:c r="E1116" s="32">
        <x:v>278.35000000000002</x:v>
      </x:c>
      <x:c r="F1116" s="33">
        <x:v>887820</x:v>
      </x:c>
      <x:c r="G1116" s="32" t="n">
        <x:f t="shared" si="42">AVERAGE(E917:E1116)</x:f>
        <x:v>244.2346499999999</x:v>
      </x:c>
      <x:c r="H1116" s="37" t="n">
        <x:f t="shared" si="43">IFERROR(E1116/G1116-1,"")</x:f>
        <x:v>0.13968267811303647</x:v>
      </x:c>
      <x:c r="I1116" s="38" t="b">
        <x:f t="shared" si="44">E1116&lt;G1116</x:f>
        <x:v>0</x:v>
      </x:c>
    </x:row>
    <x:row r="1117">
      <x:c r="A1117" s="31">
        <x:v>38621</x:v>
      </x:c>
      <x:c r="B1117" s="32">
        <x:v>278.83999999999997</x:v>
      </x:c>
      <x:c r="C1117" s="32">
        <x:v>278.83999999999997</x:v>
      </x:c>
      <x:c r="D1117" s="32">
        <x:v>277.54000000000002</x:v>
      </x:c>
      <x:c r="E1117" s="32">
        <x:v>277.54000000000002</x:v>
      </x:c>
      <x:c r="F1117" s="33">
        <x:v>685630</x:v>
      </x:c>
      <x:c r="G1117" s="32" t="n">
        <x:f t="shared" si="42">AVERAGE(E918:E1117)</x:f>
        <x:v>244.4732999999999</x:v>
      </x:c>
      <x:c r="H1117" s="37" t="n">
        <x:f t="shared" si="43">IFERROR(E1117/G1117-1,"")</x:f>
        <x:v>0.13525689717445677</x:v>
      </x:c>
      <x:c r="I1117" s="38" t="b">
        <x:f t="shared" si="44">E1117&lt;G1117</x:f>
        <x:v>0</x:v>
      </x:c>
    </x:row>
    <x:row r="1118">
      <x:c r="A1118" s="31">
        <x:v>38622</x:v>
      </x:c>
      <x:c r="B1118" s="32">
        <x:v>277.18</x:v>
      </x:c>
      <x:c r="C1118" s="32">
        <x:v>277.18</x:v>
      </x:c>
      <x:c r="D1118" s="32">
        <x:v>276.49</x:v>
      </x:c>
      <x:c r="E1118" s="32">
        <x:v>276.49</x:v>
      </x:c>
      <x:c r="F1118" s="33">
        <x:v>613610</x:v>
      </x:c>
      <x:c r="G1118" s="32" t="n">
        <x:f t="shared" si="42">AVERAGE(E919:E1118)</x:f>
        <x:v>244.7074499999999</x:v>
      </x:c>
      <x:c r="H1118" s="37" t="n">
        <x:f t="shared" si="43">IFERROR(E1118/G1118-1,"")</x:f>
        <x:v>0.12987978093842312</x:v>
      </x:c>
      <x:c r="I1118" s="38" t="b">
        <x:f t="shared" si="44">E1118&lt;G1118</x:f>
        <x:v>0</x:v>
      </x:c>
    </x:row>
    <x:row r="1119">
      <x:c r="A1119" s="31">
        <x:v>38623</x:v>
      </x:c>
      <x:c r="B1119" s="32">
        <x:v>275.62</x:v>
      </x:c>
      <x:c r="C1119" s="32">
        <x:v>275.63</x:v>
      </x:c>
      <x:c r="D1119" s="32">
        <x:v>275.62</x:v>
      </x:c>
      <x:c r="E1119" s="32">
        <x:v>275.63</x:v>
      </x:c>
      <x:c r="F1119" s="33">
        <x:v>419070</x:v>
      </x:c>
      <x:c r="G1119" s="32" t="n">
        <x:f t="shared" si="42">AVERAGE(E920:E1119)</x:f>
        <x:v>244.93764999999988</x:v>
      </x:c>
      <x:c r="H1119" s="37" t="n">
        <x:f t="shared" si="43">IFERROR(E1119/G1119-1,"")</x:f>
        <x:v>0.12530678725790056</x:v>
      </x:c>
      <x:c r="I1119" s="38" t="b">
        <x:f t="shared" si="44">E1119&lt;G1119</x:f>
        <x:v>0</x:v>
      </x:c>
    </x:row>
    <x:row r="1120">
      <x:c r="A1120" s="31">
        <x:v>38624</x:v>
      </x:c>
      <x:c r="B1120" s="32">
        <x:v>275.97000000000003</x:v>
      </x:c>
      <x:c r="C1120" s="32">
        <x:v>275.97000000000003</x:v>
      </x:c>
      <x:c r="D1120" s="32">
        <x:v>275.95</x:v>
      </x:c>
      <x:c r="E1120" s="32">
        <x:v>275.95</x:v>
      </x:c>
      <x:c r="F1120" s="33">
        <x:v>385630</x:v>
      </x:c>
      <x:c r="G1120" s="32" t="n">
        <x:f t="shared" si="42">AVERAGE(E921:E1120)</x:f>
        <x:v>245.16689999999988</x:v>
      </x:c>
      <x:c r="H1120" s="37" t="n">
        <x:f t="shared" si="43">IFERROR(E1120/G1120-1,"")</x:f>
        <x:v>0.12555977173101307</x:v>
      </x:c>
      <x:c r="I1120" s="38" t="b">
        <x:f t="shared" si="44">E1120&lt;G1120</x:f>
        <x:v>0</x:v>
      </x:c>
    </x:row>
    <x:row r="1121">
      <x:c r="A1121" s="31">
        <x:v>38625</x:v>
      </x:c>
      <x:c r="B1121" s="32">
        <x:v>289.18</x:v>
      </x:c>
      <x:c r="C1121" s="32">
        <x:v>289.33</x:v>
      </x:c>
      <x:c r="D1121" s="32">
        <x:v>289.18</x:v>
      </x:c>
      <x:c r="E1121" s="32">
        <x:v>289.33</x:v>
      </x:c>
      <x:c r="F1121" s="33">
        <x:v>770500</x:v>
      </x:c>
      <x:c r="G1121" s="32" t="n">
        <x:f t="shared" si="42">AVERAGE(E922:E1121)</x:f>
        <x:v>245.4599999999999</x:v>
      </x:c>
      <x:c r="H1121" s="37" t="n">
        <x:f t="shared" si="43">IFERROR(E1121/G1121-1,"")</x:f>
        <x:v>0.17872565794834228</x:v>
      </x:c>
      <x:c r="I1121" s="38" t="b">
        <x:f t="shared" si="44">E1121&lt;G1121</x:f>
        <x:v>0</x:v>
      </x:c>
    </x:row>
    <x:row r="1122">
      <x:c r="A1122" s="31">
        <x:v>38628</x:v>
      </x:c>
      <x:c r="B1122" s="32">
        <x:v>289.95</x:v>
      </x:c>
      <x:c r="C1122" s="32">
        <x:v>289.95</x:v>
      </x:c>
      <x:c r="D1122" s="32">
        <x:v>286</x:v>
      </x:c>
      <x:c r="E1122" s="32">
        <x:v>286</x:v>
      </x:c>
      <x:c r="F1122" s="33">
        <x:v>1046040</x:v>
      </x:c>
      <x:c r="G1122" s="32" t="n">
        <x:f t="shared" si="42">AVERAGE(E923:E1122)</x:f>
        <x:v>245.7363999999999</x:v>
      </x:c>
      <x:c r="H1122" s="37" t="n">
        <x:f t="shared" si="43">IFERROR(E1122/G1122-1,"")</x:f>
        <x:v>0.16384874198531496</x:v>
      </x:c>
      <x:c r="I1122" s="38" t="b">
        <x:f t="shared" si="44">E1122&lt;G1122</x:f>
        <x:v>0</x:v>
      </x:c>
    </x:row>
    <x:row r="1123">
      <x:c r="A1123" s="31">
        <x:v>38629</x:v>
      </x:c>
      <x:c r="B1123" s="32">
        <x:v>285.55</x:v>
      </x:c>
      <x:c r="C1123" s="32">
        <x:v>285.55</x:v>
      </x:c>
      <x:c r="D1123" s="32">
        <x:v>283.86</x:v>
      </x:c>
      <x:c r="E1123" s="32">
        <x:v>283.86</x:v>
      </x:c>
      <x:c r="F1123" s="33">
        <x:v>595910</x:v>
      </x:c>
      <x:c r="G1123" s="32" t="n">
        <x:f t="shared" si="42">AVERAGE(E924:E1123)</x:f>
        <x:v>245.9953999999999</x:v>
      </x:c>
      <x:c r="H1123" s="37" t="n">
        <x:f t="shared" si="43">IFERROR(E1123/G1123-1,"")</x:f>
        <x:v>0.15392401646534903</x:v>
      </x:c>
      <x:c r="I1123" s="38" t="b">
        <x:f t="shared" si="44">E1123&lt;G1123</x:f>
        <x:v>0</x:v>
      </x:c>
    </x:row>
    <x:row r="1124">
      <x:c r="A1124" s="31">
        <x:v>38630</x:v>
      </x:c>
      <x:c r="B1124" s="32">
        <x:v>285.01</x:v>
      </x:c>
      <x:c r="C1124" s="32">
        <x:v>286.33999999999997</x:v>
      </x:c>
      <x:c r="D1124" s="32">
        <x:v>285.01</x:v>
      </x:c>
      <x:c r="E1124" s="32">
        <x:v>286.33999999999997</x:v>
      </x:c>
      <x:c r="F1124" s="33">
        <x:v>486870</x:v>
      </x:c>
      <x:c r="G1124" s="32" t="n">
        <x:f t="shared" si="42">AVERAGE(E925:E1124)</x:f>
        <x:v>246.2642499999999</x:v>
      </x:c>
      <x:c r="H1124" s="37" t="n">
        <x:f t="shared" si="43">IFERROR(E1124/G1124-1,"")</x:f>
        <x:v>0.16273474529900334</x:v>
      </x:c>
      <x:c r="I1124" s="38" t="b">
        <x:f t="shared" si="44">E1124&lt;G1124</x:f>
        <x:v>0</x:v>
      </x:c>
    </x:row>
    <x:row r="1125">
      <x:c r="A1125" s="31">
        <x:v>38631</x:v>
      </x:c>
      <x:c r="B1125" s="32">
        <x:v>286.95999999999998</x:v>
      </x:c>
      <x:c r="C1125" s="32">
        <x:v>288.14</x:v>
      </x:c>
      <x:c r="D1125" s="32">
        <x:v>286.95999999999998</x:v>
      </x:c>
      <x:c r="E1125" s="32">
        <x:v>288.14</x:v>
      </x:c>
      <x:c r="F1125" s="33">
        <x:v>578350</x:v>
      </x:c>
      <x:c r="G1125" s="32" t="n">
        <x:f t="shared" si="42">AVERAGE(E926:E1125)</x:f>
        <x:v>246.5352999999999</x:v>
      </x:c>
      <x:c r="H1125" s="37" t="n">
        <x:f t="shared" si="43">IFERROR(E1125/G1125-1,"")</x:f>
        <x:v>0.16875757751526899</x:v>
      </x:c>
      <x:c r="I1125" s="38" t="b">
        <x:f t="shared" si="44">E1125&lt;G1125</x:f>
        <x:v>0</x:v>
      </x:c>
    </x:row>
    <x:row r="1126">
      <x:c r="A1126" s="31">
        <x:v>38632</x:v>
      </x:c>
      <x:c r="B1126" s="32">
        <x:v>289.68</x:v>
      </x:c>
      <x:c r="C1126" s="32">
        <x:v>291.3</x:v>
      </x:c>
      <x:c r="D1126" s="32">
        <x:v>289.68</x:v>
      </x:c>
      <x:c r="E1126" s="32">
        <x:v>291.3</x:v>
      </x:c>
      <x:c r="F1126" s="33">
        <x:v>648630</x:v>
      </x:c>
      <x:c r="G1126" s="32" t="n">
        <x:f t="shared" si="42">AVERAGE(E927:E1126)</x:f>
        <x:v>246.8201999999999</x:v>
      </x:c>
      <x:c r="H1126" s="37" t="n">
        <x:f t="shared" si="43">IFERROR(E1126/G1126-1,"")</x:f>
        <x:v>0.18021134412823647</x:v>
      </x:c>
      <x:c r="I1126" s="38" t="b">
        <x:f t="shared" si="44">E1126&lt;G1126</x:f>
        <x:v>0</x:v>
      </x:c>
    </x:row>
    <x:row r="1127">
      <x:c r="A1127" s="31">
        <x:v>38635</x:v>
      </x:c>
      <x:c r="B1127" s="32">
        <x:v>292.45</x:v>
      </x:c>
      <x:c r="C1127" s="32">
        <x:v>292.45</x:v>
      </x:c>
      <x:c r="D1127" s="32">
        <x:v>292.11</x:v>
      </x:c>
      <x:c r="E1127" s="32">
        <x:v>292.11</x:v>
      </x:c>
      <x:c r="F1127" s="33">
        <x:v>532930</x:v>
      </x:c>
      <x:c r="G1127" s="32" t="n">
        <x:f t="shared" si="42">AVERAGE(E928:E1127)</x:f>
        <x:v>247.11279999999988</x:v>
      </x:c>
      <x:c r="H1127" s="37" t="n">
        <x:f t="shared" si="43">IFERROR(E1127/G1127-1,"")</x:f>
        <x:v>0.1820917410996119</x:v>
      </x:c>
      <x:c r="I1127" s="38" t="b">
        <x:f t="shared" si="44">E1127&lt;G1127</x:f>
        <x:v>0</x:v>
      </x:c>
    </x:row>
    <x:row r="1128">
      <x:c r="A1128" s="31">
        <x:v>38636</x:v>
      </x:c>
      <x:c r="B1128" s="32">
        <x:v>291.98</x:v>
      </x:c>
      <x:c r="C1128" s="32">
        <x:v>291.98</x:v>
      </x:c>
      <x:c r="D1128" s="32">
        <x:v>291.33999999999997</x:v>
      </x:c>
      <x:c r="E1128" s="32">
        <x:v>291.33999999999997</x:v>
      </x:c>
      <x:c r="F1128" s="33">
        <x:v>450490</x:v>
      </x:c>
      <x:c r="G1128" s="32" t="n">
        <x:f t="shared" si="42">AVERAGE(E929:E1128)</x:f>
        <x:v>247.39224999999988</x:v>
      </x:c>
      <x:c r="H1128" s="37" t="n">
        <x:f t="shared" si="43">IFERROR(E1128/G1128-1,"")</x:f>
        <x:v>0.1776440046121095</x:v>
      </x:c>
      <x:c r="I1128" s="38" t="b">
        <x:f t="shared" si="44">E1128&lt;G1128</x:f>
        <x:v>0</x:v>
      </x:c>
    </x:row>
    <x:row r="1129">
      <x:c r="A1129" s="31">
        <x:v>38637</x:v>
      </x:c>
      <x:c r="B1129" s="32">
        <x:v>291.88</x:v>
      </x:c>
      <x:c r="C1129" s="32">
        <x:v>292.35000000000002</x:v>
      </x:c>
      <x:c r="D1129" s="32">
        <x:v>291.88</x:v>
      </x:c>
      <x:c r="E1129" s="32">
        <x:v>292.35000000000002</x:v>
      </x:c>
      <x:c r="F1129" s="33">
        <x:v>410530</x:v>
      </x:c>
      <x:c r="G1129" s="32" t="n">
        <x:f t="shared" si="42">AVERAGE(E930:E1129)</x:f>
        <x:v>247.66949999999989</x:v>
      </x:c>
      <x:c r="H1129" s="37" t="n">
        <x:f t="shared" si="43">IFERROR(E1129/G1129-1,"")</x:f>
        <x:v>0.18040372351056622</x:v>
      </x:c>
      <x:c r="I1129" s="38" t="b">
        <x:f t="shared" si="44">E1129&lt;G1129</x:f>
        <x:v>0</x:v>
      </x:c>
    </x:row>
    <x:row r="1130">
      <x:c r="A1130" s="31">
        <x:v>38638</x:v>
      </x:c>
      <x:c r="B1130" s="32">
        <x:v>296.58999999999997</x:v>
      </x:c>
      <x:c r="C1130" s="32">
        <x:v>298.74</x:v>
      </x:c>
      <x:c r="D1130" s="32">
        <x:v>296.58999999999997</x:v>
      </x:c>
      <x:c r="E1130" s="32">
        <x:v>298.74</x:v>
      </x:c>
      <x:c r="F1130" s="33">
        <x:v>752410</x:v>
      </x:c>
      <x:c r="G1130" s="32" t="n">
        <x:f t="shared" si="42">AVERAGE(E931:E1130)</x:f>
        <x:v>247.9619999999999</x:v>
      </x:c>
      <x:c r="H1130" s="37" t="n">
        <x:f t="shared" si="43">IFERROR(E1130/G1130-1,"")</x:f>
        <x:v>0.20478137779175887</x:v>
      </x:c>
      <x:c r="I1130" s="38" t="b">
        <x:f t="shared" si="44">E1130&lt;G1130</x:f>
        <x:v>0</x:v>
      </x:c>
    </x:row>
    <x:row r="1131">
      <x:c r="A1131" s="31">
        <x:v>38639</x:v>
      </x:c>
      <x:c r="B1131" s="32">
        <x:v>302.7</x:v>
      </x:c>
      <x:c r="C1131" s="32">
        <x:v>304.10000000000002</x:v>
      </x:c>
      <x:c r="D1131" s="32">
        <x:v>302.7</x:v>
      </x:c>
      <x:c r="E1131" s="32">
        <x:v>304.10000000000002</x:v>
      </x:c>
      <x:c r="F1131" s="33">
        <x:v>754610</x:v>
      </x:c>
      <x:c r="G1131" s="32" t="n">
        <x:f t="shared" si="42">AVERAGE(E932:E1131)</x:f>
        <x:v>248.28304999999986</x:v>
      </x:c>
      <x:c r="H1131" s="37" t="n">
        <x:f t="shared" si="43">IFERROR(E1131/G1131-1,"")</x:f>
        <x:v>0.2248117622205792</x:v>
      </x:c>
      <x:c r="I1131" s="38" t="b">
        <x:f t="shared" si="44">E1131&lt;G1131</x:f>
        <x:v>0</x:v>
      </x:c>
    </x:row>
    <x:row r="1132">
      <x:c r="A1132" s="31">
        <x:v>38642</x:v>
      </x:c>
      <x:c r="B1132" s="32">
        <x:v>310.01</x:v>
      </x:c>
      <x:c r="C1132" s="32">
        <x:v>310.2</x:v>
      </x:c>
      <x:c r="D1132" s="32">
        <x:v>310.01</x:v>
      </x:c>
      <x:c r="E1132" s="32">
        <x:v>310.2</x:v>
      </x:c>
      <x:c r="F1132" s="33">
        <x:v>762960</x:v>
      </x:c>
      <x:c r="G1132" s="32" t="n">
        <x:f t="shared" si="42">AVERAGE(E933:E1132)</x:f>
        <x:v>248.63659999999982</x:v>
      </x:c>
      <x:c r="H1132" s="37" t="n">
        <x:f t="shared" si="43">IFERROR(E1132/G1132-1,"")</x:f>
        <x:v>0.24760393280796245</x:v>
      </x:c>
      <x:c r="I1132" s="38" t="b">
        <x:f t="shared" si="44">E1132&lt;G1132</x:f>
        <x:v>0</x:v>
      </x:c>
    </x:row>
    <x:row r="1133">
      <x:c r="A1133" s="31">
        <x:v>38643</x:v>
      </x:c>
      <x:c r="B1133" s="32">
        <x:v>311.39</x:v>
      </x:c>
      <x:c r="C1133" s="32">
        <x:v>311.39</x:v>
      </x:c>
      <x:c r="D1133" s="32">
        <x:v>307.08999999999997</x:v>
      </x:c>
      <x:c r="E1133" s="32">
        <x:v>307.08999999999997</x:v>
      </x:c>
      <x:c r="F1133" s="33">
        <x:v>869020</x:v>
      </x:c>
      <x:c r="G1133" s="32" t="n">
        <x:f t="shared" si="42">AVERAGE(E934:E1133)</x:f>
        <x:v>248.9842499999998</x:v>
      </x:c>
      <x:c r="H1133" s="37" t="n">
        <x:f t="shared" si="43">IFERROR(E1133/G1133-1,"")</x:f>
        <x:v>0.2333711871333235</x:v>
      </x:c>
      <x:c r="I1133" s="38" t="b">
        <x:f t="shared" si="44">E1133&lt;G1133</x:f>
        <x:v>0</x:v>
      </x:c>
    </x:row>
    <x:row r="1134">
      <x:c r="A1134" s="31">
        <x:v>38644</x:v>
      </x:c>
      <x:c r="B1134" s="32">
        <x:v>305.19</x:v>
      </x:c>
      <x:c r="C1134" s="32">
        <x:v>306.45999999999998</x:v>
      </x:c>
      <x:c r="D1134" s="32">
        <x:v>305.19</x:v>
      </x:c>
      <x:c r="E1134" s="32">
        <x:v>306.45999999999998</x:v>
      </x:c>
      <x:c r="F1134" s="33">
        <x:v>607200</x:v>
      </x:c>
      <x:c r="G1134" s="32" t="n">
        <x:f t="shared" si="42">AVERAGE(E935:E1134)</x:f>
        <x:v>249.3289999999998</x:v>
      </x:c>
      <x:c r="H1134" s="37" t="n">
        <x:f t="shared" si="43">IFERROR(E1134/G1134-1,"")</x:f>
        <x:v>0.2291390091004264</x:v>
      </x:c>
      <x:c r="I1134" s="38" t="b">
        <x:f t="shared" si="44">E1134&lt;G1134</x:f>
        <x:v>0</x:v>
      </x:c>
    </x:row>
    <x:row r="1135">
      <x:c r="A1135" s="31">
        <x:v>38645</x:v>
      </x:c>
      <x:c r="B1135" s="32">
        <x:v>307.70999999999998</x:v>
      </x:c>
      <x:c r="C1135" s="32">
        <x:v>307.70999999999998</x:v>
      </x:c>
      <x:c r="D1135" s="32">
        <x:v>307.05</x:v>
      </x:c>
      <x:c r="E1135" s="32">
        <x:v>307.05</x:v>
      </x:c>
      <x:c r="F1135" s="33">
        <x:v>967930</x:v>
      </x:c>
      <x:c r="G1135" s="32" t="n">
        <x:f t="shared" si="42">AVERAGE(E936:E1135)</x:f>
        <x:v>249.6677999999998</x:v>
      </x:c>
      <x:c r="H1135" s="37" t="n">
        <x:f t="shared" si="43">IFERROR(E1135/G1135-1,"")</x:f>
        <x:v>0.22983420368986418</x:v>
      </x:c>
      <x:c r="I1135" s="38" t="b">
        <x:f t="shared" si="44">E1135&lt;G1135</x:f>
        <x:v>0</x:v>
      </x:c>
    </x:row>
    <x:row r="1136">
      <x:c r="A1136" s="31">
        <x:v>38646</x:v>
      </x:c>
      <x:c r="B1136" s="32">
        <x:v>307.27</x:v>
      </x:c>
      <x:c r="C1136" s="32">
        <x:v>307.27</x:v>
      </x:c>
      <x:c r="D1136" s="32">
        <x:v>306.72000000000003</x:v>
      </x:c>
      <x:c r="E1136" s="32">
        <x:v>306.72000000000003</x:v>
      </x:c>
      <x:c r="F1136" s="33">
        <x:v>854110</x:v>
      </x:c>
      <x:c r="G1136" s="32" t="n">
        <x:f t="shared" si="42">AVERAGE(E937:E1136)</x:f>
        <x:v>250.01524999999984</x:v>
      </x:c>
      <x:c r="H1136" s="37" t="n">
        <x:f t="shared" si="43">IFERROR(E1136/G1136-1,"")</x:f>
        <x:v>0.22680516488494296</x:v>
      </x:c>
      <x:c r="I1136" s="38" t="b">
        <x:f t="shared" si="44">E1136&lt;G1136</x:f>
        <x:v>0</x:v>
      </x:c>
    </x:row>
    <x:row r="1137">
      <x:c r="A1137" s="31">
        <x:v>38649</x:v>
      </x:c>
      <x:c r="B1137" s="32">
        <x:v>306.57</x:v>
      </x:c>
      <x:c r="C1137" s="32">
        <x:v>306.89999999999998</x:v>
      </x:c>
      <x:c r="D1137" s="32">
        <x:v>306.57</x:v>
      </x:c>
      <x:c r="E1137" s="32">
        <x:v>306.89999999999998</x:v>
      </x:c>
      <x:c r="F1137" s="33">
        <x:v>773040</x:v>
      </x:c>
      <x:c r="G1137" s="32" t="n">
        <x:f t="shared" si="42">AVERAGE(E938:E1137)</x:f>
        <x:v>250.36614999999986</x:v>
      </x:c>
      <x:c r="H1137" s="37" t="n">
        <x:f t="shared" si="43">IFERROR(E1137/G1137-1,"")</x:f>
        <x:v>0.22580468645621687</x:v>
      </x:c>
      <x:c r="I1137" s="38" t="b">
        <x:f t="shared" si="44">E1137&lt;G1137</x:f>
        <x:v>0</x:v>
      </x:c>
    </x:row>
    <x:row r="1138">
      <x:c r="A1138" s="31">
        <x:v>38650</x:v>
      </x:c>
      <x:c r="B1138" s="32">
        <x:v>306.27999999999997</x:v>
      </x:c>
      <x:c r="C1138" s="32">
        <x:v>306.27999999999997</x:v>
      </x:c>
      <x:c r="D1138" s="32">
        <x:v>305.11</x:v>
      </x:c>
      <x:c r="E1138" s="32">
        <x:v>305.11</x:v>
      </x:c>
      <x:c r="F1138" s="33">
        <x:v>913200</x:v>
      </x:c>
      <x:c r="G1138" s="32" t="n">
        <x:f t="shared" si="42">AVERAGE(E939:E1138)</x:f>
        <x:v>250.71404999999987</x:v>
      </x:c>
      <x:c r="H1138" s="37" t="n">
        <x:f t="shared" si="43">IFERROR(E1138/G1138-1,"")</x:f>
        <x:v>0.21696410711725234</x:v>
      </x:c>
      <x:c r="I1138" s="38" t="b">
        <x:f t="shared" si="44">E1138&lt;G1138</x:f>
        <x:v>0</x:v>
      </x:c>
    </x:row>
    <x:row r="1139">
      <x:c r="A1139" s="31">
        <x:v>38651</x:v>
      </x:c>
      <x:c r="B1139" s="32">
        <x:v>302.14</x:v>
      </x:c>
      <x:c r="C1139" s="32">
        <x:v>302.14</x:v>
      </x:c>
      <x:c r="D1139" s="32">
        <x:v>300.52999999999997</x:v>
      </x:c>
      <x:c r="E1139" s="32">
        <x:v>300.52999999999997</x:v>
      </x:c>
      <x:c r="F1139" s="33">
        <x:v>859240</x:v>
      </x:c>
      <x:c r="G1139" s="32" t="n">
        <x:f t="shared" si="42">AVERAGE(E940:E1139)</x:f>
        <x:v>251.0397999999999</x:v>
      </x:c>
      <x:c r="H1139" s="37" t="n">
        <x:f t="shared" si="43">IFERROR(E1139/G1139-1,"")</x:f>
        <x:v>0.1971408517693214</x:v>
      </x:c>
      <x:c r="I1139" s="38" t="b">
        <x:f t="shared" si="44">E1139&lt;G1139</x:f>
        <x:v>0</x:v>
      </x:c>
    </x:row>
    <x:row r="1140">
      <x:c r="A1140" s="31">
        <x:v>38652</x:v>
      </x:c>
      <x:c r="B1140" s="32">
        <x:v>297.95</x:v>
      </x:c>
      <x:c r="C1140" s="32">
        <x:v>300.98</x:v>
      </x:c>
      <x:c r="D1140" s="32">
        <x:v>297.95</x:v>
      </x:c>
      <x:c r="E1140" s="32">
        <x:v>300.98</x:v>
      </x:c>
      <x:c r="F1140" s="33">
        <x:v>596290</x:v>
      </x:c>
      <x:c r="G1140" s="32" t="n">
        <x:f t="shared" si="42">AVERAGE(E941:E1140)</x:f>
        <x:v>251.3748499999999</x:v>
      </x:c>
      <x:c r="H1140" s="37" t="n">
        <x:f t="shared" si="43">IFERROR(E1140/G1140-1,"")</x:f>
        <x:v>0.19733537384507693</x:v>
      </x:c>
      <x:c r="I1140" s="38" t="b">
        <x:f t="shared" si="44">E1140&lt;G1140</x:f>
        <x:v>0</x:v>
      </x:c>
    </x:row>
    <x:row r="1141">
      <x:c r="A1141" s="31">
        <x:v>38653</x:v>
      </x:c>
      <x:c r="B1141" s="32">
        <x:v>305.39999999999998</x:v>
      </x:c>
      <x:c r="C1141" s="32">
        <x:v>305.39999999999998</x:v>
      </x:c>
      <x:c r="D1141" s="32">
        <x:v>305.38</x:v>
      </x:c>
      <x:c r="E1141" s="32">
        <x:v>305.38</x:v>
      </x:c>
      <x:c r="F1141" s="33">
        <x:v>647110</x:v>
      </x:c>
      <x:c r="G1141" s="32" t="n">
        <x:f t="shared" si="42">AVERAGE(E942:E1141)</x:f>
        <x:v>251.7281499999999</x:v>
      </x:c>
      <x:c r="H1141" s="37" t="n">
        <x:f t="shared" si="43">IFERROR(E1141/G1141-1,"")</x:f>
        <x:v>0.2131340892943443</x:v>
      </x:c>
      <x:c r="I1141" s="38" t="b">
        <x:f t="shared" si="44">E1141&lt;G1141</x:f>
        <x:v>0</x:v>
      </x:c>
    </x:row>
    <x:row r="1142">
      <x:c r="A1142" s="31">
        <x:v>38656</x:v>
      </x:c>
      <x:c r="B1142" s="32">
        <x:v>307.31</x:v>
      </x:c>
      <x:c r="C1142" s="32">
        <x:v>307.39999999999998</x:v>
      </x:c>
      <x:c r="D1142" s="32">
        <x:v>307.31</x:v>
      </x:c>
      <x:c r="E1142" s="32">
        <x:v>307.39999999999998</x:v>
      </x:c>
      <x:c r="F1142" s="33">
        <x:v>557660</x:v>
      </x:c>
      <x:c r="G1142" s="32" t="n">
        <x:f t="shared" si="42">AVERAGE(E943:E1142)</x:f>
        <x:v>252.09099999999987</x:v>
      </x:c>
      <x:c r="H1142" s="37" t="n">
        <x:f t="shared" si="43">IFERROR(E1142/G1142-1,"")</x:f>
        <x:v>0.2194009306163256</x:v>
      </x:c>
      <x:c r="I1142" s="38" t="b">
        <x:f t="shared" si="44">E1142&lt;G1142</x:f>
        <x:v>0</x:v>
      </x:c>
    </x:row>
    <x:row r="1143">
      <x:c r="A1143" s="31">
        <x:v>38657</x:v>
      </x:c>
      <x:c r="B1143" s="32">
        <x:v>310.33999999999997</x:v>
      </x:c>
      <x:c r="C1143" s="32">
        <x:v>310.51</x:v>
      </x:c>
      <x:c r="D1143" s="32">
        <x:v>310.33999999999997</x:v>
      </x:c>
      <x:c r="E1143" s="32">
        <x:v>310.51</x:v>
      </x:c>
      <x:c r="F1143" s="33">
        <x:v>544730</x:v>
      </x:c>
      <x:c r="G1143" s="32" t="n">
        <x:f t="shared" si="42">AVERAGE(E944:E1143)</x:f>
        <x:v>252.47119999999987</x:v>
      </x:c>
      <x:c r="H1143" s="37" t="n">
        <x:f t="shared" si="43">IFERROR(E1143/G1143-1,"")</x:f>
        <x:v>0.2298828539651261</x:v>
      </x:c>
      <x:c r="I1143" s="38" t="b">
        <x:f t="shared" si="44">E1143&lt;G1143</x:f>
        <x:v>0</x:v>
      </x:c>
    </x:row>
    <x:row r="1144">
      <x:c r="A1144" s="31">
        <x:v>38658</x:v>
      </x:c>
      <x:c r="B1144" s="32">
        <x:v>314.60000000000002</x:v>
      </x:c>
      <x:c r="C1144" s="32">
        <x:v>315.56</x:v>
      </x:c>
      <x:c r="D1144" s="32">
        <x:v>314.60000000000002</x:v>
      </x:c>
      <x:c r="E1144" s="32">
        <x:v>315.56</x:v>
      </x:c>
      <x:c r="F1144" s="33">
        <x:v>455460</x:v>
      </x:c>
      <x:c r="G1144" s="32" t="n">
        <x:f t="shared" si="42">AVERAGE(E945:E1144)</x:f>
        <x:v>252.86974999999987</x:v>
      </x:c>
      <x:c r="H1144" s="37" t="n">
        <x:f t="shared" si="43">IFERROR(E1144/G1144-1,"")</x:f>
        <x:v>0.2479151816300691</x:v>
      </x:c>
      <x:c r="I1144" s="38" t="b">
        <x:f t="shared" si="44">E1144&lt;G1144</x:f>
        <x:v>0</x:v>
      </x:c>
    </x:row>
    <x:row r="1145">
      <x:c r="A1145" s="31">
        <x:v>38659</x:v>
      </x:c>
      <x:c r="B1145" s="32">
        <x:v>321.99</x:v>
      </x:c>
      <x:c r="C1145" s="32">
        <x:v>322.52</x:v>
      </x:c>
      <x:c r="D1145" s="32">
        <x:v>321.99</x:v>
      </x:c>
      <x:c r="E1145" s="32">
        <x:v>322.52</x:v>
      </x:c>
      <x:c r="F1145" s="33">
        <x:v>730760</x:v>
      </x:c>
      <x:c r="G1145" s="32" t="n">
        <x:f t="shared" si="42">AVERAGE(E946:E1145)</x:f>
        <x:v>253.3019999999999</x:v>
      </x:c>
      <x:c r="H1145" s="37" t="n">
        <x:f t="shared" si="43">IFERROR(E1145/G1145-1,"")</x:f>
        <x:v>0.273262745655384</x:v>
      </x:c>
      <x:c r="I1145" s="38" t="b">
        <x:f t="shared" si="44">E1145&lt;G1145</x:f>
        <x:v>0</x:v>
      </x:c>
    </x:row>
    <x:row r="1146">
      <x:c r="A1146" s="31">
        <x:v>38660</x:v>
      </x:c>
      <x:c r="B1146" s="32">
        <x:v>325.25</x:v>
      </x:c>
      <x:c r="C1146" s="32">
        <x:v>325.25</x:v>
      </x:c>
      <x:c r="D1146" s="32">
        <x:v>321.14999999999998</x:v>
      </x:c>
      <x:c r="E1146" s="32">
        <x:v>321.14999999999998</x:v>
      </x:c>
      <x:c r="F1146" s="33">
        <x:v>697980</x:v>
      </x:c>
      <x:c r="G1146" s="32" t="n">
        <x:f t="shared" si="42">AVERAGE(E947:E1146)</x:f>
        <x:v>253.73109999999988</x:v>
      </x:c>
      <x:c r="H1146" s="37" t="n">
        <x:f t="shared" si="43">IFERROR(E1146/G1146-1,"")</x:f>
        <x:v>0.26571003712197716</x:v>
      </x:c>
      <x:c r="I1146" s="38" t="b">
        <x:f t="shared" si="44">E1146&lt;G1146</x:f>
        <x:v>0</x:v>
      </x:c>
    </x:row>
    <x:row r="1147">
      <x:c r="A1147" s="31">
        <x:v>38663</x:v>
      </x:c>
      <x:c r="B1147" s="32">
        <x:v>321.52</x:v>
      </x:c>
      <x:c r="C1147" s="32">
        <x:v>322.58999999999997</x:v>
      </x:c>
      <x:c r="D1147" s="32">
        <x:v>321.52</x:v>
      </x:c>
      <x:c r="E1147" s="32">
        <x:v>322.58999999999997</x:v>
      </x:c>
      <x:c r="F1147" s="33">
        <x:v>558850</x:v>
      </x:c>
      <x:c r="G1147" s="32" t="n">
        <x:f t="shared" si="42">AVERAGE(E948:E1147)</x:f>
        <x:v>254.17099999999985</x:v>
      </x:c>
      <x:c r="H1147" s="37" t="n">
        <x:f t="shared" si="43">IFERROR(E1147/G1147-1,"")</x:f>
        <x:v>0.26918491881449946</x:v>
      </x:c>
      <x:c r="I1147" s="38" t="b">
        <x:f t="shared" si="44">E1147&lt;G1147</x:f>
        <x:v>0</x:v>
      </x:c>
    </x:row>
    <x:row r="1148">
      <x:c r="A1148" s="31">
        <x:v>38664</x:v>
      </x:c>
      <x:c r="B1148" s="32">
        <x:v>322.81</x:v>
      </x:c>
      <x:c r="C1148" s="32">
        <x:v>322.81</x:v>
      </x:c>
      <x:c r="D1148" s="32">
        <x:v>321.35000000000002</x:v>
      </x:c>
      <x:c r="E1148" s="32">
        <x:v>321.35000000000002</x:v>
      </x:c>
      <x:c r="F1148" s="33">
        <x:v>541200</x:v>
      </x:c>
      <x:c r="G1148" s="32" t="n">
        <x:f t="shared" si="42">AVERAGE(E949:E1148)</x:f>
        <x:v>254.60479999999984</x:v>
      </x:c>
      <x:c r="H1148" s="37" t="n">
        <x:f t="shared" si="43">IFERROR(E1148/G1148-1,"")</x:f>
        <x:v>0.26215216680911047</x:v>
      </x:c>
      <x:c r="I1148" s="38" t="b">
        <x:f t="shared" si="44">E1148&lt;G1148</x:f>
        <x:v>0</x:v>
      </x:c>
    </x:row>
    <x:row r="1149">
      <x:c r="A1149" s="31">
        <x:v>38665</x:v>
      </x:c>
      <x:c r="B1149" s="32">
        <x:v>321.32</x:v>
      </x:c>
      <x:c r="C1149" s="32">
        <x:v>321.32</x:v>
      </x:c>
      <x:c r="D1149" s="32">
        <x:v>320.56</x:v>
      </x:c>
      <x:c r="E1149" s="32">
        <x:v>320.56</x:v>
      </x:c>
      <x:c r="F1149" s="33">
        <x:v>468480</x:v>
      </x:c>
      <x:c r="G1149" s="32" t="n">
        <x:f t="shared" si="42">AVERAGE(E950:E1149)</x:f>
        <x:v>255.02724999999984</x:v>
      </x:c>
      <x:c r="H1149" s="37" t="n">
        <x:f t="shared" si="43">IFERROR(E1149/G1149-1,"")</x:f>
        <x:v>0.2569637166224401</x:v>
      </x:c>
      <x:c r="I1149" s="38" t="b">
        <x:f t="shared" si="44">E1149&lt;G1149</x:f>
        <x:v>0</x:v>
      </x:c>
    </x:row>
    <x:row r="1150">
      <x:c r="A1150" s="31">
        <x:v>38666</x:v>
      </x:c>
      <x:c r="B1150" s="32">
        <x:v>320.81</x:v>
      </x:c>
      <x:c r="C1150" s="32">
        <x:v>320.81</x:v>
      </x:c>
      <x:c r="D1150" s="32">
        <x:v>319.13</x:v>
      </x:c>
      <x:c r="E1150" s="32">
        <x:v>319.13</x:v>
      </x:c>
      <x:c r="F1150" s="33">
        <x:v>428940</x:v>
      </x:c>
      <x:c r="G1150" s="32" t="n">
        <x:f t="shared" si="42">AVERAGE(E951:E1150)</x:f>
        <x:v>255.4493999999998</x:v>
      </x:c>
      <x:c r="H1150" s="37" t="n">
        <x:f t="shared" si="43">IFERROR(E1150/G1150-1,"")</x:f>
        <x:v>0.24928850880056963</x:v>
      </x:c>
      <x:c r="I1150" s="38" t="b">
        <x:f t="shared" si="44">E1150&lt;G1150</x:f>
        <x:v>0</x:v>
      </x:c>
    </x:row>
    <x:row r="1151">
      <x:c r="A1151" s="31">
        <x:v>38667</x:v>
      </x:c>
      <x:c r="B1151" s="32">
        <x:v>318.52</x:v>
      </x:c>
      <x:c r="C1151" s="32">
        <x:v>318.52</x:v>
      </x:c>
      <x:c r="D1151" s="32">
        <x:v>317.73</x:v>
      </x:c>
      <x:c r="E1151" s="32">
        <x:v>317.73</x:v>
      </x:c>
      <x:c r="F1151" s="33">
        <x:v>479090</x:v>
      </x:c>
      <x:c r="G1151" s="32" t="n">
        <x:f t="shared" si="42">AVERAGE(E952:E1151)</x:f>
        <x:v>255.86514999999986</x:v>
      </x:c>
      <x:c r="H1151" s="37" t="n">
        <x:f t="shared" si="43">IFERROR(E1151/G1151-1,"")</x:f>
        <x:v>0.24178693346866575</x:v>
      </x:c>
      <x:c r="I1151" s="38" t="b">
        <x:f t="shared" si="44">E1151&lt;G1151</x:f>
        <x:v>0</x:v>
      </x:c>
    </x:row>
    <x:row r="1152">
      <x:c r="A1152" s="31">
        <x:v>38670</x:v>
      </x:c>
      <x:c r="B1152" s="32">
        <x:v>317.77</x:v>
      </x:c>
      <x:c r="C1152" s="32">
        <x:v>317.83</x:v>
      </x:c>
      <x:c r="D1152" s="32">
        <x:v>317.77</x:v>
      </x:c>
      <x:c r="E1152" s="32">
        <x:v>317.83</x:v>
      </x:c>
      <x:c r="F1152" s="33">
        <x:v>451230</x:v>
      </x:c>
      <x:c r="G1152" s="32" t="n">
        <x:f t="shared" si="42">AVERAGE(E953:E1152)</x:f>
        <x:v>256.27974999999986</x:v>
      </x:c>
      <x:c r="H1152" s="37" t="n">
        <x:f t="shared" si="43">IFERROR(E1152/G1152-1,"")</x:f>
        <x:v>0.2401682146170352</x:v>
      </x:c>
      <x:c r="I1152" s="38" t="b">
        <x:f t="shared" si="44">E1152&lt;G1152</x:f>
        <x:v>0</x:v>
      </x:c>
    </x:row>
    <x:row r="1153">
      <x:c r="A1153" s="31">
        <x:v>38671</x:v>
      </x:c>
      <x:c r="B1153" s="32">
        <x:v>318.47000000000003</x:v>
      </x:c>
      <x:c r="C1153" s="32">
        <x:v>318.47000000000003</x:v>
      </x:c>
      <x:c r="D1153" s="32">
        <x:v>317.06</x:v>
      </x:c>
      <x:c r="E1153" s="32">
        <x:v>317.06</x:v>
      </x:c>
      <x:c r="F1153" s="33">
        <x:v>402340</x:v>
      </x:c>
      <x:c r="G1153" s="32" t="n">
        <x:f t="shared" si="42">AVERAGE(E954:E1153)</x:f>
        <x:v>256.6962499999998</x:v>
      </x:c>
      <x:c r="H1153" s="37" t="n">
        <x:f t="shared" si="43">IFERROR(E1153/G1153-1,"")</x:f>
        <x:v>0.23515633750006182</x:v>
      </x:c>
      <x:c r="I1153" s="38" t="b">
        <x:f t="shared" si="44">E1153&lt;G1153</x:f>
        <x:v>0</x:v>
      </x:c>
    </x:row>
    <x:row r="1154">
      <x:c r="A1154" s="31">
        <x:v>38672</x:v>
      </x:c>
      <x:c r="B1154" s="32">
        <x:v>316.16000000000003</x:v>
      </x:c>
      <x:c r="C1154" s="32">
        <x:v>316.16000000000003</x:v>
      </x:c>
      <x:c r="D1154" s="32">
        <x:v>315.89999999999998</x:v>
      </x:c>
      <x:c r="E1154" s="32">
        <x:v>315.89999999999998</x:v>
      </x:c>
      <x:c r="F1154" s="33">
        <x:v>405320</x:v>
      </x:c>
      <x:c r="G1154" s="32" t="n">
        <x:f t="shared" si="42">AVERAGE(E955:E1154)</x:f>
        <x:v>257.1048499999999</x:v>
      </x:c>
      <x:c r="H1154" s="37" t="n">
        <x:f t="shared" si="43">IFERROR(E1154/G1154-1,"")</x:f>
        <x:v>0.2286816059673713</x:v>
      </x:c>
      <x:c r="I1154" s="38" t="b">
        <x:f t="shared" si="44">E1154&lt;G1154</x:f>
        <x:v>0</x:v>
      </x:c>
    </x:row>
    <x:row r="1155">
      <x:c r="A1155" s="31">
        <x:v>38673</x:v>
      </x:c>
      <x:c r="B1155" s="32">
        <x:v>314.85000000000002</x:v>
      </x:c>
      <x:c r="C1155" s="32">
        <x:v>314.85000000000002</x:v>
      </x:c>
      <x:c r="D1155" s="32">
        <x:v>313.91000000000003</x:v>
      </x:c>
      <x:c r="E1155" s="32">
        <x:v>313.91000000000003</x:v>
      </x:c>
      <x:c r="F1155" s="33">
        <x:v>532090</x:v>
      </x:c>
      <x:c r="G1155" s="32" t="n">
        <x:f t="shared" si="42">AVERAGE(E956:E1155)</x:f>
        <x:v>257.50779999999986</x:v>
      </x:c>
      <x:c r="H1155" s="37" t="n">
        <x:f t="shared" si="43">IFERROR(E1155/G1155-1,"")</x:f>
        <x:v>0.21903103517641087</x:v>
      </x:c>
      <x:c r="I1155" s="38" t="b">
        <x:f t="shared" si="44">E1155&lt;G1155</x:f>
        <x:v>0</x:v>
      </x:c>
    </x:row>
    <x:row r="1156">
      <x:c r="A1156" s="31">
        <x:v>38674</x:v>
      </x:c>
      <x:c r="B1156" s="32">
        <x:v>312.58</x:v>
      </x:c>
      <x:c r="C1156" s="32">
        <x:v>312.58</x:v>
      </x:c>
      <x:c r="D1156" s="32">
        <x:v>312.5</x:v>
      </x:c>
      <x:c r="E1156" s="32">
        <x:v>312.5</x:v>
      </x:c>
      <x:c r="F1156" s="33">
        <x:v>362800</x:v>
      </x:c>
      <x:c r="G1156" s="32" t="n">
        <x:f t="shared" si="42">AVERAGE(E957:E1156)</x:f>
        <x:v>257.9082499999999</x:v>
      </x:c>
      <x:c r="H1156" s="37" t="n">
        <x:f t="shared" si="43">IFERROR(E1156/G1156-1,"")</x:f>
        <x:v>0.21167120477921952</x:v>
      </x:c>
      <x:c r="I1156" s="38" t="b">
        <x:f t="shared" si="44">E1156&lt;G1156</x:f>
        <x:v>0</x:v>
      </x:c>
    </x:row>
    <x:row r="1157">
      <x:c r="A1157" s="31">
        <x:v>38677</x:v>
      </x:c>
      <x:c r="B1157" s="32">
        <x:v>312.72000000000003</x:v>
      </x:c>
      <x:c r="C1157" s="32">
        <x:v>312.72000000000003</x:v>
      </x:c>
      <x:c r="D1157" s="32">
        <x:v>311.8</x:v>
      </x:c>
      <x:c r="E1157" s="32">
        <x:v>311.8</x:v>
      </x:c>
      <x:c r="F1157" s="33">
        <x:v>295950</x:v>
      </x:c>
      <x:c r="G1157" s="32" t="n">
        <x:f t="shared" si="42">AVERAGE(E958:E1157)</x:f>
        <x:v>258.30299999999994</x:v>
      </x:c>
      <x:c r="H1157" s="37" t="n">
        <x:f t="shared" si="43">IFERROR(E1157/G1157-1,"")</x:f>
        <x:v>0.20710947995183981</x:v>
      </x:c>
      <x:c r="I1157" s="38" t="b">
        <x:f t="shared" si="44">E1157&lt;G1157</x:f>
        <x:v>0</x:v>
      </x:c>
    </x:row>
    <x:row r="1158">
      <x:c r="A1158" s="31">
        <x:v>38678</x:v>
      </x:c>
      <x:c r="B1158" s="32">
        <x:v>310.83999999999997</x:v>
      </x:c>
      <x:c r="C1158" s="32">
        <x:v>310.83999999999997</x:v>
      </x:c>
      <x:c r="D1158" s="32">
        <x:v>308.52999999999997</x:v>
      </x:c>
      <x:c r="E1158" s="32">
        <x:v>308.52999999999997</x:v>
      </x:c>
      <x:c r="F1158" s="33">
        <x:v>379080</x:v>
      </x:c>
      <x:c r="G1158" s="32" t="n">
        <x:f t="shared" si="42">AVERAGE(E959:E1158)</x:f>
        <x:v>258.6788499999999</x:v>
      </x:c>
      <x:c r="H1158" s="37" t="n">
        <x:f t="shared" si="43">IFERROR(E1158/G1158-1,"")</x:f>
        <x:v>0.19271444109172475</x:v>
      </x:c>
      <x:c r="I1158" s="38" t="b">
        <x:f t="shared" si="44">E1158&lt;G1158</x:f>
        <x:v>0</x:v>
      </x:c>
    </x:row>
    <x:row r="1159">
      <x:c r="A1159" s="31">
        <x:v>38679</x:v>
      </x:c>
      <x:c r="B1159" s="32">
        <x:v>307.77999999999997</x:v>
      </x:c>
      <x:c r="C1159" s="32">
        <x:v>307.77999999999997</x:v>
      </x:c>
      <x:c r="D1159" s="32">
        <x:v>305.5</x:v>
      </x:c>
      <x:c r="E1159" s="32">
        <x:v>305.5</x:v>
      </x:c>
      <x:c r="F1159" s="33">
        <x:v>489140</x:v>
      </x:c>
      <x:c r="G1159" s="32" t="n">
        <x:f t="shared" si="42">AVERAGE(E960:E1159)</x:f>
        <x:v>259.0262499999999</x:v>
      </x:c>
      <x:c r="H1159" s="37" t="n">
        <x:f t="shared" si="43">IFERROR(E1159/G1159-1,"")</x:f>
        <x:v>0.17941714401532716</x:v>
      </x:c>
      <x:c r="I1159" s="38" t="b">
        <x:f t="shared" si="44">E1159&lt;G1159</x:f>
        <x:v>0</x:v>
      </x:c>
    </x:row>
    <x:row r="1160">
      <x:c r="A1160" s="31">
        <x:v>38680</x:v>
      </x:c>
      <x:c r="B1160" s="32">
        <x:v>301.82</x:v>
      </x:c>
      <x:c r="C1160" s="32">
        <x:v>301.82</x:v>
      </x:c>
      <x:c r="D1160" s="32">
        <x:v>301.77999999999997</x:v>
      </x:c>
      <x:c r="E1160" s="32">
        <x:v>301.77999999999997</x:v>
      </x:c>
      <x:c r="F1160" s="33">
        <x:v>638820</x:v>
      </x:c>
      <x:c r="G1160" s="32" t="n">
        <x:f t="shared" si="42">AVERAGE(E961:E1160)</x:f>
        <x:v>259.3587499999999</x:v>
      </x:c>
      <x:c r="H1160" s="37" t="n">
        <x:f t="shared" si="43">IFERROR(E1160/G1160-1,"")</x:f>
        <x:v>0.16356205449016126</x:v>
      </x:c>
      <x:c r="I1160" s="38" t="b">
        <x:f t="shared" si="44">E1160&lt;G1160</x:f>
        <x:v>0</x:v>
      </x:c>
    </x:row>
    <x:row r="1161">
      <x:c r="A1161" s="31">
        <x:v>38681</x:v>
      </x:c>
      <x:c r="B1161" s="32">
        <x:v>306.52999999999997</x:v>
      </x:c>
      <x:c r="C1161" s="32">
        <x:v>309.47000000000003</x:v>
      </x:c>
      <x:c r="D1161" s="32">
        <x:v>306.52999999999997</x:v>
      </x:c>
      <x:c r="E1161" s="32">
        <x:v>309.47000000000003</x:v>
      </x:c>
      <x:c r="F1161" s="33">
        <x:v>473550</x:v>
      </x:c>
      <x:c r="G1161" s="32" t="n">
        <x:f t="shared" si="42">AVERAGE(E962:E1161)</x:f>
        <x:v>259.7292999999999</x:v>
      </x:c>
      <x:c r="H1161" s="37" t="n">
        <x:f t="shared" si="43">IFERROR(E1161/G1161-1,"")</x:f>
        <x:v>0.1915097757549884</x:v>
      </x:c>
      <x:c r="I1161" s="38" t="b">
        <x:f t="shared" si="44">E1161&lt;G1161</x:f>
        <x:v>0</x:v>
      </x:c>
    </x:row>
    <x:row r="1162">
      <x:c r="A1162" s="31">
        <x:v>38684</x:v>
      </x:c>
      <x:c r="B1162" s="32">
        <x:v>310.42</x:v>
      </x:c>
      <x:c r="C1162" s="32">
        <x:v>310.42</x:v>
      </x:c>
      <x:c r="D1162" s="32">
        <x:v>308.18</x:v>
      </x:c>
      <x:c r="E1162" s="32">
        <x:v>308.18</x:v>
      </x:c>
      <x:c r="F1162" s="33">
        <x:v>285250</x:v>
      </x:c>
      <x:c r="G1162" s="32" t="n">
        <x:f t="shared" si="42">AVERAGE(E963:E1162)</x:f>
        <x:v>260.09774999999985</x:v>
      </x:c>
      <x:c r="H1162" s="37" t="n">
        <x:f t="shared" si="43">IFERROR(E1162/G1162-1,"")</x:f>
        <x:v>0.18486222968095722</x:v>
      </x:c>
      <x:c r="I1162" s="38" t="b">
        <x:f t="shared" si="44">E1162&lt;G1162</x:f>
        <x:v>0</x:v>
      </x:c>
    </x:row>
    <x:row r="1163">
      <x:c r="A1163" s="31">
        <x:v>38685</x:v>
      </x:c>
      <x:c r="B1163" s="32">
        <x:v>306.19</x:v>
      </x:c>
      <x:c r="C1163" s="32">
        <x:v>307.77</x:v>
      </x:c>
      <x:c r="D1163" s="32">
        <x:v>306.19</x:v>
      </x:c>
      <x:c r="E1163" s="32">
        <x:v>307.77</x:v>
      </x:c>
      <x:c r="F1163" s="33">
        <x:v>309090</x:v>
      </x:c>
      <x:c r="G1163" s="32" t="n">
        <x:f t="shared" si="42">AVERAGE(E964:E1163)</x:f>
        <x:v>260.4664999999999</x:v>
      </x:c>
      <x:c r="H1163" s="37" t="n">
        <x:f t="shared" si="43">IFERROR(E1163/G1163-1,"")</x:f>
        <x:v>0.18161068697894023</x:v>
      </x:c>
      <x:c r="I1163" s="38" t="b">
        <x:f t="shared" si="44">E1163&lt;G1163</x:f>
        <x:v>0</x:v>
      </x:c>
    </x:row>
    <x:row r="1164">
      <x:c r="A1164" s="31">
        <x:v>38686</x:v>
      </x:c>
      <x:c r="B1164" s="32">
        <x:v>309.16000000000003</x:v>
      </x:c>
      <x:c r="C1164" s="32">
        <x:v>311.33</x:v>
      </x:c>
      <x:c r="D1164" s="32">
        <x:v>309.16000000000003</x:v>
      </x:c>
      <x:c r="E1164" s="32">
        <x:v>311.33</x:v>
      </x:c>
      <x:c r="F1164" s="33">
        <x:v>272860</x:v>
      </x:c>
      <x:c r="G1164" s="32" t="n">
        <x:f t="shared" si="42">AVERAGE(E965:E1164)</x:f>
        <x:v>260.8550499999999</x:v>
      </x:c>
      <x:c r="H1164" s="37" t="n">
        <x:f t="shared" si="43">IFERROR(E1164/G1164-1,"")</x:f>
        <x:v>0.1934980748887174</x:v>
      </x:c>
      <x:c r="I1164" s="38" t="b">
        <x:f t="shared" si="44">E1164&lt;G1164</x:f>
        <x:v>0</x:v>
      </x:c>
    </x:row>
    <x:row r="1165">
      <x:c r="A1165" s="31">
        <x:v>38687</x:v>
      </x:c>
      <x:c r="B1165" s="32">
        <x:v>311.22000000000003</x:v>
      </x:c>
      <x:c r="C1165" s="32">
        <x:v>312.08999999999997</x:v>
      </x:c>
      <x:c r="D1165" s="32">
        <x:v>311.22000000000003</x:v>
      </x:c>
      <x:c r="E1165" s="32">
        <x:v>312.08999999999997</x:v>
      </x:c>
      <x:c r="F1165" s="33">
        <x:v>266120</x:v>
      </x:c>
      <x:c r="G1165" s="32" t="n">
        <x:f t="shared" ref="G1165:G1228" si="45">AVERAGE(E966:E1165)</x:f>
        <x:v>261.24984999999987</x:v>
      </x:c>
      <x:c r="H1165" s="37" t="n">
        <x:f t="shared" ref="H1165:H1228" si="46">IFERROR(E1165/G1165-1,"")</x:f>
        <x:v>0.1946035567101767</x:v>
      </x:c>
      <x:c r="I1165" s="38" t="b">
        <x:f t="shared" ref="I1165:I1228" si="47">E1165&lt;G1165</x:f>
        <x:v>0</x:v>
      </x:c>
    </x:row>
    <x:row r="1166">
      <x:c r="A1166" s="31">
        <x:v>38688</x:v>
      </x:c>
      <x:c r="B1166" s="32">
        <x:v>313.01</x:v>
      </x:c>
      <x:c r="C1166" s="32">
        <x:v>313.01</x:v>
      </x:c>
      <x:c r="D1166" s="32">
        <x:v>312.43</x:v>
      </x:c>
      <x:c r="E1166" s="32">
        <x:v>312.43</x:v>
      </x:c>
      <x:c r="F1166" s="33">
        <x:v>168030</x:v>
      </x:c>
      <x:c r="G1166" s="32" t="n">
        <x:f t="shared" si="45">AVERAGE(E967:E1166)</x:f>
        <x:v>261.64684999999986</x:v>
      </x:c>
      <x:c r="H1166" s="37" t="n">
        <x:f t="shared" si="46">IFERROR(E1166/G1166-1,"")</x:f>
        <x:v>0.19409043143458504</x:v>
      </x:c>
      <x:c r="I1166" s="38" t="b">
        <x:f t="shared" si="47">E1166&lt;G1166</x:f>
        <x:v>0</x:v>
      </x:c>
    </x:row>
    <x:row r="1167">
      <x:c r="A1167" s="31">
        <x:v>38691</x:v>
      </x:c>
      <x:c r="B1167" s="32">
        <x:v>312.52999999999997</x:v>
      </x:c>
      <x:c r="C1167" s="32">
        <x:v>312.86</x:v>
      </x:c>
      <x:c r="D1167" s="32">
        <x:v>312.52999999999997</x:v>
      </x:c>
      <x:c r="E1167" s="32">
        <x:v>312.86</x:v>
      </x:c>
      <x:c r="F1167" s="33">
        <x:v>191340</x:v>
      </x:c>
      <x:c r="G1167" s="32" t="n">
        <x:f t="shared" si="45">AVERAGE(E968:E1167)</x:f>
        <x:v>262.04039999999986</x:v>
      </x:c>
      <x:c r="H1167" s="37" t="n">
        <x:f t="shared" si="46">IFERROR(E1167/G1167-1,"")</x:f>
        <x:v>0.19393803398254694</x:v>
      </x:c>
      <x:c r="I1167" s="38" t="b">
        <x:f t="shared" si="47">E1167&lt;G1167</x:f>
        <x:v>0</x:v>
      </x:c>
    </x:row>
    <x:row r="1168">
      <x:c r="A1168" s="31">
        <x:v>38692</x:v>
      </x:c>
      <x:c r="B1168" s="32">
        <x:v>312.43</x:v>
      </x:c>
      <x:c r="C1168" s="32">
        <x:v>312.43</x:v>
      </x:c>
      <x:c r="D1168" s="32">
        <x:v>312.29000000000002</x:v>
      </x:c>
      <x:c r="E1168" s="32">
        <x:v>312.29000000000002</x:v>
      </x:c>
      <x:c r="F1168" s="33">
        <x:v>191770</x:v>
      </x:c>
      <x:c r="G1168" s="32" t="n">
        <x:f t="shared" si="45">AVERAGE(E969:E1168)</x:f>
        <x:v>262.42994999999985</x:v>
      </x:c>
      <x:c r="H1168" s="37" t="n">
        <x:f t="shared" si="46">IFERROR(E1168/G1168-1,"")</x:f>
        <x:v>0.18999374880801612</x:v>
      </x:c>
      <x:c r="I1168" s="38" t="b">
        <x:f t="shared" si="47">E1168&lt;G1168</x:f>
        <x:v>0</x:v>
      </x:c>
    </x:row>
    <x:row r="1169">
      <x:c r="A1169" s="31">
        <x:v>38693</x:v>
      </x:c>
      <x:c r="B1169" s="32">
        <x:v>312.39999999999998</x:v>
      </x:c>
      <x:c r="C1169" s="32">
        <x:v>312.39999999999998</x:v>
      </x:c>
      <x:c r="D1169" s="32">
        <x:v>312.31</x:v>
      </x:c>
      <x:c r="E1169" s="32">
        <x:v>312.31</x:v>
      </x:c>
      <x:c r="F1169" s="33">
        <x:v>347200</x:v>
      </x:c>
      <x:c r="G1169" s="32" t="n">
        <x:f t="shared" si="45">AVERAGE(E970:E1169)</x:f>
        <x:v>262.81579999999985</x:v>
      </x:c>
      <x:c r="H1169" s="37" t="n">
        <x:f t="shared" si="46">IFERROR(E1169/G1169-1,"")</x:f>
        <x:v>0.18832277207078185</x:v>
      </x:c>
      <x:c r="I1169" s="38" t="b">
        <x:f t="shared" si="47">E1169&lt;G1169</x:f>
        <x:v>0</x:v>
      </x:c>
    </x:row>
    <x:row r="1170">
      <x:c r="A1170" s="31">
        <x:v>38694</x:v>
      </x:c>
      <x:c r="B1170" s="32">
        <x:v>312.83</x:v>
      </x:c>
      <x:c r="C1170" s="32">
        <x:v>313.08999999999997</x:v>
      </x:c>
      <x:c r="D1170" s="32">
        <x:v>312.83</x:v>
      </x:c>
      <x:c r="E1170" s="32">
        <x:v>313.08999999999997</x:v>
      </x:c>
      <x:c r="F1170" s="33">
        <x:v>264710</x:v>
      </x:c>
      <x:c r="G1170" s="32" t="n">
        <x:f t="shared" si="45">AVERAGE(E971:E1170)</x:f>
        <x:v>263.20574999999985</x:v>
      </x:c>
      <x:c r="H1170" s="37" t="n">
        <x:f t="shared" si="46">IFERROR(E1170/G1170-1,"")</x:f>
        <x:v>0.18952568475422793</x:v>
      </x:c>
      <x:c r="I1170" s="38" t="b">
        <x:f t="shared" si="47">E1170&lt;G1170</x:f>
        <x:v>0</x:v>
      </x:c>
    </x:row>
    <x:row r="1171">
      <x:c r="A1171" s="31">
        <x:v>38695</x:v>
      </x:c>
      <x:c r="B1171" s="32">
        <x:v>314.24</x:v>
      </x:c>
      <x:c r="C1171" s="32">
        <x:v>315.79000000000002</x:v>
      </x:c>
      <x:c r="D1171" s="32">
        <x:v>314.24</x:v>
      </x:c>
      <x:c r="E1171" s="32">
        <x:v>315.79000000000002</x:v>
      </x:c>
      <x:c r="F1171" s="33">
        <x:v>282000</x:v>
      </x:c>
      <x:c r="G1171" s="32" t="n">
        <x:f t="shared" si="45">AVERAGE(E972:E1171)</x:f>
        <x:v>263.6056499999998</x:v>
      </x:c>
      <x:c r="H1171" s="37" t="n">
        <x:f t="shared" si="46">IFERROR(E1171/G1171-1,"")</x:f>
        <x:v>0.1979637007021673</x:v>
      </x:c>
      <x:c r="I1171" s="38" t="b">
        <x:f t="shared" si="47">E1171&lt;G1171</x:f>
        <x:v>0</x:v>
      </x:c>
    </x:row>
    <x:row r="1172">
      <x:c r="A1172" s="31">
        <x:v>38698</x:v>
      </x:c>
      <x:c r="B1172" s="32">
        <x:v>317.75</x:v>
      </x:c>
      <x:c r="C1172" s="32">
        <x:v>317.75</x:v>
      </x:c>
      <x:c r="D1172" s="32">
        <x:v>316.88</x:v>
      </x:c>
      <x:c r="E1172" s="32">
        <x:v>316.88</x:v>
      </x:c>
      <x:c r="F1172" s="33">
        <x:v>262620</x:v>
      </x:c>
      <x:c r="G1172" s="32" t="n">
        <x:f t="shared" si="45">AVERAGE(E973:E1172)</x:f>
        <x:v>264.0079999999998</x:v>
      </x:c>
      <x:c r="H1172" s="37" t="n">
        <x:f t="shared" si="46">IFERROR(E1172/G1172-1,"")</x:f>
        <x:v>0.20026665858610437</x:v>
      </x:c>
      <x:c r="I1172" s="38" t="b">
        <x:f t="shared" si="47">E1172&lt;G1172</x:f>
        <x:v>0</x:v>
      </x:c>
    </x:row>
    <x:row r="1173">
      <x:c r="A1173" s="31">
        <x:v>38699</x:v>
      </x:c>
      <x:c r="B1173" s="32">
        <x:v>316.8</x:v>
      </x:c>
      <x:c r="C1173" s="32">
        <x:v>316.8</x:v>
      </x:c>
      <x:c r="D1173" s="32">
        <x:v>316.73</x:v>
      </x:c>
      <x:c r="E1173" s="32">
        <x:v>316.73</x:v>
      </x:c>
      <x:c r="F1173" s="33">
        <x:v>348160</x:v>
      </x:c>
      <x:c r="G1173" s="32" t="n">
        <x:f t="shared" si="45">AVERAGE(E974:E1173)</x:f>
        <x:v>264.4035499999998</x:v>
      </x:c>
      <x:c r="H1173" s="37" t="n">
        <x:f t="shared" si="46">IFERROR(E1173/G1173-1,"")</x:f>
        <x:v>0.19790373465106748</x:v>
      </x:c>
      <x:c r="I1173" s="38" t="b">
        <x:f t="shared" si="47">E1173&lt;G1173</x:f>
        <x:v>0</x:v>
      </x:c>
    </x:row>
    <x:row r="1174">
      <x:c r="A1174" s="31">
        <x:v>38700</x:v>
      </x:c>
      <x:c r="B1174" s="32">
        <x:v>316.55</x:v>
      </x:c>
      <x:c r="C1174" s="32">
        <x:v>316.55</x:v>
      </x:c>
      <x:c r="D1174" s="32">
        <x:v>314.94</x:v>
      </x:c>
      <x:c r="E1174" s="32">
        <x:v>314.94</x:v>
      </x:c>
      <x:c r="F1174" s="33">
        <x:v>367260</x:v>
      </x:c>
      <x:c r="G1174" s="32" t="n">
        <x:f t="shared" si="45">AVERAGE(E975:E1174)</x:f>
        <x:v>264.7893499999998</x:v>
      </x:c>
      <x:c r="H1174" s="37" t="n">
        <x:f t="shared" si="46">IFERROR(E1174/G1174-1,"")</x:f>
        <x:v>0.1893982896215436</x:v>
      </x:c>
      <x:c r="I1174" s="38" t="b">
        <x:f t="shared" si="47">E1174&lt;G1174</x:f>
        <x:v>0</x:v>
      </x:c>
    </x:row>
    <x:row r="1175">
      <x:c r="A1175" s="31">
        <x:v>38701</x:v>
      </x:c>
      <x:c r="B1175" s="32">
        <x:v>315.47000000000003</x:v>
      </x:c>
      <x:c r="C1175" s="32">
        <x:v>315.47000000000003</x:v>
      </x:c>
      <x:c r="D1175" s="32">
        <x:v>314.08</x:v>
      </x:c>
      <x:c r="E1175" s="32">
        <x:v>314.08</x:v>
      </x:c>
      <x:c r="F1175" s="33">
        <x:v>355200</x:v>
      </x:c>
      <x:c r="G1175" s="32" t="n">
        <x:f t="shared" si="45">AVERAGE(E976:E1175)</x:f>
        <x:v>265.1691999999998</x:v>
      </x:c>
      <x:c r="H1175" s="37" t="n">
        <x:f t="shared" si="46">IFERROR(E1175/G1175-1,"")</x:f>
        <x:v>0.1844512861976435</x:v>
      </x:c>
      <x:c r="I1175" s="38" t="b">
        <x:f t="shared" si="47">E1175&lt;G1175</x:f>
        <x:v>0</x:v>
      </x:c>
    </x:row>
    <x:row r="1176">
      <x:c r="A1176" s="31">
        <x:v>38702</x:v>
      </x:c>
      <x:c r="B1176" s="32">
        <x:v>314.57</x:v>
      </x:c>
      <x:c r="C1176" s="32">
        <x:v>314.57</x:v>
      </x:c>
      <x:c r="D1176" s="32">
        <x:v>314.49</x:v>
      </x:c>
      <x:c r="E1176" s="32">
        <x:v>314.49</x:v>
      </x:c>
      <x:c r="F1176" s="33">
        <x:v>268670</x:v>
      </x:c>
      <x:c r="G1176" s="32" t="n">
        <x:f t="shared" si="45">AVERAGE(E977:E1176)</x:f>
        <x:v>265.5538999999998</x:v>
      </x:c>
      <x:c r="H1176" s="37" t="n">
        <x:f t="shared" si="46">IFERROR(E1176/G1176-1,"")</x:f>
        <x:v>0.18427934969134396</x:v>
      </x:c>
      <x:c r="I1176" s="38" t="b">
        <x:f t="shared" si="47">E1176&lt;G1176</x:f>
        <x:v>0</x:v>
      </x:c>
    </x:row>
    <x:row r="1177">
      <x:c r="A1177" s="31">
        <x:v>38705</x:v>
      </x:c>
      <x:c r="B1177" s="32">
        <x:v>314.22000000000003</x:v>
      </x:c>
      <x:c r="C1177" s="32">
        <x:v>314.22000000000003</x:v>
      </x:c>
      <x:c r="D1177" s="32">
        <x:v>311.60000000000002</x:v>
      </x:c>
      <x:c r="E1177" s="32">
        <x:v>311.60000000000002</x:v>
      </x:c>
      <x:c r="F1177" s="33">
        <x:v>352350</x:v>
      </x:c>
      <x:c r="G1177" s="32" t="n">
        <x:f t="shared" si="45">AVERAGE(E978:E1177)</x:f>
        <x:v>265.92594999999983</x:v>
      </x:c>
      <x:c r="H1177" s="37" t="n">
        <x:f t="shared" si="46">IFERROR(E1177/G1177-1,"")</x:f>
        <x:v>0.1717547685737335</x:v>
      </x:c>
      <x:c r="I1177" s="38" t="b">
        <x:f t="shared" si="47">E1177&lt;G1177</x:f>
        <x:v>0</x:v>
      </x:c>
    </x:row>
    <x:row r="1178">
      <x:c r="A1178" s="31">
        <x:v>38706</x:v>
      </x:c>
      <x:c r="B1178" s="32">
        <x:v>313.66000000000003</x:v>
      </x:c>
      <x:c r="C1178" s="32">
        <x:v>314.22000000000003</x:v>
      </x:c>
      <x:c r="D1178" s="32">
        <x:v>313.66000000000003</x:v>
      </x:c>
      <x:c r="E1178" s="32">
        <x:v>311.83</x:v>
      </x:c>
      <x:c r="F1178" s="33">
        <x:v>348710</x:v>
      </x:c>
      <x:c r="G1178" s="32" t="n">
        <x:f t="shared" si="45">AVERAGE(E979:E1178)</x:f>
        <x:v>266.3010499999998</x:v>
      </x:c>
      <x:c r="H1178" s="37" t="n">
        <x:f t="shared" si="46">IFERROR(E1178/G1178-1,"")</x:f>
        <x:v>0.1709679702727429</x:v>
      </x:c>
      <x:c r="I1178" s="38" t="b">
        <x:f t="shared" si="47">E1178&lt;G1178</x:f>
        <x:v>0</x:v>
      </x:c>
    </x:row>
    <x:row r="1179">
      <x:c r="A1179" s="31">
        <x:v>38707</x:v>
      </x:c>
      <x:c r="B1179" s="32">
        <x:v>310.68</x:v>
      </x:c>
      <x:c r="C1179" s="32">
        <x:v>310.68</x:v>
      </x:c>
      <x:c r="D1179" s="32">
        <x:v>310.64</x:v>
      </x:c>
      <x:c r="E1179" s="32">
        <x:v>310.64</x:v>
      </x:c>
      <x:c r="F1179" s="33">
        <x:v>252980</x:v>
      </x:c>
      <x:c r="G1179" s="32" t="n">
        <x:f t="shared" si="45">AVERAGE(E980:E1179)</x:f>
        <x:v>266.6691999999998</x:v>
      </x:c>
      <x:c r="H1179" s="37" t="n">
        <x:f t="shared" si="46">IFERROR(E1179/G1179-1,"")</x:f>
        <x:v>0.164888933555132</x:v>
      </x:c>
      <x:c r="I1179" s="38" t="b">
        <x:f t="shared" si="47">E1179&lt;G1179</x:f>
        <x:v>0</x:v>
      </x:c>
    </x:row>
    <x:row r="1180">
      <x:c r="A1180" s="31">
        <x:v>38708</x:v>
      </x:c>
      <x:c r="B1180" s="32">
        <x:v>308.43</x:v>
      </x:c>
      <x:c r="C1180" s="32">
        <x:v>309.95999999999998</x:v>
      </x:c>
      <x:c r="D1180" s="32">
        <x:v>308.43</x:v>
      </x:c>
      <x:c r="E1180" s="32">
        <x:v>309.95999999999998</x:v>
      </x:c>
      <x:c r="F1180" s="33">
        <x:v>335590</x:v>
      </x:c>
      <x:c r="G1180" s="32" t="n">
        <x:f t="shared" si="45">AVERAGE(E981:E1180)</x:f>
        <x:v>267.03564999999986</x:v>
      </x:c>
      <x:c r="H1180" s="37" t="n">
        <x:f t="shared" si="46">IFERROR(E1180/G1180-1,"")</x:f>
        <x:v>0.16074389318430016</x:v>
      </x:c>
      <x:c r="I1180" s="38" t="b">
        <x:f t="shared" si="47">E1180&lt;G1180</x:f>
        <x:v>0</x:v>
      </x:c>
    </x:row>
    <x:row r="1181">
      <x:c r="A1181" s="31">
        <x:v>38709</x:v>
      </x:c>
      <x:c r="B1181" s="32">
        <x:v>309.67</x:v>
      </x:c>
      <x:c r="C1181" s="32">
        <x:v>309.67</x:v>
      </x:c>
      <x:c r="D1181" s="32">
        <x:v>309.14</x:v>
      </x:c>
      <x:c r="E1181" s="32">
        <x:v>309.14</x:v>
      </x:c>
      <x:c r="F1181" s="33">
        <x:v>209690</x:v>
      </x:c>
      <x:c r="G1181" s="32" t="n">
        <x:f t="shared" si="45">AVERAGE(E982:E1181)</x:f>
        <x:v>267.3915499999998</x:v>
      </x:c>
      <x:c r="H1181" s="37" t="n">
        <x:f t="shared" si="46">IFERROR(E1181/G1181-1,"")</x:f>
        <x:v>0.1561322711955564</x:v>
      </x:c>
      <x:c r="I1181" s="38" t="b">
        <x:f t="shared" si="47">E1181&lt;G1181</x:f>
        <x:v>0</x:v>
      </x:c>
    </x:row>
    <x:row r="1182">
      <x:c r="A1182" s="31">
        <x:v>38712</x:v>
      </x:c>
      <x:c r="B1182" s="32">
        <x:v>309.56</x:v>
      </x:c>
      <x:c r="C1182" s="32">
        <x:v>309.56</x:v>
      </x:c>
      <x:c r="D1182" s="32">
        <x:v>309.26</x:v>
      </x:c>
      <x:c r="E1182" s="32">
        <x:v>309.26</x:v>
      </x:c>
      <x:c r="F1182" s="33">
        <x:v>254980</x:v>
      </x:c>
      <x:c r="G1182" s="32" t="n">
        <x:f t="shared" si="45">AVERAGE(E983:E1182)</x:f>
        <x:v>267.7454999999998</x:v>
      </x:c>
      <x:c r="H1182" s="37" t="n">
        <x:f t="shared" si="46">IFERROR(E1182/G1182-1,"")</x:f>
        <x:v>0.15505209237877082</x:v>
      </x:c>
      <x:c r="I1182" s="38" t="b">
        <x:f t="shared" si="47">E1182&lt;G1182</x:f>
        <x:v>0</x:v>
      </x:c>
    </x:row>
    <x:row r="1183">
      <x:c r="A1183" s="31">
        <x:v>38713</x:v>
      </x:c>
      <x:c r="B1183" s="32">
        <x:v>309.7</x:v>
      </x:c>
      <x:c r="C1183" s="32">
        <x:v>309.7</x:v>
      </x:c>
      <x:c r="D1183" s="32">
        <x:v>308.42</x:v>
      </x:c>
      <x:c r="E1183" s="32">
        <x:v>308.42</x:v>
      </x:c>
      <x:c r="F1183" s="33">
        <x:v>285760</x:v>
      </x:c>
      <x:c r="G1183" s="32" t="n">
        <x:f t="shared" si="45">AVERAGE(E984:E1183)</x:f>
        <x:v>268.09824999999984</x:v>
      </x:c>
      <x:c r="H1183" s="37" t="n">
        <x:f t="shared" si="46">IFERROR(E1183/G1183-1,"")</x:f>
        <x:v>0.1503991540414762</x:v>
      </x:c>
      <x:c r="I1183" s="38" t="b">
        <x:f t="shared" si="47">E1183&lt;G1183</x:f>
        <x:v>0</x:v>
      </x:c>
    </x:row>
    <x:row r="1184">
      <x:c r="A1184" s="31">
        <x:v>38714</x:v>
      </x:c>
      <x:c r="B1184" s="32">
        <x:v>307.58999999999997</x:v>
      </x:c>
      <x:c r="C1184" s="32">
        <x:v>307.58999999999997</x:v>
      </x:c>
      <x:c r="D1184" s="32">
        <x:v>307.32</x:v>
      </x:c>
      <x:c r="E1184" s="32">
        <x:v>307.32</x:v>
      </x:c>
      <x:c r="F1184" s="33">
        <x:v>231260</x:v>
      </x:c>
      <x:c r="G1184" s="32" t="n">
        <x:f t="shared" si="45">AVERAGE(E985:E1184)</x:f>
        <x:v>268.4428999999999</x:v>
      </x:c>
      <x:c r="H1184" s="37" t="n">
        <x:f t="shared" si="46">IFERROR(E1184/G1184-1,"")</x:f>
        <x:v>0.14482446732619914</x:v>
      </x:c>
      <x:c r="I1184" s="38" t="b">
        <x:f t="shared" si="47">E1184&lt;G1184</x:f>
        <x:v>0</x:v>
      </x:c>
    </x:row>
    <x:row r="1185">
      <x:c r="A1185" s="31">
        <x:v>38715</x:v>
      </x:c>
      <x:c r="B1185" s="32">
        <x:v>306.60000000000002</x:v>
      </x:c>
      <x:c r="C1185" s="32">
        <x:v>308.8</x:v>
      </x:c>
      <x:c r="D1185" s="32">
        <x:v>306.60000000000002</x:v>
      </x:c>
      <x:c r="E1185" s="32">
        <x:v>308.8</x:v>
      </x:c>
      <x:c r="F1185" s="33">
        <x:v>288790</x:v>
      </x:c>
      <x:c r="G1185" s="32" t="n">
        <x:f t="shared" si="45">AVERAGE(E986:E1185)</x:f>
        <x:v>268.7775999999999</x:v>
      </x:c>
      <x:c r="H1185" s="37" t="n">
        <x:f t="shared" si="46">IFERROR(E1185/G1185-1,"")</x:f>
        <x:v>0.14890526591501718</x:v>
      </x:c>
      <x:c r="I1185" s="38" t="b">
        <x:f t="shared" si="47">E1185&lt;G1185</x:f>
        <x:v>0</x:v>
      </x:c>
    </x:row>
    <x:row r="1186">
      <x:c r="A1186" s="31">
        <x:v>38716</x:v>
      </x:c>
      <x:c r="B1186" s="32">
        <x:v>310.45999999999998</x:v>
      </x:c>
      <x:c r="C1186" s="32">
        <x:v>310.45999999999998</x:v>
      </x:c>
      <x:c r="D1186" s="32">
        <x:v>307.5</x:v>
      </x:c>
      <x:c r="E1186" s="32">
        <x:v>307.5</x:v>
      </x:c>
      <x:c r="F1186" s="33">
        <x:v>257890</x:v>
      </x:c>
      <x:c r="G1186" s="32" t="n">
        <x:f t="shared" si="45">AVERAGE(E987:E1186)</x:f>
        <x:v>269.1073999999999</x:v>
      </x:c>
      <x:c r="H1186" s="37" t="n">
        <x:f t="shared" si="46">IFERROR(E1186/G1186-1,"")</x:f>
        <x:v>0.142666459562242</x:v>
      </x:c>
      <x:c r="I1186" s="38" t="b">
        <x:f t="shared" si="47">E1186&lt;G1186</x:f>
        <x:v>0</x:v>
      </x:c>
    </x:row>
    <x:row r="1187">
      <x:c r="A1187" s="31">
        <x:v>38720</x:v>
      </x:c>
      <x:c r="B1187" s="32">
        <x:v>306.86</x:v>
      </x:c>
      <x:c r="C1187" s="32">
        <x:v>306.86</x:v>
      </x:c>
      <x:c r="D1187" s="32">
        <x:v>305.27999999999997</x:v>
      </x:c>
      <x:c r="E1187" s="32">
        <x:v>305.27999999999997</x:v>
      </x:c>
      <x:c r="F1187" s="33">
        <x:v>160870</x:v>
      </x:c>
      <x:c r="G1187" s="32" t="n">
        <x:f t="shared" si="45">AVERAGE(E988:E1187)</x:f>
        <x:v>269.4125999999999</x:v>
      </x:c>
      <x:c r="H1187" s="37" t="n">
        <x:f t="shared" si="46">IFERROR(E1187/G1187-1,"")</x:f>
        <x:v>0.13313185797546256</x:v>
      </x:c>
      <x:c r="I1187" s="38" t="b">
        <x:f t="shared" si="47">E1187&lt;G1187</x:f>
        <x:v>0</x:v>
      </x:c>
    </x:row>
    <x:row r="1188">
      <x:c r="A1188" s="31">
        <x:v>38721</x:v>
      </x:c>
      <x:c r="B1188" s="32">
        <x:v>305.3</x:v>
      </x:c>
      <x:c r="C1188" s="32">
        <x:v>305.3</x:v>
      </x:c>
      <x:c r="D1188" s="32">
        <x:v>305.08999999999997</x:v>
      </x:c>
      <x:c r="E1188" s="32">
        <x:v>305.08999999999997</x:v>
      </x:c>
      <x:c r="F1188" s="33">
        <x:v>182430</x:v>
      </x:c>
      <x:c r="G1188" s="32" t="n">
        <x:f t="shared" si="45">AVERAGE(E989:E1188)</x:f>
        <x:v>269.6848499999999</x:v>
      </x:c>
      <x:c r="H1188" s="37" t="n">
        <x:f t="shared" si="46">IFERROR(E1188/G1188-1,"")</x:f>
        <x:v>0.1312834221128849</x:v>
      </x:c>
      <x:c r="I1188" s="38" t="b">
        <x:f t="shared" si="47">E1188&lt;G1188</x:f>
        <x:v>0</x:v>
      </x:c>
    </x:row>
    <x:row r="1189">
      <x:c r="A1189" s="31">
        <x:v>38722</x:v>
      </x:c>
      <x:c r="B1189" s="32">
        <x:v>305.58999999999997</x:v>
      </x:c>
      <x:c r="C1189" s="32">
        <x:v>306.70999999999998</x:v>
      </x:c>
      <x:c r="D1189" s="32">
        <x:v>305.58999999999997</x:v>
      </x:c>
      <x:c r="E1189" s="32">
        <x:v>306.70999999999998</x:v>
      </x:c>
      <x:c r="F1189" s="33">
        <x:v>207520</x:v>
      </x:c>
      <x:c r="G1189" s="32" t="n">
        <x:f t="shared" si="45">AVERAGE(E990:E1189)</x:f>
        <x:v>269.9762499999999</x:v>
      </x:c>
      <x:c r="H1189" s="37" t="n">
        <x:f t="shared" si="46">IFERROR(E1189/G1189-1,"")</x:f>
        <x:v>0.13606289442126895</x:v>
      </x:c>
      <x:c r="I1189" s="38" t="b">
        <x:f t="shared" si="47">E1189&lt;G1189</x:f>
        <x:v>0</x:v>
      </x:c>
    </x:row>
    <x:row r="1190">
      <x:c r="A1190" s="31">
        <x:v>38723</x:v>
      </x:c>
      <x:c r="B1190" s="32">
        <x:v>307.47000000000003</x:v>
      </x:c>
      <x:c r="C1190" s="32">
        <x:v>307.5</x:v>
      </x:c>
      <x:c r="D1190" s="32">
        <x:v>307.47000000000003</x:v>
      </x:c>
      <x:c r="E1190" s="32">
        <x:v>307.5</x:v>
      </x:c>
      <x:c r="F1190" s="33">
        <x:v>200120</x:v>
      </x:c>
      <x:c r="G1190" s="32" t="n">
        <x:f t="shared" si="45">AVERAGE(E991:E1190)</x:f>
        <x:v>270.2895499999999</x:v>
      </x:c>
      <x:c r="H1190" s="37" t="n">
        <x:f t="shared" si="46">IFERROR(E1190/G1190-1,"")</x:f>
        <x:v>0.13766884439298566</x:v>
      </x:c>
      <x:c r="I1190" s="38" t="b">
        <x:f t="shared" si="47">E1190&lt;G1190</x:f>
        <x:v>0</x:v>
      </x:c>
    </x:row>
    <x:row r="1191">
      <x:c r="A1191" s="31">
        <x:v>38726</x:v>
      </x:c>
      <x:c r="B1191" s="32">
        <x:v>307.76</x:v>
      </x:c>
      <x:c r="C1191" s="32">
        <x:v>307.76</x:v>
      </x:c>
      <x:c r="D1191" s="32">
        <x:v>306.31</x:v>
      </x:c>
      <x:c r="E1191" s="32">
        <x:v>306.31</x:v>
      </x:c>
      <x:c r="F1191" s="33">
        <x:v>146170</x:v>
      </x:c>
      <x:c r="G1191" s="32" t="n">
        <x:f t="shared" si="45">AVERAGE(E992:E1191)</x:f>
        <x:v>270.5999999999999</x:v>
      </x:c>
      <x:c r="H1191" s="37" t="n">
        <x:f t="shared" si="46">IFERROR(E1191/G1191-1,"")</x:f>
        <x:v>0.13196600147819693</x:v>
      </x:c>
      <x:c r="I1191" s="38" t="b">
        <x:f t="shared" si="47">E1191&lt;G1191</x:f>
        <x:v>0</x:v>
      </x:c>
    </x:row>
    <x:row r="1192">
      <x:c r="A1192" s="31">
        <x:v>38727</x:v>
      </x:c>
      <x:c r="B1192" s="32">
        <x:v>306.75</x:v>
      </x:c>
      <x:c r="C1192" s="32">
        <x:v>306.75</x:v>
      </x:c>
      <x:c r="D1192" s="32">
        <x:v>306.35000000000002</x:v>
      </x:c>
      <x:c r="E1192" s="32">
        <x:v>306.35000000000002</x:v>
      </x:c>
      <x:c r="F1192" s="33">
        <x:v>224550</x:v>
      </x:c>
      <x:c r="G1192" s="32" t="n">
        <x:f t="shared" si="45">AVERAGE(E993:E1192)</x:f>
        <x:v>270.9058999999999</x:v>
      </x:c>
      <x:c r="H1192" s="37" t="n">
        <x:f t="shared" si="46">IFERROR(E1192/G1192-1,"")</x:f>
        <x:v>0.13083546722312112</x:v>
      </x:c>
      <x:c r="I1192" s="38" t="b">
        <x:f t="shared" si="47">E1192&lt;G1192</x:f>
        <x:v>0</x:v>
      </x:c>
    </x:row>
    <x:row r="1193">
      <x:c r="A1193" s="31">
        <x:v>38728</x:v>
      </x:c>
      <x:c r="B1193" s="32">
        <x:v>305.82</x:v>
      </x:c>
      <x:c r="C1193" s="32">
        <x:v>305.82</x:v>
      </x:c>
      <x:c r="D1193" s="32">
        <x:v>304.95999999999998</x:v>
      </x:c>
      <x:c r="E1193" s="32">
        <x:v>304.95999999999998</x:v>
      </x:c>
      <x:c r="F1193" s="33">
        <x:v>234270</x:v>
      </x:c>
      <x:c r="G1193" s="32" t="n">
        <x:f t="shared" si="45">AVERAGE(E994:E1193)</x:f>
        <x:v>271.19814999999994</x:v>
      </x:c>
      <x:c r="H1193" s="37" t="n">
        <x:f t="shared" si="46">IFERROR(E1193/G1193-1,"")</x:f>
        <x:v>0.1244914465677589</x:v>
      </x:c>
      <x:c r="I1193" s="38" t="b">
        <x:f t="shared" si="47">E1193&lt;G1193</x:f>
        <x:v>0</x:v>
      </x:c>
    </x:row>
    <x:row r="1194">
      <x:c r="A1194" s="31">
        <x:v>38729</x:v>
      </x:c>
      <x:c r="B1194" s="32">
        <x:v>304.3</x:v>
      </x:c>
      <x:c r="C1194" s="32">
        <x:v>304.3</x:v>
      </x:c>
      <x:c r="D1194" s="32">
        <x:v>304.23</x:v>
      </x:c>
      <x:c r="E1194" s="32">
        <x:v>304.23</x:v>
      </x:c>
      <x:c r="F1194" s="33">
        <x:v>209390</x:v>
      </x:c>
      <x:c r="G1194" s="32" t="n">
        <x:f t="shared" si="45">AVERAGE(E995:E1194)</x:f>
        <x:v>271.49154999999996</x:v>
      </x:c>
      <x:c r="H1194" s="37" t="n">
        <x:f t="shared" si="46">IFERROR(E1194/G1194-1,"")</x:f>
        <x:v>0.12058736266377368</x:v>
      </x:c>
      <x:c r="I1194" s="38" t="b">
        <x:f t="shared" si="47">E1194&lt;G1194</x:f>
        <x:v>0</x:v>
      </x:c>
    </x:row>
    <x:row r="1195">
      <x:c r="A1195" s="31">
        <x:v>38730</x:v>
      </x:c>
      <x:c r="B1195" s="32">
        <x:v>305.82</x:v>
      </x:c>
      <x:c r="C1195" s="32">
        <x:v>306.83</x:v>
      </x:c>
      <x:c r="D1195" s="32">
        <x:v>305.82</x:v>
      </x:c>
      <x:c r="E1195" s="32">
        <x:v>306.83</x:v>
      </x:c>
      <x:c r="F1195" s="33">
        <x:v>251730</x:v>
      </x:c>
      <x:c r="G1195" s="32" t="n">
        <x:f t="shared" si="45">AVERAGE(E996:E1195)</x:f>
        <x:v>271.79729999999995</x:v>
      </x:c>
      <x:c r="H1195" s="37" t="n">
        <x:f t="shared" si="46">IFERROR(E1195/G1195-1,"")</x:f>
        <x:v>0.12889274470349799</x:v>
      </x:c>
      <x:c r="I1195" s="38" t="b">
        <x:f t="shared" si="47">E1195&lt;G1195</x:f>
        <x:v>0</x:v>
      </x:c>
    </x:row>
    <x:row r="1196">
      <x:c r="A1196" s="31">
        <x:v>38734</x:v>
      </x:c>
      <x:c r="B1196" s="32">
        <x:v>307.79000000000002</x:v>
      </x:c>
      <x:c r="C1196" s="32">
        <x:v>308.94</x:v>
      </x:c>
      <x:c r="D1196" s="32">
        <x:v>307.79000000000002</x:v>
      </x:c>
      <x:c r="E1196" s="32">
        <x:v>308.94</x:v>
      </x:c>
      <x:c r="F1196" s="33">
        <x:v>263790</x:v>
      </x:c>
      <x:c r="G1196" s="32" t="n">
        <x:f t="shared" si="45">AVERAGE(E997:E1196)</x:f>
        <x:v>272.1141999999999</x:v>
      </x:c>
      <x:c r="H1196" s="37" t="n">
        <x:f t="shared" si="46">IFERROR(E1196/G1196-1,"")</x:f>
        <x:v>0.1353321509866081</x:v>
      </x:c>
      <x:c r="I1196" s="38" t="b">
        <x:f t="shared" si="47">E1196&lt;G1196</x:f>
        <x:v>0</x:v>
      </x:c>
    </x:row>
    <x:row r="1197">
      <x:c r="A1197" s="31">
        <x:v>38735</x:v>
      </x:c>
      <x:c r="B1197" s="32">
        <x:v>309.89999999999998</x:v>
      </x:c>
      <x:c r="C1197" s="32">
        <x:v>310.38</x:v>
      </x:c>
      <x:c r="D1197" s="32">
        <x:v>309.89999999999998</x:v>
      </x:c>
      <x:c r="E1197" s="32">
        <x:v>310.38</x:v>
      </x:c>
      <x:c r="F1197" s="33">
        <x:v>289790</x:v>
      </x:c>
      <x:c r="G1197" s="32" t="n">
        <x:f t="shared" si="45">AVERAGE(E998:E1197)</x:f>
        <x:v>272.4412</x:v>
      </x:c>
      <x:c r="H1197" s="37" t="n">
        <x:f t="shared" si="46">IFERROR(E1197/G1197-1,"")</x:f>
        <x:v>0.1392550025473387</x:v>
      </x:c>
      <x:c r="I1197" s="38" t="b">
        <x:f t="shared" si="47">E1197&lt;G1197</x:f>
        <x:v>0</x:v>
      </x:c>
    </x:row>
    <x:row r="1198">
      <x:c r="A1198" s="31">
        <x:v>38736</x:v>
      </x:c>
      <x:c r="B1198" s="32">
        <x:v>310.64</x:v>
      </x:c>
      <x:c r="C1198" s="32">
        <x:v>310.64</x:v>
      </x:c>
      <x:c r="D1198" s="32">
        <x:v>310.52</x:v>
      </x:c>
      <x:c r="E1198" s="32">
        <x:v>310.52</x:v>
      </x:c>
      <x:c r="F1198" s="33">
        <x:v>427850</x:v>
      </x:c>
      <x:c r="G1198" s="32" t="n">
        <x:f t="shared" si="45">AVERAGE(E999:E1198)</x:f>
        <x:v>272.7677499999999</x:v>
      </x:c>
      <x:c r="H1198" s="37" t="n">
        <x:f t="shared" si="46">IFERROR(E1198/G1198-1,"")</x:f>
        <x:v>0.13840437515065496</x:v>
      </x:c>
      <x:c r="I1198" s="38" t="b">
        <x:f t="shared" si="47">E1198&lt;G1198</x:f>
        <x:v>0</x:v>
      </x:c>
    </x:row>
    <x:row r="1199">
      <x:c r="A1199" s="31">
        <x:v>38737</x:v>
      </x:c>
      <x:c r="B1199" s="32">
        <x:v>316.64</x:v>
      </x:c>
      <x:c r="C1199" s="32">
        <x:v>316.64</x:v>
      </x:c>
      <x:c r="D1199" s="32">
        <x:v>313.38</x:v>
      </x:c>
      <x:c r="E1199" s="32">
        <x:v>313.38</x:v>
      </x:c>
      <x:c r="F1199" s="33">
        <x:v>427420</x:v>
      </x:c>
      <x:c r="G1199" s="32" t="n">
        <x:f t="shared" si="45">AVERAGE(E1000:E1199)</x:f>
        <x:v>273.10524999999996</x:v>
      </x:c>
      <x:c r="H1199" s="37" t="n">
        <x:f t="shared" si="46">IFERROR(E1199/G1199-1,"")</x:f>
        <x:v>0.14746970261465142</x:v>
      </x:c>
      <x:c r="I1199" s="38" t="b">
        <x:f t="shared" si="47">E1199&lt;G1199</x:f>
        <x:v>0</x:v>
      </x:c>
    </x:row>
    <x:row r="1200">
      <x:c r="A1200" s="31">
        <x:v>38740</x:v>
      </x:c>
      <x:c r="B1200" s="32">
        <x:v>313.49</x:v>
      </x:c>
      <x:c r="C1200" s="32">
        <x:v>313.49</x:v>
      </x:c>
      <x:c r="D1200" s="32">
        <x:v>308.31</x:v>
      </x:c>
      <x:c r="E1200" s="32">
        <x:v>308.31</x:v>
      </x:c>
      <x:c r="F1200" s="33">
        <x:v>353520</x:v>
      </x:c>
      <x:c r="G1200" s="32" t="n">
        <x:f t="shared" si="45">AVERAGE(E1001:E1200)</x:f>
        <x:v>273.41614999999996</x:v>
      </x:c>
      <x:c r="H1200" s="37" t="n">
        <x:f t="shared" si="46">IFERROR(E1200/G1200-1,"")</x:f>
        <x:v>0.1276217589926567</x:v>
      </x:c>
      <x:c r="I1200" s="38" t="b">
        <x:f t="shared" si="47">E1200&lt;G1200</x:f>
        <x:v>0</x:v>
      </x:c>
    </x:row>
    <x:row r="1201">
      <x:c r="A1201" s="31">
        <x:v>38741</x:v>
      </x:c>
      <x:c r="B1201" s="32">
        <x:v>308.20999999999998</x:v>
      </x:c>
      <x:c r="C1201" s="32">
        <x:v>308.20999999999998</x:v>
      </x:c>
      <x:c r="D1201" s="32">
        <x:v>306.83999999999997</x:v>
      </x:c>
      <x:c r="E1201" s="32">
        <x:v>306.83999999999997</x:v>
      </x:c>
      <x:c r="F1201" s="33">
        <x:v>315110</x:v>
      </x:c>
      <x:c r="G1201" s="32" t="n">
        <x:f t="shared" si="45">AVERAGE(E1002:E1201)</x:f>
        <x:v>273.70994999999994</x:v>
      </x:c>
      <x:c r="H1201" s="37" t="n">
        <x:f t="shared" si="46">IFERROR(E1201/G1201-1,"")</x:f>
        <x:v>0.12104072212208594</x:v>
      </x:c>
      <x:c r="I1201" s="38" t="b">
        <x:f t="shared" si="47">E1201&lt;G1201</x:f>
        <x:v>0</x:v>
      </x:c>
    </x:row>
    <x:row r="1202">
      <x:c r="A1202" s="31">
        <x:v>38742</x:v>
      </x:c>
      <x:c r="B1202" s="32">
        <x:v>307.06</x:v>
      </x:c>
      <x:c r="C1202" s="32">
        <x:v>310.86</x:v>
      </x:c>
      <x:c r="D1202" s="32">
        <x:v>307.06</x:v>
      </x:c>
      <x:c r="E1202" s="32">
        <x:v>310.86</x:v>
      </x:c>
      <x:c r="F1202" s="33">
        <x:v>305740</x:v>
      </x:c>
      <x:c r="G1202" s="32" t="n">
        <x:f t="shared" si="45">AVERAGE(E1003:E1202)</x:f>
        <x:v>274.03299999999996</x:v>
      </x:c>
      <x:c r="H1202" s="37" t="n">
        <x:f t="shared" si="46">IFERROR(E1202/G1202-1,"")</x:f>
        <x:v>0.13438892396171287</x:v>
      </x:c>
      <x:c r="I1202" s="38" t="b">
        <x:f t="shared" si="47">E1202&lt;G1202</x:f>
        <x:v>0</x:v>
      </x:c>
    </x:row>
    <x:row r="1203">
      <x:c r="A1203" s="31">
        <x:v>38743</x:v>
      </x:c>
      <x:c r="B1203" s="32">
        <x:v>312.92</x:v>
      </x:c>
      <x:c r="C1203" s="32">
        <x:v>313.3</x:v>
      </x:c>
      <x:c r="D1203" s="32">
        <x:v>312.92</x:v>
      </x:c>
      <x:c r="E1203" s="32">
        <x:v>313.3</x:v>
      </x:c>
      <x:c r="F1203" s="33">
        <x:v>338540</x:v>
      </x:c>
      <x:c r="G1203" s="32" t="n">
        <x:f t="shared" si="45">AVERAGE(E1004:E1203)</x:f>
        <x:v>274.36975</x:v>
      </x:c>
      <x:c r="H1203" s="37" t="n">
        <x:f t="shared" si="46">IFERROR(E1203/G1203-1,"")</x:f>
        <x:v>0.1418897309196805</x:v>
      </x:c>
      <x:c r="I1203" s="38" t="b">
        <x:f t="shared" si="47">E1203&lt;G1203</x:f>
        <x:v>0</x:v>
      </x:c>
    </x:row>
    <x:row r="1204">
      <x:c r="A1204" s="31">
        <x:v>38744</x:v>
      </x:c>
      <x:c r="B1204" s="32">
        <x:v>312.29000000000002</x:v>
      </x:c>
      <x:c r="C1204" s="32">
        <x:v>312.32</x:v>
      </x:c>
      <x:c r="D1204" s="32">
        <x:v>312.29000000000002</x:v>
      </x:c>
      <x:c r="E1204" s="32">
        <x:v>312.32</x:v>
      </x:c>
      <x:c r="F1204" s="33">
        <x:v>297900</x:v>
      </x:c>
      <x:c r="G1204" s="32" t="n">
        <x:f t="shared" si="45">AVERAGE(E1005:E1204)</x:f>
        <x:v>274.69719999999995</x:v>
      </x:c>
      <x:c r="H1204" s="37" t="n">
        <x:f t="shared" si="46">IFERROR(E1204/G1204-1,"")</x:f>
        <x:v>0.1369609883173184</x:v>
      </x:c>
      <x:c r="I1204" s="38" t="b">
        <x:f t="shared" si="47">E1204&lt;G1204</x:f>
        <x:v>0</x:v>
      </x:c>
    </x:row>
    <x:row r="1205">
      <x:c r="A1205" s="31">
        <x:v>38754</x:v>
      </x:c>
      <x:c r="B1205" s="32">
        <x:v>314.02999999999997</x:v>
      </x:c>
      <x:c r="C1205" s="32">
        <x:v>314.02999999999997</x:v>
      </x:c>
      <x:c r="D1205" s="32">
        <x:v>313.14</x:v>
      </x:c>
      <x:c r="E1205" s="32">
        <x:v>313.14</x:v>
      </x:c>
      <x:c r="F1205" s="33">
        <x:v>274790</x:v>
      </x:c>
      <x:c r="G1205" s="32" t="n">
        <x:f t="shared" si="45">AVERAGE(E1006:E1205)</x:f>
        <x:v>275.0357</x:v>
      </x:c>
      <x:c r="H1205" s="37" t="n">
        <x:f t="shared" si="46">IFERROR(E1205/G1205-1,"")</x:f>
        <x:v>0.1385431054950319</x:v>
      </x:c>
      <x:c r="I1205" s="38" t="b">
        <x:f t="shared" si="47">E1205&lt;G1205</x:f>
        <x:v>0</x:v>
      </x:c>
    </x:row>
    <x:row r="1206">
      <x:c r="A1206" s="31">
        <x:v>38755</x:v>
      </x:c>
      <x:c r="B1206" s="32">
        <x:v>317.43</x:v>
      </x:c>
      <x:c r="C1206" s="32">
        <x:v>318.95</x:v>
      </x:c>
      <x:c r="D1206" s="32">
        <x:v>317.43</x:v>
      </x:c>
      <x:c r="E1206" s="32">
        <x:v>318.95</x:v>
      </x:c>
      <x:c r="F1206" s="33">
        <x:v>505260</x:v>
      </x:c>
      <x:c r="G1206" s="32" t="n">
        <x:f t="shared" si="45">AVERAGE(E1007:E1206)</x:f>
        <x:v>275.4061</x:v>
      </x:c>
      <x:c r="H1206" s="37" t="n">
        <x:f t="shared" si="46">IFERROR(E1206/G1206-1,"")</x:f>
        <x:v>0.15810797219088468</x:v>
      </x:c>
      <x:c r="I1206" s="38" t="b">
        <x:f t="shared" si="47">E1206&lt;G1206</x:f>
        <x:v>0</x:v>
      </x:c>
    </x:row>
    <x:row r="1207">
      <x:c r="A1207" s="31">
        <x:v>38756</x:v>
      </x:c>
      <x:c r="B1207" s="32">
        <x:v>324.27999999999997</x:v>
      </x:c>
      <x:c r="C1207" s="32">
        <x:v>325</x:v>
      </x:c>
      <x:c r="D1207" s="32">
        <x:v>324.27999999999997</x:v>
      </x:c>
      <x:c r="E1207" s="32">
        <x:v>325</x:v>
      </x:c>
      <x:c r="F1207" s="33">
        <x:v>799240</x:v>
      </x:c>
      <x:c r="G1207" s="32" t="n">
        <x:f t="shared" si="45">AVERAGE(E1008:E1207)</x:f>
        <x:v>275.79724999999996</x:v>
      </x:c>
      <x:c r="H1207" s="37" t="n">
        <x:f t="shared" si="46">IFERROR(E1207/G1207-1,"")</x:f>
        <x:v>0.1784018876185316</x:v>
      </x:c>
      <x:c r="I1207" s="38" t="b">
        <x:f t="shared" si="47">E1207&lt;G1207</x:f>
        <x:v>0</x:v>
      </x:c>
    </x:row>
    <x:row r="1208">
      <x:c r="A1208" s="31">
        <x:v>38757</x:v>
      </x:c>
      <x:c r="B1208" s="32">
        <x:v>325.3</x:v>
      </x:c>
      <x:c r="C1208" s="32">
        <x:v>325.54000000000002</x:v>
      </x:c>
      <x:c r="D1208" s="32">
        <x:v>325.3</x:v>
      </x:c>
      <x:c r="E1208" s="32">
        <x:v>325.54000000000002</x:v>
      </x:c>
      <x:c r="F1208" s="33">
        <x:v>847730</x:v>
      </x:c>
      <x:c r="G1208" s="32" t="n">
        <x:f t="shared" si="45">AVERAGE(E1009:E1208)</x:f>
        <x:v>276.19704999999993</x:v>
      </x:c>
      <x:c r="H1208" s="37" t="n">
        <x:f t="shared" si="46">IFERROR(E1208/G1208-1,"")</x:f>
        <x:v>0.17865125641276802</x:v>
      </x:c>
      <x:c r="I1208" s="38" t="b">
        <x:f t="shared" si="47">E1208&lt;G1208</x:f>
        <x:v>0</x:v>
      </x:c>
    </x:row>
    <x:row r="1209">
      <x:c r="A1209" s="31">
        <x:v>38758</x:v>
      </x:c>
      <x:c r="B1209" s="32">
        <x:v>322.57</x:v>
      </x:c>
      <x:c r="C1209" s="32">
        <x:v>325.17</x:v>
      </x:c>
      <x:c r="D1209" s="32">
        <x:v>322.57</x:v>
      </x:c>
      <x:c r="E1209" s="32">
        <x:v>325.17</x:v>
      </x:c>
      <x:c r="F1209" s="33">
        <x:v>503520</x:v>
      </x:c>
      <x:c r="G1209" s="32" t="n">
        <x:f t="shared" si="45">AVERAGE(E1010:E1209)</x:f>
        <x:v>276.59475</x:v>
      </x:c>
      <x:c r="H1209" s="37" t="n">
        <x:f t="shared" si="46">IFERROR(E1209/G1209-1,"")</x:f>
        <x:v>0.17561884309083964</x:v>
      </x:c>
      <x:c r="I1209" s="38" t="b">
        <x:f t="shared" si="47">E1209&lt;G1209</x:f>
        <x:v>0</x:v>
      </x:c>
    </x:row>
    <x:row r="1210">
      <x:c r="A1210" s="31">
        <x:v>38761</x:v>
      </x:c>
      <x:c r="B1210" s="32">
        <x:v>324.69</x:v>
      </x:c>
      <x:c r="C1210" s="32">
        <x:v>324.69</x:v>
      </x:c>
      <x:c r="D1210" s="32">
        <x:v>324.45999999999998</x:v>
      </x:c>
      <x:c r="E1210" s="32">
        <x:v>324.45999999999998</x:v>
      </x:c>
      <x:c r="F1210" s="33">
        <x:v>615520</x:v>
      </x:c>
      <x:c r="G1210" s="32" t="n">
        <x:f t="shared" si="45">AVERAGE(E1011:E1210)</x:f>
        <x:v>276.98859999999996</x:v>
      </x:c>
      <x:c r="H1210" s="37" t="n">
        <x:f t="shared" si="46">IFERROR(E1210/G1210-1,"")</x:f>
        <x:v>0.1713839486534825</x:v>
      </x:c>
      <x:c r="I1210" s="38" t="b">
        <x:f t="shared" si="47">E1210&lt;G1210</x:f>
        <x:v>0</x:v>
      </x:c>
    </x:row>
    <x:row r="1211">
      <x:c r="A1211" s="31">
        <x:v>38762</x:v>
      </x:c>
      <x:c r="B1211" s="32">
        <x:v>324.61</x:v>
      </x:c>
      <x:c r="C1211" s="32">
        <x:v>325.58999999999997</x:v>
      </x:c>
      <x:c r="D1211" s="32">
        <x:v>324.61</x:v>
      </x:c>
      <x:c r="E1211" s="32">
        <x:v>325.58999999999997</x:v>
      </x:c>
      <x:c r="F1211" s="33">
        <x:v>682690</x:v>
      </x:c>
      <x:c r="G1211" s="32" t="n">
        <x:f t="shared" si="45">AVERAGE(E1012:E1211)</x:f>
        <x:v>277.38329999999996</x:v>
      </x:c>
      <x:c r="H1211" s="37" t="n">
        <x:f t="shared" si="46">IFERROR(E1211/G1211-1,"")</x:f>
        <x:v>0.17379092396694396</x:v>
      </x:c>
      <x:c r="I1211" s="38" t="b">
        <x:f t="shared" si="47">E1211&lt;G1211</x:f>
        <x:v>0</x:v>
      </x:c>
    </x:row>
    <x:row r="1212">
      <x:c r="A1212" s="31">
        <x:v>38763</x:v>
      </x:c>
      <x:c r="B1212" s="32">
        <x:v>327.10000000000002</x:v>
      </x:c>
      <x:c r="C1212" s="32">
        <x:v>327.67</x:v>
      </x:c>
      <x:c r="D1212" s="32">
        <x:v>327.10000000000002</x:v>
      </x:c>
      <x:c r="E1212" s="32">
        <x:v>327.67</x:v>
      </x:c>
      <x:c r="F1212" s="33">
        <x:v>812710</x:v>
      </x:c>
      <x:c r="G1212" s="32" t="n">
        <x:f t="shared" si="45">AVERAGE(E1013:E1212)</x:f>
        <x:v>277.7894999999999</x:v>
      </x:c>
      <x:c r="H1212" s="37" t="n">
        <x:f t="shared" si="46">IFERROR(E1212/G1212-1,"")</x:f>
        <x:v>0.17956222247421194</x:v>
      </x:c>
      <x:c r="I1212" s="38" t="b">
        <x:f t="shared" si="47">E1212&lt;G1212</x:f>
        <x:v>0</x:v>
      </x:c>
    </x:row>
    <x:row r="1213">
      <x:c r="A1213" s="31">
        <x:v>38764</x:v>
      </x:c>
      <x:c r="B1213" s="32">
        <x:v>330.8</x:v>
      </x:c>
      <x:c r="C1213" s="32">
        <x:v>331.06</x:v>
      </x:c>
      <x:c r="D1213" s="32">
        <x:v>330.8</x:v>
      </x:c>
      <x:c r="E1213" s="32">
        <x:v>331.06</x:v>
      </x:c>
      <x:c r="F1213" s="33">
        <x:v>996310</x:v>
      </x:c>
      <x:c r="G1213" s="32" t="n">
        <x:f t="shared" si="45">AVERAGE(E1014:E1213)</x:f>
        <x:v>278.21644999999995</x:v>
      </x:c>
      <x:c r="H1213" s="37" t="n">
        <x:f t="shared" si="46">IFERROR(E1213/G1213-1,"")</x:f>
        <x:v>0.1899368279625453</x:v>
      </x:c>
      <x:c r="I1213" s="38" t="b">
        <x:f t="shared" si="47">E1213&lt;G1213</x:f>
        <x:v>0</x:v>
      </x:c>
    </x:row>
    <x:row r="1214">
      <x:c r="A1214" s="31">
        <x:v>38765</x:v>
      </x:c>
      <x:c r="B1214" s="32">
        <x:v>335.27</x:v>
      </x:c>
      <x:c r="C1214" s="32">
        <x:v>339.83</x:v>
      </x:c>
      <x:c r="D1214" s="32">
        <x:v>335.27</x:v>
      </x:c>
      <x:c r="E1214" s="32">
        <x:v>339.83</x:v>
      </x:c>
      <x:c r="F1214" s="33">
        <x:v>1154130</x:v>
      </x:c>
      <x:c r="G1214" s="32" t="n">
        <x:f t="shared" si="45">AVERAGE(E1015:E1214)</x:f>
        <x:v>278.68434999999994</x:v>
      </x:c>
      <x:c r="H1214" s="37" t="n">
        <x:f t="shared" si="46">IFERROR(E1214/G1214-1,"")</x:f>
        <x:v>0.21940826601852614</x:v>
      </x:c>
      <x:c r="I1214" s="38" t="b">
        <x:f t="shared" si="47">E1214&lt;G1214</x:f>
        <x:v>0</x:v>
      </x:c>
    </x:row>
    <x:row r="1215">
      <x:c r="A1215" s="31">
        <x:v>38768</x:v>
      </x:c>
      <x:c r="B1215" s="32">
        <x:v>351.45</x:v>
      </x:c>
      <x:c r="C1215" s="32">
        <x:v>353.96</x:v>
      </x:c>
      <x:c r="D1215" s="32">
        <x:v>351.45</x:v>
      </x:c>
      <x:c r="E1215" s="32">
        <x:v>353.96</x:v>
      </x:c>
      <x:c r="F1215" s="33">
        <x:v>1120940</x:v>
      </x:c>
      <x:c r="G1215" s="32" t="n">
        <x:f t="shared" si="45">AVERAGE(E1016:E1215)</x:f>
        <x:v>279.2339999999999</x:v>
      </x:c>
      <x:c r="H1215" s="37" t="n">
        <x:f t="shared" si="46">IFERROR(E1215/G1215-1,"")</x:f>
        <x:v>0.2676106777827918</x:v>
      </x:c>
      <x:c r="I1215" s="38" t="b">
        <x:f t="shared" si="47">E1215&lt;G1215</x:f>
        <x:v>0</x:v>
      </x:c>
    </x:row>
    <x:row r="1216">
      <x:c r="A1216" s="31">
        <x:v>38769</x:v>
      </x:c>
      <x:c r="B1216" s="32">
        <x:v>366.72</x:v>
      </x:c>
      <x:c r="C1216" s="32">
        <x:v>366.72</x:v>
      </x:c>
      <x:c r="D1216" s="32">
        <x:v>366.46</x:v>
      </x:c>
      <x:c r="E1216" s="32">
        <x:v>366.46</x:v>
      </x:c>
      <x:c r="F1216" s="33">
        <x:v>1464920</x:v>
      </x:c>
      <x:c r="G1216" s="32" t="n">
        <x:f t="shared" si="45">AVERAGE(E1017:E1216)</x:f>
        <x:v>279.84274999999997</x:v>
      </x:c>
      <x:c r="H1216" s="37" t="n">
        <x:f t="shared" si="46">IFERROR(E1216/G1216-1,"")</x:f>
        <x:v>0.3095211507176798</x:v>
      </x:c>
      <x:c r="I1216" s="38" t="b">
        <x:f t="shared" si="47">E1216&lt;G1216</x:f>
        <x:v>0</x:v>
      </x:c>
    </x:row>
    <x:row r="1217">
      <x:c r="A1217" s="31">
        <x:v>38770</x:v>
      </x:c>
      <x:c r="B1217" s="32">
        <x:v>373.28</x:v>
      </x:c>
      <x:c r="C1217" s="32">
        <x:v>373.28</x:v>
      </x:c>
      <x:c r="D1217" s="32">
        <x:v>364.44</x:v>
      </x:c>
      <x:c r="E1217" s="32">
        <x:v>364.44</x:v>
      </x:c>
      <x:c r="F1217" s="33">
        <x:v>1470700</x:v>
      </x:c>
      <x:c r="G1217" s="32" t="n">
        <x:f t="shared" si="45">AVERAGE(E1018:E1217)</x:f>
        <x:v>280.43874999999997</x:v>
      </x:c>
      <x:c r="H1217" s="37" t="n">
        <x:f t="shared" si="46">IFERROR(E1217/G1217-1,"")</x:f>
        <x:v>0.29953510347624945</x:v>
      </x:c>
      <x:c r="I1217" s="38" t="b">
        <x:f t="shared" si="47">E1217&lt;G1217</x:f>
        <x:v>0</x:v>
      </x:c>
    </x:row>
    <x:row r="1218">
      <x:c r="A1218" s="31">
        <x:v>38771</x:v>
      </x:c>
      <x:c r="B1218" s="32">
        <x:v>367.91</x:v>
      </x:c>
      <x:c r="C1218" s="32">
        <x:v>368.93</x:v>
      </x:c>
      <x:c r="D1218" s="32">
        <x:v>367.91</x:v>
      </x:c>
      <x:c r="E1218" s="32">
        <x:v>368.93</x:v>
      </x:c>
      <x:c r="F1218" s="33">
        <x:v>1009750</x:v>
      </x:c>
      <x:c r="G1218" s="32" t="n">
        <x:f t="shared" si="45">AVERAGE(E1019:E1218)</x:f>
        <x:v>281.0609999999999</x:v>
      </x:c>
      <x:c r="H1218" s="37" t="n">
        <x:f t="shared" si="46">IFERROR(E1218/G1218-1,"")</x:f>
        <x:v>0.31263320062192945</x:v>
      </x:c>
      <x:c r="I1218" s="38" t="b">
        <x:f t="shared" si="47">E1218&lt;G1218</x:f>
        <x:v>0</x:v>
      </x:c>
    </x:row>
    <x:row r="1219">
      <x:c r="A1219" s="31">
        <x:v>38772</x:v>
      </x:c>
      <x:c r="B1219" s="32">
        <x:v>373.31</x:v>
      </x:c>
      <x:c r="C1219" s="32">
        <x:v>373.5</x:v>
      </x:c>
      <x:c r="D1219" s="32">
        <x:v>373.31</x:v>
      </x:c>
      <x:c r="E1219" s="32">
        <x:v>373.5</x:v>
      </x:c>
      <x:c r="F1219" s="33">
        <x:v>1071020</x:v>
      </x:c>
      <x:c r="G1219" s="32" t="n">
        <x:f t="shared" si="45">AVERAGE(E1020:E1219)</x:f>
        <x:v>281.70779999999996</x:v>
      </x:c>
      <x:c r="H1219" s="37" t="n">
        <x:f t="shared" si="46">IFERROR(E1219/G1219-1,"")</x:f>
        <x:v>0.3258418829723566</x:v>
      </x:c>
      <x:c r="I1219" s="38" t="b">
        <x:f t="shared" si="47">E1219&lt;G1219</x:f>
        <x:v>0</x:v>
      </x:c>
    </x:row>
    <x:row r="1220">
      <x:c r="A1220" s="31">
        <x:v>38775</x:v>
      </x:c>
      <x:c r="B1220" s="32">
        <x:v>377.4</x:v>
      </x:c>
      <x:c r="C1220" s="32">
        <x:v>379.57</x:v>
      </x:c>
      <x:c r="D1220" s="32">
        <x:v>377.4</x:v>
      </x:c>
      <x:c r="E1220" s="32">
        <x:v>379.57</x:v>
      </x:c>
      <x:c r="F1220" s="33">
        <x:v>1366120</x:v>
      </x:c>
      <x:c r="G1220" s="32" t="n">
        <x:f t="shared" si="45">AVERAGE(E1021:E1220)</x:f>
        <x:v>282.39014999999995</x:v>
      </x:c>
      <x:c r="H1220" s="37" t="n">
        <x:f t="shared" si="46">IFERROR(E1220/G1220-1,"")</x:f>
        <x:v>0.34413328510218943</x:v>
      </x:c>
      <x:c r="I1220" s="38" t="b">
        <x:f t="shared" si="47">E1220&lt;G1220</x:f>
        <x:v>0</x:v>
      </x:c>
    </x:row>
    <x:row r="1221">
      <x:c r="A1221" s="31">
        <x:v>38776</x:v>
      </x:c>
      <x:c r="B1221" s="32">
        <x:v>383.19</x:v>
      </x:c>
      <x:c r="C1221" s="32">
        <x:v>390.65</x:v>
      </x:c>
      <x:c r="D1221" s="32">
        <x:v>383.19</x:v>
      </x:c>
      <x:c r="E1221" s="32">
        <x:v>390.65</x:v>
      </x:c>
      <x:c r="F1221" s="33">
        <x:v>1309460</x:v>
      </x:c>
      <x:c r="G1221" s="32" t="n">
        <x:f t="shared" si="45">AVERAGE(E1022:E1221)</x:f>
        <x:v>283.12935</x:v>
      </x:c>
      <x:c r="H1221" s="37" t="n">
        <x:f t="shared" si="46">IFERROR(E1221/G1221-1,"")</x:f>
        <x:v>0.3797580505164866</x:v>
      </x:c>
      <x:c r="I1221" s="38" t="b">
        <x:f t="shared" si="47">E1221&lt;G1221</x:f>
        <x:v>0</x:v>
      </x:c>
    </x:row>
    <x:row r="1222">
      <x:c r="A1222" s="31">
        <x:v>38777</x:v>
      </x:c>
      <x:c r="B1222" s="32">
        <x:v>402.15</x:v>
      </x:c>
      <x:c r="C1222" s="32">
        <x:v>402.15</x:v>
      </x:c>
      <x:c r="D1222" s="32">
        <x:v>401.9</x:v>
      </x:c>
      <x:c r="E1222" s="32">
        <x:v>401.9</x:v>
      </x:c>
      <x:c r="F1222" s="33">
        <x:v>1490180</x:v>
      </x:c>
      <x:c r="G1222" s="32" t="n">
        <x:f t="shared" si="45">AVERAGE(E1023:E1222)</x:f>
        <x:v>283.92204999999996</x:v>
      </x:c>
      <x:c r="H1222" s="37" t="n">
        <x:f t="shared" si="46">IFERROR(E1222/G1222-1,"")</x:f>
        <x:v>0.4155293680078742</x:v>
      </x:c>
      <x:c r="I1222" s="38" t="b">
        <x:f t="shared" si="47">E1222&lt;G1222</x:f>
        <x:v>0</x:v>
      </x:c>
    </x:row>
    <x:row r="1223">
      <x:c r="A1223" s="31">
        <x:v>38778</x:v>
      </x:c>
      <x:c r="B1223" s="32">
        <x:v>409.77</x:v>
      </x:c>
      <x:c r="C1223" s="32">
        <x:v>412.82</x:v>
      </x:c>
      <x:c r="D1223" s="32">
        <x:v>409.77</x:v>
      </x:c>
      <x:c r="E1223" s="32">
        <x:v>412.82</x:v>
      </x:c>
      <x:c r="F1223" s="33">
        <x:v>1540760</x:v>
      </x:c>
      <x:c r="G1223" s="32" t="n">
        <x:f t="shared" si="45">AVERAGE(E1024:E1223)</x:f>
        <x:v>284.77389999999997</x:v>
      </x:c>
      <x:c r="H1223" s="37" t="n">
        <x:f t="shared" si="46">IFERROR(E1223/G1223-1,"")</x:f>
        <x:v>0.44964127681644994</x:v>
      </x:c>
      <x:c r="I1223" s="38" t="b">
        <x:f t="shared" si="47">E1223&lt;G1223</x:f>
        <x:v>0</x:v>
      </x:c>
    </x:row>
    <x:row r="1224">
      <x:c r="A1224" s="31">
        <x:v>38779</x:v>
      </x:c>
      <x:c r="B1224" s="32">
        <x:v>415.56</x:v>
      </x:c>
      <x:c r="C1224" s="32">
        <x:v>415.56</x:v>
      </x:c>
      <x:c r="D1224" s="32">
        <x:v>397.95</x:v>
      </x:c>
      <x:c r="E1224" s="32">
        <x:v>397.95</x:v>
      </x:c>
      <x:c r="F1224" s="33">
        <x:v>2383700</x:v>
      </x:c>
      <x:c r="G1224" s="32" t="n">
        <x:f t="shared" si="45">AVERAGE(E1025:E1224)</x:f>
        <x:v>285.556</x:v>
      </x:c>
      <x:c r="H1224" s="37" t="n">
        <x:f t="shared" si="46">IFERROR(E1224/G1224-1,"")</x:f>
        <x:v>0.393597052767233</x:v>
      </x:c>
      <x:c r="I1224" s="38" t="b">
        <x:f t="shared" si="47">E1224&lt;G1224</x:f>
        <x:v>0</x:v>
      </x:c>
    </x:row>
    <x:row r="1225">
      <x:c r="A1225" s="31">
        <x:v>38782</x:v>
      </x:c>
      <x:c r="B1225" s="32">
        <x:v>401.36</x:v>
      </x:c>
      <x:c r="C1225" s="32">
        <x:v>409.76</x:v>
      </x:c>
      <x:c r="D1225" s="32">
        <x:v>401.36</x:v>
      </x:c>
      <x:c r="E1225" s="32">
        <x:v>409.76</x:v>
      </x:c>
      <x:c r="F1225" s="33">
        <x:v>1680280</x:v>
      </x:c>
      <x:c r="G1225" s="32" t="n">
        <x:f t="shared" si="45">AVERAGE(E1026:E1225)</x:f>
        <x:v>286.39785</x:v>
      </x:c>
      <x:c r="H1225" s="37" t="n">
        <x:f t="shared" si="46">IFERROR(E1225/G1225-1,"")</x:f>
        <x:v>0.43073699750190153</x:v>
      </x:c>
      <x:c r="I1225" s="38" t="b">
        <x:f t="shared" si="47">E1225&lt;G1225</x:f>
        <x:v>0</x:v>
      </x:c>
    </x:row>
    <x:row r="1226">
      <x:c r="A1226" s="31">
        <x:v>38783</x:v>
      </x:c>
      <x:c r="B1226" s="32">
        <x:v>413.05</x:v>
      </x:c>
      <x:c r="C1226" s="32">
        <x:v>413.33</x:v>
      </x:c>
      <x:c r="D1226" s="32">
        <x:v>413.05</x:v>
      </x:c>
      <x:c r="E1226" s="32">
        <x:v>413.33</x:v>
      </x:c>
      <x:c r="F1226" s="33">
        <x:v>1407340</x:v>
      </x:c>
      <x:c r="G1226" s="32" t="n">
        <x:f t="shared" si="45">AVERAGE(E1027:E1226)</x:f>
        <x:v>287.25210000000004</x:v>
      </x:c>
      <x:c r="H1226" s="37" t="n">
        <x:f t="shared" si="46">IFERROR(E1226/G1226-1,"")</x:f>
        <x:v>0.43891028124772613</x:v>
      </x:c>
      <x:c r="I1226" s="38" t="b">
        <x:f t="shared" si="47">E1226&lt;G1226</x:f>
        <x:v>0</x:v>
      </x:c>
    </x:row>
    <x:row r="1227">
      <x:c r="A1227" s="31">
        <x:v>38784</x:v>
      </x:c>
      <x:c r="B1227" s="32">
        <x:v>412.98</x:v>
      </x:c>
      <x:c r="C1227" s="32">
        <x:v>412.98</x:v>
      </x:c>
      <x:c r="D1227" s="32">
        <x:v>409.28</x:v>
      </x:c>
      <x:c r="E1227" s="32">
        <x:v>409.28</x:v>
      </x:c>
      <x:c r="F1227" s="33">
        <x:v>1606680</x:v>
      </x:c>
      <x:c r="G1227" s="32" t="n">
        <x:f t="shared" si="45">AVERAGE(E1028:E1227)</x:f>
        <x:v>288.08005</x:v>
      </x:c>
      <x:c r="H1227" s="37" t="n">
        <x:f t="shared" si="46">IFERROR(E1227/G1227-1,"")</x:f>
        <x:v>0.420716221064249</x:v>
      </x:c>
      <x:c r="I1227" s="38" t="b">
        <x:f t="shared" si="47">E1227&lt;G1227</x:f>
        <x:v>0</x:v>
      </x:c>
    </x:row>
    <x:row r="1228">
      <x:c r="A1228" s="31">
        <x:v>38785</x:v>
      </x:c>
      <x:c r="B1228" s="32">
        <x:v>413.2</x:v>
      </x:c>
      <x:c r="C1228" s="32">
        <x:v>413.2</x:v>
      </x:c>
      <x:c r="D1228" s="32">
        <x:v>412.12</x:v>
      </x:c>
      <x:c r="E1228" s="32">
        <x:v>412.12</x:v>
      </x:c>
      <x:c r="F1228" s="33">
        <x:v>1277130</x:v>
      </x:c>
      <x:c r="G1228" s="32" t="n">
        <x:f t="shared" si="45">AVERAGE(E1029:E1228)</x:f>
        <x:v>288.92370000000005</x:v>
      </x:c>
      <x:c r="H1228" s="37" t="n">
        <x:f t="shared" si="46">IFERROR(E1228/G1228-1,"")</x:f>
        <x:v>0.4263973498885689</x:v>
      </x:c>
      <x:c r="I1228" s="38" t="b">
        <x:f t="shared" si="47">E1228&lt;G1228</x:f>
        <x:v>0</x:v>
      </x:c>
    </x:row>
    <x:row r="1229">
      <x:c r="A1229" s="31">
        <x:v>38786</x:v>
      </x:c>
      <x:c r="B1229" s="32">
        <x:v>415.45</x:v>
      </x:c>
      <x:c r="C1229" s="32">
        <x:v>415.45</x:v>
      </x:c>
      <x:c r="D1229" s="32">
        <x:v>414.36</x:v>
      </x:c>
      <x:c r="E1229" s="32">
        <x:v>414.36</x:v>
      </x:c>
      <x:c r="F1229" s="33">
        <x:v>1502350</x:v>
      </x:c>
      <x:c r="G1229" s="32" t="n">
        <x:f t="shared" ref="G1229:G1292" si="48">AVERAGE(E1030:E1229)</x:f>
        <x:v>289.77690000000007</x:v>
      </x:c>
      <x:c r="H1229" s="37" t="n">
        <x:f t="shared" ref="H1229:H1292" si="49">IFERROR(E1229/G1229-1,"")</x:f>
        <x:v>0.4299276443360389</x:v>
      </x:c>
      <x:c r="I1229" s="38" t="b">
        <x:f t="shared" ref="I1229:I1292" si="50">E1229&lt;G1229</x:f>
        <x:v>0</x:v>
      </x:c>
    </x:row>
    <x:row r="1230">
      <x:c r="A1230" s="31">
        <x:v>38789</x:v>
      </x:c>
      <x:c r="B1230" s="32">
        <x:v>422.97</x:v>
      </x:c>
      <x:c r="C1230" s="32">
        <x:v>424.46</x:v>
      </x:c>
      <x:c r="D1230" s="32">
        <x:v>422.97</x:v>
      </x:c>
      <x:c r="E1230" s="32">
        <x:v>424.46</x:v>
      </x:c>
      <x:c r="F1230" s="33">
        <x:v>1810480</x:v>
      </x:c>
      <x:c r="G1230" s="32" t="n">
        <x:f t="shared" si="48">AVERAGE(E1031:E1230)</x:f>
        <x:v>290.68325000000004</x:v>
      </x:c>
      <x:c r="H1230" s="37" t="n">
        <x:f t="shared" si="49">IFERROR(E1230/G1230-1,"")</x:f>
        <x:v>0.46021485586114763</x:v>
      </x:c>
      <x:c r="I1230" s="38" t="b">
        <x:f t="shared" si="50">E1230&lt;G1230</x:f>
        <x:v>0</x:v>
      </x:c>
    </x:row>
    <x:row r="1231">
      <x:c r="A1231" s="31">
        <x:v>38790</x:v>
      </x:c>
      <x:c r="B1231" s="32">
        <x:v>431.1</x:v>
      </x:c>
      <x:c r="C1231" s="32">
        <x:v>432.21</x:v>
      </x:c>
      <x:c r="D1231" s="32">
        <x:v>431.1</x:v>
      </x:c>
      <x:c r="E1231" s="32">
        <x:v>432.21</x:v>
      </x:c>
      <x:c r="F1231" s="33">
        <x:v>1696250</x:v>
      </x:c>
      <x:c r="G1231" s="32" t="n">
        <x:f t="shared" si="48">AVERAGE(E1032:E1231)</x:f>
        <x:v>291.6281</x:v>
      </x:c>
      <x:c r="H1231" s="37" t="n">
        <x:f t="shared" si="49">IFERROR(E1231/G1231-1,"")</x:f>
        <x:v>0.4820588276644122</x:v>
      </x:c>
      <x:c r="I1231" s="38" t="b">
        <x:f t="shared" si="50">E1231&lt;G1231</x:f>
        <x:v>0</x:v>
      </x:c>
    </x:row>
    <x:row r="1232">
      <x:c r="A1232" s="31">
        <x:v>38791</x:v>
      </x:c>
      <x:c r="B1232" s="32">
        <x:v>435.41</x:v>
      </x:c>
      <x:c r="C1232" s="32">
        <x:v>435.41</x:v>
      </x:c>
      <x:c r="D1232" s="32">
        <x:v>427.59</x:v>
      </x:c>
      <x:c r="E1232" s="32">
        <x:v>427.59</x:v>
      </x:c>
      <x:c r="F1232" s="33">
        <x:v>1730880</x:v>
      </x:c>
      <x:c r="G1232" s="32" t="n">
        <x:f t="shared" si="48">AVERAGE(E1033:E1232)</x:f>
        <x:v>292.54540000000003</x:v>
      </x:c>
      <x:c r="H1232" s="37" t="n">
        <x:f t="shared" si="49">IFERROR(E1232/G1232-1,"")</x:f>
        <x:v>0.46161929054430506</x:v>
      </x:c>
      <x:c r="I1232" s="38" t="b">
        <x:f t="shared" si="50">E1232&lt;G1232</x:f>
        <x:v>0</x:v>
      </x:c>
    </x:row>
    <x:row r="1233">
      <x:c r="A1233" s="31">
        <x:v>38792</x:v>
      </x:c>
      <x:c r="B1233" s="32">
        <x:v>434.56</x:v>
      </x:c>
      <x:c r="C1233" s="32">
        <x:v>434.56</x:v>
      </x:c>
      <x:c r="D1233" s="32">
        <x:v>432.86</x:v>
      </x:c>
      <x:c r="E1233" s="32">
        <x:v>432.86</x:v>
      </x:c>
      <x:c r="F1233" s="33">
        <x:v>1630060</x:v>
      </x:c>
      <x:c r="G1233" s="32" t="n">
        <x:f t="shared" si="48">AVERAGE(E1034:E1233)</x:f>
        <x:v>293.4869</x:v>
      </x:c>
      <x:c r="H1233" s="37" t="n">
        <x:f t="shared" si="49">IFERROR(E1233/G1233-1,"")</x:f>
        <x:v>0.47488695406847814</x:v>
      </x:c>
      <x:c r="I1233" s="38" t="b">
        <x:f t="shared" si="50">E1233&lt;G1233</x:f>
        <x:v>0</x:v>
      </x:c>
    </x:row>
    <x:row r="1234">
      <x:c r="A1234" s="31">
        <x:v>38793</x:v>
      </x:c>
      <x:c r="B1234" s="32">
        <x:v>436.59</x:v>
      </x:c>
      <x:c r="C1234" s="32">
        <x:v>443.19</x:v>
      </x:c>
      <x:c r="D1234" s="32">
        <x:v>436.59</x:v>
      </x:c>
      <x:c r="E1234" s="32">
        <x:v>443.19</x:v>
      </x:c>
      <x:c r="F1234" s="33">
        <x:v>1613150</x:v>
      </x:c>
      <x:c r="G1234" s="32" t="n">
        <x:f t="shared" si="48">AVERAGE(E1035:E1234)</x:f>
        <x:v>294.48165</x:v>
      </x:c>
      <x:c r="H1234" s="37" t="n">
        <x:f t="shared" si="49">IFERROR(E1234/G1234-1,"")</x:f>
        <x:v>0.5049834174727017</x:v>
      </x:c>
      <x:c r="I1234" s="38" t="b">
        <x:f t="shared" si="50">E1234&lt;G1234</x:f>
        <x:v>0</x:v>
      </x:c>
    </x:row>
    <x:row r="1235">
      <x:c r="A1235" s="31">
        <x:v>38796</x:v>
      </x:c>
      <x:c r="B1235" s="32">
        <x:v>450.15</x:v>
      </x:c>
      <x:c r="C1235" s="32">
        <x:v>453.48</x:v>
      </x:c>
      <x:c r="D1235" s="32">
        <x:v>450.15</x:v>
      </x:c>
      <x:c r="E1235" s="32">
        <x:v>453.48</x:v>
      </x:c>
      <x:c r="F1235" s="33">
        <x:v>1976610</x:v>
      </x:c>
      <x:c r="G1235" s="32" t="n">
        <x:f t="shared" si="48">AVERAGE(E1036:E1235)</x:f>
        <x:v>295.5254</x:v>
      </x:c>
      <x:c r="H1235" s="37" t="n">
        <x:f t="shared" si="49">IFERROR(E1235/G1235-1,"")</x:f>
        <x:v>0.5344873909315411</x:v>
      </x:c>
      <x:c r="I1235" s="38" t="b">
        <x:f t="shared" si="50">E1235&lt;G1235</x:f>
        <x:v>0</x:v>
      </x:c>
    </x:row>
    <x:row r="1236">
      <x:c r="A1236" s="31">
        <x:v>38797</x:v>
      </x:c>
      <x:c r="B1236" s="32">
        <x:v>461.56</x:v>
      </x:c>
      <x:c r="C1236" s="32">
        <x:v>462.69</x:v>
      </x:c>
      <x:c r="D1236" s="32">
        <x:v>461.56</x:v>
      </x:c>
      <x:c r="E1236" s="32">
        <x:v>462.69</x:v>
      </x:c>
      <x:c r="F1236" s="33">
        <x:v>1976060</x:v>
      </x:c>
      <x:c r="G1236" s="32" t="n">
        <x:f t="shared" si="48">AVERAGE(E1037:E1236)</x:f>
        <x:v>296.61445000000003</x:v>
      </x:c>
      <x:c r="H1236" s="37" t="n">
        <x:f t="shared" si="49">IFERROR(E1236/G1236-1,"")</x:f>
        <x:v>0.5599037740743917</x:v>
      </x:c>
      <x:c r="I1236" s="38" t="b">
        <x:f t="shared" si="50">E1236&lt;G1236</x:f>
        <x:v>0</x:v>
      </x:c>
    </x:row>
    <x:row r="1237">
      <x:c r="A1237" s="31">
        <x:v>38798</x:v>
      </x:c>
      <x:c r="B1237" s="32">
        <x:v>468.73</x:v>
      </x:c>
      <x:c r="C1237" s="32">
        <x:v>468.73</x:v>
      </x:c>
      <x:c r="D1237" s="32">
        <x:v>459.36</x:v>
      </x:c>
      <x:c r="E1237" s="32">
        <x:v>459.36</x:v>
      </x:c>
      <x:c r="F1237" s="33">
        <x:v>2284470</x:v>
      </x:c>
      <x:c r="G1237" s="32" t="n">
        <x:f t="shared" si="48">AVERAGE(E1038:E1237)</x:f>
        <x:v>297.68435000000005</x:v>
      </x:c>
      <x:c r="H1237" s="37" t="n">
        <x:f t="shared" si="49">IFERROR(E1237/G1237-1,"")</x:f>
        <x:v>0.5431110167531479</x:v>
      </x:c>
      <x:c r="I1237" s="38" t="b">
        <x:f t="shared" si="50">E1237&lt;G1237</x:f>
        <x:v>0</x:v>
      </x:c>
    </x:row>
    <x:row r="1238">
      <x:c r="A1238" s="31">
        <x:v>38799</x:v>
      </x:c>
      <x:c r="B1238" s="32">
        <x:v>460.21</x:v>
      </x:c>
      <x:c r="C1238" s="32">
        <x:v>460.21</x:v>
      </x:c>
      <x:c r="D1238" s="32">
        <x:v>459.42</x:v>
      </x:c>
      <x:c r="E1238" s="32">
        <x:v>459.42</x:v>
      </x:c>
      <x:c r="F1238" s="33">
        <x:v>1822900</x:v>
      </x:c>
      <x:c r="G1238" s="32" t="n">
        <x:f t="shared" si="48">AVERAGE(E1039:E1238)</x:f>
        <x:v>298.75265</x:v>
      </x:c>
      <x:c r="H1238" s="37" t="n">
        <x:f t="shared" si="49">IFERROR(E1238/G1238-1,"")</x:f>
        <x:v>0.5377938906985427</x:v>
      </x:c>
      <x:c r="I1238" s="38" t="b">
        <x:f t="shared" si="50">E1238&lt;G1238</x:f>
        <x:v>0</x:v>
      </x:c>
    </x:row>
    <x:row r="1239">
      <x:c r="A1239" s="31">
        <x:v>38800</x:v>
      </x:c>
      <x:c r="B1239" s="32">
        <x:v>457.94</x:v>
      </x:c>
      <x:c r="C1239" s="32">
        <x:v>457.94</x:v>
      </x:c>
      <x:c r="D1239" s="32">
        <x:v>456.06</x:v>
      </x:c>
      <x:c r="E1239" s="32">
        <x:v>456.06</x:v>
      </x:c>
      <x:c r="F1239" s="33">
        <x:v>1578860</x:v>
      </x:c>
      <x:c r="G1239" s="32" t="n">
        <x:f t="shared" si="48">AVERAGE(E1040:E1239)</x:f>
        <x:v>299.7996</x:v>
      </x:c>
      <x:c r="H1239" s="37" t="n">
        <x:f t="shared" si="49">IFERROR(E1239/G1239-1,"")</x:f>
        <x:v>0.5212161724031654</x:v>
      </x:c>
      <x:c r="I1239" s="38" t="b">
        <x:f t="shared" si="50">E1239&lt;G1239</x:f>
        <x:v>0</x:v>
      </x:c>
    </x:row>
    <x:row r="1240">
      <x:c r="A1240" s="31">
        <x:v>38803</x:v>
      </x:c>
      <x:c r="B1240" s="32">
        <x:v>460.46</x:v>
      </x:c>
      <x:c r="C1240" s="32">
        <x:v>463</x:v>
      </x:c>
      <x:c r="D1240" s="32">
        <x:v>460.46</x:v>
      </x:c>
      <x:c r="E1240" s="32">
        <x:v>463</x:v>
      </x:c>
      <x:c r="F1240" s="33">
        <x:v>1600860</x:v>
      </x:c>
      <x:c r="G1240" s="32" t="n">
        <x:f t="shared" si="48">AVERAGE(E1041:E1240)</x:f>
        <x:v>300.87855</x:v>
      </x:c>
      <x:c r="H1240" s="37" t="n">
        <x:f t="shared" si="49">IFERROR(E1240/G1240-1,"")</x:f>
        <x:v>0.5388268788187127</x:v>
      </x:c>
      <x:c r="I1240" s="38" t="b">
        <x:f t="shared" si="50">E1240&lt;G1240</x:f>
        <x:v>0</x:v>
      </x:c>
    </x:row>
    <x:row r="1241">
      <x:c r="A1241" s="31">
        <x:v>38804</x:v>
      </x:c>
      <x:c r="B1241" s="32">
        <x:v>467.6</x:v>
      </x:c>
      <x:c r="C1241" s="32">
        <x:v>467.6</x:v>
      </x:c>
      <x:c r="D1241" s="32">
        <x:v>466.47</x:v>
      </x:c>
      <x:c r="E1241" s="32">
        <x:v>466.47</x:v>
      </x:c>
      <x:c r="F1241" s="33">
        <x:v>1596210</x:v>
      </x:c>
      <x:c r="G1241" s="32" t="n">
        <x:f t="shared" si="48">AVERAGE(E1042:E1241)</x:f>
        <x:v>301.9756</x:v>
      </x:c>
      <x:c r="H1241" s="37" t="n">
        <x:f t="shared" si="49">IFERROR(E1241/G1241-1,"")</x:f>
        <x:v>0.5447274548009842</x:v>
      </x:c>
      <x:c r="I1241" s="38" t="b">
        <x:f t="shared" si="50">E1241&lt;G1241</x:f>
        <x:v>0</x:v>
      </x:c>
    </x:row>
    <x:row r="1242">
      <x:c r="A1242" s="31">
        <x:v>38805</x:v>
      </x:c>
      <x:c r="B1242" s="32">
        <x:v>471.41</x:v>
      </x:c>
      <x:c r="C1242" s="32">
        <x:v>474.79</x:v>
      </x:c>
      <x:c r="D1242" s="32">
        <x:v>471.41</x:v>
      </x:c>
      <x:c r="E1242" s="32">
        <x:v>474.79</x:v>
      </x:c>
      <x:c r="F1242" s="33">
        <x:v>2048820</x:v>
      </x:c>
      <x:c r="G1242" s="32" t="n">
        <x:f t="shared" si="48">AVERAGE(E1043:E1242)</x:f>
        <x:v>303.1166</x:v>
      </x:c>
      <x:c r="H1242" s="37" t="n">
        <x:f t="shared" si="49">IFERROR(E1242/G1242-1,"")</x:f>
        <x:v>0.5663609317338609</x:v>
      </x:c>
      <x:c r="I1242" s="38" t="b">
        <x:f t="shared" si="50">E1242&lt;G1242</x:f>
        <x:v>0</x:v>
      </x:c>
    </x:row>
    <x:row r="1243">
      <x:c r="A1243" s="31">
        <x:v>38806</x:v>
      </x:c>
      <x:c r="B1243" s="32">
        <x:v>492.08</x:v>
      </x:c>
      <x:c r="C1243" s="32">
        <x:v>493.41</x:v>
      </x:c>
      <x:c r="D1243" s="32">
        <x:v>492.08</x:v>
      </x:c>
      <x:c r="E1243" s="32">
        <x:v>493.41</x:v>
      </x:c>
      <x:c r="F1243" s="33">
        <x:v>1893370</x:v>
      </x:c>
      <x:c r="G1243" s="32" t="n">
        <x:f t="shared" si="48">AVERAGE(E1044:E1243)</x:f>
        <x:v>304.35450000000003</x:v>
      </x:c>
      <x:c r="H1243" s="37" t="n">
        <x:f t="shared" si="49">IFERROR(E1243/G1243-1,"")</x:f>
        <x:v>0.621168735799865</x:v>
      </x:c>
      <x:c r="I1243" s="38" t="b">
        <x:f t="shared" si="50">E1243&lt;G1243</x:f>
        <x:v>0</x:v>
      </x:c>
    </x:row>
    <x:row r="1244">
      <x:c r="A1244" s="31">
        <x:v>38807</x:v>
      </x:c>
      <x:c r="B1244" s="32">
        <x:v>507.1</x:v>
      </x:c>
      <x:c r="C1244" s="32">
        <x:v>507.1</x:v>
      </x:c>
      <x:c r="D1244" s="32">
        <x:v>503.56</x:v>
      </x:c>
      <x:c r="E1244" s="32">
        <x:v>503.56</x:v>
      </x:c>
      <x:c r="F1244" s="33">
        <x:v>1872150</x:v>
      </x:c>
      <x:c r="G1244" s="32" t="n">
        <x:f t="shared" si="48">AVERAGE(E1045:E1244)</x:f>
        <x:v>305.64365000000004</x:v>
      </x:c>
      <x:c r="H1244" s="37" t="n">
        <x:f t="shared" si="49">IFERROR(E1244/G1244-1,"")</x:f>
        <x:v>0.6475395448261396</x:v>
      </x:c>
      <x:c r="I1244" s="38" t="b">
        <x:f t="shared" si="50">E1244&lt;G1244</x:f>
        <x:v>0</x:v>
      </x:c>
    </x:row>
    <x:row r="1245">
      <x:c r="A1245" s="31">
        <x:v>38810</x:v>
      </x:c>
      <x:c r="B1245" s="32">
        <x:v>520.53</x:v>
      </x:c>
      <x:c r="C1245" s="32">
        <x:v>523.32000000000005</x:v>
      </x:c>
      <x:c r="D1245" s="32">
        <x:v>520.53</x:v>
      </x:c>
      <x:c r="E1245" s="32">
        <x:v>523.32000000000005</x:v>
      </x:c>
      <x:c r="F1245" s="33">
        <x:v>2035940</x:v>
      </x:c>
      <x:c r="G1245" s="32" t="n">
        <x:f t="shared" si="48">AVERAGE(E1046:E1245)</x:f>
        <x:v>307.0299</x:v>
      </x:c>
      <x:c r="H1245" s="37" t="n">
        <x:f t="shared" si="49">IFERROR(E1245/G1245-1,"")</x:f>
        <x:v>0.7044594028138629</x:v>
      </x:c>
      <x:c r="I1245" s="38" t="b">
        <x:f t="shared" si="50">E1245&lt;G1245</x:f>
        <x:v>0</x:v>
      </x:c>
    </x:row>
    <x:row r="1246">
      <x:c r="A1246" s="31">
        <x:v>38811</x:v>
      </x:c>
      <x:c r="B1246" s="32">
        <x:v>536.29999999999995</x:v>
      </x:c>
      <x:c r="C1246" s="32">
        <x:v>536.29999999999995</x:v>
      </x:c>
      <x:c r="D1246" s="32">
        <x:v>505.42</x:v>
      </x:c>
      <x:c r="E1246" s="32">
        <x:v>505.42</x:v>
      </x:c>
      <x:c r="F1246" s="33">
        <x:v>2569420</x:v>
      </x:c>
      <x:c r="G1246" s="32" t="n">
        <x:f t="shared" si="48">AVERAGE(E1047:E1246)</x:f>
        <x:v>308.32555</x:v>
      </x:c>
      <x:c r="H1246" s="37" t="n">
        <x:f t="shared" si="49">IFERROR(E1246/G1246-1,"")</x:f>
        <x:v>0.6392413797688838</x:v>
      </x:c>
      <x:c r="I1246" s="38" t="b">
        <x:f t="shared" si="50">E1246&lt;G1246</x:f>
        <x:v>0</x:v>
      </x:c>
    </x:row>
    <x:row r="1247">
      <x:c r="A1247" s="31">
        <x:v>38812</x:v>
      </x:c>
      <x:c r="B1247" s="32">
        <x:v>517.5</x:v>
      </x:c>
      <x:c r="C1247" s="32">
        <x:v>521.12</x:v>
      </x:c>
      <x:c r="D1247" s="32">
        <x:v>517.5</x:v>
      </x:c>
      <x:c r="E1247" s="32">
        <x:v>521.12</x:v>
      </x:c>
      <x:c r="F1247" s="33">
        <x:v>2055390</x:v>
      </x:c>
      <x:c r="G1247" s="32" t="n">
        <x:f t="shared" si="48">AVERAGE(E1048:E1247)</x:f>
        <x:v>309.69835</x:v>
      </x:c>
      <x:c r="H1247" s="37" t="n">
        <x:f t="shared" si="49">IFERROR(E1247/G1247-1,"")</x:f>
        <x:v>0.6826696041486822</x:v>
      </x:c>
      <x:c r="I1247" s="38" t="b">
        <x:f t="shared" si="50">E1247&lt;G1247</x:f>
        <x:v>0</x:v>
      </x:c>
    </x:row>
    <x:row r="1248">
      <x:c r="A1248" s="31">
        <x:v>38813</x:v>
      </x:c>
      <x:c r="B1248" s="32">
        <x:v>533.87</x:v>
      </x:c>
      <x:c r="C1248" s="32">
        <x:v>533.87</x:v>
      </x:c>
      <x:c r="D1248" s="32">
        <x:v>532.69000000000005</x:v>
      </x:c>
      <x:c r="E1248" s="32">
        <x:v>532.69000000000005</x:v>
      </x:c>
      <x:c r="F1248" s="33">
        <x:v>2276820</x:v>
      </x:c>
      <x:c r="G1248" s="32" t="n">
        <x:f t="shared" si="48">AVERAGE(E1049:E1248)</x:f>
        <x:v>311.1297</x:v>
      </x:c>
      <x:c r="H1248" s="37" t="n">
        <x:f t="shared" si="49">IFERROR(E1248/G1248-1,"")</x:f>
        <x:v>0.7121155582382526</x:v>
      </x:c>
      <x:c r="I1248" s="38" t="b">
        <x:f t="shared" si="50">E1248&lt;G1248</x:f>
        <x:v>0</x:v>
      </x:c>
    </x:row>
    <x:row r="1249">
      <x:c r="A1249" s="31">
        <x:v>38814</x:v>
      </x:c>
      <x:c r="B1249" s="32">
        <x:v>540.94000000000005</x:v>
      </x:c>
      <x:c r="C1249" s="32">
        <x:v>544.71</x:v>
      </x:c>
      <x:c r="D1249" s="32">
        <x:v>540.94000000000005</x:v>
      </x:c>
      <x:c r="E1249" s="32">
        <x:v>544.71</x:v>
      </x:c>
      <x:c r="F1249" s="33">
        <x:v>2090540</x:v>
      </x:c>
      <x:c r="G1249" s="32" t="n">
        <x:f t="shared" si="48">AVERAGE(E1050:E1249)</x:f>
        <x:v>312.62045</x:v>
      </x:c>
      <x:c r="H1249" s="37" t="n">
        <x:f t="shared" si="49">IFERROR(E1249/G1249-1,"")</x:f>
        <x:v>0.7424004091862832</x:v>
      </x:c>
      <x:c r="I1249" s="38" t="b">
        <x:f t="shared" si="50">E1249&lt;G1249</x:f>
        <x:v>0</x:v>
      </x:c>
    </x:row>
    <x:row r="1250">
      <x:c r="A1250" s="31">
        <x:v>38817</x:v>
      </x:c>
      <x:c r="B1250" s="32">
        <x:v>551.26</x:v>
      </x:c>
      <x:c r="C1250" s="32">
        <x:v>551.26</x:v>
      </x:c>
      <x:c r="D1250" s="32">
        <x:v>540.36</x:v>
      </x:c>
      <x:c r="E1250" s="32">
        <x:v>540.36</x:v>
      </x:c>
      <x:c r="F1250" s="33">
        <x:v>1928390</x:v>
      </x:c>
      <x:c r="G1250" s="32" t="n">
        <x:f t="shared" si="48">AVERAGE(E1051:E1250)</x:f>
        <x:v>314.08845</x:v>
      </x:c>
      <x:c r="H1250" s="37" t="n">
        <x:f t="shared" si="49">IFERROR(E1250/G1250-1,"")</x:f>
        <x:v>0.7204071018848353</x:v>
      </x:c>
      <x:c r="I1250" s="38" t="b">
        <x:f t="shared" si="50">E1250&lt;G1250</x:f>
        <x:v>0</x:v>
      </x:c>
    </x:row>
    <x:row r="1251">
      <x:c r="A1251" s="31">
        <x:v>38818</x:v>
      </x:c>
      <x:c r="B1251" s="32">
        <x:v>536.49</x:v>
      </x:c>
      <x:c r="C1251" s="32">
        <x:v>536.49</x:v>
      </x:c>
      <x:c r="D1251" s="32">
        <x:v>528.63</x:v>
      </x:c>
      <x:c r="E1251" s="32">
        <x:v>528.63</x:v>
      </x:c>
      <x:c r="F1251" s="33">
        <x:v>1986890</x:v>
      </x:c>
      <x:c r="G1251" s="32" t="n">
        <x:f t="shared" si="48">AVERAGE(E1052:E1251)</x:f>
        <x:v>315.49660000000006</x:v>
      </x:c>
      <x:c r="H1251" s="37" t="n">
        <x:f t="shared" si="49">IFERROR(E1251/G1251-1,"")</x:f>
        <x:v>0.6755489599570959</x:v>
      </x:c>
      <x:c r="I1251" s="38" t="b">
        <x:f t="shared" si="50">E1251&lt;G1251</x:f>
        <x:v>0</x:v>
      </x:c>
    </x:row>
    <x:row r="1252">
      <x:c r="A1252" s="31">
        <x:v>38819</x:v>
      </x:c>
      <x:c r="B1252" s="32">
        <x:v>534.29999999999995</x:v>
      </x:c>
      <x:c r="C1252" s="32">
        <x:v>539.23</x:v>
      </x:c>
      <x:c r="D1252" s="32">
        <x:v>534.29999999999995</x:v>
      </x:c>
      <x:c r="E1252" s="32">
        <x:v>539.23</x:v>
      </x:c>
      <x:c r="F1252" s="33">
        <x:v>1990410</x:v>
      </x:c>
      <x:c r="G1252" s="32" t="n">
        <x:f t="shared" si="48">AVERAGE(E1053:E1252)</x:f>
        <x:v>316.95885000000004</x:v>
      </x:c>
      <x:c r="H1252" s="37" t="n">
        <x:f t="shared" si="49">IFERROR(E1252/G1252-1,"")</x:f>
        <x:v>0.7012618514990194</x:v>
      </x:c>
      <x:c r="I1252" s="38" t="b">
        <x:f t="shared" si="50">E1252&lt;G1252</x:f>
        <x:v>0</x:v>
      </x:c>
    </x:row>
    <x:row r="1253">
      <x:c r="A1253" s="31">
        <x:v>38820</x:v>
      </x:c>
      <x:c r="B1253" s="32">
        <x:v>546.80999999999995</x:v>
      </x:c>
      <x:c r="C1253" s="32">
        <x:v>551.6</x:v>
      </x:c>
      <x:c r="D1253" s="32">
        <x:v>546.80999999999995</x:v>
      </x:c>
      <x:c r="E1253" s="32">
        <x:v>551.6</x:v>
      </x:c>
      <x:c r="F1253" s="33">
        <x:v>1886480</x:v>
      </x:c>
      <x:c r="G1253" s="32" t="n">
        <x:f t="shared" si="48">AVERAGE(E1054:E1253)</x:f>
        <x:v>318.48690000000005</x:v>
      </x:c>
      <x:c r="H1253" s="37" t="n">
        <x:f t="shared" si="49">IFERROR(E1253/G1253-1,"")</x:f>
        <x:v>0.7319393670508896</x:v>
      </x:c>
      <x:c r="I1253" s="38" t="b">
        <x:f t="shared" si="50">E1253&lt;G1253</x:f>
        <x:v>0</x:v>
      </x:c>
    </x:row>
    <x:row r="1254">
      <x:c r="A1254" s="31">
        <x:v>38821</x:v>
      </x:c>
      <x:c r="B1254" s="32">
        <x:v>558.38</x:v>
      </x:c>
      <x:c r="C1254" s="32">
        <x:v>558.38</x:v>
      </x:c>
      <x:c r="D1254" s="32">
        <x:v>555.15</x:v>
      </x:c>
      <x:c r="E1254" s="32">
        <x:v>555.15</x:v>
      </x:c>
      <x:c r="F1254" s="33">
        <x:v>1784270</x:v>
      </x:c>
      <x:c r="G1254" s="32" t="n">
        <x:f t="shared" si="48">AVERAGE(E1055:E1254)</x:f>
        <x:v>320.03755000000007</x:v>
      </x:c>
      <x:c r="H1254" s="37" t="n">
        <x:f t="shared" si="49">IFERROR(E1254/G1254-1,"")</x:f>
        <x:v>0.7346402008139352</x:v>
      </x:c>
      <x:c r="I1254" s="38" t="b">
        <x:f t="shared" si="50">E1254&lt;G1254</x:f>
        <x:v>0</x:v>
      </x:c>
    </x:row>
    <x:row r="1255">
      <x:c r="A1255" s="31">
        <x:v>38824</x:v>
      </x:c>
      <x:c r="B1255" s="32">
        <x:v>561.32000000000005</x:v>
      </x:c>
      <x:c r="C1255" s="32">
        <x:v>561.32000000000005</x:v>
      </x:c>
      <x:c r="D1255" s="32">
        <x:v>561.09</x:v>
      </x:c>
      <x:c r="E1255" s="32">
        <x:v>561.09</x:v>
      </x:c>
      <x:c r="F1255" s="33">
        <x:v>1854080</x:v>
      </x:c>
      <x:c r="G1255" s="32" t="n">
        <x:f t="shared" si="48">AVERAGE(E1056:E1255)</x:f>
        <x:v>321.61080000000004</x:v>
      </x:c>
      <x:c r="H1255" s="37" t="n">
        <x:f t="shared" si="49">IFERROR(E1255/G1255-1,"")</x:f>
        <x:v>0.7446242476931744</x:v>
      </x:c>
      <x:c r="I1255" s="38" t="b">
        <x:f t="shared" si="50">E1255&lt;G1255</x:f>
        <x:v>0</x:v>
      </x:c>
    </x:row>
    <x:row r="1256">
      <x:c r="A1256" s="31">
        <x:v>38825</x:v>
      </x:c>
      <x:c r="B1256" s="32">
        <x:v>569.16999999999996</x:v>
      </x:c>
      <x:c r="C1256" s="32">
        <x:v>570.94000000000005</x:v>
      </x:c>
      <x:c r="D1256" s="32">
        <x:v>569.16999999999996</x:v>
      </x:c>
      <x:c r="E1256" s="32">
        <x:v>570.94000000000005</x:v>
      </x:c>
      <x:c r="F1256" s="33">
        <x:v>2274370</x:v>
      </x:c>
      <x:c r="G1256" s="32" t="n">
        <x:f t="shared" si="48">AVERAGE(E1057:E1256)</x:f>
        <x:v>323.23145</x:v>
      </x:c>
      <x:c r="H1256" s="37" t="n">
        <x:f t="shared" si="49">IFERROR(E1256/G1256-1,"")</x:f>
        <x:v>0.7663503969059944</x:v>
      </x:c>
      <x:c r="I1256" s="38" t="b">
        <x:f t="shared" si="50">E1256&lt;G1256</x:f>
        <x:v>0</x:v>
      </x:c>
    </x:row>
    <x:row r="1257">
      <x:c r="A1257" s="31">
        <x:v>38826</x:v>
      </x:c>
      <x:c r="B1257" s="32">
        <x:v>576.11</x:v>
      </x:c>
      <x:c r="C1257" s="32">
        <x:v>576.11</x:v>
      </x:c>
      <x:c r="D1257" s="32">
        <x:v>571.16</x:v>
      </x:c>
      <x:c r="E1257" s="32">
        <x:v>571.16</x:v>
      </x:c>
      <x:c r="F1257" s="33">
        <x:v>2200230</x:v>
      </x:c>
      <x:c r="G1257" s="32" t="n">
        <x:f t="shared" si="48">AVERAGE(E1058:E1257)</x:f>
        <x:v>324.85470000000004</x:v>
      </x:c>
      <x:c r="H1257" s="37" t="n">
        <x:f t="shared" si="49">IFERROR(E1257/G1257-1,"")</x:f>
        <x:v>0.7582014359034974</x:v>
      </x:c>
      <x:c r="I1257" s="38" t="b">
        <x:f t="shared" si="50">E1257&lt;G1257</x:f>
        <x:v>0</x:v>
      </x:c>
    </x:row>
    <x:row r="1258">
      <x:c r="A1258" s="31">
        <x:v>38827</x:v>
      </x:c>
      <x:c r="B1258" s="32">
        <x:v>571.63</x:v>
      </x:c>
      <x:c r="C1258" s="32">
        <x:v>571.63</x:v>
      </x:c>
      <x:c r="D1258" s="32">
        <x:v>569.79</x:v>
      </x:c>
      <x:c r="E1258" s="32">
        <x:v>569.79</x:v>
      </x:c>
      <x:c r="F1258" s="33">
        <x:v>2509350</x:v>
      </x:c>
      <x:c r="G1258" s="32" t="n">
        <x:f t="shared" si="48">AVERAGE(E1059:E1258)</x:f>
        <x:v>326.4648</x:v>
      </x:c>
      <x:c r="H1258" s="37" t="n">
        <x:f t="shared" si="49">IFERROR(E1258/G1258-1,"")</x:f>
        <x:v>0.7453336469965519</x:v>
      </x:c>
      <x:c r="I1258" s="38" t="b">
        <x:f t="shared" si="50">E1258&lt;G1258</x:f>
        <x:v>0</x:v>
      </x:c>
    </x:row>
    <x:row r="1259">
      <x:c r="A1259" s="31">
        <x:v>38828</x:v>
      </x:c>
      <x:c r="B1259" s="32">
        <x:v>587.46</x:v>
      </x:c>
      <x:c r="C1259" s="32">
        <x:v>591.39</x:v>
      </x:c>
      <x:c r="D1259" s="32">
        <x:v>587.46</x:v>
      </x:c>
      <x:c r="E1259" s="32">
        <x:v>591.39</x:v>
      </x:c>
      <x:c r="F1259" s="33">
        <x:v>2727270</x:v>
      </x:c>
      <x:c r="G1259" s="32" t="n">
        <x:f t="shared" si="48">AVERAGE(E1060:E1259)</x:f>
        <x:v>328.18230000000005</x:v>
      </x:c>
      <x:c r="H1259" s="37" t="n">
        <x:f t="shared" si="49">IFERROR(E1259/G1259-1,"")</x:f>
        <x:v>0.8020167449615652</x:v>
      </x:c>
      <x:c r="I1259" s="38" t="b">
        <x:f t="shared" si="50">E1259&lt;G1259</x:f>
        <x:v>0</x:v>
      </x:c>
    </x:row>
    <x:row r="1260">
      <x:c r="A1260" s="31">
        <x:v>38831</x:v>
      </x:c>
      <x:c r="B1260" s="32">
        <x:v>612.79999999999995</x:v>
      </x:c>
      <x:c r="C1260" s="32">
        <x:v>615.14</x:v>
      </x:c>
      <x:c r="D1260" s="32">
        <x:v>612.79999999999995</x:v>
      </x:c>
      <x:c r="E1260" s="32">
        <x:v>615.14</x:v>
      </x:c>
      <x:c r="F1260" s="33">
        <x:v>2284510</x:v>
      </x:c>
      <x:c r="G1260" s="32" t="n">
        <x:f t="shared" si="48">AVERAGE(E1061:E1260)</x:f>
        <x:v>330.0225000000001</x:v>
      </x:c>
      <x:c r="H1260" s="37" t="n">
        <x:f t="shared" si="49">IFERROR(E1260/G1260-1,"")</x:f>
        <x:v>0.8639335196842635</x:v>
      </x:c>
      <x:c r="I1260" s="38" t="b">
        <x:f t="shared" si="50">E1260&lt;G1260</x:f>
        <x:v>0</x:v>
      </x:c>
    </x:row>
    <x:row r="1261">
      <x:c r="A1261" s="31">
        <x:v>38832</x:v>
      </x:c>
      <x:c r="B1261" s="32">
        <x:v>638.86</x:v>
      </x:c>
      <x:c r="C1261" s="32">
        <x:v>638.86</x:v>
      </x:c>
      <x:c r="D1261" s="32">
        <x:v>632.69000000000005</x:v>
      </x:c>
      <x:c r="E1261" s="32">
        <x:v>632.69000000000005</x:v>
      </x:c>
      <x:c r="F1261" s="33">
        <x:v>2328080</x:v>
      </x:c>
      <x:c r="G1261" s="32" t="n">
        <x:f t="shared" si="48">AVERAGE(E1062:E1261)</x:f>
        <x:v>331.9520500000001</x:v>
      </x:c>
      <x:c r="H1261" s="37" t="n">
        <x:f t="shared" si="49">IFERROR(E1261/G1261-1,"")</x:f>
        <x:v>0.9059680456861161</x:v>
      </x:c>
      <x:c r="I1261" s="38" t="b">
        <x:f t="shared" si="50">E1261&lt;G1261</x:f>
        <x:v>0</x:v>
      </x:c>
    </x:row>
    <x:row r="1262">
      <x:c r="A1262" s="31">
        <x:v>38833</x:v>
      </x:c>
      <x:c r="B1262" s="32">
        <x:v>625.28</x:v>
      </x:c>
      <x:c r="C1262" s="32">
        <x:v>625.28</x:v>
      </x:c>
      <x:c r="D1262" s="32">
        <x:v>621.53</x:v>
      </x:c>
      <x:c r="E1262" s="32">
        <x:v>621.53</x:v>
      </x:c>
      <x:c r="F1262" s="33">
        <x:v>3062570</x:v>
      </x:c>
      <x:c r="G1262" s="32" t="n">
        <x:f t="shared" si="48">AVERAGE(E1063:E1262)</x:f>
        <x:v>333.8181000000001</x:v>
      </x:c>
      <x:c r="H1262" s="37" t="n">
        <x:f t="shared" si="49">IFERROR(E1262/G1262-1,"")</x:f>
        <x:v>0.861882264622559</x:v>
      </x:c>
      <x:c r="I1262" s="38" t="b">
        <x:f t="shared" si="50">E1262&lt;G1262</x:f>
        <x:v>0</x:v>
      </x:c>
    </x:row>
    <x:row r="1263">
      <x:c r="A1263" s="31">
        <x:v>38834</x:v>
      </x:c>
      <x:c r="B1263" s="32">
        <x:v>617.47</x:v>
      </x:c>
      <x:c r="C1263" s="32">
        <x:v>617.47</x:v>
      </x:c>
      <x:c r="D1263" s="32">
        <x:v>594.02</x:v>
      </x:c>
      <x:c r="E1263" s="32">
        <x:v>594.02</x:v>
      </x:c>
      <x:c r="F1263" s="33">
        <x:v>3366820</x:v>
      </x:c>
      <x:c r="G1263" s="32" t="n">
        <x:f t="shared" si="48">AVERAGE(E1064:E1263)</x:f>
        <x:v>335.54055000000005</x:v>
      </x:c>
      <x:c r="H1263" s="37" t="n">
        <x:f t="shared" si="49">IFERROR(E1263/G1263-1,"")</x:f>
        <x:v>0.7703374450569385</x:v>
      </x:c>
      <x:c r="I1263" s="38" t="b">
        <x:f t="shared" si="50">E1263&lt;G1263</x:f>
        <x:v>0</x:v>
      </x:c>
    </x:row>
    <x:row r="1264">
      <x:c r="A1264" s="31">
        <x:v>38835</x:v>
      </x:c>
      <x:c r="B1264" s="32">
        <x:v>584.08000000000004</x:v>
      </x:c>
      <x:c r="C1264" s="32">
        <x:v>595.48</x:v>
      </x:c>
      <x:c r="D1264" s="32">
        <x:v>584.08000000000004</x:v>
      </x:c>
      <x:c r="E1264" s="32">
        <x:v>595.48</x:v>
      </x:c>
      <x:c r="F1264" s="33">
        <x:v>2945290</x:v>
      </x:c>
      <x:c r="G1264" s="32" t="n">
        <x:f t="shared" si="48">AVERAGE(E1065:E1264)</x:f>
        <x:v>337.2705</x:v>
      </x:c>
      <x:c r="H1264" s="37" t="n">
        <x:f t="shared" si="49">IFERROR(E1264/G1264-1,"")</x:f>
        <x:v>0.7655857835179773</x:v>
      </x:c>
      <x:c r="I1264" s="38" t="b">
        <x:f t="shared" si="50">E1264&lt;G1264</x:f>
        <x:v>0</x:v>
      </x:c>
    </x:row>
    <x:row r="1265">
      <x:c r="A1265" s="31">
        <x:v>38840</x:v>
      </x:c>
      <x:c r="B1265" s="32">
        <x:v>611.72</x:v>
      </x:c>
      <x:c r="C1265" s="32">
        <x:v>612.11</x:v>
      </x:c>
      <x:c r="D1265" s="32">
        <x:v>611.72</x:v>
      </x:c>
      <x:c r="E1265" s="32">
        <x:v>612.11</x:v>
      </x:c>
      <x:c r="F1265" s="33">
        <x:v>2123450</x:v>
      </x:c>
      <x:c r="G1265" s="32" t="n">
        <x:f t="shared" si="48">AVERAGE(E1066:E1265)</x:f>
        <x:v>339.08200000000005</x:v>
      </x:c>
      <x:c r="H1265" s="37" t="n">
        <x:f t="shared" si="49">IFERROR(E1265/G1265-1,"")</x:f>
        <x:v>0.8051975628314092</x:v>
      </x:c>
      <x:c r="I1265" s="38" t="b">
        <x:f t="shared" si="50">E1265&lt;G1265</x:f>
        <x:v>0</x:v>
      </x:c>
    </x:row>
    <x:row r="1266">
      <x:c r="A1266" s="31">
        <x:v>38841</x:v>
      </x:c>
      <x:c r="B1266" s="32">
        <x:v>609.52</x:v>
      </x:c>
      <x:c r="C1266" s="32">
        <x:v>609.52</x:v>
      </x:c>
      <x:c r="D1266" s="32">
        <x:v>601.34</x:v>
      </x:c>
      <x:c r="E1266" s="32">
        <x:v>601.34</x:v>
      </x:c>
      <x:c r="F1266" s="33">
        <x:v>2447560</x:v>
      </x:c>
      <x:c r="G1266" s="32" t="n">
        <x:f t="shared" si="48">AVERAGE(E1067:E1266)</x:f>
        <x:v>340.84535000000005</x:v>
      </x:c>
      <x:c r="H1266" s="37" t="n">
        <x:f t="shared" si="49">IFERROR(E1266/G1266-1,"")</x:f>
        <x:v>0.7642605363400143</x:v>
      </x:c>
      <x:c r="I1266" s="38" t="b">
        <x:f t="shared" si="50">E1266&lt;G1266</x:f>
        <x:v>0</x:v>
      </x:c>
    </x:row>
    <x:row r="1267">
      <x:c r="A1267" s="31">
        <x:v>38842</x:v>
      </x:c>
      <x:c r="B1267" s="32">
        <x:v>602.59</x:v>
      </x:c>
      <x:c r="C1267" s="32">
        <x:v>602.59</x:v>
      </x:c>
      <x:c r="D1267" s="32">
        <x:v>593.89</x:v>
      </x:c>
      <x:c r="E1267" s="32">
        <x:v>593.89</x:v>
      </x:c>
      <x:c r="F1267" s="33">
        <x:v>2352630</x:v>
      </x:c>
      <x:c r="G1267" s="32" t="n">
        <x:f t="shared" si="48">AVERAGE(E1068:E1267)</x:f>
        <x:v>342.5701</x:v>
      </x:c>
      <x:c r="H1267" s="37" t="n">
        <x:f t="shared" si="49">IFERROR(E1267/G1267-1,"")</x:f>
        <x:v>0.7336305766323445</x:v>
      </x:c>
      <x:c r="I1267" s="38" t="b">
        <x:f t="shared" si="50">E1267&lt;G1267</x:f>
        <x:v>0</x:v>
      </x:c>
    </x:row>
    <x:row r="1268">
      <x:c r="A1268" s="31">
        <x:v>38845</x:v>
      </x:c>
      <x:c r="B1268" s="32">
        <x:v>586.46</x:v>
      </x:c>
      <x:c r="C1268" s="32">
        <x:v>586.46</x:v>
      </x:c>
      <x:c r="D1268" s="32">
        <x:v>574.25</x:v>
      </x:c>
      <x:c r="E1268" s="32">
        <x:v>574.25</x:v>
      </x:c>
      <x:c r="F1268" s="33">
        <x:v>1321990</x:v>
      </x:c>
      <x:c r="G1268" s="32" t="n">
        <x:f t="shared" si="48">AVERAGE(E1069:E1268)</x:f>
        <x:v>344.19739999999996</x:v>
      </x:c>
      <x:c r="H1268" s="37" t="n">
        <x:f t="shared" si="49">IFERROR(E1268/G1268-1,"")</x:f>
        <x:v>0.6683740202569806</x:v>
      </x:c>
      <x:c r="I1268" s="38" t="b">
        <x:f t="shared" si="50">E1268&lt;G1268</x:f>
        <x:v>0</x:v>
      </x:c>
    </x:row>
    <x:row r="1269">
      <x:c r="A1269" s="31">
        <x:v>38846</x:v>
      </x:c>
      <x:c r="B1269" s="32">
        <x:v>547.33000000000004</x:v>
      </x:c>
      <x:c r="C1269" s="32">
        <x:v>547.33000000000004</x:v>
      </x:c>
      <x:c r="D1269" s="32">
        <x:v>546.4</x:v>
      </x:c>
      <x:c r="E1269" s="32">
        <x:v>546.4</x:v>
      </x:c>
      <x:c r="F1269" s="33">
        <x:v>899310</x:v>
      </x:c>
      <x:c r="G1269" s="32" t="n">
        <x:f t="shared" si="48">AVERAGE(E1070:E1269)</x:f>
        <x:v>345.6878</x:v>
      </x:c>
      <x:c r="H1269" s="37" t="n">
        <x:f t="shared" si="49">IFERROR(E1269/G1269-1,"")</x:f>
        <x:v>0.580616961315962</x:v>
      </x:c>
      <x:c r="I1269" s="38" t="b">
        <x:f t="shared" si="50">E1269&lt;G1269</x:f>
        <x:v>0</x:v>
      </x:c>
    </x:row>
    <x:row r="1270">
      <x:c r="A1270" s="31">
        <x:v>38847</x:v>
      </x:c>
      <x:c r="B1270" s="32">
        <x:v>521.12</x:v>
      </x:c>
      <x:c r="C1270" s="32">
        <x:v>521.12</x:v>
      </x:c>
      <x:c r="D1270" s="32">
        <x:v>520.82000000000005</x:v>
      </x:c>
      <x:c r="E1270" s="32">
        <x:v>520.82000000000005</x:v>
      </x:c>
      <x:c r="F1270" s="33">
        <x:v>1068830</x:v>
      </x:c>
      <x:c r="G1270" s="32" t="n">
        <x:f t="shared" si="48">AVERAGE(E1071:E1270)</x:f>
        <x:v>347.05189999999993</x:v>
      </x:c>
      <x:c r="H1270" s="37" t="n">
        <x:f t="shared" si="49">IFERROR(E1270/G1270-1,"")</x:f>
        <x:v>0.5006977342581906</x:v>
      </x:c>
      <x:c r="I1270" s="38" t="b">
        <x:f t="shared" si="50">E1270&lt;G1270</x:f>
        <x:v>0</x:v>
      </x:c>
    </x:row>
    <x:row r="1271">
      <x:c r="A1271" s="31">
        <x:v>38848</x:v>
      </x:c>
      <x:c r="B1271" s="32">
        <x:v>535.47</x:v>
      </x:c>
      <x:c r="C1271" s="32">
        <x:v>542.95000000000005</x:v>
      </x:c>
      <x:c r="D1271" s="32">
        <x:v>535.47</x:v>
      </x:c>
      <x:c r="E1271" s="32">
        <x:v>542.95000000000005</x:v>
      </x:c>
      <x:c r="F1271" s="33">
        <x:v>2877310</x:v>
      </x:c>
      <x:c r="G1271" s="32" t="n">
        <x:f t="shared" si="48">AVERAGE(E1072:E1271)</x:f>
        <x:v>348.53394999999995</x:v>
      </x:c>
      <x:c r="H1271" s="37" t="n">
        <x:f t="shared" si="49">IFERROR(E1271/G1271-1,"")</x:f>
        <x:v>0.5578109392212727</x:v>
      </x:c>
      <x:c r="I1271" s="38" t="b">
        <x:f t="shared" si="50">E1271&lt;G1271</x:f>
        <x:v>0</x:v>
      </x:c>
    </x:row>
    <x:row r="1272">
      <x:c r="A1272" s="31">
        <x:v>38849</x:v>
      </x:c>
      <x:c r="B1272" s="32">
        <x:v>567.69000000000005</x:v>
      </x:c>
      <x:c r="C1272" s="32">
        <x:v>567.69000000000005</x:v>
      </x:c>
      <x:c r="D1272" s="32">
        <x:v>566.76</x:v>
      </x:c>
      <x:c r="E1272" s="32">
        <x:v>566.76</x:v>
      </x:c>
      <x:c r="F1272" s="33">
        <x:v>1452030</x:v>
      </x:c>
      <x:c r="G1272" s="32" t="n">
        <x:f t="shared" si="48">AVERAGE(E1073:E1272)</x:f>
        <x:v>350.1388999999999</x:v>
      </x:c>
      <x:c r="H1272" s="37" t="n">
        <x:f t="shared" si="49">IFERROR(E1272/G1272-1,"")</x:f>
        <x:v>0.6186719042071593</x:v>
      </x:c>
      <x:c r="I1272" s="38" t="b">
        <x:f t="shared" si="50">E1272&lt;G1272</x:f>
        <x:v>0</x:v>
      </x:c>
    </x:row>
    <x:row r="1273">
      <x:c r="A1273" s="31">
        <x:v>38852</x:v>
      </x:c>
      <x:c r="B1273" s="32">
        <x:v>590.04</x:v>
      </x:c>
      <x:c r="C1273" s="32">
        <x:v>590.25</x:v>
      </x:c>
      <x:c r="D1273" s="32">
        <x:v>590.04</x:v>
      </x:c>
      <x:c r="E1273" s="32">
        <x:v>590.25</x:v>
      </x:c>
      <x:c r="F1273" s="33">
        <x:v>1779040</x:v>
      </x:c>
      <x:c r="G1273" s="32" t="n">
        <x:f t="shared" si="48">AVERAGE(E1074:E1273)</x:f>
        <x:v>351.8585999999999</x:v>
      </x:c>
      <x:c r="H1273" s="37" t="n">
        <x:f t="shared" si="49">IFERROR(E1273/G1273-1,"")</x:f>
        <x:v>0.6775204585023646</x:v>
      </x:c>
      <x:c r="I1273" s="38" t="b">
        <x:f t="shared" si="50">E1273&lt;G1273</x:f>
        <x:v>0</x:v>
      </x:c>
    </x:row>
    <x:row r="1274">
      <x:c r="A1274" s="31">
        <x:v>38853</x:v>
      </x:c>
      <x:c r="B1274" s="32">
        <x:v>577.19000000000005</x:v>
      </x:c>
      <x:c r="C1274" s="32">
        <x:v>577.19000000000005</x:v>
      </x:c>
      <x:c r="D1274" s="32">
        <x:v>564.52</x:v>
      </x:c>
      <x:c r="E1274" s="32">
        <x:v>564.52</x:v>
      </x:c>
      <x:c r="F1274" s="33">
        <x:v>2712830</x:v>
      </x:c>
      <x:c r="G1274" s="32" t="n">
        <x:f t="shared" si="48">AVERAGE(E1075:E1274)</x:f>
        <x:v>353.45144999999997</x:v>
      </x:c>
      <x:c r="H1274" s="37" t="n">
        <x:f t="shared" si="49">IFERROR(E1274/G1274-1,"")</x:f>
        <x:v>0.5971641932718059</x:v>
      </x:c>
      <x:c r="I1274" s="38" t="b">
        <x:f t="shared" si="50">E1274&lt;G1274</x:f>
        <x:v>0</x:v>
      </x:c>
    </x:row>
    <x:row r="1275">
      <x:c r="A1275" s="31">
        <x:v>38854</x:v>
      </x:c>
      <x:c r="B1275" s="32">
        <x:v>576.25</x:v>
      </x:c>
      <x:c r="C1275" s="32">
        <x:v>576.25</x:v>
      </x:c>
      <x:c r="D1275" s="32">
        <x:v>575.54</x:v>
      </x:c>
      <x:c r="E1275" s="32">
        <x:v>575.54</x:v>
      </x:c>
      <x:c r="F1275" s="33">
        <x:v>1630410</x:v>
      </x:c>
      <x:c r="G1275" s="32" t="n">
        <x:f t="shared" si="48">AVERAGE(E1076:E1275)</x:f>
        <x:v>355.10794999999996</x:v>
      </x:c>
      <x:c r="H1275" s="37" t="n">
        <x:f t="shared" si="49">IFERROR(E1275/G1275-1,"")</x:f>
        <x:v>0.6207465926910396</x:v>
      </x:c>
      <x:c r="I1275" s="38" t="b">
        <x:f t="shared" si="50">E1275&lt;G1275</x:f>
        <x:v>0</x:v>
      </x:c>
    </x:row>
    <x:row r="1276">
      <x:c r="A1276" s="31">
        <x:v>38855</x:v>
      </x:c>
      <x:c r="B1276" s="32">
        <x:v>568.80999999999995</x:v>
      </x:c>
      <x:c r="C1276" s="32">
        <x:v>568.80999999999995</x:v>
      </x:c>
      <x:c r="D1276" s="32">
        <x:v>566.11</x:v>
      </x:c>
      <x:c r="E1276" s="32">
        <x:v>566.11</x:v>
      </x:c>
      <x:c r="F1276" s="33">
        <x:v>1446910</x:v>
      </x:c>
      <x:c r="G1276" s="32" t="n">
        <x:f t="shared" si="48">AVERAGE(E1077:E1276)</x:f>
        <x:v>356.72014999999993</x:v>
      </x:c>
      <x:c r="H1276" s="37" t="n">
        <x:f t="shared" si="49">IFERROR(E1276/G1276-1,"")</x:f>
        <x:v>0.5869863252748693</x:v>
      </x:c>
      <x:c r="I1276" s="38" t="b">
        <x:f t="shared" si="50">E1276&lt;G1276</x:f>
        <x:v>0</x:v>
      </x:c>
    </x:row>
    <x:row r="1277">
      <x:c r="A1277" s="31">
        <x:v>38856</x:v>
      </x:c>
      <x:c r="B1277" s="32">
        <x:v>557.28</x:v>
      </x:c>
      <x:c r="C1277" s="32">
        <x:v>562.33000000000004</x:v>
      </x:c>
      <x:c r="D1277" s="32">
        <x:v>557.28</x:v>
      </x:c>
      <x:c r="E1277" s="32">
        <x:v>562.33000000000004</x:v>
      </x:c>
      <x:c r="F1277" s="33">
        <x:v>1673210</x:v>
      </x:c>
      <x:c r="G1277" s="32" t="n">
        <x:f t="shared" si="48">AVERAGE(E1078:E1277)</x:f>
        <x:v>358.30415</x:v>
      </x:c>
      <x:c r="H1277" s="37" t="n">
        <x:f t="shared" si="49">IFERROR(E1277/G1277-1,"")</x:f>
        <x:v>0.5694208398088609</x:v>
      </x:c>
      <x:c r="I1277" s="38" t="b">
        <x:f t="shared" si="50">E1277&lt;G1277</x:f>
        <x:v>0</x:v>
      </x:c>
    </x:row>
    <x:row r="1278">
      <x:c r="A1278" s="31">
        <x:v>38859</x:v>
      </x:c>
      <x:c r="B1278" s="32">
        <x:v>558.15</x:v>
      </x:c>
      <x:c r="C1278" s="32">
        <x:v>558.15</x:v>
      </x:c>
      <x:c r="D1278" s="32">
        <x:v>553.37</x:v>
      </x:c>
      <x:c r="E1278" s="32">
        <x:v>553.37</x:v>
      </x:c>
      <x:c r="F1278" s="33">
        <x:v>1279500</x:v>
      </x:c>
      <x:c r="G1278" s="32" t="n">
        <x:f t="shared" si="48">AVERAGE(E1079:E1278)</x:f>
        <x:v>359.8436</x:v>
      </x:c>
      <x:c r="H1278" s="37" t="n">
        <x:f t="shared" si="49">IFERROR(E1278/G1278-1,"")</x:f>
        <x:v>0.5378069805882335</x:v>
      </x:c>
      <x:c r="I1278" s="38" t="b">
        <x:f t="shared" si="50">E1278&lt;G1278</x:f>
        <x:v>0</x:v>
      </x:c>
    </x:row>
    <x:row r="1279">
      <x:c r="A1279" s="31">
        <x:v>38860</x:v>
      </x:c>
      <x:c r="B1279" s="32">
        <x:v>540.55999999999995</x:v>
      </x:c>
      <x:c r="C1279" s="32">
        <x:v>540.55999999999995</x:v>
      </x:c>
      <x:c r="D1279" s="32">
        <x:v>538.6</x:v>
      </x:c>
      <x:c r="E1279" s="32">
        <x:v>538.6</x:v>
      </x:c>
      <x:c r="F1279" s="33">
        <x:v>1347640</x:v>
      </x:c>
      <x:c r="G1279" s="32" t="n">
        <x:f t="shared" si="48">AVERAGE(E1080:E1279)</x:f>
        <x:v>361.30395000000004</x:v>
      </x:c>
      <x:c r="H1279" s="37" t="n">
        <x:f t="shared" si="49">IFERROR(E1279/G1279-1,"")</x:f>
        <x:v>0.4907116293635869</x:v>
      </x:c>
      <x:c r="I1279" s="38" t="b">
        <x:f t="shared" si="50">E1279&lt;G1279</x:f>
        <x:v>0</x:v>
      </x:c>
    </x:row>
    <x:row r="1280">
      <x:c r="A1280" s="31">
        <x:v>38861</x:v>
      </x:c>
      <x:c r="B1280" s="32">
        <x:v>546.21</x:v>
      </x:c>
      <x:c r="C1280" s="32">
        <x:v>559.54999999999995</x:v>
      </x:c>
      <x:c r="D1280" s="32">
        <x:v>546.21</x:v>
      </x:c>
      <x:c r="E1280" s="32">
        <x:v>559.54999999999995</x:v>
      </x:c>
      <x:c r="F1280" s="33">
        <x:v>1450480</x:v>
      </x:c>
      <x:c r="G1280" s="32" t="n">
        <x:f t="shared" si="48">AVERAGE(E1081:E1280)</x:f>
        <x:v>362.86190000000005</x:v>
      </x:c>
      <x:c r="H1280" s="37" t="n">
        <x:f t="shared" si="49">IFERROR(E1280/G1280-1,"")</x:f>
        <x:v>0.5420467125371935</x:v>
      </x:c>
      <x:c r="I1280" s="38" t="b">
        <x:f t="shared" si="50">E1280&lt;G1280</x:f>
        <x:v>0</x:v>
      </x:c>
    </x:row>
    <x:row r="1281">
      <x:c r="A1281" s="31">
        <x:v>38862</x:v>
      </x:c>
      <x:c r="B1281" s="32">
        <x:v>551.57000000000005</x:v>
      </x:c>
      <x:c r="C1281" s="32">
        <x:v>551.57000000000005</x:v>
      </x:c>
      <x:c r="D1281" s="32">
        <x:v>543.41</x:v>
      </x:c>
      <x:c r="E1281" s="32">
        <x:v>543.41</x:v>
      </x:c>
      <x:c r="F1281" s="33">
        <x:v>1504750</x:v>
      </x:c>
      <x:c r="G1281" s="32" t="n">
        <x:f t="shared" si="48">AVERAGE(E1082:E1281)</x:f>
        <x:v>364.3114</x:v>
      </x:c>
      <x:c r="H1281" s="37" t="n">
        <x:f t="shared" si="49">IFERROR(E1281/G1281-1,"")</x:f>
        <x:v>0.491608552463634</x:v>
      </x:c>
      <x:c r="I1281" s="38" t="b">
        <x:f t="shared" si="50">E1281&lt;G1281</x:f>
        <x:v>0</x:v>
      </x:c>
    </x:row>
    <x:row r="1282">
      <x:c r="A1282" s="31">
        <x:v>38863</x:v>
      </x:c>
      <x:c r="B1282" s="32">
        <x:v>543.66999999999996</x:v>
      </x:c>
      <x:c r="C1282" s="32">
        <x:v>545.39</x:v>
      </x:c>
      <x:c r="D1282" s="32">
        <x:v>543.66999999999996</x:v>
      </x:c>
      <x:c r="E1282" s="32">
        <x:v>545.39</x:v>
      </x:c>
      <x:c r="F1282" s="33">
        <x:v>852120</x:v>
      </x:c>
      <x:c r="G1282" s="32" t="n">
        <x:f t="shared" si="48">AVERAGE(E1083:E1282)</x:f>
        <x:v>365.7837</x:v>
      </x:c>
      <x:c r="H1282" s="37" t="n">
        <x:f t="shared" si="49">IFERROR(E1282/G1282-1,"")</x:f>
        <x:v>0.49101777908638344</x:v>
      </x:c>
      <x:c r="I1282" s="38" t="b">
        <x:f t="shared" si="50">E1282&lt;G1282</x:f>
        <x:v>0</x:v>
      </x:c>
    </x:row>
    <x:row r="1283">
      <x:c r="A1283" s="31">
        <x:v>38866</x:v>
      </x:c>
      <x:c r="B1283" s="32">
        <x:v>540.55999999999995</x:v>
      </x:c>
      <x:c r="C1283" s="32">
        <x:v>540.55999999999995</x:v>
      </x:c>
      <x:c r="D1283" s="32">
        <x:v>537.29999999999995</x:v>
      </x:c>
      <x:c r="E1283" s="32">
        <x:v>537.29999999999995</x:v>
      </x:c>
      <x:c r="F1283" s="33">
        <x:v>747760</x:v>
      </x:c>
      <x:c r="G1283" s="32" t="n">
        <x:f t="shared" si="48">AVERAGE(E1084:E1283)</x:f>
        <x:v>367.22585</x:v>
      </x:c>
      <x:c r="H1283" s="37" t="n">
        <x:f t="shared" si="49">IFERROR(E1283/G1283-1,"")</x:f>
        <x:v>0.4631322931106292</x:v>
      </x:c>
      <x:c r="I1283" s="38" t="b">
        <x:f t="shared" si="50">E1283&lt;G1283</x:f>
        <x:v>0</x:v>
      </x:c>
    </x:row>
    <x:row r="1284">
      <x:c r="A1284" s="31">
        <x:v>38867</x:v>
      </x:c>
      <x:c r="B1284" s="32">
        <x:v>526.15</x:v>
      </x:c>
      <x:c r="C1284" s="32">
        <x:v>526.15</x:v>
      </x:c>
      <x:c r="D1284" s="32">
        <x:v>526.01</x:v>
      </x:c>
      <x:c r="E1284" s="32">
        <x:v>526.01</x:v>
      </x:c>
      <x:c r="F1284" s="33">
        <x:v>1241470</x:v>
      </x:c>
      <x:c r="G1284" s="32" t="n">
        <x:f t="shared" si="48">AVERAGE(E1085:E1284)</x:f>
        <x:v>368.60934999999995</x:v>
      </x:c>
      <x:c r="H1284" s="37" t="n">
        <x:f t="shared" si="49">IFERROR(E1284/G1284-1,"")</x:f>
        <x:v>0.42701209288369935</x:v>
      </x:c>
      <x:c r="I1284" s="38" t="b">
        <x:f t="shared" si="50">E1284&lt;G1284</x:f>
        <x:v>0</x:v>
      </x:c>
    </x:row>
    <x:row r="1285">
      <x:c r="A1285" s="31">
        <x:v>38868</x:v>
      </x:c>
      <x:c r="B1285" s="32">
        <x:v>531.22</x:v>
      </x:c>
      <x:c r="C1285" s="32">
        <x:v>538.91</x:v>
      </x:c>
      <x:c r="D1285" s="32">
        <x:v>531.22</x:v>
      </x:c>
      <x:c r="E1285" s="32">
        <x:v>538.91</x:v>
      </x:c>
      <x:c r="F1285" s="33">
        <x:v>1296460</x:v>
      </x:c>
      <x:c r="G1285" s="32" t="n">
        <x:f t="shared" si="48">AVERAGE(E1086:E1285)</x:f>
        <x:v>370.05869999999993</x:v>
      </x:c>
      <x:c r="H1285" s="37" t="n">
        <x:f t="shared" si="49">IFERROR(E1285/G1285-1,"")</x:f>
        <x:v>0.45628247626660334</x:v>
      </x:c>
      <x:c r="I1285" s="38" t="b">
        <x:f t="shared" si="50">E1285&lt;G1285</x:f>
        <x:v>0</x:v>
      </x:c>
    </x:row>
    <x:row r="1286">
      <x:c r="A1286" s="31">
        <x:v>38869</x:v>
      </x:c>
      <x:c r="B1286" s="32">
        <x:v>538.54999999999995</x:v>
      </x:c>
      <x:c r="C1286" s="32">
        <x:v>538.54999999999995</x:v>
      </x:c>
      <x:c r="D1286" s="32">
        <x:v>535.17999999999995</x:v>
      </x:c>
      <x:c r="E1286" s="32">
        <x:v>535.17999999999995</x:v>
      </x:c>
      <x:c r="F1286" s="33">
        <x:v>1030290</x:v>
      </x:c>
      <x:c r="G1286" s="32" t="n">
        <x:f t="shared" si="48">AVERAGE(E1087:E1286)</x:f>
        <x:v>371.48965</x:v>
      </x:c>
      <x:c r="H1286" s="37" t="n">
        <x:f t="shared" si="49">IFERROR(E1286/G1286-1,"")</x:f>
        <x:v>0.44063232986437173</x:v>
      </x:c>
      <x:c r="I1286" s="38" t="b">
        <x:f t="shared" si="50">E1286&lt;G1286</x:f>
        <x:v>0</x:v>
      </x:c>
    </x:row>
    <x:row r="1287">
      <x:c r="A1287" s="31">
        <x:v>38870</x:v>
      </x:c>
      <x:c r="B1287" s="32">
        <x:v>538.37</x:v>
      </x:c>
      <x:c r="C1287" s="32">
        <x:v>540.23</x:v>
      </x:c>
      <x:c r="D1287" s="32">
        <x:v>538.37</x:v>
      </x:c>
      <x:c r="E1287" s="32">
        <x:v>540.23</x:v>
      </x:c>
      <x:c r="F1287" s="33">
        <x:v>940980</x:v>
      </x:c>
      <x:c r="G1287" s="32" t="n">
        <x:f t="shared" si="48">AVERAGE(E1088:E1287)</x:f>
        <x:v>372.94464999999997</x:v>
      </x:c>
      <x:c r="H1287" s="37" t="n">
        <x:f t="shared" si="49">IFERROR(E1287/G1287-1,"")</x:f>
        <x:v>0.4485527544100716</x:v>
      </x:c>
      <x:c r="I1287" s="38" t="b">
        <x:f t="shared" si="50">E1287&lt;G1287</x:f>
        <x:v>0</x:v>
      </x:c>
    </x:row>
    <x:row r="1288">
      <x:c r="A1288" s="31">
        <x:v>38873</x:v>
      </x:c>
      <x:c r="B1288" s="32">
        <x:v>548.91</x:v>
      </x:c>
      <x:c r="C1288" s="32">
        <x:v>551.26</x:v>
      </x:c>
      <x:c r="D1288" s="32">
        <x:v>548.91</x:v>
      </x:c>
      <x:c r="E1288" s="32">
        <x:v>551.26</x:v>
      </x:c>
      <x:c r="F1288" s="33">
        <x:v>1010040</x:v>
      </x:c>
      <x:c r="G1288" s="32" t="n">
        <x:f t="shared" si="48">AVERAGE(E1089:E1288)</x:f>
        <x:v>374.45975</x:v>
      </x:c>
      <x:c r="H1288" s="37" t="n">
        <x:f t="shared" si="49">IFERROR(E1288/G1288-1,"")</x:f>
        <x:v>0.4721475405567621</x:v>
      </x:c>
      <x:c r="I1288" s="38" t="b">
        <x:f t="shared" si="50">E1288&lt;G1288</x:f>
        <x:v>0</x:v>
      </x:c>
    </x:row>
    <x:row r="1289">
      <x:c r="A1289" s="31">
        <x:v>38874</x:v>
      </x:c>
      <x:c r="B1289" s="32">
        <x:v>557.35</x:v>
      </x:c>
      <x:c r="C1289" s="32">
        <x:v>557.35</x:v>
      </x:c>
      <x:c r="D1289" s="32">
        <x:v>551.79</x:v>
      </x:c>
      <x:c r="E1289" s="32">
        <x:v>551.79</x:v>
      </x:c>
      <x:c r="F1289" s="33">
        <x:v>1480950</x:v>
      </x:c>
      <x:c r="G1289" s="32" t="n">
        <x:f t="shared" si="48">AVERAGE(E1090:E1289)</x:f>
        <x:v>375.98105</x:v>
      </x:c>
      <x:c r="H1289" s="37" t="n">
        <x:f t="shared" si="49">IFERROR(E1289/G1289-1,"")</x:f>
        <x:v>0.4676005612516907</x:v>
      </x:c>
      <x:c r="I1289" s="38" t="b">
        <x:f t="shared" si="50">E1289&lt;G1289</x:f>
        <x:v>0</x:v>
      </x:c>
    </x:row>
    <x:row r="1290">
      <x:c r="A1290" s="31">
        <x:v>38875</x:v>
      </x:c>
      <x:c r="B1290" s="32">
        <x:v>546.20000000000005</x:v>
      </x:c>
      <x:c r="C1290" s="32">
        <x:v>546.20000000000005</x:v>
      </x:c>
      <x:c r="D1290" s="32">
        <x:v>544.54999999999995</x:v>
      </x:c>
      <x:c r="E1290" s="32">
        <x:v>544.54999999999995</x:v>
      </x:c>
      <x:c r="F1290" s="33">
        <x:v>941920</x:v>
      </x:c>
      <x:c r="G1290" s="32" t="n">
        <x:f t="shared" si="48">AVERAGE(E1091:E1290)</x:f>
        <x:v>377.46714999999995</x:v>
      </x:c>
      <x:c r="H1290" s="37" t="n">
        <x:f t="shared" si="49">IFERROR(E1290/G1290-1,"")</x:f>
        <x:v>0.4426420948154033</x:v>
      </x:c>
      <x:c r="I1290" s="38" t="b">
        <x:f t="shared" si="50">E1290&lt;G1290</x:f>
        <x:v>0</x:v>
      </x:c>
    </x:row>
    <x:row r="1291">
      <x:c r="A1291" s="31">
        <x:v>38876</x:v>
      </x:c>
      <x:c r="B1291" s="32">
        <x:v>544.41</x:v>
      </x:c>
      <x:c r="C1291" s="32">
        <x:v>548.19000000000005</x:v>
      </x:c>
      <x:c r="D1291" s="32">
        <x:v>544.41</x:v>
      </x:c>
      <x:c r="E1291" s="32">
        <x:v>548.19000000000005</x:v>
      </x:c>
      <x:c r="F1291" s="33">
        <x:v>842250</x:v>
      </x:c>
      <x:c r="G1291" s="32" t="n">
        <x:f t="shared" si="48">AVERAGE(E1092:E1291)</x:f>
        <x:v>378.97135</x:v>
      </x:c>
      <x:c r="H1291" s="37" t="n">
        <x:f t="shared" si="49">IFERROR(E1291/G1291-1,"")</x:f>
        <x:v>0.44652095732302755</x:v>
      </x:c>
      <x:c r="I1291" s="38" t="b">
        <x:f t="shared" si="50">E1291&lt;G1291</x:f>
        <x:v>0</x:v>
      </x:c>
    </x:row>
    <x:row r="1292">
      <x:c r="A1292" s="31">
        <x:v>38877</x:v>
      </x:c>
      <x:c r="B1292" s="32">
        <x:v>549.61</x:v>
      </x:c>
      <x:c r="C1292" s="32">
        <x:v>549.61</x:v>
      </x:c>
      <x:c r="D1292" s="32">
        <x:v>548.79</x:v>
      </x:c>
      <x:c r="E1292" s="32">
        <x:v>548.79</x:v>
      </x:c>
      <x:c r="F1292" s="33">
        <x:v>969170</x:v>
      </x:c>
      <x:c r="G1292" s="32" t="n">
        <x:f t="shared" si="48">AVERAGE(E1093:E1292)</x:f>
        <x:v>380.4760999999999</x:v>
      </x:c>
      <x:c r="H1292" s="37" t="n">
        <x:f t="shared" si="49">IFERROR(E1292/G1292-1,"")</x:f>
        <x:v>0.4423770638944209</x:v>
      </x:c>
      <x:c r="I1292" s="38" t="b">
        <x:f t="shared" si="50">E1292&lt;G1292</x:f>
        <x:v>0</x:v>
      </x:c>
    </x:row>
    <x:row r="1293">
      <x:c r="A1293" s="31">
        <x:v>38880</x:v>
      </x:c>
      <x:c r="B1293" s="32">
        <x:v>546.95000000000005</x:v>
      </x:c>
      <x:c r="C1293" s="32">
        <x:v>546.95000000000005</x:v>
      </x:c>
      <x:c r="D1293" s="32">
        <x:v>545.98</x:v>
      </x:c>
      <x:c r="E1293" s="32">
        <x:v>545.98</x:v>
      </x:c>
      <x:c r="F1293" s="33">
        <x:v>572870</x:v>
      </x:c>
      <x:c r="G1293" s="32" t="n">
        <x:f t="shared" ref="G1293:G1356" si="51">AVERAGE(E1094:E1293)</x:f>
        <x:v>381.9664499999999</x:v>
      </x:c>
      <x:c r="H1293" s="37" t="n">
        <x:f t="shared" ref="H1293:H1356" si="52">IFERROR(E1293/G1293-1,"")</x:f>
        <x:v>0.42939255528856046</x:v>
      </x:c>
      <x:c r="I1293" s="38" t="b">
        <x:f t="shared" ref="I1293:I1356" si="53">E1293&lt;G1293</x:f>
        <x:v>0</x:v>
      </x:c>
    </x:row>
    <x:row r="1294">
      <x:c r="A1294" s="31">
        <x:v>38881</x:v>
      </x:c>
      <x:c r="B1294" s="32">
        <x:v>546.20000000000005</x:v>
      </x:c>
      <x:c r="C1294" s="32">
        <x:v>546.20000000000005</x:v>
      </x:c>
      <x:c r="D1294" s="32">
        <x:v>543.9</x:v>
      </x:c>
      <x:c r="E1294" s="32">
        <x:v>543.9</x:v>
      </x:c>
      <x:c r="F1294" s="33">
        <x:v>840350</x:v>
      </x:c>
      <x:c r="G1294" s="32" t="n">
        <x:f t="shared" si="51">AVERAGE(E1095:E1294)</x:f>
        <x:v>383.4449999999999</x:v>
      </x:c>
      <x:c r="H1294" s="37" t="n">
        <x:f t="shared" si="52">IFERROR(E1294/G1294-1,"")</x:f>
        <x:v>0.41845636271173214</x:v>
      </x:c>
      <x:c r="I1294" s="38" t="b">
        <x:f t="shared" si="53">E1294&lt;G1294</x:f>
        <x:v>0</x:v>
      </x:c>
    </x:row>
    <x:row r="1295">
      <x:c r="A1295" s="31">
        <x:v>38882</x:v>
      </x:c>
      <x:c r="B1295" s="32">
        <x:v>543.53</x:v>
      </x:c>
      <x:c r="C1295" s="32">
        <x:v>543.53</x:v>
      </x:c>
      <x:c r="D1295" s="32">
        <x:v>540.96</x:v>
      </x:c>
      <x:c r="E1295" s="32">
        <x:v>540.96</x:v>
      </x:c>
      <x:c r="F1295" s="33">
        <x:v>625760</x:v>
      </x:c>
      <x:c r="G1295" s="32" t="n">
        <x:f t="shared" si="51">AVERAGE(E1096:E1295)</x:f>
        <x:v>384.90774999999996</x:v>
      </x:c>
      <x:c r="H1295" s="37" t="n">
        <x:f t="shared" si="52">IFERROR(E1295/G1295-1,"")</x:f>
        <x:v>0.4054276641610881</x:v>
      </x:c>
      <x:c r="I1295" s="38" t="b">
        <x:f t="shared" si="53">E1295&lt;G1295</x:f>
        <x:v>0</x:v>
      </x:c>
    </x:row>
    <x:row r="1296">
      <x:c r="A1296" s="31">
        <x:v>38883</x:v>
      </x:c>
      <x:c r="B1296" s="32">
        <x:v>539.08000000000004</x:v>
      </x:c>
      <x:c r="C1296" s="32">
        <x:v>539.08000000000004</x:v>
      </x:c>
      <x:c r="D1296" s="32">
        <x:v>537.48</x:v>
      </x:c>
      <x:c r="E1296" s="32">
        <x:v>537.48</x:v>
      </x:c>
      <x:c r="F1296" s="33">
        <x:v>583750</x:v>
      </x:c>
      <x:c r="G1296" s="32" t="n">
        <x:f t="shared" si="51">AVERAGE(E1097:E1296)</x:f>
        <x:v>386.3497999999999</x:v>
      </x:c>
      <x:c r="H1296" s="37" t="n">
        <x:f t="shared" si="52">IFERROR(E1296/G1296-1,"")</x:f>
        <x:v>0.391174526297154</x:v>
      </x:c>
      <x:c r="I1296" s="38" t="b">
        <x:f t="shared" si="53">E1296&lt;G1296</x:f>
        <x:v>0</x:v>
      </x:c>
    </x:row>
    <x:row r="1297">
      <x:c r="A1297" s="31">
        <x:v>38884</x:v>
      </x:c>
      <x:c r="B1297" s="32">
        <x:v>529.30999999999995</x:v>
      </x:c>
      <x:c r="C1297" s="32">
        <x:v>529.30999999999995</x:v>
      </x:c>
      <x:c r="D1297" s="32">
        <x:v>523.63</x:v>
      </x:c>
      <x:c r="E1297" s="32">
        <x:v>523.70000000000005</x:v>
      </x:c>
      <x:c r="F1297" s="33">
        <x:v>1035900</x:v>
      </x:c>
      <x:c r="G1297" s="32" t="n">
        <x:f t="shared" si="51">AVERAGE(E1098:E1297)</x:f>
        <x:v>387.71959999999984</x:v>
      </x:c>
      <x:c r="H1297" s="37" t="n">
        <x:f t="shared" si="52">IFERROR(E1297/G1297-1,"")</x:f>
        <x:v>0.3507184057757211</x:v>
      </x:c>
      <x:c r="I1297" s="38" t="b">
        <x:f t="shared" si="53">E1297&lt;G1297</x:f>
        <x:v>0</x:v>
      </x:c>
    </x:row>
    <x:row r="1298">
      <x:c r="A1298" s="31">
        <x:v>38887</x:v>
      </x:c>
      <x:c r="B1298" s="32">
        <x:v>522.33000000000004</x:v>
      </x:c>
      <x:c r="C1298" s="32">
        <x:v>522.54999999999995</x:v>
      </x:c>
      <x:c r="D1298" s="32">
        <x:v>519.47</x:v>
      </x:c>
      <x:c r="E1298" s="32">
        <x:v>519.47</x:v>
      </x:c>
      <x:c r="F1298" s="33">
        <x:v>631460</x:v>
      </x:c>
      <x:c r="G1298" s="32" t="n">
        <x:f t="shared" si="51">AVERAGE(E1099:E1298)</x:f>
        <x:v>389.0484499999999</x:v>
      </x:c>
      <x:c r="H1298" s="37" t="n">
        <x:f t="shared" si="52">IFERROR(E1298/G1298-1,"")</x:f>
        <x:v>0.33523215424711283</x:v>
      </x:c>
      <x:c r="I1298" s="38" t="b">
        <x:f t="shared" si="53">E1298&lt;G1298</x:f>
        <x:v>0</x:v>
      </x:c>
    </x:row>
    <x:row r="1299">
      <x:c r="A1299" s="31">
        <x:v>38888</x:v>
      </x:c>
      <x:c r="B1299" s="32">
        <x:v>517.1</x:v>
      </x:c>
      <x:c r="C1299" s="32">
        <x:v>517.1</x:v>
      </x:c>
      <x:c r="D1299" s="32">
        <x:v>505.94</x:v>
      </x:c>
      <x:c r="E1299" s="32">
        <x:v>505.94</x:v>
      </x:c>
      <x:c r="F1299" s="33">
        <x:v>1003480</x:v>
      </x:c>
      <x:c r="G1299" s="32" t="n">
        <x:f t="shared" si="51">AVERAGE(E1100:E1299)</x:f>
        <x:v>390.2984499999999</x:v>
      </x:c>
      <x:c r="H1299" s="37" t="n">
        <x:f t="shared" si="52">IFERROR(E1299/G1299-1,"")</x:f>
        <x:v>0.2962900570063758</x:v>
      </x:c>
      <x:c r="I1299" s="38" t="b">
        <x:f t="shared" si="53">E1299&lt;G1299</x:f>
        <x:v>0</x:v>
      </x:c>
    </x:row>
    <x:row r="1300">
      <x:c r="A1300" s="31">
        <x:v>38889</x:v>
      </x:c>
      <x:c r="B1300" s="32">
        <x:v>495.09</x:v>
      </x:c>
      <x:c r="C1300" s="32">
        <x:v>495.09</x:v>
      </x:c>
      <x:c r="D1300" s="32">
        <x:v>487.86</x:v>
      </x:c>
      <x:c r="E1300" s="32">
        <x:v>487.86</x:v>
      </x:c>
      <x:c r="F1300" s="33">
        <x:v>1714390</x:v>
      </x:c>
      <x:c r="G1300" s="32" t="n">
        <x:f t="shared" si="51">AVERAGE(E1101:E1300)</x:f>
        <x:v>391.46524999999986</x:v>
      </x:c>
      <x:c r="H1300" s="37" t="n">
        <x:f t="shared" si="52">IFERROR(E1300/G1300-1,"")</x:f>
        <x:v>0.24624088600456928</x:v>
      </x:c>
      <x:c r="I1300" s="38" t="b">
        <x:f t="shared" si="53">E1300&lt;G1300</x:f>
        <x:v>0</x:v>
      </x:c>
    </x:row>
    <x:row r="1301">
      <x:c r="A1301" s="31">
        <x:v>38890</x:v>
      </x:c>
      <x:c r="B1301" s="32">
        <x:v>502.82</x:v>
      </x:c>
      <x:c r="C1301" s="32">
        <x:v>510.15</x:v>
      </x:c>
      <x:c r="D1301" s="32">
        <x:v>502.82</x:v>
      </x:c>
      <x:c r="E1301" s="32">
        <x:v>510.15</x:v>
      </x:c>
      <x:c r="F1301" s="33">
        <x:v>855700</x:v>
      </x:c>
      <x:c r="G1301" s="32" t="n">
        <x:f t="shared" si="51">AVERAGE(E1102:E1301)</x:f>
        <x:v>392.74124999999987</x:v>
      </x:c>
      <x:c r="H1301" s="37" t="n">
        <x:f t="shared" si="52">IFERROR(E1301/G1301-1,"")</x:f>
        <x:v>0.2989468256772114</x:v>
      </x:c>
      <x:c r="I1301" s="38" t="b">
        <x:f t="shared" si="53">E1301&lt;G1301</x:f>
        <x:v>0</x:v>
      </x:c>
    </x:row>
    <x:row r="1302">
      <x:c r="A1302" s="31">
        <x:v>38891</x:v>
      </x:c>
      <x:c r="B1302" s="32">
        <x:v>516.59</x:v>
      </x:c>
      <x:c r="C1302" s="32">
        <x:v>516.59</x:v>
      </x:c>
      <x:c r="D1302" s="32">
        <x:v>505.8</x:v>
      </x:c>
      <x:c r="E1302" s="32">
        <x:v>510.62</x:v>
      </x:c>
      <x:c r="F1302" s="33">
        <x:v>1058740</x:v>
      </x:c>
      <x:c r="G1302" s="32" t="n">
        <x:f t="shared" si="51">AVERAGE(E1103:E1302)</x:f>
        <x:v>394.01659999999987</x:v>
      </x:c>
      <x:c r="H1302" s="37" t="n">
        <x:f t="shared" si="52">IFERROR(E1302/G1302-1,"")</x:f>
        <x:v>0.2959352473982064</x:v>
      </x:c>
      <x:c r="I1302" s="38" t="b">
        <x:f t="shared" si="53">E1302&lt;G1302</x:f>
        <x:v>0</x:v>
      </x:c>
    </x:row>
    <x:row r="1303">
      <x:c r="A1303" s="31">
        <x:v>38894</x:v>
      </x:c>
      <x:c r="B1303" s="32">
        <x:v>504.11</x:v>
      </x:c>
      <x:c r="C1303" s="32">
        <x:v>506.59</x:v>
      </x:c>
      <x:c r="D1303" s="32">
        <x:v>502.94</x:v>
      </x:c>
      <x:c r="E1303" s="32">
        <x:v>502.94</x:v>
      </x:c>
      <x:c r="F1303" s="33">
        <x:v>643310</x:v>
      </x:c>
      <x:c r="G1303" s="32" t="n">
        <x:f t="shared" si="51">AVERAGE(E1104:E1303)</x:f>
        <x:v>395.2433999999999</x:v>
      </x:c>
      <x:c r="H1303" s="37" t="n">
        <x:f t="shared" si="52">IFERROR(E1303/G1303-1,"")</x:f>
        <x:v>0.2724817163297353</x:v>
      </x:c>
      <x:c r="I1303" s="38" t="b">
        <x:f t="shared" si="53">E1303&lt;G1303</x:f>
        <x:v>0</x:v>
      </x:c>
    </x:row>
    <x:row r="1304">
      <x:c r="A1304" s="31">
        <x:v>38895</x:v>
      </x:c>
      <x:c r="B1304" s="32">
        <x:v>498.54</x:v>
      </x:c>
      <x:c r="C1304" s="32">
        <x:v>501.56</x:v>
      </x:c>
      <x:c r="D1304" s="32">
        <x:v>497.79</x:v>
      </x:c>
      <x:c r="E1304" s="32">
        <x:v>501.56</x:v>
      </x:c>
      <x:c r="F1304" s="33">
        <x:v>766620</x:v>
      </x:c>
      <x:c r="G1304" s="32" t="n">
        <x:f t="shared" si="51">AVERAGE(E1105:E1304)</x:f>
        <x:v>396.45334999999994</x:v>
      </x:c>
      <x:c r="H1304" s="37" t="n">
        <x:f t="shared" si="52">IFERROR(E1304/G1304-1,"")</x:f>
        <x:v>0.26511732086511586</x:v>
      </x:c>
      <x:c r="I1304" s="38" t="b">
        <x:f t="shared" si="53">E1304&lt;G1304</x:f>
        <x:v>0</x:v>
      </x:c>
    </x:row>
    <x:row r="1305">
      <x:c r="A1305" s="31">
        <x:v>38896</x:v>
      </x:c>
      <x:c r="B1305" s="32">
        <x:v>502.51</x:v>
      </x:c>
      <x:c r="C1305" s="32">
        <x:v>506.46</x:v>
      </x:c>
      <x:c r="D1305" s="32">
        <x:v>502.51</x:v>
      </x:c>
      <x:c r="E1305" s="32">
        <x:v>506.46</x:v>
      </x:c>
      <x:c r="F1305" s="33">
        <x:v>665840</x:v>
      </x:c>
      <x:c r="G1305" s="32" t="n">
        <x:f t="shared" si="51">AVERAGE(E1106:E1305)</x:f>
        <x:v>397.6825999999999</x:v>
      </x:c>
      <x:c r="H1305" s="37" t="n">
        <x:f t="shared" si="52">IFERROR(E1305/G1305-1,"")</x:f>
        <x:v>0.2735281855429432</x:v>
      </x:c>
      <x:c r="I1305" s="38" t="b">
        <x:f t="shared" si="53">E1305&lt;G1305</x:f>
        <x:v>0</x:v>
      </x:c>
    </x:row>
    <x:row r="1306">
      <x:c r="A1306" s="31">
        <x:v>38897</x:v>
      </x:c>
      <x:c r="B1306" s="32">
        <x:v>506.31</x:v>
      </x:c>
      <x:c r="C1306" s="32">
        <x:v>512.29</x:v>
      </x:c>
      <x:c r="D1306" s="32">
        <x:v>506.27</x:v>
      </x:c>
      <x:c r="E1306" s="32">
        <x:v>512.29</x:v>
      </x:c>
      <x:c r="F1306" s="33">
        <x:v>767890</x:v>
      </x:c>
      <x:c r="G1306" s="32" t="n">
        <x:f t="shared" si="51">AVERAGE(E1107:E1306)</x:f>
        <x:v>398.9442499999999</x:v>
      </x:c>
      <x:c r="H1306" s="37" t="n">
        <x:f t="shared" si="52">IFERROR(E1306/G1306-1,"")</x:f>
        <x:v>0.28411425907253984</x:v>
      </x:c>
      <x:c r="I1306" s="38" t="b">
        <x:f t="shared" si="53">E1306&lt;G1306</x:f>
        <x:v>0</x:v>
      </x:c>
    </x:row>
    <x:row r="1307">
      <x:c r="A1307" s="31">
        <x:v>38898</x:v>
      </x:c>
      <x:c r="B1307" s="32">
        <x:v>513.16999999999996</x:v>
      </x:c>
      <x:c r="C1307" s="32">
        <x:v>515.59</x:v>
      </x:c>
      <x:c r="D1307" s="32">
        <x:v>509.23</x:v>
      </x:c>
      <x:c r="E1307" s="32">
        <x:v>515.59</x:v>
      </x:c>
      <x:c r="F1307" s="33">
        <x:v>1561770</x:v>
      </x:c>
      <x:c r="G1307" s="32" t="n">
        <x:f t="shared" si="51">AVERAGE(E1108:E1307)</x:f>
        <x:v>400.2112999999999</x:v>
      </x:c>
      <x:c r="H1307" s="37" t="n">
        <x:f t="shared" si="52">IFERROR(E1307/G1307-1,"")</x:f>
        <x:v>0.28829445845232304</x:v>
      </x:c>
      <x:c r="I1307" s="38" t="b">
        <x:f t="shared" si="53">E1307&lt;G1307</x:f>
        <x:v>0</x:v>
      </x:c>
    </x:row>
    <x:row r="1308">
      <x:c r="A1308" s="31">
        <x:v>38901</x:v>
      </x:c>
      <x:c r="B1308" s="32">
        <x:v>509.78</x:v>
      </x:c>
      <x:c r="C1308" s="32">
        <x:v>510.26</x:v>
      </x:c>
      <x:c r="D1308" s="32">
        <x:v>507.31</x:v>
      </x:c>
      <x:c r="E1308" s="32">
        <x:v>507.31</x:v>
      </x:c>
      <x:c r="F1308" s="33">
        <x:v>595880</x:v>
      </x:c>
      <x:c r="G1308" s="32" t="n">
        <x:f t="shared" si="51">AVERAGE(E1109:E1308)</x:f>
        <x:v>401.4273999999998</x:v>
      </x:c>
      <x:c r="H1308" s="37" t="n">
        <x:f t="shared" si="52">IFERROR(E1308/G1308-1,"")</x:f>
        <x:v>0.26376525369219994</x:v>
      </x:c>
      <x:c r="I1308" s="38" t="b">
        <x:f t="shared" si="53">E1308&lt;G1308</x:f>
        <x:v>0</x:v>
      </x:c>
    </x:row>
    <x:row r="1309">
      <x:c r="A1309" s="31">
        <x:v>38902</x:v>
      </x:c>
      <x:c r="B1309" s="32">
        <x:v>503.57</x:v>
      </x:c>
      <x:c r="C1309" s="32">
        <x:v>503.57</x:v>
      </x:c>
      <x:c r="D1309" s="32">
        <x:v>500.49</x:v>
      </x:c>
      <x:c r="E1309" s="32">
        <x:v>500.49</x:v>
      </x:c>
      <x:c r="F1309" s="33">
        <x:v>551630</x:v>
      </x:c>
      <x:c r="G1309" s="32" t="n">
        <x:f t="shared" si="51">AVERAGE(E1110:E1309)</x:f>
        <x:v>402.60969999999986</x:v>
      </x:c>
      <x:c r="H1309" s="37" t="n">
        <x:f t="shared" si="52">IFERROR(E1309/G1309-1,"")</x:f>
        <x:v>0.24311460950891184</x:v>
      </x:c>
      <x:c r="I1309" s="38" t="b">
        <x:f t="shared" si="53">E1309&lt;G1309</x:f>
        <x:v>0</x:v>
      </x:c>
    </x:row>
    <x:row r="1310">
      <x:c r="A1310" s="31">
        <x:v>38903</x:v>
      </x:c>
      <x:c r="B1310" s="32">
        <x:v>497.95</x:v>
      </x:c>
      <x:c r="C1310" s="32">
        <x:v>500.05</x:v>
      </x:c>
      <x:c r="D1310" s="32">
        <x:v>497.95</x:v>
      </x:c>
      <x:c r="E1310" s="32">
        <x:v>499.8</x:v>
      </x:c>
      <x:c r="F1310" s="33">
        <x:v>514960</x:v>
      </x:c>
      <x:c r="G1310" s="32" t="n">
        <x:f t="shared" si="51">AVERAGE(E1111:E1310)</x:f>
        <x:v>403.78124999999994</x:v>
      </x:c>
      <x:c r="H1310" s="37" t="n">
        <x:f t="shared" si="52">IFERROR(E1310/G1310-1,"")</x:f>
        <x:v>0.23779893197120994</x:v>
      </x:c>
      <x:c r="I1310" s="38" t="b">
        <x:f t="shared" si="53">E1310&lt;G1310</x:f>
        <x:v>0</x:v>
      </x:c>
    </x:row>
    <x:row r="1311">
      <x:c r="A1311" s="31">
        <x:v>38904</x:v>
      </x:c>
      <x:c r="B1311" s="32">
        <x:v>498.07</x:v>
      </x:c>
      <x:c r="C1311" s="32">
        <x:v>505.26</x:v>
      </x:c>
      <x:c r="D1311" s="32">
        <x:v>498.07</x:v>
      </x:c>
      <x:c r="E1311" s="32">
        <x:v>505.26</x:v>
      </x:c>
      <x:c r="F1311" s="33">
        <x:v>537820</x:v>
      </x:c>
      <x:c r="G1311" s="32" t="n">
        <x:f t="shared" si="51">AVERAGE(E1112:E1311)</x:f>
        <x:v>404.9671499999999</x:v>
      </x:c>
      <x:c r="H1311" s="37" t="n">
        <x:f t="shared" si="52">IFERROR(E1311/G1311-1,"")</x:f>
        <x:v>0.24765675438118895</x:v>
      </x:c>
      <x:c r="I1311" s="38" t="b">
        <x:f t="shared" si="53">E1311&lt;G1311</x:f>
        <x:v>0</x:v>
      </x:c>
    </x:row>
    <x:row r="1312">
      <x:c r="A1312" s="31">
        <x:v>38905</x:v>
      </x:c>
      <x:c r="B1312" s="32">
        <x:v>506.18</x:v>
      </x:c>
      <x:c r="C1312" s="32">
        <x:v>508.31</x:v>
      </x:c>
      <x:c r="D1312" s="32">
        <x:v>506.18</x:v>
      </x:c>
      <x:c r="E1312" s="32">
        <x:v>508.31</x:v>
      </x:c>
      <x:c r="F1312" s="33">
        <x:v>969740</x:v>
      </x:c>
      <x:c r="G1312" s="32" t="n">
        <x:f t="shared" si="51">AVERAGE(E1113:E1312)</x:f>
        <x:v>406.1346499999998</x:v>
      </x:c>
      <x:c r="H1312" s="37" t="n">
        <x:f t="shared" si="52">IFERROR(E1312/G1312-1,"")</x:f>
        <x:v>0.2515799870806401</x:v>
      </x:c>
      <x:c r="I1312" s="38" t="b">
        <x:f t="shared" si="53">E1312&lt;G1312</x:f>
        <x:v>0</x:v>
      </x:c>
    </x:row>
    <x:row r="1313">
      <x:c r="A1313" s="31">
        <x:v>38908</x:v>
      </x:c>
      <x:c r="B1313" s="32">
        <x:v>509.1</x:v>
      </x:c>
      <x:c r="C1313" s="32">
        <x:v>509.1</x:v>
      </x:c>
      <x:c r="D1313" s="32">
        <x:v>504.98</x:v>
      </x:c>
      <x:c r="E1313" s="32">
        <x:v>504.98</x:v>
      </x:c>
      <x:c r="F1313" s="33">
        <x:v>645610</x:v>
      </x:c>
      <x:c r="G1313" s="32" t="n">
        <x:f t="shared" si="51">AVERAGE(E1114:E1313)</x:f>
        <x:v>407.2295999999998</x:v>
      </x:c>
      <x:c r="H1313" s="37" t="n">
        <x:f t="shared" si="52">IFERROR(E1313/G1313-1,"")</x:f>
        <x:v>0.24003756112031227</x:v>
      </x:c>
      <x:c r="I1313" s="38" t="b">
        <x:f t="shared" si="53">E1313&lt;G1313</x:f>
        <x:v>0</x:v>
      </x:c>
    </x:row>
    <x:row r="1314">
      <x:c r="A1314" s="31">
        <x:v>38909</x:v>
      </x:c>
      <x:c r="B1314" s="32">
        <x:v>505.77</x:v>
      </x:c>
      <x:c r="C1314" s="32">
        <x:v>506.54</x:v>
      </x:c>
      <x:c r="D1314" s="32">
        <x:v>504</x:v>
      </x:c>
      <x:c r="E1314" s="32">
        <x:v>504</x:v>
      </x:c>
      <x:c r="F1314" s="33">
        <x:v>645880</x:v>
      </x:c>
      <x:c r="G1314" s="32" t="n">
        <x:f t="shared" si="51">AVERAGE(E1115:E1314)</x:f>
        <x:v>408.36654999999985</x:v>
      </x:c>
      <x:c r="H1314" s="37" t="n">
        <x:f t="shared" si="52">IFERROR(E1314/G1314-1,"")</x:f>
        <x:v>0.23418531708828794</x:v>
      </x:c>
      <x:c r="I1314" s="38" t="b">
        <x:f t="shared" si="53">E1314&lt;G1314</x:f>
        <x:v>0</x:v>
      </x:c>
    </x:row>
    <x:row r="1315">
      <x:c r="A1315" s="31">
        <x:v>38910</x:v>
      </x:c>
      <x:c r="B1315" s="32">
        <x:v>504.8</x:v>
      </x:c>
      <x:c r="C1315" s="32">
        <x:v>504.8</x:v>
      </x:c>
      <x:c r="D1315" s="32">
        <x:v>502.08</x:v>
      </x:c>
      <x:c r="E1315" s="32">
        <x:v>502.08</x:v>
      </x:c>
      <x:c r="F1315" s="33">
        <x:v>1382250</x:v>
      </x:c>
      <x:c r="G1315" s="32" t="n">
        <x:f t="shared" si="51">AVERAGE(E1116:E1315)</x:f>
        <x:v>409.4749499999998</x:v>
      </x:c>
      <x:c r="H1315" s="37" t="n">
        <x:f t="shared" si="52">IFERROR(E1315/G1315-1,"")</x:f>
        <x:v>0.22615559266812335</x:v>
      </x:c>
      <x:c r="I1315" s="38" t="b">
        <x:f t="shared" si="53">E1315&lt;G1315</x:f>
        <x:v>0</x:v>
      </x:c>
    </x:row>
    <x:row r="1316">
      <x:c r="A1316" s="31">
        <x:v>38911</x:v>
      </x:c>
      <x:c r="B1316" s="32">
        <x:v>506.45</x:v>
      </x:c>
      <x:c r="C1316" s="32">
        <x:v>509.15</x:v>
      </x:c>
      <x:c r="D1316" s="32">
        <x:v>506.45</x:v>
      </x:c>
      <x:c r="E1316" s="32">
        <x:v>509.15</x:v>
      </x:c>
      <x:c r="F1316" s="33">
        <x:v>2253200</x:v>
      </x:c>
      <x:c r="G1316" s="32" t="n">
        <x:f t="shared" si="51">AVERAGE(E1117:E1316)</x:f>
        <x:v>410.6289499999998</x:v>
      </x:c>
      <x:c r="H1316" s="37" t="n">
        <x:f t="shared" si="52">IFERROR(E1316/G1316-1,"")</x:f>
        <x:v>0.2399271897414934</x:v>
      </x:c>
      <x:c r="I1316" s="38" t="b">
        <x:f t="shared" si="53">E1316&lt;G1316</x:f>
        <x:v>0</x:v>
      </x:c>
    </x:row>
    <x:row r="1317">
      <x:c r="A1317" s="31">
        <x:v>38912</x:v>
      </x:c>
      <x:c r="B1317" s="32">
        <x:v>511.99</x:v>
      </x:c>
      <x:c r="C1317" s="32">
        <x:v>511.99</x:v>
      </x:c>
      <x:c r="D1317" s="32">
        <x:v>506.1</x:v>
      </x:c>
      <x:c r="E1317" s="32">
        <x:v>506.1</x:v>
      </x:c>
      <x:c r="F1317" s="33">
        <x:v>1567710</x:v>
      </x:c>
      <x:c r="G1317" s="32" t="n">
        <x:f t="shared" si="51">AVERAGE(E1118:E1317)</x:f>
        <x:v>411.7717499999998</x:v>
      </x:c>
      <x:c r="H1317" s="37" t="n">
        <x:f t="shared" si="52">IFERROR(E1317/G1317-1,"")</x:f>
        <x:v>0.22907897397041022</x:v>
      </x:c>
      <x:c r="I1317" s="38" t="b">
        <x:f t="shared" si="53">E1317&lt;G1317</x:f>
        <x:v>0</x:v>
      </x:c>
    </x:row>
    <x:row r="1318">
      <x:c r="A1318" s="31">
        <x:v>38915</x:v>
      </x:c>
      <x:c r="B1318" s="32">
        <x:v>498.22</x:v>
      </x:c>
      <x:c r="C1318" s="32">
        <x:v>498.22</x:v>
      </x:c>
      <x:c r="D1318" s="32">
        <x:v>494.31</x:v>
      </x:c>
      <x:c r="E1318" s="32">
        <x:v>494.31</x:v>
      </x:c>
      <x:c r="F1318" s="33">
        <x:v>1854450</x:v>
      </x:c>
      <x:c r="G1318" s="32" t="n">
        <x:f t="shared" si="51">AVERAGE(E1119:E1318)</x:f>
        <x:v>412.86084999999986</x:v>
      </x:c>
      <x:c r="H1318" s="37" t="n">
        <x:f t="shared" si="52">IFERROR(E1318/G1318-1,"")</x:f>
        <x:v>0.1972799067773081</x:v>
      </x:c>
      <x:c r="I1318" s="38" t="b">
        <x:f t="shared" si="53">E1318&lt;G1318</x:f>
        <x:v>0</x:v>
      </x:c>
    </x:row>
    <x:row r="1319">
      <x:c r="A1319" s="31">
        <x:v>38916</x:v>
      </x:c>
      <x:c r="B1319" s="32">
        <x:v>489.23</x:v>
      </x:c>
      <x:c r="C1319" s="32">
        <x:v>489.23</x:v>
      </x:c>
      <x:c r="D1319" s="32">
        <x:v>484.13</x:v>
      </x:c>
      <x:c r="E1319" s="32">
        <x:v>484.13</x:v>
      </x:c>
      <x:c r="F1319" s="33">
        <x:v>1465290</x:v>
      </x:c>
      <x:c r="G1319" s="32" t="n">
        <x:f t="shared" si="51">AVERAGE(E1120:E1319)</x:f>
        <x:v>413.90334999999993</x:v>
      </x:c>
      <x:c r="H1319" s="37" t="n">
        <x:f t="shared" si="52">IFERROR(E1319/G1319-1,"")</x:f>
        <x:v>0.16966919934327684</x:v>
      </x:c>
      <x:c r="I1319" s="38" t="b">
        <x:f t="shared" si="53">E1319&lt;G1319</x:f>
        <x:v>0</x:v>
      </x:c>
    </x:row>
    <x:row r="1320">
      <x:c r="A1320" s="31">
        <x:v>38917</x:v>
      </x:c>
      <x:c r="B1320" s="32">
        <x:v>477.13</x:v>
      </x:c>
      <x:c r="C1320" s="32">
        <x:v>477.13</x:v>
      </x:c>
      <x:c r="D1320" s="32">
        <x:v>466.19</x:v>
      </x:c>
      <x:c r="E1320" s="32">
        <x:v>466.19</x:v>
      </x:c>
      <x:c r="F1320" s="33">
        <x:v>1779120</x:v>
      </x:c>
      <x:c r="G1320" s="32" t="n">
        <x:f t="shared" si="51">AVERAGE(E1121:E1320)</x:f>
        <x:v>414.85454999999996</x:v>
      </x:c>
      <x:c r="H1320" s="37" t="n">
        <x:f t="shared" si="52">IFERROR(E1320/G1320-1,"")</x:f>
        <x:v>0.12374324929062497</x:v>
      </x:c>
      <x:c r="I1320" s="38" t="b">
        <x:f t="shared" si="53">E1320&lt;G1320</x:f>
        <x:v>0</x:v>
      </x:c>
    </x:row>
    <x:row r="1321">
      <x:c r="A1321" s="31">
        <x:v>38918</x:v>
      </x:c>
      <x:c r="B1321" s="32">
        <x:v>458.54</x:v>
      </x:c>
      <x:c r="C1321" s="32">
        <x:v>485.57</x:v>
      </x:c>
      <x:c r="D1321" s="32">
        <x:v>458.54</x:v>
      </x:c>
      <x:c r="E1321" s="32">
        <x:v>485.57</x:v>
      </x:c>
      <x:c r="F1321" s="33">
        <x:v>2138930</x:v>
      </x:c>
      <x:c r="G1321" s="32" t="n">
        <x:f t="shared" si="51">AVERAGE(E1122:E1321)</x:f>
        <x:v>415.83574999999996</x:v>
      </x:c>
      <x:c r="H1321" s="37" t="n">
        <x:f t="shared" si="52">IFERROR(E1321/G1321-1,"")</x:f>
        <x:v>0.16769662060080215</x:v>
      </x:c>
      <x:c r="I1321" s="38" t="b">
        <x:f t="shared" si="53">E1321&lt;G1321</x:f>
        <x:v>0</x:v>
      </x:c>
    </x:row>
    <x:row r="1322">
      <x:c r="A1322" s="31">
        <x:v>38919</x:v>
      </x:c>
      <x:c r="B1322" s="32">
        <x:v>482.45</x:v>
      </x:c>
      <x:c r="C1322" s="32">
        <x:v>482.45</x:v>
      </x:c>
      <x:c r="D1322" s="32">
        <x:v>472.86</x:v>
      </x:c>
      <x:c r="E1322" s="32">
        <x:v>472.86</x:v>
      </x:c>
      <x:c r="F1322" s="33">
        <x:v>1351570</x:v>
      </x:c>
      <x:c r="G1322" s="32" t="n">
        <x:f t="shared" si="51">AVERAGE(E1123:E1322)</x:f>
        <x:v>416.77005</x:v>
      </x:c>
      <x:c r="H1322" s="37" t="n">
        <x:f t="shared" si="52">IFERROR(E1322/G1322-1,"")</x:f>
        <x:v>0.13458248739322798</x:v>
      </x:c>
      <x:c r="I1322" s="38" t="b">
        <x:f t="shared" si="53">E1322&lt;G1322</x:f>
        <x:v>0</x:v>
      </x:c>
    </x:row>
    <x:row r="1323">
      <x:c r="A1323" s="31">
        <x:v>38922</x:v>
      </x:c>
      <x:c r="B1323" s="32">
        <x:v>466.6</x:v>
      </x:c>
      <x:c r="C1323" s="32">
        <x:v>466.6</x:v>
      </x:c>
      <x:c r="D1323" s="32">
        <x:v>460.68</x:v>
      </x:c>
      <x:c r="E1323" s="32">
        <x:v>460.68</x:v>
      </x:c>
      <x:c r="F1323" s="33">
        <x:v>1192470</x:v>
      </x:c>
      <x:c r="G1323" s="32" t="n">
        <x:f t="shared" si="51">AVERAGE(E1124:E1323)</x:f>
        <x:v>417.65414999999996</x:v>
      </x:c>
      <x:c r="H1323" s="37" t="n">
        <x:f t="shared" si="52">IFERROR(E1323/G1323-1,"")</x:f>
        <x:v>0.10301789171734566</x:v>
      </x:c>
      <x:c r="I1323" s="38" t="b">
        <x:f t="shared" si="53">E1323&lt;G1323</x:f>
        <x:v>0</x:v>
      </x:c>
    </x:row>
    <x:row r="1324">
      <x:c r="A1324" s="31">
        <x:v>38923</x:v>
      </x:c>
      <x:c r="B1324" s="32">
        <x:v>449.94</x:v>
      </x:c>
      <x:c r="C1324" s="32">
        <x:v>449.94</x:v>
      </x:c>
      <x:c r="D1324" s="32">
        <x:v>439.66</x:v>
      </x:c>
      <x:c r="E1324" s="32">
        <x:v>439.66</x:v>
      </x:c>
      <x:c r="F1324" s="33">
        <x:v>1620910</x:v>
      </x:c>
      <x:c r="G1324" s="32" t="n">
        <x:f t="shared" si="51">AVERAGE(E1125:E1324)</x:f>
        <x:v>418.42075000000006</x:v>
      </x:c>
      <x:c r="H1324" s="37" t="n">
        <x:f t="shared" si="52">IFERROR(E1324/G1324-1,"")</x:f>
        <x:v>0.05076050841168844</x:v>
      </x:c>
      <x:c r="I1324" s="38" t="b">
        <x:f t="shared" si="53">E1324&lt;G1324</x:f>
        <x:v>0</x:v>
      </x:c>
    </x:row>
    <x:row r="1325">
      <x:c r="A1325" s="31">
        <x:v>38924</x:v>
      </x:c>
      <x:c r="B1325" s="32">
        <x:v>431.06</x:v>
      </x:c>
      <x:c r="C1325" s="32">
        <x:v>438.07</x:v>
      </x:c>
      <x:c r="D1325" s="32">
        <x:v>431.06</x:v>
      </x:c>
      <x:c r="E1325" s="32">
        <x:v>434.24</x:v>
      </x:c>
      <x:c r="F1325" s="33">
        <x:v>1779800</x:v>
      </x:c>
      <x:c r="G1325" s="32" t="n">
        <x:f t="shared" si="51">AVERAGE(E1126:E1325)</x:f>
        <x:v>419.15125000000006</x:v>
      </x:c>
      <x:c r="H1325" s="37" t="n">
        <x:f t="shared" si="52">IFERROR(E1325/G1325-1,"")</x:f>
        <x:v>0.03599834188732576</x:v>
      </x:c>
      <x:c r="I1325" s="38" t="b">
        <x:f t="shared" si="53">E1325&lt;G1325</x:f>
        <x:v>0</x:v>
      </x:c>
    </x:row>
    <x:row r="1326">
      <x:c r="A1326" s="31">
        <x:v>38925</x:v>
      </x:c>
      <x:c r="B1326" s="32">
        <x:v>435.13</x:v>
      </x:c>
      <x:c r="C1326" s="32">
        <x:v>441.27</x:v>
      </x:c>
      <x:c r="D1326" s="32">
        <x:v>435.13</x:v>
      </x:c>
      <x:c r="E1326" s="32">
        <x:v>441.27</x:v>
      </x:c>
      <x:c r="F1326" s="33">
        <x:v>1532220</x:v>
      </x:c>
      <x:c r="G1326" s="32" t="n">
        <x:f t="shared" si="51">AVERAGE(E1127:E1326)</x:f>
        <x:v>419.9011000000001</x:v>
      </x:c>
      <x:c r="H1326" s="37" t="n">
        <x:f t="shared" si="52">IFERROR(E1326/G1326-1,"")</x:f>
        <x:v>0.0508903167912631</x:v>
      </x:c>
      <x:c r="I1326" s="38" t="b">
        <x:f t="shared" si="53">E1326&lt;G1326</x:f>
        <x:v>0</x:v>
      </x:c>
    </x:row>
    <x:row r="1327">
      <x:c r="A1327" s="31">
        <x:v>38926</x:v>
      </x:c>
      <x:c r="B1327" s="32">
        <x:v>445.1</x:v>
      </x:c>
      <x:c r="C1327" s="32">
        <x:v>445.1</x:v>
      </x:c>
      <x:c r="D1327" s="32">
        <x:v>439.57</x:v>
      </x:c>
      <x:c r="E1327" s="32">
        <x:v>439.57</x:v>
      </x:c>
      <x:c r="F1327" s="33">
        <x:v>1394700</x:v>
      </x:c>
      <x:c r="G1327" s="32" t="n">
        <x:f t="shared" si="51">AVERAGE(E1128:E1327)</x:f>
        <x:v>420.6384000000001</x:v>
      </x:c>
      <x:c r="H1327" s="37" t="n">
        <x:f t="shared" si="52">IFERROR(E1327/G1327-1,"")</x:f>
        <x:v>0.045006827717107845</x:v>
      </x:c>
      <x:c r="I1327" s="38" t="b">
        <x:f t="shared" si="53">E1327&lt;G1327</x:f>
        <x:v>0</x:v>
      </x:c>
    </x:row>
    <x:row r="1328">
      <x:c r="A1328" s="31">
        <x:v>38929</x:v>
      </x:c>
      <x:c r="B1328" s="32">
        <x:v>431.47</x:v>
      </x:c>
      <x:c r="C1328" s="32">
        <x:v>431.47</x:v>
      </x:c>
      <x:c r="D1328" s="32">
        <x:v>422.41</x:v>
      </x:c>
      <x:c r="E1328" s="32">
        <x:v>422.41</x:v>
      </x:c>
      <x:c r="F1328" s="33">
        <x:v>1093120</x:v>
      </x:c>
      <x:c r="G1328" s="32" t="n">
        <x:f t="shared" si="51">AVERAGE(E1129:E1328)</x:f>
        <x:v>421.29375000000016</x:v>
      </x:c>
      <x:c r="H1328" s="37" t="n">
        <x:f t="shared" si="52">IFERROR(E1328/G1328-1,"")</x:f>
        <x:v>0.0026495764534837374</x:v>
      </x:c>
      <x:c r="I1328" s="38" t="b">
        <x:f t="shared" si="53">E1328&lt;G1328</x:f>
        <x:v>0</x:v>
      </x:c>
    </x:row>
    <x:row r="1329">
      <x:c r="A1329" s="31">
        <x:v>38930</x:v>
      </x:c>
      <x:c r="B1329" s="32">
        <x:v>409.67</x:v>
      </x:c>
      <x:c r="C1329" s="32">
        <x:v>409.67</x:v>
      </x:c>
      <x:c r="D1329" s="32">
        <x:v>404.87</x:v>
      </x:c>
      <x:c r="E1329" s="32">
        <x:v>404.87</x:v>
      </x:c>
      <x:c r="F1329" s="33">
        <x:v>1337940</x:v>
      </x:c>
      <x:c r="G1329" s="32" t="n">
        <x:f t="shared" si="51">AVERAGE(E1130:E1329)</x:f>
        <x:v>421.8563500000001</x:v>
      </x:c>
      <x:c r="H1329" s="37" t="n">
        <x:f t="shared" si="52">IFERROR(E1329/G1329-1,"")</x:f>
        <x:v>-0.040265720783864145</x:v>
      </x:c>
      <x:c r="I1329" s="38" t="b">
        <x:f t="shared" si="53">E1329&lt;G1329</x:f>
        <x:v>1</x:v>
      </x:c>
    </x:row>
    <x:row r="1330">
      <x:c r="A1330" s="31">
        <x:v>38931</x:v>
      </x:c>
      <x:c r="B1330" s="32">
        <x:v>388.82</x:v>
      </x:c>
      <x:c r="C1330" s="32">
        <x:v>399.8</x:v>
      </x:c>
      <x:c r="D1330" s="32">
        <x:v>388.82</x:v>
      </x:c>
      <x:c r="E1330" s="32">
        <x:v>399.8</x:v>
      </x:c>
      <x:c r="F1330" s="33">
        <x:v>1769300</x:v>
      </x:c>
      <x:c r="G1330" s="32" t="n">
        <x:f t="shared" si="51">AVERAGE(E1131:E1330)</x:f>
        <x:v>422.36165000000017</x:v>
      </x:c>
      <x:c r="H1330" s="37" t="n">
        <x:f t="shared" si="52">IFERROR(E1330/G1330-1,"")</x:f>
        <x:v>-0.053417847003865426</x:v>
      </x:c>
      <x:c r="I1330" s="38" t="b">
        <x:f t="shared" si="53">E1330&lt;G1330</x:f>
        <x:v>1</x:v>
      </x:c>
    </x:row>
    <x:row r="1331">
      <x:c r="A1331" s="31">
        <x:v>38932</x:v>
      </x:c>
      <x:c r="B1331" s="32">
        <x:v>411.86</x:v>
      </x:c>
      <x:c r="C1331" s="32">
        <x:v>417.73</x:v>
      </x:c>
      <x:c r="D1331" s="32">
        <x:v>411.86</x:v>
      </x:c>
      <x:c r="E1331" s="32">
        <x:v>417.73</x:v>
      </x:c>
      <x:c r="F1331" s="33">
        <x:v>1758760</x:v>
      </x:c>
      <x:c r="G1331" s="32" t="n">
        <x:f t="shared" si="51">AVERAGE(E1132:E1331)</x:f>
        <x:v>422.92980000000017</x:v>
      </x:c>
      <x:c r="H1331" s="37" t="n">
        <x:f t="shared" si="52">IFERROR(E1331/G1331-1,"")</x:f>
        <x:v>-0.012294711793777946</x:v>
      </x:c>
      <x:c r="I1331" s="38" t="b">
        <x:f t="shared" si="53">E1331&lt;G1331</x:f>
        <x:v>1</x:v>
      </x:c>
    </x:row>
    <x:row r="1332">
      <x:c r="A1332" s="31">
        <x:v>38933</x:v>
      </x:c>
      <x:c r="B1332" s="32">
        <x:v>436.12</x:v>
      </x:c>
      <x:c r="C1332" s="32">
        <x:v>436.12</x:v>
      </x:c>
      <x:c r="D1332" s="32">
        <x:v>435.5</x:v>
      </x:c>
      <x:c r="E1332" s="32">
        <x:v>435.5</x:v>
      </x:c>
      <x:c r="F1332" s="33">
        <x:v>1830370</x:v>
      </x:c>
      <x:c r="G1332" s="32" t="n">
        <x:f t="shared" si="51">AVERAGE(E1133:E1332)</x:f>
        <x:v>423.5563000000002</x:v>
      </x:c>
      <x:c r="H1332" s="37" t="n">
        <x:f t="shared" si="52">IFERROR(E1332/G1332-1,"")</x:f>
        <x:v>0.028198612557527314</x:v>
      </x:c>
      <x:c r="I1332" s="38" t="b">
        <x:f t="shared" si="53">E1332&lt;G1332</x:f>
        <x:v>0</x:v>
      </x:c>
    </x:row>
    <x:row r="1333">
      <x:c r="A1333" s="31">
        <x:v>38936</x:v>
      </x:c>
      <x:c r="B1333" s="32">
        <x:v>439.95</x:v>
      </x:c>
      <x:c r="C1333" s="32">
        <x:v>439.95</x:v>
      </x:c>
      <x:c r="D1333" s="32">
        <x:v>423.49</x:v>
      </x:c>
      <x:c r="E1333" s="32">
        <x:v>423.49</x:v>
      </x:c>
      <x:c r="F1333" s="33">
        <x:v>2073580</x:v>
      </x:c>
      <x:c r="G1333" s="32" t="n">
        <x:f t="shared" si="51">AVERAGE(E1134:E1333)</x:f>
        <x:v>424.13830000000024</x:v>
      </x:c>
      <x:c r="H1333" s="37" t="n">
        <x:f t="shared" si="52">IFERROR(E1333/G1333-1,"")</x:f>
        <x:v>-0.0015285108654423674</x:v>
      </x:c>
      <x:c r="I1333" s="38" t="b">
        <x:f t="shared" si="53">E1333&lt;G1333</x:f>
        <x:v>1</x:v>
      </x:c>
    </x:row>
    <x:row r="1334">
      <x:c r="A1334" s="31">
        <x:v>38937</x:v>
      </x:c>
      <x:c r="B1334" s="32">
        <x:v>426.02</x:v>
      </x:c>
      <x:c r="C1334" s="32">
        <x:v>434.31</x:v>
      </x:c>
      <x:c r="D1334" s="32">
        <x:v>426.02</x:v>
      </x:c>
      <x:c r="E1334" s="32">
        <x:v>433.4</x:v>
      </x:c>
      <x:c r="F1334" s="33">
        <x:v>1181410</x:v>
      </x:c>
      <x:c r="G1334" s="32" t="n">
        <x:f t="shared" si="51">AVERAGE(E1135:E1334)</x:f>
        <x:v>424.77300000000025</x:v>
      </x:c>
      <x:c r="H1334" s="37" t="n">
        <x:f t="shared" si="52">IFERROR(E1334/G1334-1,"")</x:f>
        <x:v>0.020309671283249564</x:v>
      </x:c>
      <x:c r="I1334" s="38" t="b">
        <x:f t="shared" si="53">E1334&lt;G1334</x:f>
        <x:v>0</x:v>
      </x:c>
    </x:row>
    <x:row r="1335">
      <x:c r="A1335" s="31">
        <x:v>38938</x:v>
      </x:c>
      <x:c r="B1335" s="32">
        <x:v>430.97</x:v>
      </x:c>
      <x:c r="C1335" s="32">
        <x:v>433.86</x:v>
      </x:c>
      <x:c r="D1335" s="32">
        <x:v>430.25</x:v>
      </x:c>
      <x:c r="E1335" s="32">
        <x:v>430.25</x:v>
      </x:c>
      <x:c r="F1335" s="33">
        <x:v>2380530</x:v>
      </x:c>
      <x:c r="G1335" s="32" t="n">
        <x:f t="shared" si="51">AVERAGE(E1136:E1335)</x:f>
        <x:v>425.38900000000024</x:v>
      </x:c>
      <x:c r="H1335" s="37" t="n">
        <x:f t="shared" si="52">IFERROR(E1335/G1335-1,"")</x:f>
        <x:v>0.011427187821029028</x:v>
      </x:c>
      <x:c r="I1335" s="38" t="b">
        <x:f t="shared" si="53">E1335&lt;G1335</x:f>
        <x:v>0</x:v>
      </x:c>
    </x:row>
    <x:row r="1336">
      <x:c r="A1336" s="31">
        <x:v>38939</x:v>
      </x:c>
      <x:c r="B1336" s="32">
        <x:v>429.18</x:v>
      </x:c>
      <x:c r="C1336" s="32">
        <x:v>432.4</x:v>
      </x:c>
      <x:c r="D1336" s="32">
        <x:v>429.18</x:v>
      </x:c>
      <x:c r="E1336" s="32">
        <x:v>432.4</x:v>
      </x:c>
      <x:c r="F1336" s="33">
        <x:v>1194320</x:v>
      </x:c>
      <x:c r="G1336" s="32" t="n">
        <x:f t="shared" si="51">AVERAGE(E1137:E1336)</x:f>
        <x:v>426.0174000000002</x:v>
      </x:c>
      <x:c r="H1336" s="37" t="n">
        <x:f t="shared" si="52">IFERROR(E1336/G1336-1,"")</x:f>
        <x:v>0.014982017166434547</x:v>
      </x:c>
      <x:c r="I1336" s="38" t="b">
        <x:f t="shared" si="53">E1336&lt;G1336</x:f>
        <x:v>0</x:v>
      </x:c>
    </x:row>
    <x:row r="1337">
      <x:c r="A1337" s="31">
        <x:v>38940</x:v>
      </x:c>
      <x:c r="B1337" s="32">
        <x:v>436.68</x:v>
      </x:c>
      <x:c r="C1337" s="32">
        <x:v>443.45</x:v>
      </x:c>
      <x:c r="D1337" s="32">
        <x:v>436.68</x:v>
      </x:c>
      <x:c r="E1337" s="32">
        <x:v>443.45</x:v>
      </x:c>
      <x:c r="F1337" s="33">
        <x:v>1878620</x:v>
      </x:c>
      <x:c r="G1337" s="32" t="n">
        <x:f t="shared" si="51">AVERAGE(E1138:E1337)</x:f>
        <x:v>426.7001500000001</x:v>
      </x:c>
      <x:c r="H1337" s="37" t="n">
        <x:f t="shared" si="52">IFERROR(E1337/G1337-1,"")</x:f>
        <x:v>0.0392543803886638</x:v>
      </x:c>
      <x:c r="I1337" s="38" t="b">
        <x:f t="shared" si="53">E1337&lt;G1337</x:f>
        <x:v>0</x:v>
      </x:c>
    </x:row>
    <x:row r="1338">
      <x:c r="A1338" s="31">
        <x:v>38943</x:v>
      </x:c>
      <x:c r="B1338" s="32">
        <x:v>458.97</x:v>
      </x:c>
      <x:c r="C1338" s="32">
        <x:v>464.55</x:v>
      </x:c>
      <x:c r="D1338" s="32">
        <x:v>458.97</x:v>
      </x:c>
      <x:c r="E1338" s="32">
        <x:v>464.55</x:v>
      </x:c>
      <x:c r="F1338" s="33">
        <x:v>2114880</x:v>
      </x:c>
      <x:c r="G1338" s="32" t="n">
        <x:f t="shared" si="51">AVERAGE(E1139:E1338)</x:f>
        <x:v>427.49735000000015</x:v>
      </x:c>
      <x:c r="H1338" s="37" t="n">
        <x:f t="shared" si="52">IFERROR(E1338/G1338-1,"")</x:f>
        <x:v>0.08667340277080049</x:v>
      </x:c>
      <x:c r="I1338" s="38" t="b">
        <x:f t="shared" si="53">E1338&lt;G1338</x:f>
        <x:v>0</x:v>
      </x:c>
    </x:row>
    <x:row r="1339">
      <x:c r="A1339" s="31">
        <x:v>38944</x:v>
      </x:c>
      <x:c r="B1339" s="32">
        <x:v>468.26</x:v>
      </x:c>
      <x:c r="C1339" s="32">
        <x:v>468.26</x:v>
      </x:c>
      <x:c r="D1339" s="32">
        <x:v>460.07</x:v>
      </x:c>
      <x:c r="E1339" s="32">
        <x:v>460.34</x:v>
      </x:c>
      <x:c r="F1339" s="33">
        <x:v>2652920</x:v>
      </x:c>
      <x:c r="G1339" s="32" t="n">
        <x:f t="shared" si="51">AVERAGE(E1140:E1339)</x:f>
        <x:v>428.2964000000001</x:v>
      </x:c>
      <x:c r="H1339" s="37" t="n">
        <x:f t="shared" si="52">IFERROR(E1339/G1339-1,"")</x:f>
        <x:v>0.07481641218557944</x:v>
      </x:c>
      <x:c r="I1339" s="38" t="b">
        <x:f t="shared" si="53">E1339&lt;G1339</x:f>
        <x:v>0</x:v>
      </x:c>
    </x:row>
    <x:row r="1340">
      <x:c r="A1340" s="31">
        <x:v>38945</x:v>
      </x:c>
      <x:c r="B1340" s="32">
        <x:v>467.94</x:v>
      </x:c>
      <x:c r="C1340" s="32">
        <x:v>476.24</x:v>
      </x:c>
      <x:c r="D1340" s="32">
        <x:v>467.94</x:v>
      </x:c>
      <x:c r="E1340" s="32">
        <x:v>476.24</x:v>
      </x:c>
      <x:c r="F1340" s="33">
        <x:v>2920310</x:v>
      </x:c>
      <x:c r="G1340" s="32" t="n">
        <x:f t="shared" si="51">AVERAGE(E1141:E1340)</x:f>
        <x:v>429.1727000000002</x:v>
      </x:c>
      <x:c r="H1340" s="37" t="n">
        <x:f t="shared" si="52">IFERROR(E1340/G1340-1,"")</x:f>
        <x:v>0.1096698368745257</x:v>
      </x:c>
      <x:c r="I1340" s="38" t="b">
        <x:f t="shared" si="53">E1340&lt;G1340</x:f>
        <x:v>0</x:v>
      </x:c>
    </x:row>
    <x:row r="1341">
      <x:c r="A1341" s="31">
        <x:v>38946</x:v>
      </x:c>
      <x:c r="B1341" s="32">
        <x:v>488.78</x:v>
      </x:c>
      <x:c r="C1341" s="32">
        <x:v>488.78</x:v>
      </x:c>
      <x:c r="D1341" s="32">
        <x:v>483.32</x:v>
      </x:c>
      <x:c r="E1341" s="32">
        <x:v>483.32</x:v>
      </x:c>
      <x:c r="F1341" s="33">
        <x:v>3236950</x:v>
      </x:c>
      <x:c r="G1341" s="32" t="n">
        <x:f t="shared" si="51">AVERAGE(E1142:E1341)</x:f>
        <x:v>430.0624000000002</x:v>
      </x:c>
      <x:c r="H1341" s="37" t="n">
        <x:f t="shared" si="52">IFERROR(E1341/G1341-1,"")</x:f>
        <x:v>0.12383691296890809</x:v>
      </x:c>
      <x:c r="I1341" s="38" t="b">
        <x:f t="shared" si="53">E1341&lt;G1341</x:f>
        <x:v>0</x:v>
      </x:c>
    </x:row>
    <x:row r="1342">
      <x:c r="A1342" s="31">
        <x:v>38947</x:v>
      </x:c>
      <x:c r="B1342" s="32">
        <x:v>486</x:v>
      </x:c>
      <x:c r="C1342" s="32">
        <x:v>486</x:v>
      </x:c>
      <x:c r="D1342" s="32">
        <x:v>482.31</x:v>
      </x:c>
      <x:c r="E1342" s="32">
        <x:v>482.31</x:v>
      </x:c>
      <x:c r="F1342" s="33">
        <x:v>3258890</x:v>
      </x:c>
      <x:c r="G1342" s="32" t="n">
        <x:f t="shared" si="51">AVERAGE(E1143:E1342)</x:f>
        <x:v>430.93695000000014</x:v>
      </x:c>
      <x:c r="H1342" s="37" t="n">
        <x:f t="shared" si="52">IFERROR(E1342/G1342-1,"")</x:f>
        <x:v>0.11921245091654331</x:v>
      </x:c>
      <x:c r="I1342" s="38" t="b">
        <x:f t="shared" si="53">E1342&lt;G1342</x:f>
        <x:v>0</x:v>
      </x:c>
    </x:row>
    <x:row r="1343">
      <x:c r="A1343" s="31">
        <x:v>38950</x:v>
      </x:c>
      <x:c r="B1343" s="32">
        <x:v>485.18</x:v>
      </x:c>
      <x:c r="C1343" s="32">
        <x:v>485.18</x:v>
      </x:c>
      <x:c r="D1343" s="32">
        <x:v>482.19</x:v>
      </x:c>
      <x:c r="E1343" s="32">
        <x:v>482.19</x:v>
      </x:c>
      <x:c r="F1343" s="33">
        <x:v>1793680</x:v>
      </x:c>
      <x:c r="G1343" s="32" t="n">
        <x:f t="shared" si="51">AVERAGE(E1144:E1343)</x:f>
        <x:v>431.79535000000016</x:v>
      </x:c>
      <x:c r="H1343" s="37" t="n">
        <x:f t="shared" si="52">IFERROR(E1343/G1343-1,"")</x:f>
        <x:v>0.1167095708649939</x:v>
      </x:c>
      <x:c r="I1343" s="38" t="b">
        <x:f t="shared" si="53">E1343&lt;G1343</x:f>
        <x:v>0</x:v>
      </x:c>
    </x:row>
    <x:row r="1344">
      <x:c r="A1344" s="31">
        <x:v>38951</x:v>
      </x:c>
      <x:c r="B1344" s="32">
        <x:v>474.55</x:v>
      </x:c>
      <x:c r="C1344" s="32">
        <x:v>474.55</x:v>
      </x:c>
      <x:c r="D1344" s="32">
        <x:v>470.12</x:v>
      </x:c>
      <x:c r="E1344" s="32">
        <x:v>470.12</x:v>
      </x:c>
      <x:c r="F1344" s="33">
        <x:v>2537880</x:v>
      </x:c>
      <x:c r="G1344" s="32" t="n">
        <x:f t="shared" si="51">AVERAGE(E1145:E1344)</x:f>
        <x:v>432.5681500000002</x:v>
      </x:c>
      <x:c r="H1344" s="37" t="n">
        <x:f t="shared" si="52">IFERROR(E1344/G1344-1,"")</x:f>
        <x:v>0.0868114076359987</x:v>
      </x:c>
      <x:c r="I1344" s="38" t="b">
        <x:f t="shared" si="53">E1344&lt;G1344</x:f>
        <x:v>0</x:v>
      </x:c>
    </x:row>
    <x:row r="1345">
      <x:c r="A1345" s="31">
        <x:v>38952</x:v>
      </x:c>
      <x:c r="B1345" s="32">
        <x:v>466.97</x:v>
      </x:c>
      <x:c r="C1345" s="32">
        <x:v>478.39</x:v>
      </x:c>
      <x:c r="D1345" s="32">
        <x:v>466.97</x:v>
      </x:c>
      <x:c r="E1345" s="32">
        <x:v>478.39</x:v>
      </x:c>
      <x:c r="F1345" s="33">
        <x:v>1817700</x:v>
      </x:c>
      <x:c r="G1345" s="32" t="n">
        <x:f t="shared" si="51">AVERAGE(E1146:E1345)</x:f>
        <x:v>433.3475000000002</x:v>
      </x:c>
      <x:c r="H1345" s="37" t="n">
        <x:f t="shared" si="52">IFERROR(E1345/G1345-1,"")</x:f>
        <x:v>0.1039408327035456</x:v>
      </x:c>
      <x:c r="I1345" s="38" t="b">
        <x:f t="shared" si="53">E1345&lt;G1345</x:f>
        <x:v>0</x:v>
      </x:c>
    </x:row>
    <x:row r="1346">
      <x:c r="A1346" s="31">
        <x:v>38953</x:v>
      </x:c>
      <x:c r="B1346" s="32">
        <x:v>480.75</x:v>
      </x:c>
      <x:c r="C1346" s="32">
        <x:v>481.2</x:v>
      </x:c>
      <x:c r="D1346" s="32">
        <x:v>479.03</x:v>
      </x:c>
      <x:c r="E1346" s="32">
        <x:v>479.03</x:v>
      </x:c>
      <x:c r="F1346" s="33">
        <x:v>1684580</x:v>
      </x:c>
      <x:c r="G1346" s="32" t="n">
        <x:f t="shared" si="51">AVERAGE(E1147:E1346)</x:f>
        <x:v>434.1369000000002</x:v>
      </x:c>
      <x:c r="H1346" s="37" t="n">
        <x:f t="shared" si="52">IFERROR(E1346/G1346-1,"")</x:f>
        <x:v>0.1034077038832677</x:v>
      </x:c>
      <x:c r="I1346" s="38" t="b">
        <x:f t="shared" si="53">E1346&lt;G1346</x:f>
        <x:v>0</x:v>
      </x:c>
    </x:row>
    <x:row r="1347">
      <x:c r="A1347" s="31">
        <x:v>38954</x:v>
      </x:c>
      <x:c r="B1347" s="32">
        <x:v>478.1</x:v>
      </x:c>
      <x:c r="C1347" s="32">
        <x:v>478.1</x:v>
      </x:c>
      <x:c r="D1347" s="32">
        <x:v>476.89</x:v>
      </x:c>
      <x:c r="E1347" s="32">
        <x:v>477.43</x:v>
      </x:c>
      <x:c r="F1347" s="33">
        <x:v>1266500</x:v>
      </x:c>
      <x:c r="G1347" s="32" t="n">
        <x:f t="shared" si="51">AVERAGE(E1148:E1347)</x:f>
        <x:v>434.91110000000015</x:v>
      </x:c>
      <x:c r="H1347" s="37" t="n">
        <x:f t="shared" si="52">IFERROR(E1347/G1347-1,"")</x:f>
        <x:v>0.09776457763437141</x:v>
      </x:c>
      <x:c r="I1347" s="38" t="b">
        <x:f t="shared" si="53">E1347&lt;G1347</x:f>
        <x:v>0</x:v>
      </x:c>
    </x:row>
    <x:row r="1348">
      <x:c r="A1348" s="31">
        <x:v>38957</x:v>
      </x:c>
      <x:c r="B1348" s="32">
        <x:v>477.45</x:v>
      </x:c>
      <x:c r="C1348" s="32">
        <x:v>483.06</x:v>
      </x:c>
      <x:c r="D1348" s="32">
        <x:v>477.45</x:v>
      </x:c>
      <x:c r="E1348" s="32">
        <x:v>483.06</x:v>
      </x:c>
      <x:c r="F1348" s="33">
        <x:v>1606060</x:v>
      </x:c>
      <x:c r="G1348" s="32" t="n">
        <x:f t="shared" si="51">AVERAGE(E1149:E1348)</x:f>
        <x:v>435.7196500000002</x:v>
      </x:c>
      <x:c r="H1348" s="37" t="n">
        <x:f t="shared" si="52">IFERROR(E1348/G1348-1,"")</x:f>
        <x:v>0.10864864598142354</x:v>
      </x:c>
      <x:c r="I1348" s="38" t="b">
        <x:f t="shared" si="53">E1348&lt;G1348</x:f>
        <x:v>0</x:v>
      </x:c>
    </x:row>
    <x:row r="1349">
      <x:c r="A1349" s="31">
        <x:v>38958</x:v>
      </x:c>
      <x:c r="B1349" s="32">
        <x:v>485.62</x:v>
      </x:c>
      <x:c r="C1349" s="32">
        <x:v>488.63</x:v>
      </x:c>
      <x:c r="D1349" s="32">
        <x:v>485.62</x:v>
      </x:c>
      <x:c r="E1349" s="32">
        <x:v>488.63</x:v>
      </x:c>
      <x:c r="F1349" s="33">
        <x:v>2162400</x:v>
      </x:c>
      <x:c r="G1349" s="32" t="n">
        <x:f t="shared" si="51">AVERAGE(E1150:E1349)</x:f>
        <x:v>436.56000000000023</x:v>
      </x:c>
      <x:c r="H1349" s="37" t="n">
        <x:f t="shared" si="52">IFERROR(E1349/G1349-1,"")</x:f>
        <x:v>0.11927341029869831</x:v>
      </x:c>
      <x:c r="I1349" s="38" t="b">
        <x:f t="shared" si="53">E1349&lt;G1349</x:f>
        <x:v>0</x:v>
      </x:c>
    </x:row>
    <x:row r="1350">
      <x:c r="A1350" s="31">
        <x:v>38959</x:v>
      </x:c>
      <x:c r="B1350" s="32">
        <x:v>492.95</x:v>
      </x:c>
      <x:c r="C1350" s="32">
        <x:v>493.25</x:v>
      </x:c>
      <x:c r="D1350" s="32">
        <x:v>492.77</x:v>
      </x:c>
      <x:c r="E1350" s="32">
        <x:v>492.77</x:v>
      </x:c>
      <x:c r="F1350" s="33">
        <x:v>3101600</x:v>
      </x:c>
      <x:c r="G1350" s="32" t="n">
        <x:f t="shared" si="51">AVERAGE(E1151:E1350)</x:f>
        <x:v>437.4282000000003</x:v>
      </x:c>
      <x:c r="H1350" s="37" t="n">
        <x:f t="shared" si="52">IFERROR(E1350/G1350-1,"")</x:f>
        <x:v>0.12651630599033092</x:v>
      </x:c>
      <x:c r="I1350" s="38" t="b">
        <x:f t="shared" si="53">E1350&lt;G1350</x:f>
        <x:v>0</x:v>
      </x:c>
    </x:row>
    <x:row r="1351">
      <x:c r="A1351" s="31">
        <x:v>38960</x:v>
      </x:c>
      <x:c r="B1351" s="32">
        <x:v>492.53</x:v>
      </x:c>
      <x:c r="C1351" s="32">
        <x:v>492.53</x:v>
      </x:c>
      <x:c r="D1351" s="32">
        <x:v>490.23</x:v>
      </x:c>
      <x:c r="E1351" s="32">
        <x:v>491.18</x:v>
      </x:c>
      <x:c r="F1351" s="33">
        <x:v>2107160</x:v>
      </x:c>
      <x:c r="G1351" s="32" t="n">
        <x:f t="shared" si="51">AVERAGE(E1152:E1351)</x:f>
        <x:v>438.2954500000002</x:v>
      </x:c>
      <x:c r="H1351" s="37" t="n">
        <x:f t="shared" si="52">IFERROR(E1351/G1351-1,"")</x:f>
        <x:v>0.12065959160652895</x:v>
      </x:c>
      <x:c r="I1351" s="38" t="b">
        <x:f t="shared" si="53">E1351&lt;G1351</x:f>
        <x:v>0</x:v>
      </x:c>
    </x:row>
    <x:row r="1352">
      <x:c r="A1352" s="31">
        <x:v>38961</x:v>
      </x:c>
      <x:c r="B1352" s="32">
        <x:v>494.75</x:v>
      </x:c>
      <x:c r="C1352" s="32">
        <x:v>498.21</x:v>
      </x:c>
      <x:c r="D1352" s="32">
        <x:v>494.75</x:v>
      </x:c>
      <x:c r="E1352" s="32">
        <x:v>498.21</x:v>
      </x:c>
      <x:c r="F1352" s="33">
        <x:v>2931950</x:v>
      </x:c>
      <x:c r="G1352" s="32" t="n">
        <x:f t="shared" si="51">AVERAGE(E1153:E1352)</x:f>
        <x:v>439.1973500000002</x:v>
      </x:c>
      <x:c r="H1352" s="37" t="n">
        <x:f t="shared" si="52">IFERROR(E1352/G1352-1,"")</x:f>
        <x:v>0.13436476791128116</x:v>
      </x:c>
      <x:c r="I1352" s="38" t="b">
        <x:f t="shared" si="53">E1352&lt;G1352</x:f>
        <x:v>0</x:v>
      </x:c>
    </x:row>
    <x:row r="1353">
      <x:c r="A1353" s="31">
        <x:v>38965</x:v>
      </x:c>
      <x:c r="B1353" s="32">
        <x:v>509.87</x:v>
      </x:c>
      <x:c r="C1353" s="32">
        <x:v>515.66</x:v>
      </x:c>
      <x:c r="D1353" s="32">
        <x:v>509.87</x:v>
      </x:c>
      <x:c r="E1353" s="32">
        <x:v>515.66</x:v>
      </x:c>
      <x:c r="F1353" s="33">
        <x:v>2807420</x:v>
      </x:c>
      <x:c r="G1353" s="32" t="n">
        <x:f t="shared" si="51">AVERAGE(E1154:E1353)</x:f>
        <x:v>440.19035000000025</x:v>
      </x:c>
      <x:c r="H1353" s="37" t="n">
        <x:f t="shared" si="52">IFERROR(E1353/G1353-1,"")</x:f>
        <x:v>0.17144776117877103</x:v>
      </x:c>
      <x:c r="I1353" s="38" t="b">
        <x:f t="shared" si="53">E1353&lt;G1353</x:f>
        <x:v>0</x:v>
      </x:c>
    </x:row>
    <x:row r="1354">
      <x:c r="A1354" s="31">
        <x:v>38966</x:v>
      </x:c>
      <x:c r="B1354" s="32">
        <x:v>526.87</x:v>
      </x:c>
      <x:c r="C1354" s="32">
        <x:v>526.87</x:v>
      </x:c>
      <x:c r="D1354" s="32">
        <x:v>517.61</x:v>
      </x:c>
      <x:c r="E1354" s="32">
        <x:v>517.61</x:v>
      </x:c>
      <x:c r="F1354" s="33">
        <x:v>3713430</x:v>
      </x:c>
      <x:c r="G1354" s="32" t="n">
        <x:f t="shared" si="51">AVERAGE(E1155:E1354)</x:f>
        <x:v>441.1989000000002</x:v>
      </x:c>
      <x:c r="H1354" s="37" t="n">
        <x:f t="shared" si="52">IFERROR(E1354/G1354-1,"")</x:f>
        <x:v>0.17318968836957604</x:v>
      </x:c>
      <x:c r="I1354" s="38" t="b">
        <x:f t="shared" si="53">E1354&lt;G1354</x:f>
        <x:v>0</x:v>
      </x:c>
    </x:row>
    <x:row r="1355">
      <x:c r="A1355" s="31">
        <x:v>38967</x:v>
      </x:c>
      <x:c r="B1355" s="32">
        <x:v>514.77</x:v>
      </x:c>
      <x:c r="C1355" s="32">
        <x:v>514.77</x:v>
      </x:c>
      <x:c r="D1355" s="32">
        <x:v>511.21</x:v>
      </x:c>
      <x:c r="E1355" s="32">
        <x:v>511.21</x:v>
      </x:c>
      <x:c r="F1355" s="33">
        <x:v>2804190</x:v>
      </x:c>
      <x:c r="G1355" s="32" t="n">
        <x:f t="shared" si="51">AVERAGE(E1156:E1355)</x:f>
        <x:v>442.1854000000003</x:v>
      </x:c>
      <x:c r="H1355" s="37" t="n">
        <x:f t="shared" si="52">IFERROR(E1355/G1355-1,"")</x:f>
        <x:v>0.15609877666698102</x:v>
      </x:c>
      <x:c r="I1355" s="38" t="b">
        <x:f t="shared" si="53">E1355&lt;G1355</x:f>
        <x:v>0</x:v>
      </x:c>
    </x:row>
    <x:row r="1356">
      <x:c r="A1356" s="31">
        <x:v>38968</x:v>
      </x:c>
      <x:c r="B1356" s="32">
        <x:v>511.45</x:v>
      </x:c>
      <x:c r="C1356" s="32">
        <x:v>513.04</x:v>
      </x:c>
      <x:c r="D1356" s="32">
        <x:v>511.21</x:v>
      </x:c>
      <x:c r="E1356" s="32">
        <x:v>513.04</x:v>
      </x:c>
      <x:c r="F1356" s="33">
        <x:v>2550280</x:v>
      </x:c>
      <x:c r="G1356" s="32" t="n">
        <x:f t="shared" si="51">AVERAGE(E1157:E1356)</x:f>
        <x:v>443.18810000000025</x:v>
      </x:c>
      <x:c r="H1356" s="37" t="n">
        <x:f t="shared" si="52">IFERROR(E1356/G1356-1,"")</x:f>
        <x:v>0.15761230953628869</x:v>
      </x:c>
      <x:c r="I1356" s="38" t="b">
        <x:f t="shared" si="53">E1356&lt;G1356</x:f>
        <x:v>0</x:v>
      </x:c>
    </x:row>
    <x:row r="1357">
      <x:c r="A1357" s="31">
        <x:v>38971</x:v>
      </x:c>
      <x:c r="B1357" s="32">
        <x:v>514.87</x:v>
      </x:c>
      <x:c r="C1357" s="32">
        <x:v>514.87</x:v>
      </x:c>
      <x:c r="D1357" s="32">
        <x:v>511.55</x:v>
      </x:c>
      <x:c r="E1357" s="32">
        <x:v>511.55</x:v>
      </x:c>
      <x:c r="F1357" s="33">
        <x:v>1899490</x:v>
      </x:c>
      <x:c r="G1357" s="32" t="n">
        <x:f t="shared" ref="G1357:G1420" si="54">AVERAGE(E1158:E1357)</x:f>
        <x:v>444.1868500000003</x:v>
      </x:c>
      <x:c r="H1357" s="37" t="n">
        <x:f t="shared" ref="H1357:H1420" si="55">IFERROR(E1357/G1357-1,"")</x:f>
        <x:v>0.15165498483352158</x:v>
      </x:c>
      <x:c r="I1357" s="38" t="b">
        <x:f t="shared" ref="I1357:I1420" si="56">E1357&lt;G1357</x:f>
        <x:v>0</x:v>
      </x:c>
    </x:row>
    <x:row r="1358">
      <x:c r="A1358" s="31">
        <x:v>38972</x:v>
      </x:c>
      <x:c r="B1358" s="32">
        <x:v>506.11</x:v>
      </x:c>
      <x:c r="C1358" s="32">
        <x:v>506.11</x:v>
      </x:c>
      <x:c r="D1358" s="32">
        <x:v>500.82</x:v>
      </x:c>
      <x:c r="E1358" s="32">
        <x:v>500.82</x:v>
      </x:c>
      <x:c r="F1358" s="33">
        <x:v>2318600</x:v>
      </x:c>
      <x:c r="G1358" s="32" t="n">
        <x:f t="shared" si="54">AVERAGE(E1159:E1358)</x:f>
        <x:v>445.14830000000023</x:v>
      </x:c>
      <x:c r="H1358" s="37" t="n">
        <x:f t="shared" si="55">IFERROR(E1358/G1358-1,"")</x:f>
        <x:v>0.12506326543311452</x:v>
      </x:c>
      <x:c r="I1358" s="38" t="b">
        <x:f t="shared" si="56">E1358&lt;G1358</x:f>
        <x:v>0</x:v>
      </x:c>
    </x:row>
    <x:row r="1359">
      <x:c r="A1359" s="31">
        <x:v>38973</x:v>
      </x:c>
      <x:c r="B1359" s="32">
        <x:v>500.42</x:v>
      </x:c>
      <x:c r="C1359" s="32">
        <x:v>511.14</x:v>
      </x:c>
      <x:c r="D1359" s="32">
        <x:v>500.42</x:v>
      </x:c>
      <x:c r="E1359" s="32">
        <x:v>510.66</x:v>
      </x:c>
      <x:c r="F1359" s="33">
        <x:v>2104880</x:v>
      </x:c>
      <x:c r="G1359" s="32" t="n">
        <x:f t="shared" si="54">AVERAGE(E1160:E1359)</x:f>
        <x:v>446.17410000000024</x:v>
      </x:c>
      <x:c r="H1359" s="37" t="n">
        <x:f t="shared" si="55">IFERROR(E1359/G1359-1,"")</x:f>
        <x:v>0.14453080086898762</x:v>
      </x:c>
      <x:c r="I1359" s="38" t="b">
        <x:f t="shared" si="56">E1359&lt;G1359</x:f>
        <x:v>0</x:v>
      </x:c>
    </x:row>
    <x:row r="1360">
      <x:c r="A1360" s="31">
        <x:v>38974</x:v>
      </x:c>
      <x:c r="B1360" s="32">
        <x:v>508.97</x:v>
      </x:c>
      <x:c r="C1360" s="32">
        <x:v>508.97</x:v>
      </x:c>
      <x:c r="D1360" s="32">
        <x:v>505.17</x:v>
      </x:c>
      <x:c r="E1360" s="32">
        <x:v>505.17</x:v>
      </x:c>
      <x:c r="F1360" s="33">
        <x:v>1953490</x:v>
      </x:c>
      <x:c r="G1360" s="32" t="n">
        <x:f t="shared" si="54">AVERAGE(E1161:E1360)</x:f>
        <x:v>447.19105000000025</x:v>
      </x:c>
      <x:c r="H1360" s="37" t="n">
        <x:f t="shared" si="55">IFERROR(E1360/G1360-1,"")</x:f>
        <x:v>0.1296514096156436</x:v>
      </x:c>
      <x:c r="I1360" s="38" t="b">
        <x:f t="shared" si="56">E1360&lt;G1360</x:f>
        <x:v>0</x:v>
      </x:c>
    </x:row>
    <x:row r="1361">
      <x:c r="A1361" s="31">
        <x:v>38975</x:v>
      </x:c>
      <x:c r="B1361" s="32">
        <x:v>508.29</x:v>
      </x:c>
      <x:c r="C1361" s="32">
        <x:v>509.32</x:v>
      </x:c>
      <x:c r="D1361" s="32">
        <x:v>508.27</x:v>
      </x:c>
      <x:c r="E1361" s="32">
        <x:v>509.32</x:v>
      </x:c>
      <x:c r="F1361" s="33">
        <x:v>2453770</x:v>
      </x:c>
      <x:c r="G1361" s="32" t="n">
        <x:f t="shared" si="54">AVERAGE(E1162:E1361)</x:f>
        <x:v>448.19030000000026</x:v>
      </x:c>
      <x:c r="H1361" s="37" t="n">
        <x:f t="shared" si="55">IFERROR(E1361/G1361-1,"")</x:f>
        <x:v>0.13639228693704375</x:v>
      </x:c>
      <x:c r="I1361" s="38" t="b">
        <x:f t="shared" si="56">E1361&lt;G1361</x:f>
        <x:v>0</x:v>
      </x:c>
    </x:row>
    <x:row r="1362">
      <x:c r="A1362" s="31">
        <x:v>38978</x:v>
      </x:c>
      <x:c r="B1362" s="32">
        <x:v>511.1</x:v>
      </x:c>
      <x:c r="C1362" s="32">
        <x:v>511.1</x:v>
      </x:c>
      <x:c r="D1362" s="32">
        <x:v>509</x:v>
      </x:c>
      <x:c r="E1362" s="32">
        <x:v>510.08</x:v>
      </x:c>
      <x:c r="F1362" s="33">
        <x:v>1892090</x:v>
      </x:c>
      <x:c r="G1362" s="32" t="n">
        <x:f t="shared" si="54">AVERAGE(E1163:E1362)</x:f>
        <x:v>449.1998000000003</x:v>
      </x:c>
      <x:c r="H1362" s="37" t="n">
        <x:f t="shared" si="55">IFERROR(E1362/G1362-1,"")</x:f>
        <x:v>0.13553033638928524</x:v>
      </x:c>
      <x:c r="I1362" s="38" t="b">
        <x:f t="shared" si="56">E1362&lt;G1362</x:f>
        <x:v>0</x:v>
      </x:c>
    </x:row>
    <x:row r="1363">
      <x:c r="A1363" s="31">
        <x:v>38979</x:v>
      </x:c>
      <x:c r="B1363" s="32">
        <x:v>514.03</x:v>
      </x:c>
      <x:c r="C1363" s="32">
        <x:v>515.08000000000004</x:v>
      </x:c>
      <x:c r="D1363" s="32">
        <x:v>514.03</x:v>
      </x:c>
      <x:c r="E1363" s="32">
        <x:v>515.08000000000004</x:v>
      </x:c>
      <x:c r="F1363" s="33">
        <x:v>2669080</x:v>
      </x:c>
      <x:c r="G1363" s="32" t="n">
        <x:f t="shared" si="54">AVERAGE(E1164:E1363)</x:f>
        <x:v>450.23635000000036</x:v>
      </x:c>
      <x:c r="H1363" s="37" t="n">
        <x:f t="shared" si="55">IFERROR(E1363/G1363-1,"")</x:f>
        <x:v>0.14402135678294226</x:v>
      </x:c>
      <x:c r="I1363" s="38" t="b">
        <x:f t="shared" si="56">E1363&lt;G1363</x:f>
        <x:v>0</x:v>
      </x:c>
    </x:row>
    <x:row r="1364">
      <x:c r="A1364" s="31">
        <x:v>38980</x:v>
      </x:c>
      <x:c r="B1364" s="32">
        <x:v>519.54</x:v>
      </x:c>
      <x:c r="C1364" s="32">
        <x:v>519.54</x:v>
      </x:c>
      <x:c r="D1364" s="32">
        <x:v>514.48</x:v>
      </x:c>
      <x:c r="E1364" s="32">
        <x:v>514.48</x:v>
      </x:c>
      <x:c r="F1364" s="33">
        <x:v>2637510</x:v>
      </x:c>
      <x:c r="G1364" s="32" t="n">
        <x:f t="shared" si="54">AVERAGE(E1165:E1364)</x:f>
        <x:v>451.2521000000004</x:v>
      </x:c>
      <x:c r="H1364" s="37" t="n">
        <x:f t="shared" si="55">IFERROR(E1364/G1364-1,"")</x:f>
        <x:v>0.14011657785082798</x:v>
      </x:c>
      <x:c r="I1364" s="38" t="b">
        <x:f t="shared" si="56">E1364&lt;G1364</x:f>
        <x:v>0</x:v>
      </x:c>
    </x:row>
    <x:row r="1365">
      <x:c r="A1365" s="31">
        <x:v>38981</x:v>
      </x:c>
      <x:c r="B1365" s="32">
        <x:v>515.80999999999995</x:v>
      </x:c>
      <x:c r="C1365" s="32">
        <x:v>515.80999999999995</x:v>
      </x:c>
      <x:c r="D1365" s="32">
        <x:v>513.32000000000005</x:v>
      </x:c>
      <x:c r="E1365" s="32">
        <x:v>513.37</x:v>
      </x:c>
      <x:c r="F1365" s="33">
        <x:v>1798160</x:v>
      </x:c>
      <x:c r="G1365" s="32" t="n">
        <x:f t="shared" si="54">AVERAGE(E1166:E1365)</x:f>
        <x:v>452.25850000000037</x:v>
      </x:c>
      <x:c r="H1365" s="37" t="n">
        <x:f t="shared" si="55">IFERROR(E1365/G1365-1,"")</x:f>
        <x:v>0.13512515519332324</x:v>
      </x:c>
      <x:c r="I1365" s="38" t="b">
        <x:f t="shared" si="56">E1365&lt;G1365</x:f>
        <x:v>0</x:v>
      </x:c>
    </x:row>
    <x:row r="1366">
      <x:c r="A1366" s="31">
        <x:v>38982</x:v>
      </x:c>
      <x:c r="B1366" s="32">
        <x:v>511.61</x:v>
      </x:c>
      <x:c r="C1366" s="32">
        <x:v>513.75</x:v>
      </x:c>
      <x:c r="D1366" s="32">
        <x:v>511.61</x:v>
      </x:c>
      <x:c r="E1366" s="32">
        <x:v>513.75</x:v>
      </x:c>
      <x:c r="F1366" s="33">
        <x:v>1814320</x:v>
      </x:c>
      <x:c r="G1366" s="32" t="n">
        <x:f t="shared" si="54">AVERAGE(E1167:E1366)</x:f>
        <x:v>453.2651000000003</x:v>
      </x:c>
      <x:c r="H1366" s="37" t="n">
        <x:f t="shared" si="55">IFERROR(E1366/G1366-1,"")</x:f>
        <x:v>0.13344265861192417</x:v>
      </x:c>
      <x:c r="I1366" s="38" t="b">
        <x:f t="shared" si="56">E1366&lt;G1366</x:f>
        <x:v>0</x:v>
      </x:c>
    </x:row>
    <x:row r="1367">
      <x:c r="A1367" s="31">
        <x:v>38985</x:v>
      </x:c>
      <x:c r="B1367" s="32">
        <x:v>514.51</x:v>
      </x:c>
      <x:c r="C1367" s="32">
        <x:v>515.09</x:v>
      </x:c>
      <x:c r="D1367" s="32">
        <x:v>514.25</x:v>
      </x:c>
      <x:c r="E1367" s="32">
        <x:v>515.09</x:v>
      </x:c>
      <x:c r="F1367" s="33">
        <x:v>1921530</x:v>
      </x:c>
      <x:c r="G1367" s="32" t="n">
        <x:f t="shared" si="54">AVERAGE(E1168:E1367)</x:f>
        <x:v>454.27625000000035</x:v>
      </x:c>
      <x:c r="H1367" s="37" t="n">
        <x:f t="shared" si="55">IFERROR(E1367/G1367-1,"")</x:f>
        <x:v>0.13386953423164782</x:v>
      </x:c>
      <x:c r="I1367" s="38" t="b">
        <x:f t="shared" si="56">E1367&lt;G1367</x:f>
        <x:v>0</x:v>
      </x:c>
    </x:row>
    <x:row r="1368">
      <x:c r="A1368" s="31">
        <x:v>38986</x:v>
      </x:c>
      <x:c r="B1368" s="32">
        <x:v>516.80999999999995</x:v>
      </x:c>
      <x:c r="C1368" s="32">
        <x:v>520.04999999999995</x:v>
      </x:c>
      <x:c r="D1368" s="32">
        <x:v>516.80999999999995</x:v>
      </x:c>
      <x:c r="E1368" s="32">
        <x:v>520.04999999999995</x:v>
      </x:c>
      <x:c r="F1368" s="33">
        <x:v>2390350</x:v>
      </x:c>
      <x:c r="G1368" s="32" t="n">
        <x:f t="shared" si="54">AVERAGE(E1169:E1368)</x:f>
        <x:v>455.3150500000003</x:v>
      </x:c>
      <x:c r="H1368" s="37" t="n">
        <x:f t="shared" si="55">IFERROR(E1368/G1368-1,"")</x:f>
        <x:v>0.14217617010463313</x:v>
      </x:c>
      <x:c r="I1368" s="38" t="b">
        <x:f t="shared" si="56">E1368&lt;G1368</x:f>
        <x:v>0</x:v>
      </x:c>
    </x:row>
    <x:row r="1369">
      <x:c r="A1369" s="31">
        <x:v>38987</x:v>
      </x:c>
      <x:c r="B1369" s="32">
        <x:v>522.21</x:v>
      </x:c>
      <x:c r="C1369" s="32">
        <x:v>522.21</x:v>
      </x:c>
      <x:c r="D1369" s="32">
        <x:v>520.41999999999996</x:v>
      </x:c>
      <x:c r="E1369" s="32">
        <x:v>520.41999999999996</x:v>
      </x:c>
      <x:c r="F1369" s="33">
        <x:v>2518220</x:v>
      </x:c>
      <x:c r="G1369" s="32" t="n">
        <x:f t="shared" si="54">AVERAGE(E1170:E1369)</x:f>
        <x:v>456.3556000000003</x:v>
      </x:c>
      <x:c r="H1369" s="37" t="n">
        <x:f t="shared" si="55">IFERROR(E1369/G1369-1,"")</x:f>
        <x:v>0.1403826314391663</x:v>
      </x:c>
      <x:c r="I1369" s="38" t="b">
        <x:f t="shared" si="56">E1369&lt;G1369</x:f>
        <x:v>0</x:v>
      </x:c>
    </x:row>
    <x:row r="1370">
      <x:c r="A1370" s="31">
        <x:v>38988</x:v>
      </x:c>
      <x:c r="B1370" s="32">
        <x:v>522.17999999999995</x:v>
      </x:c>
      <x:c r="C1370" s="32">
        <x:v>527.74</x:v>
      </x:c>
      <x:c r="D1370" s="32">
        <x:v>522.17999999999995</x:v>
      </x:c>
      <x:c r="E1370" s="32">
        <x:v>527.74</x:v>
      </x:c>
      <x:c r="F1370" s="33">
        <x:v>2470140</x:v>
      </x:c>
      <x:c r="G1370" s="32" t="n">
        <x:f t="shared" si="54">AVERAGE(E1171:E1370)</x:f>
        <x:v>457.4288500000004</x:v>
      </x:c>
      <x:c r="H1370" s="37" t="n">
        <x:f t="shared" si="55">IFERROR(E1370/G1370-1,"")</x:f>
        <x:v>0.1537094785342017</x:v>
      </x:c>
      <x:c r="I1370" s="38" t="b">
        <x:f t="shared" si="56">E1370&lt;G1370</x:f>
        <x:v>0</x:v>
      </x:c>
    </x:row>
    <x:row r="1371">
      <x:c r="A1371" s="31">
        <x:v>38989</x:v>
      </x:c>
      <x:c r="B1371" s="32">
        <x:v>531.88</x:v>
      </x:c>
      <x:c r="C1371" s="32">
        <x:v>531.88</x:v>
      </x:c>
      <x:c r="D1371" s="32">
        <x:v>526.73</x:v>
      </x:c>
      <x:c r="E1371" s="32">
        <x:v>526.73</x:v>
      </x:c>
      <x:c r="F1371" s="33">
        <x:v>2590310</x:v>
      </x:c>
      <x:c r="G1371" s="32" t="n">
        <x:f t="shared" si="54">AVERAGE(E1172:E1371)</x:f>
        <x:v>458.4835500000003</x:v>
      </x:c>
      <x:c r="H1371" s="37" t="n">
        <x:f t="shared" si="55">IFERROR(E1371/G1371-1,"")</x:f>
        <x:v>0.14885255970470412</x:v>
      </x:c>
      <x:c r="I1371" s="38" t="b">
        <x:f t="shared" si="56">E1371&lt;G1371</x:f>
        <x:v>0</x:v>
      </x:c>
    </x:row>
    <x:row r="1372">
      <x:c r="A1372" s="31">
        <x:v>38992</x:v>
      </x:c>
      <x:c r="B1372" s="32">
        <x:v>529.57000000000005</x:v>
      </x:c>
      <x:c r="C1372" s="32">
        <x:v>531.67999999999995</x:v>
      </x:c>
      <x:c r="D1372" s="32">
        <x:v>529.57000000000005</x:v>
      </x:c>
      <x:c r="E1372" s="32">
        <x:v>531.67999999999995</x:v>
      </x:c>
      <x:c r="F1372" s="33">
        <x:v>2113810</x:v>
      </x:c>
      <x:c r="G1372" s="32" t="n">
        <x:f t="shared" si="54">AVERAGE(E1173:E1372)</x:f>
        <x:v>459.55755000000033</x:v>
      </x:c>
      <x:c r="H1372" s="37" t="n">
        <x:f t="shared" si="55">IFERROR(E1372/G1372-1,"")</x:f>
        <x:v>0.15693888610904017</x:v>
      </x:c>
      <x:c r="I1372" s="38" t="b">
        <x:f t="shared" si="56">E1372&lt;G1372</x:f>
        <x:v>0</x:v>
      </x:c>
    </x:row>
    <x:row r="1373">
      <x:c r="A1373" s="31">
        <x:v>38993</x:v>
      </x:c>
      <x:c r="B1373" s="32">
        <x:v>538.09</x:v>
      </x:c>
      <x:c r="C1373" s="32">
        <x:v>538.09</x:v>
      </x:c>
      <x:c r="D1373" s="32">
        <x:v>536.47</x:v>
      </x:c>
      <x:c r="E1373" s="32">
        <x:v>537.87</x:v>
      </x:c>
      <x:c r="F1373" s="33">
        <x:v>2503900</x:v>
      </x:c>
      <x:c r="G1373" s="32" t="n">
        <x:f t="shared" si="54">AVERAGE(E1174:E1373)</x:f>
        <x:v>460.6632500000003</x:v>
      </x:c>
      <x:c r="H1373" s="37" t="n">
        <x:f t="shared" si="55">IFERROR(E1373/G1373-1,"")</x:f>
        <x:v>0.1675991084593782</x:v>
      </x:c>
      <x:c r="I1373" s="38" t="b">
        <x:f t="shared" si="56">E1373&lt;G1373</x:f>
        <x:v>0</x:v>
      </x:c>
    </x:row>
    <x:row r="1374">
      <x:c r="A1374" s="31">
        <x:v>38994</x:v>
      </x:c>
      <x:c r="B1374" s="32">
        <x:v>545.54999999999995</x:v>
      </x:c>
      <x:c r="C1374" s="32">
        <x:v>545.54999999999995</x:v>
      </x:c>
      <x:c r="D1374" s="32">
        <x:v>541.91</x:v>
      </x:c>
      <x:c r="E1374" s="32">
        <x:v>541.91</x:v>
      </x:c>
      <x:c r="F1374" s="33">
        <x:v>3273230</x:v>
      </x:c>
      <x:c r="G1374" s="32" t="n">
        <x:f t="shared" si="54">AVERAGE(E1175:E1374)</x:f>
        <x:v>461.79810000000026</x:v>
      </x:c>
      <x:c r="H1374" s="37" t="n">
        <x:f t="shared" si="55">IFERROR(E1374/G1374-1,"")</x:f>
        <x:v>0.17347819317576163</x:v>
      </x:c>
      <x:c r="I1374" s="38" t="b">
        <x:f t="shared" si="56">E1374&lt;G1374</x:f>
        <x:v>0</x:v>
      </x:c>
    </x:row>
    <x:row r="1375">
      <x:c r="A1375" s="31">
        <x:v>38995</x:v>
      </x:c>
      <x:c r="B1375" s="32">
        <x:v>542.82000000000005</x:v>
      </x:c>
      <x:c r="C1375" s="32">
        <x:v>542.82000000000005</x:v>
      </x:c>
      <x:c r="D1375" s="32">
        <x:v>534.73</x:v>
      </x:c>
      <x:c r="E1375" s="32">
        <x:v>534.73</x:v>
      </x:c>
      <x:c r="F1375" s="33">
        <x:v>2316460</x:v>
      </x:c>
      <x:c r="G1375" s="32" t="n">
        <x:f t="shared" si="54">AVERAGE(E1176:E1375)</x:f>
        <x:v>462.90135000000026</x:v>
      </x:c>
      <x:c r="H1375" s="37" t="n">
        <x:f t="shared" si="55">IFERROR(E1375/G1375-1,"")</x:f>
        <x:v>0.1551705347154415</x:v>
      </x:c>
      <x:c r="I1375" s="38" t="b">
        <x:f t="shared" si="56">E1375&lt;G1375</x:f>
        <x:v>0</x:v>
      </x:c>
    </x:row>
    <x:row r="1376">
      <x:c r="A1376" s="31">
        <x:v>38996</x:v>
      </x:c>
      <x:c r="B1376" s="32">
        <x:v>532.92999999999995</x:v>
      </x:c>
      <x:c r="C1376" s="32">
        <x:v>536.48</x:v>
      </x:c>
      <x:c r="D1376" s="32">
        <x:v>532.92999999999995</x:v>
      </x:c>
      <x:c r="E1376" s="32">
        <x:v>536.48</x:v>
      </x:c>
      <x:c r="F1376" s="33">
        <x:v>1874380</x:v>
      </x:c>
      <x:c r="G1376" s="32" t="n">
        <x:f t="shared" si="54">AVERAGE(E1177:E1376)</x:f>
        <x:v>464.0113000000002</x:v>
      </x:c>
      <x:c r="H1376" s="37" t="n">
        <x:f t="shared" si="55">IFERROR(E1376/G1376-1,"")</x:f>
        <x:v>0.15617873961259088</x:v>
      </x:c>
      <x:c r="I1376" s="38" t="b">
        <x:f t="shared" si="56">E1376&lt;G1376</x:f>
        <x:v>0</x:v>
      </x:c>
    </x:row>
    <x:row r="1377">
      <x:c r="A1377" s="31">
        <x:v>38999</x:v>
      </x:c>
      <x:c r="B1377" s="32">
        <x:v>537.52</x:v>
      </x:c>
      <x:c r="C1377" s="32">
        <x:v>537.52</x:v>
      </x:c>
      <x:c r="D1377" s="32">
        <x:v>535.13</x:v>
      </x:c>
      <x:c r="E1377" s="32">
        <x:v>535.13</x:v>
      </x:c>
      <x:c r="F1377" s="33">
        <x:v>2077350</x:v>
      </x:c>
      <x:c r="G1377" s="32" t="n">
        <x:f t="shared" si="54">AVERAGE(E1178:E1377)</x:f>
        <x:v>465.1289500000002</x:v>
      </x:c>
      <x:c r="H1377" s="37" t="n">
        <x:f t="shared" si="55">IFERROR(E1377/G1377-1,"")</x:f>
        <x:v>0.15049815755394236</x:v>
      </x:c>
      <x:c r="I1377" s="38" t="b">
        <x:f t="shared" si="56">E1377&lt;G1377</x:f>
        <x:v>0</x:v>
      </x:c>
    </x:row>
    <x:row r="1378">
      <x:c r="A1378" s="31">
        <x:v>39000</x:v>
      </x:c>
      <x:c r="B1378" s="32">
        <x:v>531.97</x:v>
      </x:c>
      <x:c r="C1378" s="32">
        <x:v>531.97</x:v>
      </x:c>
      <x:c r="D1378" s="32">
        <x:v>527.17999999999995</x:v>
      </x:c>
      <x:c r="E1378" s="32">
        <x:v>527.17999999999995</x:v>
      </x:c>
      <x:c r="F1378" s="33">
        <x:v>1923660</x:v>
      </x:c>
      <x:c r="G1378" s="32" t="n">
        <x:f t="shared" si="54">AVERAGE(E1179:E1378)</x:f>
        <x:v>466.2057000000002</x:v>
      </x:c>
      <x:c r="H1378" s="37" t="n">
        <x:f t="shared" si="55">IFERROR(E1378/G1378-1,"")</x:f>
        <x:v>0.13078840520396828</x:v>
      </x:c>
      <x:c r="I1378" s="38" t="b">
        <x:f t="shared" si="56">E1378&lt;G1378</x:f>
        <x:v>0</x:v>
      </x:c>
    </x:row>
    <x:row r="1379">
      <x:c r="A1379" s="31">
        <x:v>39001</x:v>
      </x:c>
      <x:c r="B1379" s="32">
        <x:v>524.73</x:v>
      </x:c>
      <x:c r="C1379" s="32">
        <x:v>525</x:v>
      </x:c>
      <x:c r="D1379" s="32">
        <x:v>524.66999999999996</x:v>
      </x:c>
      <x:c r="E1379" s="32">
        <x:v>524.66999999999996</x:v>
      </x:c>
      <x:c r="F1379" s="33">
        <x:v>1990170</x:v>
      </x:c>
      <x:c r="G1379" s="32" t="n">
        <x:f t="shared" si="54">AVERAGE(E1180:E1379)</x:f>
        <x:v>467.27585000000016</x:v>
      </x:c>
      <x:c r="H1379" s="37" t="n">
        <x:f t="shared" si="55">IFERROR(E1379/G1379-1,"")</x:f>
        <x:v>0.12282712663194517</x:v>
      </x:c>
      <x:c r="I1379" s="38" t="b">
        <x:f t="shared" si="56">E1379&lt;G1379</x:f>
        <x:v>0</x:v>
      </x:c>
    </x:row>
    <x:row r="1380">
      <x:c r="A1380" s="31">
        <x:v>39002</x:v>
      </x:c>
      <x:c r="B1380" s="32">
        <x:v>527.16</x:v>
      </x:c>
      <x:c r="C1380" s="32">
        <x:v>527.16</x:v>
      </x:c>
      <x:c r="D1380" s="32">
        <x:v>525.22</x:v>
      </x:c>
      <x:c r="E1380" s="32">
        <x:v>525.22</x:v>
      </x:c>
      <x:c r="F1380" s="33">
        <x:v>2060930</x:v>
      </x:c>
      <x:c r="G1380" s="32" t="n">
        <x:f t="shared" si="54">AVERAGE(E1181:E1380)</x:f>
        <x:v>468.35215000000017</x:v>
      </x:c>
      <x:c r="H1380" s="37" t="n">
        <x:f t="shared" si="55">IFERROR(E1380/G1380-1,"")</x:f>
        <x:v>0.12142113578425939</x:v>
      </x:c>
      <x:c r="I1380" s="38" t="b">
        <x:f t="shared" si="56">E1380&lt;G1380</x:f>
        <x:v>0</x:v>
      </x:c>
    </x:row>
    <x:row r="1381">
      <x:c r="A1381" s="31">
        <x:v>39003</x:v>
      </x:c>
      <x:c r="B1381" s="32">
        <x:v>524.98</x:v>
      </x:c>
      <x:c r="C1381" s="32">
        <x:v>526.12</x:v>
      </x:c>
      <x:c r="D1381" s="32">
        <x:v>524.98</x:v>
      </x:c>
      <x:c r="E1381" s="32">
        <x:v>525.92999999999995</x:v>
      </x:c>
      <x:c r="F1381" s="33">
        <x:v>2085490</x:v>
      </x:c>
      <x:c r="G1381" s="32" t="n">
        <x:f t="shared" si="54">AVERAGE(E1182:E1381)</x:f>
        <x:v>469.4361000000001</x:v>
      </x:c>
      <x:c r="H1381" s="37" t="n">
        <x:f t="shared" si="55">IFERROR(E1381/G1381-1,"")</x:f>
        <x:v>0.12034417463846481</x:v>
      </x:c>
      <x:c r="I1381" s="38" t="b">
        <x:f t="shared" si="56">E1381&lt;G1381</x:f>
        <x:v>0</x:v>
      </x:c>
    </x:row>
    <x:row r="1382">
      <x:c r="A1382" s="31">
        <x:v>39006</x:v>
      </x:c>
      <x:c r="B1382" s="32">
        <x:v>527.01</x:v>
      </x:c>
      <x:c r="C1382" s="32">
        <x:v>527.01</x:v>
      </x:c>
      <x:c r="D1382" s="32">
        <x:v>526.34</x:v>
      </x:c>
      <x:c r="E1382" s="32">
        <x:v>526.34</x:v>
      </x:c>
      <x:c r="F1382" s="33">
        <x:v>1867820</x:v>
      </x:c>
      <x:c r="G1382" s="32" t="n">
        <x:f t="shared" si="54">AVERAGE(E1183:E1382)</x:f>
        <x:v>470.52150000000006</x:v>
      </x:c>
      <x:c r="H1382" s="37" t="n">
        <x:f t="shared" si="55">IFERROR(E1382/G1382-1,"")</x:f>
        <x:v>0.1186311358779566</x:v>
      </x:c>
      <x:c r="I1382" s="38" t="b">
        <x:f t="shared" si="56">E1382&lt;G1382</x:f>
        <x:v>0</x:v>
      </x:c>
    </x:row>
    <x:row r="1383">
      <x:c r="A1383" s="31">
        <x:v>39007</x:v>
      </x:c>
      <x:c r="B1383" s="32">
        <x:v>523.28</x:v>
      </x:c>
      <x:c r="C1383" s="32">
        <x:v>523.28</x:v>
      </x:c>
      <x:c r="D1383" s="32">
        <x:v>518.71</x:v>
      </x:c>
      <x:c r="E1383" s="32">
        <x:v>518.71</x:v>
      </x:c>
      <x:c r="F1383" s="33">
        <x:v>2816850</x:v>
      </x:c>
      <x:c r="G1383" s="32" t="n">
        <x:f t="shared" si="54">AVERAGE(E1184:E1383)</x:f>
        <x:v>471.5729500000001</x:v>
      </x:c>
      <x:c r="H1383" s="37" t="n">
        <x:f t="shared" si="55">IFERROR(E1383/G1383-1,"")</x:f>
        <x:v>0.09995706920848613</x:v>
      </x:c>
      <x:c r="I1383" s="38" t="b">
        <x:f t="shared" si="56">E1383&lt;G1383</x:f>
        <x:v>0</x:v>
      </x:c>
    </x:row>
    <x:row r="1384">
      <x:c r="A1384" s="31">
        <x:v>39008</x:v>
      </x:c>
      <x:c r="B1384" s="32">
        <x:v>517.92999999999995</x:v>
      </x:c>
      <x:c r="C1384" s="32">
        <x:v>518.58000000000004</x:v>
      </x:c>
      <x:c r="D1384" s="32">
        <x:v>517.88</x:v>
      </x:c>
      <x:c r="E1384" s="32">
        <x:v>518.58000000000004</x:v>
      </x:c>
      <x:c r="F1384" s="33">
        <x:v>2191170</x:v>
      </x:c>
      <x:c r="G1384" s="32" t="n">
        <x:f t="shared" si="54">AVERAGE(E1185:E1384)</x:f>
        <x:v>472.6292500000002</x:v>
      </x:c>
      <x:c r="H1384" s="37" t="n">
        <x:f t="shared" si="55">IFERROR(E1384/G1384-1,"")</x:f>
        <x:v>0.09722366950416172</x:v>
      </x:c>
      <x:c r="I1384" s="38" t="b">
        <x:f t="shared" si="56">E1384&lt;G1384</x:f>
        <x:v>0</x:v>
      </x:c>
    </x:row>
    <x:row r="1385">
      <x:c r="A1385" s="31">
        <x:v>39009</x:v>
      </x:c>
      <x:c r="B1385" s="32">
        <x:v>522.69000000000005</x:v>
      </x:c>
      <x:c r="C1385" s="32">
        <x:v>524.59</x:v>
      </x:c>
      <x:c r="D1385" s="32">
        <x:v>522.49</x:v>
      </x:c>
      <x:c r="E1385" s="32">
        <x:v>524.59</x:v>
      </x:c>
      <x:c r="F1385" s="33">
        <x:v>2016010</x:v>
      </x:c>
      <x:c r="G1385" s="32" t="n">
        <x:f t="shared" si="54">AVERAGE(E1186:E1385)</x:f>
        <x:v>473.7082000000001</x:v>
      </x:c>
      <x:c r="H1385" s="37" t="n">
        <x:f t="shared" si="55">IFERROR(E1385/G1385-1,"")</x:f>
        <x:v>0.10741169352778757</x:v>
      </x:c>
      <x:c r="I1385" s="38" t="b">
        <x:f t="shared" si="56">E1385&lt;G1385</x:f>
        <x:v>0</x:v>
      </x:c>
    </x:row>
    <x:row r="1386">
      <x:c r="A1386" s="31">
        <x:v>39010</x:v>
      </x:c>
      <x:c r="B1386" s="32">
        <x:v>527.91</x:v>
      </x:c>
      <x:c r="C1386" s="32">
        <x:v>528.41999999999996</x:v>
      </x:c>
      <x:c r="D1386" s="32">
        <x:v>527.91</x:v>
      </x:c>
      <x:c r="E1386" s="32">
        <x:v>528.41999999999996</x:v>
      </x:c>
      <x:c r="F1386" s="33">
        <x:v>2016270</x:v>
      </x:c>
      <x:c r="G1386" s="32" t="n">
        <x:f t="shared" si="54">AVERAGE(E1187:E1386)</x:f>
        <x:v>474.81280000000004</x:v>
      </x:c>
      <x:c r="H1386" s="37" t="n">
        <x:f t="shared" si="55">IFERROR(E1386/G1386-1,"")</x:f>
        <x:v>0.11290175833507421</x:v>
      </x:c>
      <x:c r="I1386" s="38" t="b">
        <x:f t="shared" si="56">E1386&lt;G1386</x:f>
        <x:v>0</x:v>
      </x:c>
    </x:row>
    <x:row r="1387">
      <x:c r="A1387" s="31">
        <x:v>39013</x:v>
      </x:c>
      <x:c r="B1387" s="32">
        <x:v>526.04999999999995</x:v>
      </x:c>
      <x:c r="C1387" s="32">
        <x:v>526.04999999999995</x:v>
      </x:c>
      <x:c r="D1387" s="32">
        <x:v>525.91999999999996</x:v>
      </x:c>
      <x:c r="E1387" s="32">
        <x:v>525.91999999999996</x:v>
      </x:c>
      <x:c r="F1387" s="33">
        <x:v>1451370</x:v>
      </x:c>
      <x:c r="G1387" s="32" t="n">
        <x:f t="shared" si="54">AVERAGE(E1188:E1387)</x:f>
        <x:v>475.916</x:v>
      </x:c>
      <x:c r="H1387" s="37" t="n">
        <x:f t="shared" si="55">IFERROR(E1387/G1387-1,"")</x:f>
        <x:v>0.10506896174955238</x:v>
      </x:c>
      <x:c r="I1387" s="38" t="b">
        <x:f t="shared" si="56">E1387&lt;G1387</x:f>
        <x:v>0</x:v>
      </x:c>
    </x:row>
    <x:row r="1388">
      <x:c r="A1388" s="31">
        <x:v>39014</x:v>
      </x:c>
      <x:c r="B1388" s="32">
        <x:v>526.08000000000004</x:v>
      </x:c>
      <x:c r="C1388" s="32">
        <x:v>526.08000000000004</x:v>
      </x:c>
      <x:c r="D1388" s="32">
        <x:v>525.75</x:v>
      </x:c>
      <x:c r="E1388" s="32">
        <x:v>525.75</x:v>
      </x:c>
      <x:c r="F1388" s="33">
        <x:v>1428840</x:v>
      </x:c>
      <x:c r="G1388" s="32" t="n">
        <x:f t="shared" si="54">AVERAGE(E1189:E1388)</x:f>
        <x:v>477.0193</x:v>
      </x:c>
      <x:c r="H1388" s="37" t="n">
        <x:f t="shared" si="55">IFERROR(E1388/G1388-1,"")</x:f>
        <x:v>0.10215666326289097</x:v>
      </x:c>
      <x:c r="I1388" s="38" t="b">
        <x:f t="shared" si="56">E1388&lt;G1388</x:f>
        <x:v>0</x:v>
      </x:c>
    </x:row>
    <x:row r="1389">
      <x:c r="A1389" s="31">
        <x:v>39015</x:v>
      </x:c>
      <x:c r="B1389" s="32">
        <x:v>525.02</x:v>
      </x:c>
      <x:c r="C1389" s="32">
        <x:v>525.39</x:v>
      </x:c>
      <x:c r="D1389" s="32">
        <x:v>524.25</x:v>
      </x:c>
      <x:c r="E1389" s="32">
        <x:v>524.25</x:v>
      </x:c>
      <x:c r="F1389" s="33">
        <x:v>1338020</x:v>
      </x:c>
      <x:c r="G1389" s="32" t="n">
        <x:f t="shared" si="54">AVERAGE(E1190:E1389)</x:f>
        <x:v>478.107</x:v>
      </x:c>
      <x:c r="H1389" s="37" t="n">
        <x:f t="shared" si="55">IFERROR(E1389/G1389-1,"")</x:f>
        <x:v>0.09651186868211492</x:v>
      </x:c>
      <x:c r="I1389" s="38" t="b">
        <x:f t="shared" si="56">E1389&lt;G1389</x:f>
        <x:v>0</x:v>
      </x:c>
    </x:row>
    <x:row r="1390">
      <x:c r="A1390" s="31">
        <x:v>39016</x:v>
      </x:c>
      <x:c r="B1390" s="32">
        <x:v>524.59</x:v>
      </x:c>
      <x:c r="C1390" s="32">
        <x:v>524.99</x:v>
      </x:c>
      <x:c r="D1390" s="32">
        <x:v>524.35</x:v>
      </x:c>
      <x:c r="E1390" s="32">
        <x:v>524.99</x:v>
      </x:c>
      <x:c r="F1390" s="33">
        <x:v>1408400</x:v>
      </x:c>
      <x:c r="G1390" s="32" t="n">
        <x:f t="shared" si="54">AVERAGE(E1191:E1390)</x:f>
        <x:v>479.1944500000001</x:v>
      </x:c>
      <x:c r="H1390" s="37" t="n">
        <x:f t="shared" si="55">IFERROR(E1390/G1390-1,"")</x:f>
        <x:v>0.09556778046991132</x:v>
      </x:c>
      <x:c r="I1390" s="38" t="b">
        <x:f t="shared" si="56">E1390&lt;G1390</x:f>
        <x:v>0</x:v>
      </x:c>
    </x:row>
    <x:row r="1391">
      <x:c r="A1391" s="31">
        <x:v>39017</x:v>
      </x:c>
      <x:c r="B1391" s="32">
        <x:v>520.71</x:v>
      </x:c>
      <x:c r="C1391" s="32">
        <x:v>521.23</x:v>
      </x:c>
      <x:c r="D1391" s="32">
        <x:v>520.71</x:v>
      </x:c>
      <x:c r="E1391" s="32">
        <x:v>521.04</x:v>
      </x:c>
      <x:c r="F1391" s="33">
        <x:v>1676750</x:v>
      </x:c>
      <x:c r="G1391" s="32" t="n">
        <x:f t="shared" si="54">AVERAGE(E1192:E1391)</x:f>
        <x:v>480.2681000000001</x:v>
      </x:c>
      <x:c r="H1391" s="37" t="n">
        <x:f t="shared" si="55">IFERROR(E1391/G1391-1,"")</x:f>
        <x:v>0.0848940414739181</x:v>
      </x:c>
      <x:c r="I1391" s="38" t="b">
        <x:f t="shared" si="56">E1391&lt;G1391</x:f>
        <x:v>0</x:v>
      </x:c>
    </x:row>
    <x:row r="1392">
      <x:c r="A1392" s="31">
        <x:v>39020</x:v>
      </x:c>
      <x:c r="B1392" s="32">
        <x:v>518.01</x:v>
      </x:c>
      <x:c r="C1392" s="32">
        <x:v>518.01</x:v>
      </x:c>
      <x:c r="D1392" s="32">
        <x:v>512.4</x:v>
      </x:c>
      <x:c r="E1392" s="32">
        <x:v>512.4</x:v>
      </x:c>
      <x:c r="F1392" s="33">
        <x:v>1643170</x:v>
      </x:c>
      <x:c r="G1392" s="32" t="n">
        <x:f t="shared" si="54">AVERAGE(E1193:E1392)</x:f>
        <x:v>481.29835000000014</x:v>
      </x:c>
      <x:c r="H1392" s="37" t="n">
        <x:f t="shared" si="55">IFERROR(E1392/G1392-1,"")</x:f>
        <x:v>0.06462031295141535</x:v>
      </x:c>
      <x:c r="I1392" s="38" t="b">
        <x:f t="shared" si="56">E1392&lt;G1392</x:f>
        <x:v>0</x:v>
      </x:c>
    </x:row>
    <x:row r="1393">
      <x:c r="A1393" s="31">
        <x:v>39021</x:v>
      </x:c>
      <x:c r="B1393" s="32">
        <x:v>505.23</x:v>
      </x:c>
      <x:c r="C1393" s="32">
        <x:v>511.54</x:v>
      </x:c>
      <x:c r="D1393" s="32">
        <x:v>505.23</x:v>
      </x:c>
      <x:c r="E1393" s="32">
        <x:v>511.54</x:v>
      </x:c>
      <x:c r="F1393" s="33">
        <x:v>1972470</x:v>
      </x:c>
      <x:c r="G1393" s="32" t="n">
        <x:f t="shared" si="54">AVERAGE(E1194:E1393)</x:f>
        <x:v>482.33125000000007</x:v>
      </x:c>
      <x:c r="H1393" s="37" t="n">
        <x:f t="shared" si="55">IFERROR(E1393/G1393-1,"")</x:f>
        <x:v>0.06055744884869041</x:v>
      </x:c>
      <x:c r="I1393" s="38" t="b">
        <x:f t="shared" si="56">E1393&lt;G1393</x:f>
        <x:v>0</x:v>
      </x:c>
    </x:row>
    <x:row r="1394">
      <x:c r="A1394" s="31">
        <x:v>39022</x:v>
      </x:c>
      <x:c r="B1394" s="32">
        <x:v>516.79999999999995</x:v>
      </x:c>
      <x:c r="C1394" s="32">
        <x:v>521.38</x:v>
      </x:c>
      <x:c r="D1394" s="32">
        <x:v>516.79999999999995</x:v>
      </x:c>
      <x:c r="E1394" s="32">
        <x:v>521.38</x:v>
      </x:c>
      <x:c r="F1394" s="33">
        <x:v>1361640</x:v>
      </x:c>
      <x:c r="G1394" s="32" t="n">
        <x:f t="shared" si="54">AVERAGE(E1195:E1394)</x:f>
        <x:v>483.41700000000003</x:v>
      </x:c>
      <x:c r="H1394" s="37" t="n">
        <x:f t="shared" si="55">IFERROR(E1394/G1394-1,"")</x:f>
        <x:v>0.07853054402306903</x:v>
      </x:c>
      <x:c r="I1394" s="38" t="b">
        <x:f t="shared" si="56">E1394&lt;G1394</x:f>
        <x:v>0</x:v>
      </x:c>
    </x:row>
    <x:row r="1395">
      <x:c r="A1395" s="31">
        <x:v>39023</x:v>
      </x:c>
      <x:c r="B1395" s="32">
        <x:v>523.1</x:v>
      </x:c>
      <x:c r="C1395" s="32">
        <x:v>523.1</x:v>
      </x:c>
      <x:c r="D1395" s="32">
        <x:v>516.95000000000005</x:v>
      </x:c>
      <x:c r="E1395" s="32">
        <x:v>516.95000000000005</x:v>
      </x:c>
      <x:c r="F1395" s="33">
        <x:v>1471670</x:v>
      </x:c>
      <x:c r="G1395" s="32" t="n">
        <x:f t="shared" si="54">AVERAGE(E1196:E1395)</x:f>
        <x:v>484.4676</x:v>
      </x:c>
      <x:c r="H1395" s="37" t="n">
        <x:f t="shared" si="55">IFERROR(E1395/G1395-1,"")</x:f>
        <x:v>0.06704762093481587</x:v>
      </x:c>
      <x:c r="I1395" s="38" t="b">
        <x:f t="shared" si="56">E1395&lt;G1395</x:f>
        <x:v>0</x:v>
      </x:c>
    </x:row>
    <x:row r="1396">
      <x:c r="A1396" s="31">
        <x:v>39024</x:v>
      </x:c>
      <x:c r="B1396" s="32">
        <x:v>514.11</x:v>
      </x:c>
      <x:c r="C1396" s="32">
        <x:v>514.11</x:v>
      </x:c>
      <x:c r="D1396" s="32">
        <x:v>513.74</x:v>
      </x:c>
      <x:c r="E1396" s="32">
        <x:v>513.74</x:v>
      </x:c>
      <x:c r="F1396" s="33">
        <x:v>1104980</x:v>
      </x:c>
      <x:c r="G1396" s="32" t="n">
        <x:f t="shared" si="54">AVERAGE(E1197:E1396)</x:f>
        <x:v>485.4916000000001</x:v>
      </x:c>
      <x:c r="H1396" s="37" t="n">
        <x:f t="shared" si="55">IFERROR(E1396/G1396-1,"")</x:f>
        <x:v>0.058185146766699836</x:v>
      </x:c>
      <x:c r="I1396" s="38" t="b">
        <x:f t="shared" si="56">E1396&lt;G1396</x:f>
        <x:v>0</x:v>
      </x:c>
    </x:row>
    <x:row r="1397">
      <x:c r="A1397" s="31">
        <x:v>39027</x:v>
      </x:c>
      <x:c r="B1397" s="32">
        <x:v>513.89</x:v>
      </x:c>
      <x:c r="C1397" s="32">
        <x:v>517.11</x:v>
      </x:c>
      <x:c r="D1397" s="32">
        <x:v>513.89</x:v>
      </x:c>
      <x:c r="E1397" s="32">
        <x:v>517.11</x:v>
      </x:c>
      <x:c r="F1397" s="33">
        <x:v>1054900</x:v>
      </x:c>
      <x:c r="G1397" s="32" t="n">
        <x:f t="shared" si="54">AVERAGE(E1198:E1397)</x:f>
        <x:v>486.52525000000014</x:v>
      </x:c>
      <x:c r="H1397" s="37" t="n">
        <x:f t="shared" si="55">IFERROR(E1397/G1397-1,"")</x:f>
        <x:v>0.06286364376771791</x:v>
      </x:c>
      <x:c r="I1397" s="38" t="b">
        <x:f t="shared" si="56">E1397&lt;G1397</x:f>
        <x:v>0</x:v>
      </x:c>
    </x:row>
    <x:row r="1398">
      <x:c r="A1398" s="31">
        <x:v>39028</x:v>
      </x:c>
      <x:c r="B1398" s="32">
        <x:v>519.74</x:v>
      </x:c>
      <x:c r="C1398" s="32">
        <x:v>520.48</x:v>
      </x:c>
      <x:c r="D1398" s="32">
        <x:v>519.74</x:v>
      </x:c>
      <x:c r="E1398" s="32">
        <x:v>520.03</x:v>
      </x:c>
      <x:c r="F1398" s="33">
        <x:v>1733270</x:v>
      </x:c>
      <x:c r="G1398" s="32" t="n">
        <x:f t="shared" si="54">AVERAGE(E1199:E1398)</x:f>
        <x:v>487.57280000000014</x:v>
      </x:c>
      <x:c r="H1398" s="37" t="n">
        <x:f t="shared" si="55">IFERROR(E1398/G1398-1,"")</x:f>
        <x:v>0.06656893083453341</x:v>
      </x:c>
      <x:c r="I1398" s="38" t="b">
        <x:f t="shared" si="56">E1398&lt;G1398</x:f>
        <x:v>0</x:v>
      </x:c>
    </x:row>
    <x:row r="1399">
      <x:c r="A1399" s="31">
        <x:v>39029</x:v>
      </x:c>
      <x:c r="B1399" s="32">
        <x:v>524.28</x:v>
      </x:c>
      <x:c r="C1399" s="32">
        <x:v>525.99</x:v>
      </x:c>
      <x:c r="D1399" s="32">
        <x:v>524.28</x:v>
      </x:c>
      <x:c r="E1399" s="32">
        <x:v>525.99</x:v>
      </x:c>
      <x:c r="F1399" s="33">
        <x:v>1918650</x:v>
      </x:c>
      <x:c r="G1399" s="32" t="n">
        <x:f t="shared" si="54">AVERAGE(E1200:E1399)</x:f>
        <x:v>488.6358500000001</x:v>
      </x:c>
      <x:c r="H1399" s="37" t="n">
        <x:f t="shared" si="55">IFERROR(E1399/G1399-1,"")</x:f>
        <x:v>0.07644578268254332</x:v>
      </x:c>
      <x:c r="I1399" s="38" t="b">
        <x:f t="shared" si="56">E1399&lt;G1399</x:f>
        <x:v>0</x:v>
      </x:c>
    </x:row>
    <x:row r="1400">
      <x:c r="A1400" s="31">
        <x:v>39030</x:v>
      </x:c>
      <x:c r="B1400" s="32">
        <x:v>530.14</x:v>
      </x:c>
      <x:c r="C1400" s="32">
        <x:v>531.69000000000005</x:v>
      </x:c>
      <x:c r="D1400" s="32">
        <x:v>530.14</x:v>
      </x:c>
      <x:c r="E1400" s="32">
        <x:v>531.69000000000005</x:v>
      </x:c>
      <x:c r="F1400" s="33">
        <x:v>2105710</x:v>
      </x:c>
      <x:c r="G1400" s="32" t="n">
        <x:f t="shared" si="54">AVERAGE(E1201:E1400)</x:f>
        <x:v>489.7527500000002</x:v>
      </x:c>
      <x:c r="H1400" s="37" t="n">
        <x:f t="shared" si="55">IFERROR(E1400/G1400-1,"")</x:f>
        <x:v>0.08562943240237009</x:v>
      </x:c>
      <x:c r="I1400" s="38" t="b">
        <x:f t="shared" si="56">E1400&lt;G1400</x:f>
        <x:v>0</x:v>
      </x:c>
    </x:row>
    <x:row r="1401">
      <x:c r="A1401" s="31">
        <x:v>39031</x:v>
      </x:c>
      <x:c r="B1401" s="32">
        <x:v>537.42999999999995</x:v>
      </x:c>
      <x:c r="C1401" s="32">
        <x:v>537.42999999999995</x:v>
      </x:c>
      <x:c r="D1401" s="32">
        <x:v>530.80999999999995</x:v>
      </x:c>
      <x:c r="E1401" s="32">
        <x:v>530.80999999999995</x:v>
      </x:c>
      <x:c r="F1401" s="33">
        <x:v>2029080</x:v>
      </x:c>
      <x:c r="G1401" s="32" t="n">
        <x:f t="shared" si="54">AVERAGE(E1202:E1401)</x:f>
        <x:v>490.87260000000015</x:v>
      </x:c>
      <x:c r="H1401" s="37" t="n">
        <x:f t="shared" si="55">IFERROR(E1401/G1401-1,"")</x:f>
        <x:v>0.08136001072375976</x:v>
      </x:c>
      <x:c r="I1401" s="38" t="b">
        <x:f t="shared" si="56">E1401&lt;G1401</x:f>
        <x:v>0</x:v>
      </x:c>
    </x:row>
    <x:row r="1402">
      <x:c r="A1402" s="31">
        <x:v>39034</x:v>
      </x:c>
      <x:c r="B1402" s="32">
        <x:v>534.04</x:v>
      </x:c>
      <x:c r="C1402" s="32">
        <x:v>537.28</x:v>
      </x:c>
      <x:c r="D1402" s="32">
        <x:v>534.04</x:v>
      </x:c>
      <x:c r="E1402" s="32">
        <x:v>537.28</x:v>
      </x:c>
      <x:c r="F1402" s="33">
        <x:v>1857670</x:v>
      </x:c>
      <x:c r="G1402" s="32" t="n">
        <x:f t="shared" si="54">AVERAGE(E1203:E1402)</x:f>
        <x:v>492.0047000000002</x:v>
      </x:c>
      <x:c r="H1402" s="37" t="n">
        <x:f t="shared" si="55">IFERROR(E1402/G1402-1,"")</x:f>
        <x:v>0.09202208840687853</x:v>
      </x:c>
      <x:c r="I1402" s="38" t="b">
        <x:f t="shared" si="56">E1402&lt;G1402</x:f>
        <x:v>0</x:v>
      </x:c>
    </x:row>
    <x:row r="1403">
      <x:c r="A1403" s="31">
        <x:v>39035</x:v>
      </x:c>
      <x:c r="B1403" s="32">
        <x:v>549.44000000000005</x:v>
      </x:c>
      <x:c r="C1403" s="32">
        <x:v>555.77</x:v>
      </x:c>
      <x:c r="D1403" s="32">
        <x:v>549.44000000000005</x:v>
      </x:c>
      <x:c r="E1403" s="32">
        <x:v>555.77</x:v>
      </x:c>
      <x:c r="F1403" s="33">
        <x:v>3231020</x:v>
      </x:c>
      <x:c r="G1403" s="32" t="n">
        <x:f t="shared" si="54">AVERAGE(E1204:E1403)</x:f>
        <x:v>493.21705000000014</x:v>
      </x:c>
      <x:c r="H1403" s="37" t="n">
        <x:f t="shared" si="55">IFERROR(E1403/G1403-1,"")</x:f>
        <x:v>0.1268264144558664</x:v>
      </x:c>
      <x:c r="I1403" s="38" t="b">
        <x:f t="shared" si="56">E1403&lt;G1403</x:f>
        <x:v>0</x:v>
      </x:c>
    </x:row>
    <x:row r="1404">
      <x:c r="A1404" s="31">
        <x:v>39036</x:v>
      </x:c>
      <x:c r="B1404" s="32">
        <x:v>570.63</x:v>
      </x:c>
      <x:c r="C1404" s="32">
        <x:v>570.63</x:v>
      </x:c>
      <x:c r="D1404" s="32">
        <x:v>563.09</x:v>
      </x:c>
      <x:c r="E1404" s="32">
        <x:v>563.09</x:v>
      </x:c>
      <x:c r="F1404" s="33">
        <x:v>3562490</x:v>
      </x:c>
      <x:c r="G1404" s="32" t="n">
        <x:f t="shared" si="54">AVERAGE(E1205:E1404)</x:f>
        <x:v>494.4709000000001</x:v>
      </x:c>
      <x:c r="H1404" s="37" t="n">
        <x:f t="shared" si="55">IFERROR(E1404/G1404-1,"")</x:f>
        <x:v>0.13877277712399239</x:v>
      </x:c>
      <x:c r="I1404" s="38" t="b">
        <x:f t="shared" si="56">E1404&lt;G1404</x:f>
        <x:v>0</x:v>
      </x:c>
    </x:row>
    <x:row r="1405">
      <x:c r="A1405" s="31">
        <x:v>39037</x:v>
      </x:c>
      <x:c r="B1405" s="32">
        <x:v>556.41999999999996</x:v>
      </x:c>
      <x:c r="C1405" s="32">
        <x:v>559.83000000000004</x:v>
      </x:c>
      <x:c r="D1405" s="32">
        <x:v>556.41999999999996</x:v>
      </x:c>
      <x:c r="E1405" s="32">
        <x:v>559.83000000000004</x:v>
      </x:c>
      <x:c r="F1405" s="33">
        <x:v>3016930</x:v>
      </x:c>
      <x:c r="G1405" s="32" t="n">
        <x:f t="shared" si="54">AVERAGE(E1206:E1405)</x:f>
        <x:v>495.70435000000015</x:v>
      </x:c>
      <x:c r="H1405" s="37" t="n">
        <x:f t="shared" si="55">IFERROR(E1405/G1405-1,"")</x:f>
        <x:v>0.1293626937104746</x:v>
      </x:c>
      <x:c r="I1405" s="38" t="b">
        <x:f t="shared" si="56">E1405&lt;G1405</x:f>
        <x:v>0</x:v>
      </x:c>
    </x:row>
    <x:row r="1406">
      <x:c r="A1406" s="31">
        <x:v>39038</x:v>
      </x:c>
      <x:c r="B1406" s="32">
        <x:v>563.12</x:v>
      </x:c>
      <x:c r="C1406" s="32">
        <x:v>573.79</x:v>
      </x:c>
      <x:c r="D1406" s="32">
        <x:v>563.12</x:v>
      </x:c>
      <x:c r="E1406" s="32">
        <x:v>573.79</x:v>
      </x:c>
      <x:c r="F1406" s="33">
        <x:v>3392250</x:v>
      </x:c>
      <x:c r="G1406" s="32" t="n">
        <x:f t="shared" si="54">AVERAGE(E1207:E1406)</x:f>
        <x:v>496.9785500000001</x:v>
      </x:c>
      <x:c r="H1406" s="37" t="n">
        <x:f t="shared" si="55">IFERROR(E1406/G1406-1,"")</x:f>
        <x:v>0.15455687172011712</x:v>
      </x:c>
      <x:c r="I1406" s="38" t="b">
        <x:f t="shared" si="56">E1406&lt;G1406</x:f>
        <x:v>0</x:v>
      </x:c>
    </x:row>
    <x:row r="1407">
      <x:c r="A1407" s="31">
        <x:v>39041</x:v>
      </x:c>
      <x:c r="B1407" s="32">
        <x:v>590.07000000000005</x:v>
      </x:c>
      <x:c r="C1407" s="32">
        <x:v>590.07000000000005</x:v>
      </x:c>
      <x:c r="D1407" s="32">
        <x:v>584.26</x:v>
      </x:c>
      <x:c r="E1407" s="32">
        <x:v>584.26</x:v>
      </x:c>
      <x:c r="F1407" s="33">
        <x:v>4435750</x:v>
      </x:c>
      <x:c r="G1407" s="32" t="n">
        <x:f t="shared" si="54">AVERAGE(E1208:E1407)</x:f>
        <x:v>498.2748500000001</x:v>
      </x:c>
      <x:c r="H1407" s="37" t="n">
        <x:f t="shared" si="55">IFERROR(E1407/G1407-1,"")</x:f>
        <x:v>0.17256570344660171</x:v>
      </x:c>
      <x:c r="I1407" s="38" t="b">
        <x:f t="shared" si="56">E1407&lt;G1407</x:f>
        <x:v>0</x:v>
      </x:c>
    </x:row>
    <x:row r="1408">
      <x:c r="A1408" s="31">
        <x:v>39042</x:v>
      </x:c>
      <x:c r="B1408" s="32">
        <x:v>596.23</x:v>
      </x:c>
      <x:c r="C1408" s="32">
        <x:v>599.01</x:v>
      </x:c>
      <x:c r="D1408" s="32">
        <x:v>596.23</x:v>
      </x:c>
      <x:c r="E1408" s="32">
        <x:v>598.22</x:v>
      </x:c>
      <x:c r="F1408" s="33">
        <x:v>3032180</x:v>
      </x:c>
      <x:c r="G1408" s="32" t="n">
        <x:f t="shared" si="54">AVERAGE(E1209:E1408)</x:f>
        <x:v>499.63825</x:v>
      </x:c>
      <x:c r="H1408" s="37" t="n">
        <x:f t="shared" si="55">IFERROR(E1408/G1408-1,"")</x:f>
        <x:v>0.1973062510726511</x:v>
      </x:c>
      <x:c r="I1408" s="38" t="b">
        <x:f t="shared" si="56">E1408&lt;G1408</x:f>
        <x:v>0</x:v>
      </x:c>
    </x:row>
    <x:row r="1409">
      <x:c r="A1409" s="31">
        <x:v>39043</x:v>
      </x:c>
      <x:c r="B1409" s="32">
        <x:v>609.46</x:v>
      </x:c>
      <x:c r="C1409" s="32">
        <x:v>610.16</x:v>
      </x:c>
      <x:c r="D1409" s="32">
        <x:v>607.92999999999995</x:v>
      </x:c>
      <x:c r="E1409" s="32">
        <x:v>610.16</x:v>
      </x:c>
      <x:c r="F1409" s="33">
        <x:v>3437600</x:v>
      </x:c>
      <x:c r="G1409" s="32" t="n">
        <x:f t="shared" si="54">AVERAGE(E1210:E1409)</x:f>
        <x:v>501.06320000000005</x:v>
      </x:c>
      <x:c r="H1409" s="37" t="n">
        <x:f t="shared" si="55">IFERROR(E1409/G1409-1,"")</x:f>
        <x:v>0.2177306176147038</x:v>
      </x:c>
      <x:c r="I1409" s="38" t="b">
        <x:f t="shared" si="56">E1409&lt;G1409</x:f>
        <x:v>0</x:v>
      </x:c>
    </x:row>
    <x:row r="1410">
      <x:c r="A1410" s="31">
        <x:v>39044</x:v>
      </x:c>
      <x:c r="B1410" s="32">
        <x:v>632.53</x:v>
      </x:c>
      <x:c r="C1410" s="32">
        <x:v>637.20000000000005</x:v>
      </x:c>
      <x:c r="D1410" s="32">
        <x:v>632.53</x:v>
      </x:c>
      <x:c r="E1410" s="32">
        <x:v>636.95000000000005</x:v>
      </x:c>
      <x:c r="F1410" s="33">
        <x:v>4259170</x:v>
      </x:c>
      <x:c r="G1410" s="32" t="n">
        <x:f t="shared" si="54">AVERAGE(E1211:E1410)</x:f>
        <x:v>502.6256500000001</x:v>
      </x:c>
      <x:c r="H1410" s="37" t="n">
        <x:f t="shared" si="55">IFERROR(E1410/G1410-1,"")</x:f>
        <x:v>0.2672453146790259</x:v>
      </x:c>
      <x:c r="I1410" s="38" t="b">
        <x:f t="shared" si="56">E1410&lt;G1410</x:f>
        <x:v>0</x:v>
      </x:c>
    </x:row>
    <x:row r="1411">
      <x:c r="A1411" s="31">
        <x:v>39045</x:v>
      </x:c>
      <x:c r="B1411" s="32">
        <x:v>666.04</x:v>
      </x:c>
      <x:c r="C1411" s="32">
        <x:v>666.26</x:v>
      </x:c>
      <x:c r="D1411" s="32">
        <x:v>665.53</x:v>
      </x:c>
      <x:c r="E1411" s="32">
        <x:v>665.53</x:v>
      </x:c>
      <x:c r="F1411" s="33">
        <x:v>5752000</x:v>
      </x:c>
      <x:c r="G1411" s="32" t="n">
        <x:f t="shared" si="54">AVERAGE(E1212:E1411)</x:f>
        <x:v>504.3253500000001</x:v>
      </x:c>
      <x:c r="H1411" s="37" t="n">
        <x:f t="shared" si="55">IFERROR(E1411/G1411-1,"")</x:f>
        <x:v>0.3196441543142732</x:v>
      </x:c>
      <x:c r="I1411" s="38" t="b">
        <x:f t="shared" si="56">E1411&lt;G1411</x:f>
        <x:v>0</x:v>
      </x:c>
    </x:row>
    <x:row r="1412">
      <x:c r="A1412" s="31">
        <x:v>39048</x:v>
      </x:c>
      <x:c r="B1412" s="32">
        <x:v>687.72</x:v>
      </x:c>
      <x:c r="C1412" s="32">
        <x:v>687.72</x:v>
      </x:c>
      <x:c r="D1412" s="32">
        <x:v>640.15</x:v>
      </x:c>
      <x:c r="E1412" s="32">
        <x:v>640.15</x:v>
      </x:c>
      <x:c r="F1412" s="33">
        <x:v>4792230</x:v>
      </x:c>
      <x:c r="G1412" s="32" t="n">
        <x:f t="shared" si="54">AVERAGE(E1213:E1412)</x:f>
        <x:v>505.8877500000001</x:v>
      </x:c>
      <x:c r="H1412" s="37" t="n">
        <x:f t="shared" si="55">IFERROR(E1412/G1412-1,"")</x:f>
        <x:v>0.26539929065291634</x:v>
      </x:c>
      <x:c r="I1412" s="38" t="b">
        <x:f t="shared" si="56">E1412&lt;G1412</x:f>
        <x:v>0</x:v>
      </x:c>
    </x:row>
    <x:row r="1413">
      <x:c r="A1413" s="31">
        <x:v>39049</x:v>
      </x:c>
      <x:c r="B1413" s="32">
        <x:v>635.63</x:v>
      </x:c>
      <x:c r="C1413" s="32">
        <x:v>647.08000000000004</x:v>
      </x:c>
      <x:c r="D1413" s="32">
        <x:v>635.63</x:v>
      </x:c>
      <x:c r="E1413" s="32">
        <x:v>638</x:v>
      </x:c>
      <x:c r="F1413" s="33">
        <x:v>4263260</x:v>
      </x:c>
      <x:c r="G1413" s="32" t="n">
        <x:f t="shared" si="54">AVERAGE(E1214:E1413)</x:f>
        <x:v>507.4224500000001</x:v>
      </x:c>
      <x:c r="H1413" s="37" t="n">
        <x:f t="shared" si="55">IFERROR(E1413/G1413-1,"")</x:f>
        <x:v>0.2573349878390283</x:v>
      </x:c>
      <x:c r="I1413" s="38" t="b">
        <x:f t="shared" si="56">E1413&lt;G1413</x:f>
        <x:v>0</x:v>
      </x:c>
    </x:row>
    <x:row r="1414">
      <x:c r="A1414" s="31">
        <x:v>39050</x:v>
      </x:c>
      <x:c r="B1414" s="32">
        <x:v>612.16</x:v>
      </x:c>
      <x:c r="C1414" s="32">
        <x:v>616.58000000000004</x:v>
      </x:c>
      <x:c r="D1414" s="32">
        <x:v>612.16</x:v>
      </x:c>
      <x:c r="E1414" s="32">
        <x:v>616.58000000000004</x:v>
      </x:c>
      <x:c r="F1414" s="33">
        <x:v>3489800</x:v>
      </x:c>
      <x:c r="G1414" s="32" t="n">
        <x:f t="shared" si="54">AVERAGE(E1215:E1414)</x:f>
        <x:v>508.8062000000001</x:v>
      </x:c>
      <x:c r="H1414" s="37" t="n">
        <x:f t="shared" si="55">IFERROR(E1414/G1414-1,"")</x:f>
        <x:v>0.21181699436838608</x:v>
      </x:c>
      <x:c r="I1414" s="38" t="b">
        <x:f t="shared" si="56">E1414&lt;G1414</x:f>
        <x:v>0</x:v>
      </x:c>
    </x:row>
    <x:row r="1415">
      <x:c r="A1415" s="31">
        <x:v>39051</x:v>
      </x:c>
      <x:c r="B1415" s="32">
        <x:v>616.77</x:v>
      </x:c>
      <x:c r="C1415" s="32">
        <x:v>633.04999999999995</x:v>
      </x:c>
      <x:c r="D1415" s="32">
        <x:v>616.77</x:v>
      </x:c>
      <x:c r="E1415" s="32">
        <x:v>633.04999999999995</x:v>
      </x:c>
      <x:c r="F1415" s="33">
        <x:v>2669710</x:v>
      </x:c>
      <x:c r="G1415" s="32" t="n">
        <x:f t="shared" si="54">AVERAGE(E1216:E1415)</x:f>
        <x:v>510.2016500000001</x:v>
      </x:c>
      <x:c r="H1415" s="37" t="n">
        <x:f t="shared" si="55">IFERROR(E1415/G1415-1,"")</x:f>
        <x:v>0.24078391357613182</x:v>
      </x:c>
      <x:c r="I1415" s="38" t="b">
        <x:f t="shared" si="56">E1415&lt;G1415</x:f>
        <x:v>0</x:v>
      </x:c>
    </x:row>
    <x:row r="1416">
      <x:c r="A1416" s="31">
        <x:v>39052</x:v>
      </x:c>
      <x:c r="B1416" s="32">
        <x:v>637.07000000000005</x:v>
      </x:c>
      <x:c r="C1416" s="32">
        <x:v>637.07000000000005</x:v>
      </x:c>
      <x:c r="D1416" s="32">
        <x:v>631.29</x:v>
      </x:c>
      <x:c r="E1416" s="32">
        <x:v>631.29</x:v>
      </x:c>
      <x:c r="F1416" s="33">
        <x:v>2919020</x:v>
      </x:c>
      <x:c r="G1416" s="32" t="n">
        <x:f t="shared" si="54">AVERAGE(E1217:E1416)</x:f>
        <x:v>511.5258000000001</x:v>
      </x:c>
      <x:c r="H1416" s="37" t="n">
        <x:f t="shared" si="55">IFERROR(E1416/G1416-1,"")</x:f>
        <x:v>0.23413129894914353</x:v>
      </x:c>
      <x:c r="I1416" s="38" t="b">
        <x:f t="shared" si="56">E1416&lt;G1416</x:f>
        <x:v>0</x:v>
      </x:c>
    </x:row>
    <x:row r="1417">
      <x:c r="A1417" s="31">
        <x:v>39055</x:v>
      </x:c>
      <x:c r="B1417" s="32">
        <x:v>638.89</x:v>
      </x:c>
      <x:c r="C1417" s="32">
        <x:v>640.74</x:v>
      </x:c>
      <x:c r="D1417" s="32">
        <x:v>638.89</x:v>
      </x:c>
      <x:c r="E1417" s="32">
        <x:v>640.65</x:v>
      </x:c>
      <x:c r="F1417" s="33">
        <x:v>2154150</x:v>
      </x:c>
      <x:c r="G1417" s="32" t="n">
        <x:f t="shared" si="54">AVERAGE(E1218:E1417)</x:f>
        <x:v>512.90685</x:v>
      </x:c>
      <x:c r="H1417" s="37" t="n">
        <x:f t="shared" si="55">IFERROR(E1417/G1417-1,"")</x:f>
        <x:v>0.24905721185045593</x:v>
      </x:c>
      <x:c r="I1417" s="38" t="b">
        <x:f t="shared" si="56">E1417&lt;G1417</x:f>
        <x:v>0</x:v>
      </x:c>
    </x:row>
    <x:row r="1418">
      <x:c r="A1418" s="31">
        <x:v>39056</x:v>
      </x:c>
      <x:c r="B1418" s="32">
        <x:v>644.26</x:v>
      </x:c>
      <x:c r="C1418" s="32">
        <x:v>644.6</x:v>
      </x:c>
      <x:c r="D1418" s="32">
        <x:v>642.94000000000005</x:v>
      </x:c>
      <x:c r="E1418" s="32">
        <x:v>644.6</x:v>
      </x:c>
      <x:c r="F1418" s="33">
        <x:v>2638220</x:v>
      </x:c>
      <x:c r="G1418" s="32" t="n">
        <x:f t="shared" si="54">AVERAGE(E1219:E1418)</x:f>
        <x:v>514.2851999999999</x:v>
      </x:c>
      <x:c r="H1418" s="37" t="n">
        <x:f t="shared" si="55">IFERROR(E1418/G1418-1,"")</x:f>
        <x:v>0.25339014227903145</x:v>
      </x:c>
      <x:c r="I1418" s="38" t="b">
        <x:f t="shared" si="56">E1418&lt;G1418</x:f>
        <x:v>0</x:v>
      </x:c>
    </x:row>
    <x:row r="1419">
      <x:c r="A1419" s="31">
        <x:v>39057</x:v>
      </x:c>
      <x:c r="B1419" s="32">
        <x:v>651.17999999999995</x:v>
      </x:c>
      <x:c r="C1419" s="32">
        <x:v>655.13</x:v>
      </x:c>
      <x:c r="D1419" s="32">
        <x:v>651.17999999999995</x:v>
      </x:c>
      <x:c r="E1419" s="32">
        <x:v>655.13</x:v>
      </x:c>
      <x:c r="F1419" s="33">
        <x:v>4053870</x:v>
      </x:c>
      <x:c r="G1419" s="32" t="n">
        <x:f t="shared" si="54">AVERAGE(E1220:E1419)</x:f>
        <x:v>515.69335</x:v>
      </x:c>
      <x:c r="H1419" s="37" t="n">
        <x:f t="shared" si="55">IFERROR(E1419/G1419-1,"")</x:f>
        <x:v>0.2703867521270149</x:v>
      </x:c>
      <x:c r="I1419" s="38" t="b">
        <x:f t="shared" si="56">E1419&lt;G1419</x:f>
        <x:v>0</x:v>
      </x:c>
    </x:row>
    <x:row r="1420">
      <x:c r="A1420" s="31">
        <x:v>39058</x:v>
      </x:c>
      <x:c r="B1420" s="32">
        <x:v>670.13</x:v>
      </x:c>
      <x:c r="C1420" s="32">
        <x:v>677.14</x:v>
      </x:c>
      <x:c r="D1420" s="32">
        <x:v>670.13</x:v>
      </x:c>
      <x:c r="E1420" s="32">
        <x:v>677.14</x:v>
      </x:c>
      <x:c r="F1420" s="33">
        <x:v>4094870</x:v>
      </x:c>
      <x:c r="G1420" s="32" t="n">
        <x:f t="shared" si="54">AVERAGE(E1221:E1420)</x:f>
        <x:v>517.1812</x:v>
      </x:c>
      <x:c r="H1420" s="37" t="n">
        <x:f t="shared" si="55">IFERROR(E1420/G1420-1,"")</x:f>
        <x:v>0.3092896648215364</x:v>
      </x:c>
      <x:c r="I1420" s="38" t="b">
        <x:f t="shared" si="56">E1420&lt;G1420</x:f>
        <x:v>0</x:v>
      </x:c>
    </x:row>
    <x:row r="1421">
      <x:c r="A1421" s="31">
        <x:v>39059</x:v>
      </x:c>
      <x:c r="B1421" s="32">
        <x:v>696.12</x:v>
      </x:c>
      <x:c r="C1421" s="32">
        <x:v>696.12</x:v>
      </x:c>
      <x:c r="D1421" s="32">
        <x:v>696.12</x:v>
      </x:c>
      <x:c r="E1421" s="32">
        <x:v>696.12</x:v>
      </x:c>
      <x:c r="F1421" s="33">
        <x:v>1202500</x:v>
      </x:c>
      <x:c r="G1421" s="32" t="n">
        <x:f t="shared" ref="G1421:G1484" si="57">AVERAGE(E1222:E1421)</x:f>
        <x:v>518.70855</x:v>
      </x:c>
      <x:c r="H1421" s="37" t="n">
        <x:f t="shared" ref="H1421:H1484" si="58">IFERROR(E1421/G1421-1,"")</x:f>
        <x:v>0.342025304961717</x:v>
      </x:c>
      <x:c r="I1421" s="38" t="b">
        <x:f t="shared" ref="I1421:I1484" si="59">E1421&lt;G1421</x:f>
        <x:v>0</x:v>
      </x:c>
    </x:row>
    <x:row r="1422">
      <x:c r="A1422" s="31">
        <x:v>39062</x:v>
      </x:c>
      <x:c r="B1422" s="32">
        <x:v>721.6</x:v>
      </x:c>
      <x:c r="C1422" s="32">
        <x:v>724.29</x:v>
      </x:c>
      <x:c r="D1422" s="32">
        <x:v>721.6</x:v>
      </x:c>
      <x:c r="E1422" s="32">
        <x:v>723.84</x:v>
      </x:c>
      <x:c r="F1422" s="33">
        <x:v>4995240</x:v>
      </x:c>
      <x:c r="G1422" s="32" t="n">
        <x:f t="shared" si="57">AVERAGE(E1223:E1422)</x:f>
        <x:v>520.3182499999999</x:v>
      </x:c>
      <x:c r="H1422" s="37" t="n">
        <x:f t="shared" si="58">IFERROR(E1422/G1422-1,"")</x:f>
        <x:v>0.39114859030987303</x:v>
      </x:c>
      <x:c r="I1422" s="38" t="b">
        <x:f t="shared" si="59">E1422&lt;G1422</x:f>
        <x:v>0</x:v>
      </x:c>
    </x:row>
    <x:row r="1423">
      <x:c r="A1423" s="31">
        <x:v>39063</x:v>
      </x:c>
      <x:c r="B1423" s="32">
        <x:v>748.58</x:v>
      </x:c>
      <x:c r="C1423" s="32">
        <x:v>748.58</x:v>
      </x:c>
      <x:c r="D1423" s="32">
        <x:v>716.64</x:v>
      </x:c>
      <x:c r="E1423" s="32">
        <x:v>716.64</x:v>
      </x:c>
      <x:c r="F1423" s="33">
        <x:v>7021350</x:v>
      </x:c>
      <x:c r="G1423" s="32" t="n">
        <x:f t="shared" si="57">AVERAGE(E1224:E1423)</x:f>
        <x:v>521.8373499999999</x:v>
      </x:c>
      <x:c r="H1423" s="37" t="n">
        <x:f t="shared" si="58">IFERROR(E1423/G1423-1,"")</x:f>
        <x:v>0.37330147027613125</x:v>
      </x:c>
      <x:c r="I1423" s="38" t="b">
        <x:f t="shared" si="59">E1423&lt;G1423</x:f>
        <x:v>0</x:v>
      </x:c>
    </x:row>
    <x:row r="1424">
      <x:c r="A1424" s="31">
        <x:v>39064</x:v>
      </x:c>
      <x:c r="B1424" s="32">
        <x:v>740.29</x:v>
      </x:c>
      <x:c r="C1424" s="32">
        <x:v>740.57</x:v>
      </x:c>
      <x:c r="D1424" s="32">
        <x:v>738.81</x:v>
      </x:c>
      <x:c r="E1424" s="32">
        <x:v>740.57</x:v>
      </x:c>
      <x:c r="F1424" s="33">
        <x:v>5411060</x:v>
      </x:c>
      <x:c r="G1424" s="32" t="n">
        <x:f t="shared" si="57">AVERAGE(E1225:E1424)</x:f>
        <x:v>523.55045</x:v>
      </x:c>
      <x:c r="H1424" s="37" t="n">
        <x:f t="shared" si="58">IFERROR(E1424/G1424-1,"")</x:f>
        <x:v>0.4145150672681117</x:v>
      </x:c>
      <x:c r="I1424" s="38" t="b">
        <x:f t="shared" si="59">E1424&lt;G1424</x:f>
        <x:v>0</x:v>
      </x:c>
    </x:row>
    <x:row r="1425">
      <x:c r="A1425" s="31">
        <x:v>39065</x:v>
      </x:c>
      <x:c r="B1425" s="32">
        <x:v>766.59</x:v>
      </x:c>
      <x:c r="C1425" s="32">
        <x:v>766.59</x:v>
      </x:c>
      <x:c r="D1425" s="32">
        <x:v>757.17</x:v>
      </x:c>
      <x:c r="E1425" s="32">
        <x:v>757.17</x:v>
      </x:c>
      <x:c r="F1425" s="33">
        <x:v>5802770</x:v>
      </x:c>
      <x:c r="G1425" s="32" t="n">
        <x:f t="shared" si="57">AVERAGE(E1226:E1425)</x:f>
        <x:v>525.2874999999999</x:v>
      </x:c>
      <x:c r="H1425" s="37" t="n">
        <x:f t="shared" si="58">IFERROR(E1425/G1425-1,"")</x:f>
        <x:v>0.441439211860172</x:v>
      </x:c>
      <x:c r="I1425" s="38" t="b">
        <x:f t="shared" si="59">E1425&lt;G1425</x:f>
        <x:v>0</x:v>
      </x:c>
    </x:row>
    <x:row r="1426">
      <x:c r="A1426" s="31">
        <x:v>39066</x:v>
      </x:c>
      <x:c r="B1426" s="32">
        <x:v>773.47</x:v>
      </x:c>
      <x:c r="C1426" s="32">
        <x:v>775.56</x:v>
      </x:c>
      <x:c r="D1426" s="32">
        <x:v>773.47</x:v>
      </x:c>
      <x:c r="E1426" s="32">
        <x:v>775.56</x:v>
      </x:c>
      <x:c r="F1426" s="33">
        <x:v>5859820</x:v>
      </x:c>
      <x:c r="G1426" s="32" t="n">
        <x:f t="shared" si="57">AVERAGE(E1227:E1426)</x:f>
        <x:v>527.0986499999998</x:v>
      </x:c>
      <x:c r="H1426" s="37" t="n">
        <x:f t="shared" si="58">IFERROR(E1426/G1426-1,"")</x:f>
        <x:v>0.4713754246951689</x:v>
      </x:c>
      <x:c r="I1426" s="38" t="b">
        <x:f t="shared" si="59">E1426&lt;G1426</x:f>
        <x:v>0</x:v>
      </x:c>
    </x:row>
    <x:row r="1427">
      <x:c r="A1427" s="31">
        <x:v>39069</x:v>
      </x:c>
      <x:c r="B1427" s="32">
        <x:v>775.56</x:v>
      </x:c>
      <x:c r="C1427" s="32">
        <x:v>779.57</x:v>
      </x:c>
      <x:c r="D1427" s="32">
        <x:v>775.56</x:v>
      </x:c>
      <x:c r="E1427" s="32">
        <x:v>779.57</x:v>
      </x:c>
      <x:c r="F1427" s="33">
        <x:v>6597260</x:v>
      </x:c>
      <x:c r="G1427" s="32" t="n">
        <x:f t="shared" si="57">AVERAGE(E1228:E1427)</x:f>
        <x:v>528.9500999999999</x:v>
      </x:c>
      <x:c r="H1427" s="37" t="n">
        <x:f t="shared" si="58">IFERROR(E1427/G1427-1,"")</x:f>
        <x:v>0.47380631934846074</x:v>
      </x:c>
      <x:c r="I1427" s="38" t="b">
        <x:f t="shared" si="59">E1427&lt;G1427</x:f>
        <x:v>0</x:v>
      </x:c>
    </x:row>
    <x:row r="1428">
      <x:c r="A1428" s="31">
        <x:v>39070</x:v>
      </x:c>
      <x:c r="B1428" s="32">
        <x:v>779.57</x:v>
      </x:c>
      <x:c r="C1428" s="32">
        <x:v>799.31</x:v>
      </x:c>
      <x:c r="D1428" s="32">
        <x:v>779.57</x:v>
      </x:c>
      <x:c r="E1428" s="32">
        <x:v>799.31</x:v>
      </x:c>
      <x:c r="F1428" s="33">
        <x:v>5341050</x:v>
      </x:c>
      <x:c r="G1428" s="32" t="n">
        <x:f t="shared" si="57">AVERAGE(E1229:E1428)</x:f>
        <x:v>530.8860499999998</x:v>
      </x:c>
      <x:c r="H1428" s="37" t="n">
        <x:f t="shared" si="58">IFERROR(E1428/G1428-1,"")</x:f>
        <x:v>0.5056149996783683</x:v>
      </x:c>
      <x:c r="I1428" s="38" t="b">
        <x:f t="shared" si="59">E1428&lt;G1428</x:f>
        <x:v>0</x:v>
      </x:c>
    </x:row>
    <x:row r="1429">
      <x:c r="A1429" s="31">
        <x:v>39071</x:v>
      </x:c>
      <x:c r="B1429" s="32">
        <x:v>799.31</x:v>
      </x:c>
      <x:c r="C1429" s="32">
        <x:v>809.86</x:v>
      </x:c>
      <x:c r="D1429" s="32">
        <x:v>799.31</x:v>
      </x:c>
      <x:c r="E1429" s="32">
        <x:v>809.86</x:v>
      </x:c>
      <x:c r="F1429" s="33">
        <x:v>6643110</x:v>
      </x:c>
      <x:c r="G1429" s="32" t="n">
        <x:f t="shared" si="57">AVERAGE(E1230:E1429)</x:f>
        <x:v>532.8635499999999</x:v>
      </x:c>
      <x:c r="H1429" s="37" t="n">
        <x:f t="shared" si="58">IFERROR(E1429/G1429-1,"")</x:f>
        <x:v>0.5198262294352844</x:v>
      </x:c>
      <x:c r="I1429" s="38" t="b">
        <x:f t="shared" si="59">E1429&lt;G1429</x:f>
        <x:v>0</x:v>
      </x:c>
    </x:row>
    <x:row r="1430">
      <x:c r="A1430" s="31">
        <x:v>39072</x:v>
      </x:c>
      <x:c r="B1430" s="32">
        <x:v>778.88</x:v>
      </x:c>
      <x:c r="C1430" s="32">
        <x:v>778.88</x:v>
      </x:c>
      <x:c r="D1430" s="32">
        <x:v>778.88</x:v>
      </x:c>
      <x:c r="E1430" s="32">
        <x:v>778.88</x:v>
      </x:c>
      <x:c r="F1430" s="33">
        <x:v>7178600</x:v>
      </x:c>
      <x:c r="G1430" s="32" t="n">
        <x:f t="shared" si="57">AVERAGE(E1231:E1430)</x:f>
        <x:v>534.6356499999998</x:v>
      </x:c>
      <x:c r="H1430" s="37" t="n">
        <x:f t="shared" si="58">IFERROR(E1430/G1430-1,"")</x:f>
        <x:v>0.4568426179586047</x:v>
      </x:c>
      <x:c r="I1430" s="38" t="b">
        <x:f t="shared" si="59">E1430&lt;G1430</x:f>
        <x:v>0</x:v>
      </x:c>
    </x:row>
    <x:row r="1431">
      <x:c r="A1431" s="31">
        <x:v>39073</x:v>
      </x:c>
      <x:c r="B1431" s="32">
        <x:v>778.88</x:v>
      </x:c>
      <x:c r="C1431" s="32">
        <x:v>744.15</x:v>
      </x:c>
      <x:c r="D1431" s="32">
        <x:v>778.88</x:v>
      </x:c>
      <x:c r="E1431" s="32">
        <x:v>744.15</x:v>
      </x:c>
      <x:c r="F1431" s="33">
        <x:v>3808670</x:v>
      </x:c>
      <x:c r="G1431" s="32" t="n">
        <x:f t="shared" si="57">AVERAGE(E1232:E1431)</x:f>
        <x:v>536.1953499999998</x:v>
      </x:c>
      <x:c r="H1431" s="37" t="n">
        <x:f t="shared" si="58">IFERROR(E1431/G1431-1,"")</x:f>
        <x:v>0.3878337438025157</x:v>
      </x:c>
      <x:c r="I1431" s="38" t="b">
        <x:f t="shared" si="59">E1431&lt;G1431</x:f>
        <x:v>0</x:v>
      </x:c>
    </x:row>
    <x:row r="1432">
      <x:c r="A1432" s="31">
        <x:v>39076</x:v>
      </x:c>
      <x:c r="B1432" s="32">
        <x:v>734.66</x:v>
      </x:c>
      <x:c r="C1432" s="32">
        <x:v>734.66</x:v>
      </x:c>
      <x:c r="D1432" s="32">
        <x:v>734.66</x:v>
      </x:c>
      <x:c r="E1432" s="32">
        <x:v>734.66</x:v>
      </x:c>
      <x:c r="F1432" s="33">
        <x:v>4044760</x:v>
      </x:c>
      <x:c r="G1432" s="32" t="n">
        <x:f t="shared" si="57">AVERAGE(E1233:E1432)</x:f>
        <x:v>537.7306999999998</x:v>
      </x:c>
      <x:c r="H1432" s="37" t="n">
        <x:f t="shared" si="58">IFERROR(E1432/G1432-1,"")</x:f>
        <x:v>0.3662229067449565</x:v>
      </x:c>
      <x:c r="I1432" s="38" t="b">
        <x:f t="shared" si="59">E1432&lt;G1432</x:f>
        <x:v>0</x:v>
      </x:c>
    </x:row>
    <x:row r="1433">
      <x:c r="A1433" s="31">
        <x:v>39077</x:v>
      </x:c>
      <x:c r="B1433" s="32">
        <x:v>747.82</x:v>
      </x:c>
      <x:c r="C1433" s="32">
        <x:v>747.82</x:v>
      </x:c>
      <x:c r="D1433" s="32">
        <x:v>747.82</x:v>
      </x:c>
      <x:c r="E1433" s="32">
        <x:v>747.82</x:v>
      </x:c>
      <x:c r="F1433" s="33">
        <x:v>5317100</x:v>
      </x:c>
      <x:c r="G1433" s="32" t="n">
        <x:f t="shared" si="57">AVERAGE(E1234:E1433)</x:f>
        <x:v>539.3054999999998</x:v>
      </x:c>
      <x:c r="H1433" s="37" t="n">
        <x:f t="shared" si="58">IFERROR(E1433/G1433-1,"")</x:f>
        <x:v>0.3866352188138269</x:v>
      </x:c>
      <x:c r="I1433" s="38" t="b">
        <x:f t="shared" si="59">E1433&lt;G1433</x:f>
        <x:v>0</x:v>
      </x:c>
    </x:row>
    <x:row r="1434">
      <x:c r="A1434" s="31">
        <x:v>39078</x:v>
      </x:c>
      <x:c r="B1434" s="32">
        <x:v>754.63</x:v>
      </x:c>
      <x:c r="C1434" s="32">
        <x:v>754.63</x:v>
      </x:c>
      <x:c r="D1434" s="32">
        <x:v>754.63</x:v>
      </x:c>
      <x:c r="E1434" s="32">
        <x:v>754.63</x:v>
      </x:c>
      <x:c r="F1434" s="33">
        <x:v>6146330</x:v>
      </x:c>
      <x:c r="G1434" s="32" t="n">
        <x:f t="shared" si="57">AVERAGE(E1235:E1434)</x:f>
        <x:v>540.8626999999998</x:v>
      </x:c>
      <x:c r="H1434" s="37" t="n">
        <x:f t="shared" si="58">IFERROR(E1434/G1434-1,"")</x:f>
        <x:v>0.3952339475434343</x:v>
      </x:c>
      <x:c r="I1434" s="38" t="b">
        <x:f t="shared" si="59">E1434&lt;G1434</x:f>
        <x:v>0</x:v>
      </x:c>
    </x:row>
    <x:row r="1435">
      <x:c r="A1435" s="31">
        <x:v>39079</x:v>
      </x:c>
      <x:c r="B1435" s="32">
        <x:v>753.81</x:v>
      </x:c>
      <x:c r="C1435" s="32">
        <x:v>753.81</x:v>
      </x:c>
      <x:c r="D1435" s="32">
        <x:v>753.81</x:v>
      </x:c>
      <x:c r="E1435" s="32">
        <x:v>753.81</x:v>
      </x:c>
      <x:c r="F1435" s="33">
        <x:v>4750810</x:v>
      </x:c>
      <x:c r="G1435" s="32" t="n">
        <x:f t="shared" si="57">AVERAGE(E1236:E1435)</x:f>
        <x:v>542.3643499999998</x:v>
      </x:c>
      <x:c r="H1435" s="37" t="n">
        <x:f t="shared" si="58">IFERROR(E1435/G1435-1,"")</x:f>
        <x:v>0.3898590495485188</x:v>
      </x:c>
      <x:c r="I1435" s="38" t="b">
        <x:f t="shared" si="59">E1435&lt;G1435</x:f>
        <x:v>0</x:v>
      </x:c>
    </x:row>
    <x:row r="1436">
      <x:c r="A1436" s="31">
        <x:v>39080</x:v>
      </x:c>
      <x:c r="B1436" s="32">
        <x:v>751.77</x:v>
      </x:c>
      <x:c r="C1436" s="32">
        <x:v>751.77</x:v>
      </x:c>
      <x:c r="D1436" s="32">
        <x:v>751.77</x:v>
      </x:c>
      <x:c r="E1436" s="32">
        <x:v>751.77</x:v>
      </x:c>
      <x:c r="F1436" s="33">
        <x:v>3737900</x:v>
      </x:c>
      <x:c r="G1436" s="32" t="n">
        <x:f t="shared" si="57">AVERAGE(E1237:E1436)</x:f>
        <x:v>543.8097499999999</x:v>
      </x:c>
      <x:c r="H1436" s="37" t="n">
        <x:f t="shared" si="58">IFERROR(E1436/G1436-1,"")</x:f>
        <x:v>0.38241361064232504</x:v>
      </x:c>
      <x:c r="I1436" s="38" t="b">
        <x:f t="shared" si="59">E1436&lt;G1436</x:f>
        <x:v>0</x:v>
      </x:c>
    </x:row>
    <x:row r="1437">
      <x:c r="A1437" s="31">
        <x:v>39084</x:v>
      </x:c>
      <x:c r="B1437" s="32">
        <x:v>741.27</x:v>
      </x:c>
      <x:c r="C1437" s="32">
        <x:v>741.27</x:v>
      </x:c>
      <x:c r="D1437" s="32">
        <x:v>741.27</x:v>
      </x:c>
      <x:c r="E1437" s="32">
        <x:v>741.27</x:v>
      </x:c>
      <x:c r="F1437" s="33">
        <x:v>3693510</x:v>
      </x:c>
      <x:c r="G1437" s="32" t="n">
        <x:f t="shared" si="57">AVERAGE(E1238:E1437)</x:f>
        <x:v>545.2193</x:v>
      </x:c>
      <x:c r="H1437" s="37" t="n">
        <x:f t="shared" si="58">IFERROR(E1437/G1437-1,"")</x:f>
        <x:v>0.35958136478294156</x:v>
      </x:c>
      <x:c r="I1437" s="38" t="b">
        <x:f t="shared" si="59">E1437&lt;G1437</x:f>
        <x:v>0</x:v>
      </x:c>
    </x:row>
    <x:row r="1438">
      <x:c r="A1438" s="31">
        <x:v>39085</x:v>
      </x:c>
      <x:c r="B1438" s="32">
        <x:v>757.71</x:v>
      </x:c>
      <x:c r="C1438" s="32">
        <x:v>757.71</x:v>
      </x:c>
      <x:c r="D1438" s="32">
        <x:v>757.71</x:v>
      </x:c>
      <x:c r="E1438" s="32">
        <x:v>757.71</x:v>
      </x:c>
      <x:c r="F1438" s="33">
        <x:v>4130670</x:v>
      </x:c>
      <x:c r="G1438" s="32" t="n">
        <x:f t="shared" si="57">AVERAGE(E1239:E1438)</x:f>
        <x:v>546.71075</x:v>
      </x:c>
      <x:c r="H1438" s="37" t="n">
        <x:f t="shared" si="58">IFERROR(E1438/G1438-1,"")</x:f>
        <x:v>0.38594311525793135</x:v>
      </x:c>
      <x:c r="I1438" s="38" t="b">
        <x:f t="shared" si="59">E1438&lt;G1438</x:f>
        <x:v>0</x:v>
      </x:c>
    </x:row>
    <x:row r="1439">
      <x:c r="A1439" s="31">
        <x:v>39086</x:v>
      </x:c>
      <x:c r="B1439" s="32">
        <x:v>788.82</x:v>
      </x:c>
      <x:c r="C1439" s="32">
        <x:v>788.82</x:v>
      </x:c>
      <x:c r="D1439" s="32">
        <x:v>788.82</x:v>
      </x:c>
      <x:c r="E1439" s="32">
        <x:v>788.82</x:v>
      </x:c>
      <x:c r="F1439" s="33">
        <x:v>5532130</x:v>
      </x:c>
      <x:c r="G1439" s="32" t="n">
        <x:f t="shared" si="57">AVERAGE(E1240:E1439)</x:f>
        <x:v>548.37455</x:v>
      </x:c>
      <x:c r="H1439" s="37" t="n">
        <x:f t="shared" si="58">IFERROR(E1439/G1439-1,"")</x:f>
        <x:v>0.4384693819215353</x:v>
      </x:c>
      <x:c r="I1439" s="38" t="b">
        <x:f t="shared" si="59">E1439&lt;G1439</x:f>
        <x:v>0</x:v>
      </x:c>
    </x:row>
    <x:row r="1440">
      <x:c r="A1440" s="31">
        <x:v>39087</x:v>
      </x:c>
      <x:c r="B1440" s="32">
        <x:v>816.51</x:v>
      </x:c>
      <x:c r="C1440" s="32">
        <x:v>816.51</x:v>
      </x:c>
      <x:c r="D1440" s="32">
        <x:v>816.51</x:v>
      </x:c>
      <x:c r="E1440" s="32">
        <x:v>816.51</x:v>
      </x:c>
      <x:c r="F1440" s="33">
        <x:v>7384850</x:v>
      </x:c>
      <x:c r="G1440" s="32" t="n">
        <x:f t="shared" si="57">AVERAGE(E1241:E1440)</x:f>
        <x:v>550.1420999999999</x:v>
      </x:c>
      <x:c r="H1440" s="37" t="n">
        <x:f t="shared" si="58">IFERROR(E1440/G1440-1,"")</x:f>
        <x:v>0.4841801781757842</x:v>
      </x:c>
      <x:c r="I1440" s="38" t="b">
        <x:f t="shared" si="59">E1440&lt;G1440</x:f>
        <x:v>0</x:v>
      </x:c>
    </x:row>
    <x:row r="1441">
      <x:c r="A1441" s="31">
        <x:v>39090</x:v>
      </x:c>
      <x:c r="B1441" s="32">
        <x:v>825.11</x:v>
      </x:c>
      <x:c r="C1441" s="32">
        <x:v>825.11</x:v>
      </x:c>
      <x:c r="D1441" s="32">
        <x:v>825.11</x:v>
      </x:c>
      <x:c r="E1441" s="32">
        <x:v>825.11</x:v>
      </x:c>
      <x:c r="F1441" s="33">
        <x:v>8073810</x:v>
      </x:c>
      <x:c r="G1441" s="32" t="n">
        <x:f t="shared" si="57">AVERAGE(E1242:E1441)</x:f>
        <x:v>551.9353</x:v>
      </x:c>
      <x:c r="H1441" s="37" t="n">
        <x:f t="shared" si="58">IFERROR(E1441/G1441-1,"")</x:f>
        <x:v>0.49493971485425936</x:v>
      </x:c>
      <x:c r="I1441" s="38" t="b">
        <x:f t="shared" si="59">E1441&lt;G1441</x:f>
        <x:v>0</x:v>
      </x:c>
    </x:row>
    <x:row r="1442">
      <x:c r="A1442" s="31">
        <x:v>39091</x:v>
      </x:c>
      <x:c r="B1442" s="32">
        <x:v>844.91</x:v>
      </x:c>
      <x:c r="C1442" s="32">
        <x:v>844.91</x:v>
      </x:c>
      <x:c r="D1442" s="32">
        <x:v>844.91</x:v>
      </x:c>
      <x:c r="E1442" s="32">
        <x:v>844.91</x:v>
      </x:c>
      <x:c r="F1442" s="33">
        <x:v>7047800</x:v>
      </x:c>
      <x:c r="G1442" s="32" t="n">
        <x:f t="shared" si="57">AVERAGE(E1243:E1442)</x:f>
        <x:v>553.7859</x:v>
      </x:c>
      <x:c r="H1442" s="37" t="n">
        <x:f t="shared" si="58">IFERROR(E1442/G1442-1,"")</x:f>
        <x:v>0.525697927664825</x:v>
      </x:c>
      <x:c r="I1442" s="38" t="b">
        <x:f t="shared" si="59">E1442&lt;G1442</x:f>
        <x:v>0</x:v>
      </x:c>
    </x:row>
    <x:row r="1443">
      <x:c r="A1443" s="31">
        <x:v>39092</x:v>
      </x:c>
      <x:c r="B1443" s="32">
        <x:v>865.7</x:v>
      </x:c>
      <x:c r="C1443" s="32">
        <x:v>865.7</x:v>
      </x:c>
      <x:c r="D1443" s="32">
        <x:v>865.7</x:v>
      </x:c>
      <x:c r="E1443" s="32">
        <x:v>865.7</x:v>
      </x:c>
      <x:c r="F1443" s="33">
        <x:v>6069400</x:v>
      </x:c>
      <x:c r="G1443" s="32" t="n">
        <x:f t="shared" si="57">AVERAGE(E1244:E1443)</x:f>
        <x:v>555.64735</x:v>
      </x:c>
      <x:c r="H1443" s="37" t="n">
        <x:f t="shared" si="58">IFERROR(E1443/G1443-1,"")</x:f>
        <x:v>0.5580025712351551</x:v>
      </x:c>
      <x:c r="I1443" s="38" t="b">
        <x:f t="shared" si="59">E1443&lt;G1443</x:f>
        <x:v>0</x:v>
      </x:c>
    </x:row>
    <x:row r="1444">
      <x:c r="A1444" s="31">
        <x:v>39093</x:v>
      </x:c>
      <x:c r="B1444" s="32">
        <x:v>885.43</x:v>
      </x:c>
      <x:c r="C1444" s="32">
        <x:v>885.43</x:v>
      </x:c>
      <x:c r="D1444" s="32">
        <x:v>885.43</x:v>
      </x:c>
      <x:c r="E1444" s="32">
        <x:v>885.43</x:v>
      </x:c>
      <x:c r="F1444" s="33">
        <x:v>6893080</x:v>
      </x:c>
      <x:c r="G1444" s="32" t="n">
        <x:f t="shared" si="57">AVERAGE(E1245:E1444)</x:f>
        <x:v>557.5567</x:v>
      </x:c>
      <x:c r="H1444" s="37" t="n">
        <x:f t="shared" si="58">IFERROR(E1444/G1444-1,"")</x:f>
        <x:v>0.5880537351627197</x:v>
      </x:c>
      <x:c r="I1444" s="38" t="b">
        <x:f t="shared" si="59">E1444&lt;G1444</x:f>
        <x:v>0</x:v>
      </x:c>
    </x:row>
    <x:row r="1445">
      <x:c r="A1445" s="31">
        <x:v>39094</x:v>
      </x:c>
      <x:c r="B1445" s="32">
        <x:v>914.79</x:v>
      </x:c>
      <x:c r="C1445" s="32">
        <x:v>914.79</x:v>
      </x:c>
      <x:c r="D1445" s="32">
        <x:v>914.79</x:v>
      </x:c>
      <x:c r="E1445" s="32">
        <x:v>914.79</x:v>
      </x:c>
      <x:c r="F1445" s="33">
        <x:v>7248120</x:v>
      </x:c>
      <x:c r="G1445" s="32" t="n">
        <x:f t="shared" si="57">AVERAGE(E1246:E1445)</x:f>
        <x:v>559.51405</x:v>
      </x:c>
      <x:c r="H1445" s="37" t="n">
        <x:f t="shared" si="58">IFERROR(E1445/G1445-1,"")</x:f>
        <x:v>0.6349723478793785</x:v>
      </x:c>
      <x:c r="I1445" s="38" t="b">
        <x:f t="shared" si="59">E1445&lt;G1445</x:f>
        <x:v>0</x:v>
      </x:c>
    </x:row>
    <x:row r="1446">
      <x:c r="A1446" s="31">
        <x:v>39097</x:v>
      </x:c>
      <x:c r="B1446" s="32">
        <x:v>947.15</x:v>
      </x:c>
      <x:c r="C1446" s="32">
        <x:v>947.15</x:v>
      </x:c>
      <x:c r="D1446" s="32">
        <x:v>947.15</x:v>
      </x:c>
      <x:c r="E1446" s="32">
        <x:v>947.15</x:v>
      </x:c>
      <x:c r="F1446" s="33">
        <x:v>6166570</x:v>
      </x:c>
      <x:c r="G1446" s="32" t="n">
        <x:f t="shared" si="57">AVERAGE(E1247:E1446)</x:f>
        <x:v>561.7226999999999</x:v>
      </x:c>
      <x:c r="H1446" s="37" t="n">
        <x:f t="shared" si="58">IFERROR(E1446/G1446-1,"")</x:f>
        <x:v>0.6861522598249992</x:v>
      </x:c>
      <x:c r="I1446" s="38" t="b">
        <x:f t="shared" si="59">E1446&lt;G1446</x:f>
        <x:v>0</x:v>
      </x:c>
    </x:row>
    <x:row r="1447">
      <x:c r="A1447" s="31">
        <x:v>39098</x:v>
      </x:c>
      <x:c r="B1447" s="32">
        <x:v>983.6</x:v>
      </x:c>
      <x:c r="C1447" s="32">
        <x:v>983.6</x:v>
      </x:c>
      <x:c r="D1447" s="32">
        <x:v>983.6</x:v>
      </x:c>
      <x:c r="E1447" s="32">
        <x:v>983.6</x:v>
      </x:c>
      <x:c r="F1447" s="33">
        <x:v>6933830</x:v>
      </x:c>
      <x:c r="G1447" s="32" t="n">
        <x:f t="shared" si="57">AVERAGE(E1248:E1447)</x:f>
        <x:v>564.0350999999999</x:v>
      </x:c>
      <x:c r="H1447" s="37" t="n">
        <x:f t="shared" si="58">IFERROR(E1447/G1447-1,"")</x:f>
        <x:v>0.7438631035550805</x:v>
      </x:c>
      <x:c r="I1447" s="38" t="b">
        <x:f t="shared" si="59">E1447&lt;G1447</x:f>
        <x:v>0</x:v>
      </x:c>
    </x:row>
    <x:row r="1448">
      <x:c r="A1448" s="31">
        <x:v>39099</x:v>
      </x:c>
      <x:c r="B1448" s="32">
        <x:v>964.96</x:v>
      </x:c>
      <x:c r="C1448" s="32">
        <x:v>964.96</x:v>
      </x:c>
      <x:c r="D1448" s="32">
        <x:v>964.96</x:v>
      </x:c>
      <x:c r="E1448" s="32">
        <x:v>964.96</x:v>
      </x:c>
      <x:c r="F1448" s="33">
        <x:v>9078140</x:v>
      </x:c>
      <x:c r="G1448" s="32" t="n">
        <x:f t="shared" si="57">AVERAGE(E1249:E1448)</x:f>
        <x:v>566.19645</x:v>
      </x:c>
      <x:c r="H1448" s="37" t="n">
        <x:f t="shared" si="58">IFERROR(E1448/G1448-1,"")</x:f>
        <x:v>0.7042847937319281</x:v>
      </x:c>
      <x:c r="I1448" s="38" t="b">
        <x:f t="shared" si="59">E1448&lt;G1448</x:f>
        <x:v>0</x:v>
      </x:c>
    </x:row>
    <x:row r="1449">
      <x:c r="A1449" s="31">
        <x:v>39100</x:v>
      </x:c>
      <x:c r="B1449" s="32">
        <x:v>946.84</x:v>
      </x:c>
      <x:c r="C1449" s="32">
        <x:v>946.84</x:v>
      </x:c>
      <x:c r="D1449" s="32">
        <x:v>946.84</x:v>
      </x:c>
      <x:c r="E1449" s="32">
        <x:v>946.84</x:v>
      </x:c>
      <x:c r="F1449" s="33">
        <x:v>9331520</x:v>
      </x:c>
      <x:c r="G1449" s="32" t="n">
        <x:f t="shared" si="57">AVERAGE(E1250:E1449)</x:f>
        <x:v>568.2071000000001</x:v>
      </x:c>
      <x:c r="H1449" s="37" t="n">
        <x:f t="shared" si="58">IFERROR(E1449/G1449-1,"")</x:f>
        <x:v>0.666364253456178</x:v>
      </x:c>
      <x:c r="I1449" s="38" t="b">
        <x:f t="shared" si="59">E1449&lt;G1449</x:f>
        <x:v>0</x:v>
      </x:c>
    </x:row>
    <x:row r="1450">
      <x:c r="A1450" s="31">
        <x:v>39101</x:v>
      </x:c>
      <x:c r="B1450" s="32">
        <x:v>1023.05</x:v>
      </x:c>
      <x:c r="C1450" s="32">
        <x:v>1023.05</x:v>
      </x:c>
      <x:c r="D1450" s="32">
        <x:v>1023.05</x:v>
      </x:c>
      <x:c r="E1450" s="32">
        <x:v>1023.05</x:v>
      </x:c>
      <x:c r="F1450" s="33">
        <x:v>6520700</x:v>
      </x:c>
      <x:c r="G1450" s="32" t="n">
        <x:f t="shared" si="57">AVERAGE(E1251:E1450)</x:f>
        <x:v>570.6205500000001</x:v>
      </x:c>
      <x:c r="H1450" s="37" t="n">
        <x:f t="shared" si="58">IFERROR(E1450/G1450-1,"")</x:f>
        <x:v>0.7928726892152758</x:v>
      </x:c>
      <x:c r="I1450" s="38" t="b">
        <x:f t="shared" si="59">E1450&lt;G1450</x:f>
        <x:v>0</x:v>
      </x:c>
    </x:row>
    <x:row r="1451">
      <x:c r="A1451" s="31">
        <x:v>39104</x:v>
      </x:c>
      <x:c r="B1451" s="32">
        <x:v>1027.7</x:v>
      </x:c>
      <x:c r="C1451" s="32">
        <x:v>1027.7</x:v>
      </x:c>
      <x:c r="D1451" s="32">
        <x:v>1027.7</x:v>
      </x:c>
      <x:c r="E1451" s="32">
        <x:v>1027.7</x:v>
      </x:c>
      <x:c r="F1451" s="33">
        <x:v>8562450</x:v>
      </x:c>
      <x:c r="G1451" s="32" t="n">
        <x:f t="shared" si="57">AVERAGE(E1252:E1451)</x:f>
        <x:v>573.1159</x:v>
      </x:c>
      <x:c r="H1451" s="37" t="n">
        <x:f t="shared" si="58">IFERROR(E1451/G1451-1,"")</x:f>
        <x:v>0.7931800531096764</x:v>
      </x:c>
      <x:c r="I1451" s="38" t="b">
        <x:f t="shared" si="59">E1451&lt;G1451</x:f>
        <x:v>0</x:v>
      </x:c>
    </x:row>
    <x:row r="1452">
      <x:c r="A1452" s="31">
        <x:v>39105</x:v>
      </x:c>
      <x:c r="B1452" s="32">
        <x:v>1040.7</x:v>
      </x:c>
      <x:c r="C1452" s="32">
        <x:v>1040.7</x:v>
      </x:c>
      <x:c r="D1452" s="32">
        <x:v>1040.7</x:v>
      </x:c>
      <x:c r="E1452" s="32">
        <x:v>1040.7</x:v>
      </x:c>
      <x:c r="F1452" s="33">
        <x:v>5932240</x:v>
      </x:c>
      <x:c r="G1452" s="32" t="n">
        <x:f t="shared" si="57">AVERAGE(E1253:E1452)</x:f>
        <x:v>575.6232500000001</x:v>
      </x:c>
      <x:c r="H1452" s="37" t="n">
        <x:f t="shared" si="58">IFERROR(E1452/G1452-1,"")</x:f>
        <x:v>0.8079533792285143</x:v>
      </x:c>
      <x:c r="I1452" s="38" t="b">
        <x:f t="shared" si="59">E1452&lt;G1452</x:f>
        <x:v>0</x:v>
      </x:c>
    </x:row>
    <x:row r="1453">
      <x:c r="A1453" s="31">
        <x:v>39106</x:v>
      </x:c>
      <x:c r="B1453" s="32">
        <x:v>1016.39</x:v>
      </x:c>
      <x:c r="C1453" s="32">
        <x:v>1016.39</x:v>
      </x:c>
      <x:c r="D1453" s="32">
        <x:v>1016.39</x:v>
      </x:c>
      <x:c r="E1453" s="32">
        <x:v>1016.39</x:v>
      </x:c>
      <x:c r="F1453" s="33">
        <x:v>6023860</x:v>
      </x:c>
      <x:c r="G1453" s="32" t="n">
        <x:f t="shared" si="57">AVERAGE(E1254:E1453)</x:f>
        <x:v>577.9472000000001</x:v>
      </x:c>
      <x:c r="H1453" s="37" t="n">
        <x:f t="shared" si="58">IFERROR(E1453/G1453-1,"")</x:f>
        <x:v>0.7586208567149384</x:v>
      </x:c>
      <x:c r="I1453" s="38" t="b">
        <x:f t="shared" si="59">E1453&lt;G1453</x:f>
        <x:v>0</x:v>
      </x:c>
    </x:row>
    <x:row r="1454">
      <x:c r="A1454" s="31">
        <x:v>39107</x:v>
      </x:c>
      <x:c r="B1454" s="32">
        <x:v>988.86</x:v>
      </x:c>
      <x:c r="C1454" s="32">
        <x:v>988.86</x:v>
      </x:c>
      <x:c r="D1454" s="32">
        <x:v>988.86</x:v>
      </x:c>
      <x:c r="E1454" s="32">
        <x:v>988.86</x:v>
      </x:c>
      <x:c r="F1454" s="33">
        <x:v>8412580</x:v>
      </x:c>
      <x:c r="G1454" s="32" t="n">
        <x:f t="shared" si="57">AVERAGE(E1255:E1454)</x:f>
        <x:v>580.1157500000002</x:v>
      </x:c>
      <x:c r="H1454" s="37" t="n">
        <x:f t="shared" si="58">IFERROR(E1454/G1454-1,"")</x:f>
        <x:v>0.7045908510499839</x:v>
      </x:c>
      <x:c r="I1454" s="38" t="b">
        <x:f t="shared" si="59">E1454&lt;G1454</x:f>
        <x:v>0</x:v>
      </x:c>
    </x:row>
    <x:row r="1455">
      <x:c r="A1455" s="31">
        <x:v>39108</x:v>
      </x:c>
      <x:c r="B1455" s="32">
        <x:v>974.76</x:v>
      </x:c>
      <x:c r="C1455" s="32">
        <x:v>974.76</x:v>
      </x:c>
      <x:c r="D1455" s="32">
        <x:v>974.76</x:v>
      </x:c>
      <x:c r="E1455" s="32">
        <x:v>974.76</x:v>
      </x:c>
      <x:c r="F1455" s="33">
        <x:v>10042750</x:v>
      </x:c>
      <x:c r="G1455" s="32" t="n">
        <x:f t="shared" si="57">AVERAGE(E1256:E1455)</x:f>
        <x:v>582.1841000000001</x:v>
      </x:c>
      <x:c r="H1455" s="37" t="n">
        <x:f t="shared" si="58">IFERROR(E1455/G1455-1,"")</x:f>
        <x:v>0.674315736207842</x:v>
      </x:c>
      <x:c r="I1455" s="38" t="b">
        <x:f t="shared" si="59">E1455&lt;G1455</x:f>
        <x:v>0</x:v>
      </x:c>
    </x:row>
    <x:row r="1456">
      <x:c r="A1456" s="31">
        <x:v>39111</x:v>
      </x:c>
      <x:c r="B1456" s="32">
        <x:v>995.55</x:v>
      </x:c>
      <x:c r="C1456" s="32">
        <x:v>995.55</x:v>
      </x:c>
      <x:c r="D1456" s="32">
        <x:v>995.55</x:v>
      </x:c>
      <x:c r="E1456" s="32">
        <x:v>995.55</x:v>
      </x:c>
      <x:c r="F1456" s="33">
        <x:v>7288420</x:v>
      </x:c>
      <x:c r="G1456" s="32" t="n">
        <x:f t="shared" si="57">AVERAGE(E1257:E1456)</x:f>
        <x:v>584.3071500000001</x:v>
      </x:c>
      <x:c r="H1456" s="37" t="n">
        <x:f t="shared" si="58">IFERROR(E1456/G1456-1,"")</x:f>
        <x:v>0.703812797772541</x:v>
      </x:c>
      <x:c r="I1456" s="38" t="b">
        <x:f t="shared" si="59">E1456&lt;G1456</x:f>
        <x:v>0</x:v>
      </x:c>
    </x:row>
    <x:row r="1457">
      <x:c r="A1457" s="31">
        <x:v>39112</x:v>
      </x:c>
      <x:c r="B1457" s="32">
        <x:v>1023.97</x:v>
      </x:c>
      <x:c r="C1457" s="32">
        <x:v>1023.97</x:v>
      </x:c>
      <x:c r="D1457" s="32">
        <x:v>1023.97</x:v>
      </x:c>
      <x:c r="E1457" s="32">
        <x:v>1023.97</x:v>
      </x:c>
      <x:c r="F1457" s="33">
        <x:v>7195200</x:v>
      </x:c>
      <x:c r="G1457" s="32" t="n">
        <x:f t="shared" si="57">AVERAGE(E1258:E1457)</x:f>
        <x:v>586.5712000000001</x:v>
      </x:c>
      <x:c r="H1457" s="37" t="n">
        <x:f t="shared" si="58">IFERROR(E1457/G1457-1,"")</x:f>
        <x:v>0.7456874800535722</x:v>
      </x:c>
      <x:c r="I1457" s="38" t="b">
        <x:f t="shared" si="59">E1457&lt;G1457</x:f>
        <x:v>0</x:v>
      </x:c>
    </x:row>
    <x:row r="1458">
      <x:c r="A1458" s="31">
        <x:v>39113</x:v>
      </x:c>
      <x:c r="B1458" s="32">
        <x:v>1041.33</x:v>
      </x:c>
      <x:c r="C1458" s="32">
        <x:v>1041.33</x:v>
      </x:c>
      <x:c r="D1458" s="32">
        <x:v>1041.33</x:v>
      </x:c>
      <x:c r="E1458" s="32">
        <x:v>1041.33</x:v>
      </x:c>
      <x:c r="F1458" s="33">
        <x:v>7517290</x:v>
      </x:c>
      <x:c r="G1458" s="32" t="n">
        <x:f t="shared" si="57">AVERAGE(E1259:E1458)</x:f>
        <x:v>588.9289000000001</x:v>
      </x:c>
      <x:c r="H1458" s="37" t="n">
        <x:f t="shared" si="58">IFERROR(E1458/G1458-1,"")</x:f>
        <x:v>0.7681760905263773</x:v>
      </x:c>
      <x:c r="I1458" s="38" t="b">
        <x:f t="shared" si="59">E1458&lt;G1458</x:f>
        <x:v>0</x:v>
      </x:c>
    </x:row>
    <x:row r="1459">
      <x:c r="A1459" s="31">
        <x:v>39114</x:v>
      </x:c>
      <x:c r="B1459" s="32">
        <x:v>1049.32</x:v>
      </x:c>
      <x:c r="C1459" s="32">
        <x:v>1049.32</x:v>
      </x:c>
      <x:c r="D1459" s="32">
        <x:v>1049.32</x:v>
      </x:c>
      <x:c r="E1459" s="32">
        <x:v>1049.32</x:v>
      </x:c>
      <x:c r="F1459" s="33">
        <x:v>11184580</x:v>
      </x:c>
      <x:c r="G1459" s="32" t="n">
        <x:f t="shared" si="57">AVERAGE(E1260:E1459)</x:f>
        <x:v>591.2185500000002</x:v>
      </x:c>
      <x:c r="H1459" s="37" t="n">
        <x:f t="shared" si="58">IFERROR(E1459/G1459-1,"")</x:f>
        <x:v>0.7748428225061605</x:v>
      </x:c>
      <x:c r="I1459" s="38" t="b">
        <x:f t="shared" si="59">E1459&lt;G1459</x:f>
        <x:v>0</x:v>
      </x:c>
    </x:row>
    <x:row r="1460">
      <x:c r="A1460" s="31">
        <x:v>39115</x:v>
      </x:c>
      <x:c r="B1460" s="32">
        <x:v>1074.55</x:v>
      </x:c>
      <x:c r="C1460" s="32">
        <x:v>1074.55</x:v>
      </x:c>
      <x:c r="D1460" s="32">
        <x:v>1074.55</x:v>
      </x:c>
      <x:c r="E1460" s="32">
        <x:v>1074.55</x:v>
      </x:c>
      <x:c r="F1460" s="33">
        <x:v>7072960</x:v>
      </x:c>
      <x:c r="G1460" s="32" t="n">
        <x:f t="shared" si="57">AVERAGE(E1261:E1460)</x:f>
        <x:v>593.5156000000002</x:v>
      </x:c>
      <x:c r="H1460" s="37" t="n">
        <x:f t="shared" si="58">IFERROR(E1460/G1460-1,"")</x:f>
        <x:v>0.810483161689431</x:v>
      </x:c>
      <x:c r="I1460" s="38" t="b">
        <x:f t="shared" si="59">E1460&lt;G1460</x:f>
        <x:v>0</x:v>
      </x:c>
    </x:row>
    <x:row r="1461">
      <x:c r="A1461" s="31">
        <x:v>39118</x:v>
      </x:c>
      <x:c r="B1461" s="32">
        <x:v>1058.71</x:v>
      </x:c>
      <x:c r="C1461" s="32">
        <x:v>1058.71</x:v>
      </x:c>
      <x:c r="D1461" s="32">
        <x:v>1058.71</x:v>
      </x:c>
      <x:c r="E1461" s="32">
        <x:v>1058.71</x:v>
      </x:c>
      <x:c r="F1461" s="33">
        <x:v>9289180</x:v>
      </x:c>
      <x:c r="G1461" s="32" t="n">
        <x:f t="shared" si="57">AVERAGE(E1262:E1461)</x:f>
        <x:v>595.6457000000001</x:v>
      </x:c>
      <x:c r="H1461" s="37" t="n">
        <x:f t="shared" si="58">IFERROR(E1461/G1461-1,"")</x:f>
        <x:v>0.7774156684082496</x:v>
      </x:c>
      <x:c r="I1461" s="38" t="b">
        <x:f t="shared" si="59">E1461&lt;G1461</x:f>
        <x:v>0</x:v>
      </x:c>
    </x:row>
    <x:row r="1462">
      <x:c r="A1462" s="31">
        <x:v>39119</x:v>
      </x:c>
      <x:c r="B1462" s="32">
        <x:v>1091.3800000000001</x:v>
      </x:c>
      <x:c r="C1462" s="32">
        <x:v>1091.3800000000001</x:v>
      </x:c>
      <x:c r="D1462" s="32">
        <x:v>1091.3800000000001</x:v>
      </x:c>
      <x:c r="E1462" s="32">
        <x:v>1091.3800000000001</x:v>
      </x:c>
      <x:c r="F1462" s="33">
        <x:v>7724800</x:v>
      </x:c>
      <x:c r="G1462" s="32" t="n">
        <x:f t="shared" si="57">AVERAGE(E1263:E1462)</x:f>
        <x:v>597.9949500000001</x:v>
      </x:c>
      <x:c r="H1462" s="37" t="n">
        <x:f t="shared" si="58">IFERROR(E1462/G1462-1,"")</x:f>
        <x:v>0.8250655795671851</x:v>
      </x:c>
      <x:c r="I1462" s="38" t="b">
        <x:f t="shared" si="59">E1462&lt;G1462</x:f>
        <x:v>0</x:v>
      </x:c>
    </x:row>
    <x:row r="1463">
      <x:c r="A1463" s="31">
        <x:v>39120</x:v>
      </x:c>
      <x:c r="B1463" s="32">
        <x:v>1095.75</x:v>
      </x:c>
      <x:c r="C1463" s="32">
        <x:v>1095.75</x:v>
      </x:c>
      <x:c r="D1463" s="32">
        <x:v>1095.75</x:v>
      </x:c>
      <x:c r="E1463" s="32">
        <x:v>1095.75</x:v>
      </x:c>
      <x:c r="F1463" s="33">
        <x:v>7596040</x:v>
      </x:c>
      <x:c r="G1463" s="32" t="n">
        <x:f t="shared" si="57">AVERAGE(E1264:E1463)</x:f>
        <x:v>600.5036000000002</x:v>
      </x:c>
      <x:c r="H1463" s="37" t="n">
        <x:f t="shared" si="58">IFERROR(E1463/G1463-1,"")</x:f>
        <x:v>0.8247184529784661</x:v>
      </x:c>
      <x:c r="I1463" s="38" t="b">
        <x:f t="shared" si="59">E1463&lt;G1463</x:f>
        <x:v>0</x:v>
      </x:c>
    </x:row>
    <x:row r="1464">
      <x:c r="A1464" s="31">
        <x:v>39121</x:v>
      </x:c>
      <x:c r="B1464" s="32">
        <x:v>1052.8599999999999</x:v>
      </x:c>
      <x:c r="C1464" s="32">
        <x:v>1052.8599999999999</x:v>
      </x:c>
      <x:c r="D1464" s="32">
        <x:v>1052.8599999999999</x:v>
      </x:c>
      <x:c r="E1464" s="32">
        <x:v>1052.8599999999999</x:v>
      </x:c>
      <x:c r="F1464" s="33">
        <x:v>6811910</x:v>
      </x:c>
      <x:c r="G1464" s="32" t="n">
        <x:f t="shared" si="57">AVERAGE(E1265:E1464)</x:f>
        <x:v>602.7905000000003</x:v>
      </x:c>
      <x:c r="H1464" s="37" t="n">
        <x:f t="shared" si="58">IFERROR(E1464/G1464-1,"")</x:f>
        <x:v>0.7466433196939888</x:v>
      </x:c>
      <x:c r="I1464" s="38" t="b">
        <x:f t="shared" si="59">E1464&lt;G1464</x:f>
        <x:v>0</x:v>
      </x:c>
    </x:row>
    <x:row r="1465">
      <x:c r="A1465" s="31">
        <x:v>39122</x:v>
      </x:c>
      <x:c r="B1465" s="32">
        <x:v>1030.9000000000001</x:v>
      </x:c>
      <x:c r="C1465" s="32">
        <x:v>1030.9000000000001</x:v>
      </x:c>
      <x:c r="D1465" s="32">
        <x:v>1030.9000000000001</x:v>
      </x:c>
      <x:c r="E1465" s="32">
        <x:v>1030.9000000000001</x:v>
      </x:c>
      <x:c r="F1465" s="33">
        <x:v>7846490</x:v>
      </x:c>
      <x:c r="G1465" s="32" t="n">
        <x:f t="shared" si="57">AVERAGE(E1266:E1465)</x:f>
        <x:v>604.8844500000002</x:v>
      </x:c>
      <x:c r="H1465" s="37" t="n">
        <x:f t="shared" si="58">IFERROR(E1465/G1465-1,"")</x:f>
        <x:v>0.7042924479212511</x:v>
      </x:c>
      <x:c r="I1465" s="38" t="b">
        <x:f t="shared" si="59">E1465&lt;G1465</x:f>
        <x:v>0</x:v>
      </x:c>
    </x:row>
    <x:row r="1466">
      <x:c r="A1466" s="31">
        <x:v>39125</x:v>
      </x:c>
      <x:c r="B1466" s="32">
        <x:v>1054.26</x:v>
      </x:c>
      <x:c r="C1466" s="32">
        <x:v>1054.26</x:v>
      </x:c>
      <x:c r="D1466" s="32">
        <x:v>1054.26</x:v>
      </x:c>
      <x:c r="E1466" s="32">
        <x:v>1054.26</x:v>
      </x:c>
      <x:c r="F1466" s="33">
        <x:v>7530200</x:v>
      </x:c>
      <x:c r="G1466" s="32" t="n">
        <x:f t="shared" si="57">AVERAGE(E1267:E1466)</x:f>
        <x:v>607.1490500000002</x:v>
      </x:c>
      <x:c r="H1466" s="37" t="n">
        <x:f t="shared" si="58">IFERROR(E1466/G1466-1,"")</x:f>
        <x:v>0.7364105239067731</x:v>
      </x:c>
      <x:c r="I1466" s="38" t="b">
        <x:f t="shared" si="59">E1466&lt;G1466</x:f>
        <x:v>0</x:v>
      </x:c>
    </x:row>
    <x:row r="1467">
      <x:c r="A1467" s="31">
        <x:v>39126</x:v>
      </x:c>
      <x:c r="B1467" s="32">
        <x:v>1074.46</x:v>
      </x:c>
      <x:c r="C1467" s="32">
        <x:v>1074.46</x:v>
      </x:c>
      <x:c r="D1467" s="32">
        <x:v>1074.46</x:v>
      </x:c>
      <x:c r="E1467" s="32">
        <x:v>1074.46</x:v>
      </x:c>
      <x:c r="F1467" s="33">
        <x:v>6644140</x:v>
      </x:c>
      <x:c r="G1467" s="32" t="n">
        <x:f t="shared" si="57">AVERAGE(E1268:E1467)</x:f>
        <x:v>609.5519000000002</x:v>
      </x:c>
      <x:c r="H1467" s="37" t="n">
        <x:f t="shared" si="58">IFERROR(E1467/G1467-1,"")</x:f>
        <x:v>0.7627047016012907</x:v>
      </x:c>
      <x:c r="I1467" s="38" t="b">
        <x:f t="shared" si="59">E1467&lt;G1467</x:f>
        <x:v>0</x:v>
      </x:c>
    </x:row>
    <x:row r="1468">
      <x:c r="A1468" s="31">
        <x:v>39127</x:v>
      </x:c>
      <x:c r="B1468" s="32">
        <x:v>1073.19</x:v>
      </x:c>
      <x:c r="C1468" s="32">
        <x:v>1073.19</x:v>
      </x:c>
      <x:c r="D1468" s="32">
        <x:v>1073.19</x:v>
      </x:c>
      <x:c r="E1468" s="32">
        <x:v>1073.19</x:v>
      </x:c>
      <x:c r="F1468" s="33">
        <x:v>6261450</x:v>
      </x:c>
      <x:c r="G1468" s="32" t="n">
        <x:f t="shared" si="57">AVERAGE(E1269:E1468)</x:f>
        <x:v>612.0466000000001</x:v>
      </x:c>
      <x:c r="H1468" s="37" t="n">
        <x:f t="shared" si="58">IFERROR(E1468/G1468-1,"")</x:f>
        <x:v>0.7534449174294895</x:v>
      </x:c>
      <x:c r="I1468" s="38" t="b">
        <x:f t="shared" si="59">E1468&lt;G1468</x:f>
        <x:v>0</x:v>
      </x:c>
    </x:row>
    <x:row r="1469">
      <x:c r="A1469" s="31">
        <x:v>39128</x:v>
      </x:c>
      <x:c r="B1469" s="32">
        <x:v>1083.25</x:v>
      </x:c>
      <x:c r="C1469" s="32">
        <x:v>1083.25</x:v>
      </x:c>
      <x:c r="D1469" s="32">
        <x:v>1083.25</x:v>
      </x:c>
      <x:c r="E1469" s="32">
        <x:v>1083.25</x:v>
      </x:c>
      <x:c r="F1469" s="33">
        <x:v>6289500</x:v>
      </x:c>
      <x:c r="G1469" s="32" t="n">
        <x:f t="shared" si="57">AVERAGE(E1270:E1469)</x:f>
        <x:v>614.7308500000001</x:v>
      </x:c>
      <x:c r="H1469" s="37" t="n">
        <x:f t="shared" si="58">IFERROR(E1469/G1469-1,"")</x:f>
        <x:v>0.7621533066056465</x:v>
      </x:c>
      <x:c r="I1469" s="38" t="b">
        <x:f t="shared" si="59">E1469&lt;G1469</x:f>
        <x:v>0</x:v>
      </x:c>
    </x:row>
    <x:row r="1470">
      <x:c r="A1470" s="31">
        <x:v>39139</x:v>
      </x:c>
      <x:c r="B1470" s="32">
        <x:v>1129.02</x:v>
      </x:c>
      <x:c r="C1470" s="32">
        <x:v>1129.02</x:v>
      </x:c>
      <x:c r="D1470" s="32">
        <x:v>1129.02</x:v>
      </x:c>
      <x:c r="E1470" s="32">
        <x:v>1129.02</x:v>
      </x:c>
      <x:c r="F1470" s="33">
        <x:v>7470640</x:v>
      </x:c>
      <x:c r="G1470" s="32" t="n">
        <x:f t="shared" si="57">AVERAGE(E1271:E1470)</x:f>
        <x:v>617.7718500000001</x:v>
      </x:c>
      <x:c r="H1470" s="37" t="n">
        <x:f t="shared" si="58">IFERROR(E1470/G1470-1,"")</x:f>
        <x:v>0.827567895817849</x:v>
      </x:c>
      <x:c r="I1470" s="38" t="b">
        <x:f t="shared" si="59">E1470&lt;G1470</x:f>
        <x:v>0</x:v>
      </x:c>
    </x:row>
    <x:row r="1471">
      <x:c r="A1471" s="31">
        <x:v>39140</x:v>
      </x:c>
      <x:c r="B1471" s="32">
        <x:v>1167.3599999999999</x:v>
      </x:c>
      <x:c r="C1471" s="32">
        <x:v>1167.3599999999999</x:v>
      </x:c>
      <x:c r="D1471" s="32">
        <x:v>1167.3599999999999</x:v>
      </x:c>
      <x:c r="E1471" s="32">
        <x:v>1167.3599999999999</x:v>
      </x:c>
      <x:c r="F1471" s="33">
        <x:v>8364940</x:v>
      </x:c>
      <x:c r="G1471" s="32" t="n">
        <x:f t="shared" si="57">AVERAGE(E1272:E1471)</x:f>
        <x:v>620.8939000000001</x:v>
      </x:c>
      <x:c r="H1471" s="37" t="n">
        <x:f t="shared" si="58">IFERROR(E1471/G1471-1,"")</x:f>
        <x:v>0.880127989661357</x:v>
      </x:c>
      <x:c r="I1471" s="38" t="b">
        <x:f t="shared" si="59">E1471&lt;G1471</x:f>
        <x:v>0</x:v>
      </x:c>
    </x:row>
    <x:row r="1472">
      <x:c r="A1472" s="31">
        <x:v>39141</x:v>
      </x:c>
      <x:c r="B1472" s="32">
        <x:v>1137.69</x:v>
      </x:c>
      <x:c r="C1472" s="32">
        <x:v>1137.69</x:v>
      </x:c>
      <x:c r="D1472" s="32">
        <x:v>1137.69</x:v>
      </x:c>
      <x:c r="E1472" s="32">
        <x:v>1137.69</x:v>
      </x:c>
      <x:c r="F1472" s="33">
        <x:v>11260450</x:v>
      </x:c>
      <x:c r="G1472" s="32" t="n">
        <x:f t="shared" si="57">AVERAGE(E1273:E1472)</x:f>
        <x:v>623.7485500000001</x:v>
      </x:c>
      <x:c r="H1472" s="37" t="n">
        <x:f t="shared" si="58">IFERROR(E1472/G1472-1,"")</x:f>
        <x:v>0.8239561438659855</x:v>
      </x:c>
      <x:c r="I1472" s="38" t="b">
        <x:f t="shared" si="59">E1472&lt;G1472</x:f>
        <x:v>0</x:v>
      </x:c>
    </x:row>
    <x:row r="1473">
      <x:c r="A1473" s="31">
        <x:v>39142</x:v>
      </x:c>
      <x:c r="B1473" s="32">
        <x:v>1123.07</x:v>
      </x:c>
      <x:c r="C1473" s="32">
        <x:v>1123.07</x:v>
      </x:c>
      <x:c r="D1473" s="32">
        <x:v>1123.07</x:v>
      </x:c>
      <x:c r="E1473" s="32">
        <x:v>1123.07</x:v>
      </x:c>
      <x:c r="F1473" s="33">
        <x:v>8693690</x:v>
      </x:c>
      <x:c r="G1473" s="32" t="n">
        <x:f t="shared" si="57">AVERAGE(E1274:E1473)</x:f>
        <x:v>626.4126500000002</x:v>
      </x:c>
      <x:c r="H1473" s="37" t="n">
        <x:f t="shared" si="58">IFERROR(E1473/G1473-1,"")</x:f>
        <x:v>0.7928597067763552</x:v>
      </x:c>
      <x:c r="I1473" s="38" t="b">
        <x:f t="shared" si="59">E1473&lt;G1473</x:f>
        <x:v>0</x:v>
      </x:c>
    </x:row>
    <x:row r="1474">
      <x:c r="A1474" s="31">
        <x:v>39143</x:v>
      </x:c>
      <x:c r="B1474" s="32">
        <x:v>1147.6600000000001</x:v>
      </x:c>
      <x:c r="C1474" s="32">
        <x:v>1147.6600000000001</x:v>
      </x:c>
      <x:c r="D1474" s="32">
        <x:v>1147.6600000000001</x:v>
      </x:c>
      <x:c r="E1474" s="32">
        <x:v>1147.6600000000001</x:v>
      </x:c>
      <x:c r="F1474" s="33">
        <x:v>10012890</x:v>
      </x:c>
      <x:c r="G1474" s="32" t="n">
        <x:f t="shared" si="57">AVERAGE(E1275:E1474)</x:f>
        <x:v>629.3283500000002</x:v>
      </x:c>
      <x:c r="H1474" s="37" t="n">
        <x:f t="shared" si="58">IFERROR(E1474/G1474-1,"")</x:f>
        <x:v>0.8236267284002059</x:v>
      </x:c>
      <x:c r="I1474" s="38" t="b">
        <x:f t="shared" si="59">E1474&lt;G1474</x:f>
        <x:v>0</x:v>
      </x:c>
    </x:row>
    <x:row r="1475">
      <x:c r="A1475" s="31">
        <x:v>39146</x:v>
      </x:c>
      <x:c r="B1475" s="32">
        <x:v>1158.9000000000001</x:v>
      </x:c>
      <x:c r="C1475" s="32">
        <x:v>1158.9000000000001</x:v>
      </x:c>
      <x:c r="D1475" s="32">
        <x:v>1158.9000000000001</x:v>
      </x:c>
      <x:c r="E1475" s="32">
        <x:v>1158.9000000000001</x:v>
      </x:c>
      <x:c r="F1475" s="33">
        <x:v>8161480</x:v>
      </x:c>
      <x:c r="G1475" s="32" t="n">
        <x:f t="shared" si="57">AVERAGE(E1276:E1475)</x:f>
        <x:v>632.2451500000002</x:v>
      </x:c>
      <x:c r="H1475" s="37" t="n">
        <x:f t="shared" si="58">IFERROR(E1475/G1475-1,"")</x:f>
        <x:v>0.8329915223548963</x:v>
      </x:c>
      <x:c r="I1475" s="38" t="b">
        <x:f t="shared" si="59">E1475&lt;G1475</x:f>
        <x:v>0</x:v>
      </x:c>
    </x:row>
    <x:row r="1476">
      <x:c r="A1476" s="31">
        <x:v>39147</x:v>
      </x:c>
      <x:c r="B1476" s="32">
        <x:v>1133.31</x:v>
      </x:c>
      <x:c r="C1476" s="32">
        <x:v>1133.31</x:v>
      </x:c>
      <x:c r="D1476" s="32">
        <x:v>1133.31</x:v>
      </x:c>
      <x:c r="E1476" s="32">
        <x:v>1133.31</x:v>
      </x:c>
      <x:c r="F1476" s="33">
        <x:v>8381450</x:v>
      </x:c>
      <x:c r="G1476" s="32" t="n">
        <x:f t="shared" si="57">AVERAGE(E1277:E1476)</x:f>
        <x:v>635.0811500000002</x:v>
      </x:c>
      <x:c r="H1476" s="37" t="n">
        <x:f t="shared" si="58">IFERROR(E1476/G1476-1,"")</x:f>
        <x:v>0.7845121052640274</x:v>
      </x:c>
      <x:c r="I1476" s="38" t="b">
        <x:f t="shared" si="59">E1476&lt;G1476</x:f>
        <x:v>0</x:v>
      </x:c>
    </x:row>
    <x:row r="1477">
      <x:c r="A1477" s="31">
        <x:v>39148</x:v>
      </x:c>
      <x:c r="B1477" s="32">
        <x:v>1132.23</x:v>
      </x:c>
      <x:c r="C1477" s="32">
        <x:v>1132.23</x:v>
      </x:c>
      <x:c r="D1477" s="32">
        <x:v>1132.23</x:v>
      </x:c>
      <x:c r="E1477" s="32">
        <x:v>1132.23</x:v>
      </x:c>
      <x:c r="F1477" s="33">
        <x:v>6944050</x:v>
      </x:c>
      <x:c r="G1477" s="32" t="n">
        <x:f t="shared" si="57">AVERAGE(E1278:E1477)</x:f>
        <x:v>637.9306500000002</x:v>
      </x:c>
      <x:c r="H1477" s="37" t="n">
        <x:f t="shared" si="58">IFERROR(E1477/G1477-1,"")</x:f>
        <x:v>0.7748480967327711</x:v>
      </x:c>
      <x:c r="I1477" s="38" t="b">
        <x:f t="shared" si="59">E1477&lt;G1477</x:f>
        <x:v>0</x:v>
      </x:c>
    </x:row>
    <x:row r="1478">
      <x:c r="A1478" s="31">
        <x:v>39149</x:v>
      </x:c>
      <x:c r="B1478" s="32">
        <x:v>1141.5899999999999</x:v>
      </x:c>
      <x:c r="C1478" s="32">
        <x:v>1141.5899999999999</x:v>
      </x:c>
      <x:c r="D1478" s="32">
        <x:v>1141.5899999999999</x:v>
      </x:c>
      <x:c r="E1478" s="32">
        <x:v>1141.5899999999999</x:v>
      </x:c>
      <x:c r="F1478" s="33">
        <x:v>8157060</x:v>
      </x:c>
      <x:c r="G1478" s="32" t="n">
        <x:f t="shared" si="57">AVERAGE(E1279:E1478)</x:f>
        <x:v>640.8717500000001</x:v>
      </x:c>
      <x:c r="H1478" s="37" t="n">
        <x:f t="shared" si="58">IFERROR(E1478/G1478-1,"")</x:f>
        <x:v>0.7813080386208313</x:v>
      </x:c>
      <x:c r="I1478" s="38" t="b">
        <x:f t="shared" si="59">E1478&lt;G1478</x:f>
        <x:v>0</x:v>
      </x:c>
    </x:row>
    <x:row r="1479">
      <x:c r="A1479" s="31">
        <x:v>39150</x:v>
      </x:c>
      <x:c r="B1479" s="32">
        <x:v>1155.68</x:v>
      </x:c>
      <x:c r="C1479" s="32">
        <x:v>1155.68</x:v>
      </x:c>
      <x:c r="D1479" s="32">
        <x:v>1155.68</x:v>
      </x:c>
      <x:c r="E1479" s="32">
        <x:v>1155.68</x:v>
      </x:c>
      <x:c r="F1479" s="33">
        <x:v>9229710</x:v>
      </x:c>
      <x:c r="G1479" s="32" t="n">
        <x:f t="shared" si="57">AVERAGE(E1280:E1479)</x:f>
        <x:v>643.9571500000001</x:v>
      </x:c>
      <x:c r="H1479" s="37" t="n">
        <x:f t="shared" si="58">IFERROR(E1479/G1479-1,"")</x:f>
        <x:v>0.7946535728347763</x:v>
      </x:c>
      <x:c r="I1479" s="38" t="b">
        <x:f t="shared" si="59">E1479&lt;G1479</x:f>
        <x:v>0</x:v>
      </x:c>
    </x:row>
    <x:row r="1480">
      <x:c r="A1480" s="31">
        <x:v>39153</x:v>
      </x:c>
      <x:c r="B1480" s="32">
        <x:v>1170.67</x:v>
      </x:c>
      <x:c r="C1480" s="32">
        <x:v>1170.67</x:v>
      </x:c>
      <x:c r="D1480" s="32">
        <x:v>1170.67</x:v>
      </x:c>
      <x:c r="E1480" s="32">
        <x:v>1170.67</x:v>
      </x:c>
      <x:c r="F1480" s="33">
        <x:v>9053740</x:v>
      </x:c>
      <x:c r="G1480" s="32" t="n">
        <x:f t="shared" si="57">AVERAGE(E1281:E1480)</x:f>
        <x:v>647.0127500000002</x:v>
      </x:c>
      <x:c r="H1480" s="37" t="n">
        <x:f t="shared" si="58">IFERROR(E1480/G1480-1,"")</x:f>
        <x:v>0.8093461063943481</x:v>
      </x:c>
      <x:c r="I1480" s="38" t="b">
        <x:f t="shared" si="59">E1480&lt;G1480</x:f>
        <x:v>0</x:v>
      </x:c>
    </x:row>
    <x:row r="1481">
      <x:c r="A1481" s="31">
        <x:v>39154</x:v>
      </x:c>
      <x:c r="B1481" s="32">
        <x:v>1158.27</x:v>
      </x:c>
      <x:c r="C1481" s="32">
        <x:v>1158.27</x:v>
      </x:c>
      <x:c r="D1481" s="32">
        <x:v>1158.27</x:v>
      </x:c>
      <x:c r="E1481" s="32">
        <x:v>1158.27</x:v>
      </x:c>
      <x:c r="F1481" s="33">
        <x:v>10851540</x:v>
      </x:c>
      <x:c r="G1481" s="32" t="n">
        <x:f t="shared" si="57">AVERAGE(E1282:E1481)</x:f>
        <x:v>650.0870500000002</x:v>
      </x:c>
      <x:c r="H1481" s="37" t="n">
        <x:f t="shared" si="58">IFERROR(E1481/G1481-1,"")</x:f>
        <x:v>0.7817152333675923</x:v>
      </x:c>
      <x:c r="I1481" s="38" t="b">
        <x:f t="shared" si="59">E1481&lt;G1481</x:f>
        <x:v>0</x:v>
      </x:c>
    </x:row>
    <x:row r="1482">
      <x:c r="A1482" s="31">
        <x:v>39155</x:v>
      </x:c>
      <x:c r="B1482" s="32">
        <x:v>1114.21</x:v>
      </x:c>
      <x:c r="C1482" s="32">
        <x:v>1114.21</x:v>
      </x:c>
      <x:c r="D1482" s="32">
        <x:v>1114.21</x:v>
      </x:c>
      <x:c r="E1482" s="32">
        <x:v>1114.21</x:v>
      </x:c>
      <x:c r="F1482" s="33">
        <x:v>8755970</x:v>
      </x:c>
      <x:c r="G1482" s="32" t="n">
        <x:f t="shared" si="57">AVERAGE(E1283:E1482)</x:f>
        <x:v>652.9311500000002</x:v>
      </x:c>
      <x:c r="H1482" s="37" t="n">
        <x:f t="shared" si="58">IFERROR(E1482/G1482-1,"")</x:f>
        <x:v>0.7064739521157777</x:v>
      </x:c>
      <x:c r="I1482" s="38" t="b">
        <x:f t="shared" si="59">E1482&lt;G1482</x:f>
        <x:v>0</x:v>
      </x:c>
    </x:row>
    <x:row r="1483">
      <x:c r="A1483" s="31">
        <x:v>39156</x:v>
      </x:c>
      <x:c r="B1483" s="32">
        <x:v>1065.52</x:v>
      </x:c>
      <x:c r="C1483" s="32">
        <x:v>1065.52</x:v>
      </x:c>
      <x:c r="D1483" s="32">
        <x:v>1065.52</x:v>
      </x:c>
      <x:c r="E1483" s="32">
        <x:v>1065.52</x:v>
      </x:c>
      <x:c r="F1483" s="33">
        <x:v>6288720</x:v>
      </x:c>
      <x:c r="G1483" s="32" t="n">
        <x:f t="shared" si="57">AVERAGE(E1284:E1483)</x:f>
        <x:v>655.5722500000002</x:v>
      </x:c>
      <x:c r="H1483" s="37" t="n">
        <x:f t="shared" si="58">IFERROR(E1483/G1483-1,"")</x:f>
        <x:v>0.6253281007547218</x:v>
      </x:c>
      <x:c r="I1483" s="38" t="b">
        <x:f t="shared" si="59">E1483&lt;G1483</x:f>
        <x:v>0</x:v>
      </x:c>
    </x:row>
    <x:row r="1484">
      <x:c r="A1484" s="31">
        <x:v>39157</x:v>
      </x:c>
      <x:c r="B1484" s="32">
        <x:v>1109.76</x:v>
      </x:c>
      <x:c r="C1484" s="32">
        <x:v>1109.76</x:v>
      </x:c>
      <x:c r="D1484" s="32">
        <x:v>1109.76</x:v>
      </x:c>
      <x:c r="E1484" s="32">
        <x:v>1109.76</x:v>
      </x:c>
      <x:c r="F1484" s="33">
        <x:v>8352030</x:v>
      </x:c>
      <x:c r="G1484" s="32" t="n">
        <x:f t="shared" si="57">AVERAGE(E1285:E1484)</x:f>
        <x:v>658.4910000000002</x:v>
      </x:c>
      <x:c r="H1484" s="37" t="n">
        <x:f t="shared" si="58">IFERROR(E1484/G1484-1,"")</x:f>
        <x:v>0.6853077718602072</x:v>
      </x:c>
      <x:c r="I1484" s="38" t="b">
        <x:f t="shared" si="59">E1484&lt;G1484</x:f>
        <x:v>0</x:v>
      </x:c>
    </x:row>
    <x:row r="1485">
      <x:c r="A1485" s="31">
        <x:v>39160</x:v>
      </x:c>
      <x:c r="B1485" s="32">
        <x:v>1133.3399999999999</x:v>
      </x:c>
      <x:c r="C1485" s="32">
        <x:v>1133.3399999999999</x:v>
      </x:c>
      <x:c r="D1485" s="32">
        <x:v>1133.3399999999999</x:v>
      </x:c>
      <x:c r="E1485" s="32">
        <x:v>1133.3399999999999</x:v>
      </x:c>
      <x:c r="F1485" s="33">
        <x:v>8781590</x:v>
      </x:c>
      <x:c r="G1485" s="32" t="n">
        <x:f t="shared" ref="G1485:G1548" si="60">AVERAGE(E1286:E1485)</x:f>
        <x:v>661.4631500000002</x:v>
      </x:c>
      <x:c r="H1485" s="37" t="n">
        <x:f t="shared" ref="H1485:H1548" si="61">IFERROR(E1485/G1485-1,"")</x:f>
        <x:v>0.7133834288425587</x:v>
      </x:c>
      <x:c r="I1485" s="38" t="b">
        <x:f t="shared" ref="I1485:I1548" si="62">E1485&lt;G1485</x:f>
        <x:v>0</x:v>
      </x:c>
    </x:row>
    <x:row r="1486">
      <x:c r="A1486" s="31">
        <x:v>39161</x:v>
      </x:c>
      <x:c r="B1486" s="32">
        <x:v>1117.25</x:v>
      </x:c>
      <x:c r="C1486" s="32">
        <x:v>1117.25</x:v>
      </x:c>
      <x:c r="D1486" s="32">
        <x:v>1117.25</x:v>
      </x:c>
      <x:c r="E1486" s="32">
        <x:v>1117.25</x:v>
      </x:c>
      <x:c r="F1486" s="33">
        <x:v>8193710</x:v>
      </x:c>
      <x:c r="G1486" s="32" t="n">
        <x:f t="shared" si="60">AVERAGE(E1287:E1486)</x:f>
        <x:v>664.3735000000001</x:v>
      </x:c>
      <x:c r="H1486" s="37" t="n">
        <x:f t="shared" si="61">IFERROR(E1486/G1486-1,"")</x:f>
        <x:v>0.6816594882246203</x:v>
      </x:c>
      <x:c r="I1486" s="38" t="b">
        <x:f t="shared" si="62">E1486&lt;G1486</x:f>
        <x:v>0</x:v>
      </x:c>
    </x:row>
    <x:row r="1487">
      <x:c r="A1487" s="31">
        <x:v>39162</x:v>
      </x:c>
      <x:c r="B1487" s="32">
        <x:v>1111.6300000000001</x:v>
      </x:c>
      <x:c r="C1487" s="32">
        <x:v>1111.6300000000001</x:v>
      </x:c>
      <x:c r="D1487" s="32">
        <x:v>1111.6300000000001</x:v>
      </x:c>
      <x:c r="E1487" s="32">
        <x:v>1111.6300000000001</x:v>
      </x:c>
      <x:c r="F1487" s="33">
        <x:v>8446900</x:v>
      </x:c>
      <x:c r="G1487" s="32" t="n">
        <x:f t="shared" si="60">AVERAGE(E1288:E1487)</x:f>
        <x:v>667.2305000000001</x:v>
      </x:c>
      <x:c r="H1487" s="37" t="n">
        <x:f t="shared" si="61">IFERROR(E1487/G1487-1,"")</x:f>
        <x:v>0.6660359500952069</x:v>
      </x:c>
      <x:c r="I1487" s="38" t="b">
        <x:f t="shared" si="62">E1487&lt;G1487</x:f>
        <x:v>0</x:v>
      </x:c>
    </x:row>
    <x:row r="1488">
      <x:c r="A1488" s="31">
        <x:v>39163</x:v>
      </x:c>
      <x:c r="B1488" s="32">
        <x:v>1099.82</x:v>
      </x:c>
      <x:c r="C1488" s="32">
        <x:v>1099.82</x:v>
      </x:c>
      <x:c r="D1488" s="32">
        <x:v>1099.82</x:v>
      </x:c>
      <x:c r="E1488" s="32">
        <x:v>1099.82</x:v>
      </x:c>
      <x:c r="F1488" s="33">
        <x:v>7559950</x:v>
      </x:c>
      <x:c r="G1488" s="32" t="n">
        <x:f t="shared" si="60">AVERAGE(E1289:E1488)</x:f>
        <x:v>669.9733000000001</x:v>
      </x:c>
      <x:c r="H1488" s="37" t="n">
        <x:f t="shared" si="61">IFERROR(E1488/G1488-1,"")</x:f>
        <x:v>0.641587806558858</x:v>
      </x:c>
      <x:c r="I1488" s="38" t="b">
        <x:f t="shared" si="62">E1488&lt;G1488</x:f>
        <x:v>0</x:v>
      </x:c>
    </x:row>
    <x:row r="1489">
      <x:c r="A1489" s="31">
        <x:v>39164</x:v>
      </x:c>
      <x:c r="B1489" s="32">
        <x:v>1090.56</x:v>
      </x:c>
      <x:c r="C1489" s="32">
        <x:v>1090.56</x:v>
      </x:c>
      <x:c r="D1489" s="32">
        <x:v>1090.56</x:v>
      </x:c>
      <x:c r="E1489" s="32">
        <x:v>1090.56</x:v>
      </x:c>
      <x:c r="F1489" s="33">
        <x:v>6986600</x:v>
      </x:c>
      <x:c r="G1489" s="32" t="n">
        <x:f t="shared" si="60">AVERAGE(E1290:E1489)</x:f>
        <x:v>672.6671500000002</x:v>
      </x:c>
      <x:c r="H1489" s="37" t="n">
        <x:f t="shared" si="61">IFERROR(E1489/G1489-1,"")</x:f>
        <x:v>0.6212475962294273</x:v>
      </x:c>
      <x:c r="I1489" s="38" t="b">
        <x:f t="shared" si="62">E1489&lt;G1489</x:f>
        <x:v>0</x:v>
      </x:c>
    </x:row>
    <x:row r="1490">
      <x:c r="A1490" s="31">
        <x:v>39167</x:v>
      </x:c>
      <x:c r="B1490" s="32">
        <x:v>1072.1600000000001</x:v>
      </x:c>
      <x:c r="C1490" s="32">
        <x:v>1072.1600000000001</x:v>
      </x:c>
      <x:c r="D1490" s="32">
        <x:v>1072.1600000000001</x:v>
      </x:c>
      <x:c r="E1490" s="32">
        <x:v>1072.1600000000001</x:v>
      </x:c>
      <x:c r="F1490" s="33">
        <x:v>6062450</x:v>
      </x:c>
      <x:c r="G1490" s="32" t="n">
        <x:f t="shared" si="60">AVERAGE(E1291:E1490)</x:f>
        <x:v>675.3052000000004</x:v>
      </x:c>
      <x:c r="H1490" s="37" t="n">
        <x:f t="shared" si="61">IFERROR(E1490/G1490-1,"")</x:f>
        <x:v>0.5876673243446067</x:v>
      </x:c>
      <x:c r="I1490" s="38" t="b">
        <x:f t="shared" si="62">E1490&lt;G1490</x:f>
        <x:v>0</x:v>
      </x:c>
    </x:row>
    <x:row r="1491">
      <x:c r="A1491" s="31">
        <x:v>39168</x:v>
      </x:c>
      <x:c r="B1491" s="32">
        <x:v>1034.24</x:v>
      </x:c>
      <x:c r="C1491" s="32">
        <x:v>1034.24</x:v>
      </x:c>
      <x:c r="D1491" s="32">
        <x:v>1034.24</x:v>
      </x:c>
      <x:c r="E1491" s="32">
        <x:v>1034.24</x:v>
      </x:c>
      <x:c r="F1491" s="33">
        <x:v>5468080</x:v>
      </x:c>
      <x:c r="G1491" s="32" t="n">
        <x:f t="shared" si="60">AVERAGE(E1292:E1491)</x:f>
        <x:v>677.7354500000001</x:v>
      </x:c>
      <x:c r="H1491" s="37" t="n">
        <x:f t="shared" si="61">IFERROR(E1491/G1491-1,"")</x:f>
        <x:v>0.5260231702502796</x:v>
      </x:c>
      <x:c r="I1491" s="38" t="b">
        <x:f t="shared" si="62">E1491&lt;G1491</x:f>
        <x:v>0</x:v>
      </x:c>
    </x:row>
    <x:row r="1492">
      <x:c r="A1492" s="31">
        <x:v>39169</x:v>
      </x:c>
      <x:c r="B1492" s="32">
        <x:v>1031.79</x:v>
      </x:c>
      <x:c r="C1492" s="32">
        <x:v>1031.79</x:v>
      </x:c>
      <x:c r="D1492" s="32">
        <x:v>1031.79</x:v>
      </x:c>
      <x:c r="E1492" s="32">
        <x:v>1031.79</x:v>
      </x:c>
      <x:c r="F1492" s="33">
        <x:v>7309470</x:v>
      </x:c>
      <x:c r="G1492" s="32" t="n">
        <x:f t="shared" si="60">AVERAGE(E1293:E1492)</x:f>
        <x:v>680.1504500000003</x:v>
      </x:c>
      <x:c r="H1492" s="37" t="n">
        <x:f t="shared" si="61">IFERROR(E1492/G1492-1,"")</x:f>
        <x:v>0.5170025984692055</x:v>
      </x:c>
      <x:c r="I1492" s="38" t="b">
        <x:f t="shared" si="62">E1492&lt;G1492</x:f>
        <x:v>0</x:v>
      </x:c>
    </x:row>
    <x:row r="1493">
      <x:c r="A1493" s="31">
        <x:v>39170</x:v>
      </x:c>
      <x:c r="B1493" s="32">
        <x:v>1068.71</x:v>
      </x:c>
      <x:c r="C1493" s="32">
        <x:v>1068.71</x:v>
      </x:c>
      <x:c r="D1493" s="32">
        <x:v>1068.71</x:v>
      </x:c>
      <x:c r="E1493" s="32">
        <x:v>1068.71</x:v>
      </x:c>
      <x:c r="F1493" s="33">
        <x:v>6852240</x:v>
      </x:c>
      <x:c r="G1493" s="32" t="n">
        <x:f t="shared" si="60">AVERAGE(E1294:E1493)</x:f>
        <x:v>682.7641000000002</x:v>
      </x:c>
      <x:c r="H1493" s="37" t="n">
        <x:f t="shared" si="61">IFERROR(E1493/G1493-1,"")</x:f>
        <x:v>0.5652697615472162</x:v>
      </x:c>
      <x:c r="I1493" s="38" t="b">
        <x:f t="shared" si="62">E1493&lt;G1493</x:f>
        <x:v>0</x:v>
      </x:c>
    </x:row>
    <x:row r="1494">
      <x:c r="A1494" s="31">
        <x:v>39171</x:v>
      </x:c>
      <x:c r="B1494" s="32">
        <x:v>1071.33</x:v>
      </x:c>
      <x:c r="C1494" s="32">
        <x:v>1071.33</x:v>
      </x:c>
      <x:c r="D1494" s="32">
        <x:v>1071.33</x:v>
      </x:c>
      <x:c r="E1494" s="32">
        <x:v>1071.33</x:v>
      </x:c>
      <x:c r="F1494" s="33">
        <x:v>8359290</x:v>
      </x:c>
      <x:c r="G1494" s="32" t="n">
        <x:f t="shared" si="60">AVERAGE(E1295:E1494)</x:f>
        <x:v>685.4012500000001</x:v>
      </x:c>
      <x:c r="H1494" s="37" t="n">
        <x:f t="shared" si="61">IFERROR(E1494/G1494-1,"")</x:f>
        <x:v>0.5630698076491687</x:v>
      </x:c>
      <x:c r="I1494" s="38" t="b">
        <x:f t="shared" si="62">E1494&lt;G1494</x:f>
        <x:v>0</x:v>
      </x:c>
    </x:row>
    <x:row r="1495">
      <x:c r="A1495" s="31">
        <x:v>39174</x:v>
      </x:c>
      <x:c r="B1495" s="32">
        <x:v>1055.0999999999999</x:v>
      </x:c>
      <x:c r="C1495" s="32">
        <x:v>1055.0999999999999</x:v>
      </x:c>
      <x:c r="D1495" s="32">
        <x:v>1055.0999999999999</x:v>
      </x:c>
      <x:c r="E1495" s="32">
        <x:v>1055.0999999999999</x:v>
      </x:c>
      <x:c r="F1495" s="33">
        <x:v>6785410</x:v>
      </x:c>
      <x:c r="G1495" s="32" t="n">
        <x:f t="shared" si="60">AVERAGE(E1296:E1495)</x:f>
        <x:v>687.9719500000002</x:v>
      </x:c>
      <x:c r="H1495" s="37" t="n">
        <x:f t="shared" si="61">IFERROR(E1495/G1495-1,"")</x:f>
        <x:v>0.533638108356016</x:v>
      </x:c>
      <x:c r="I1495" s="38" t="b">
        <x:f t="shared" si="62">E1495&lt;G1495</x:f>
        <x:v>0</x:v>
      </x:c>
    </x:row>
    <x:row r="1496">
      <x:c r="A1496" s="31">
        <x:v>39175</x:v>
      </x:c>
      <x:c r="B1496" s="32">
        <x:v>1027.53</x:v>
      </x:c>
      <x:c r="C1496" s="32">
        <x:v>1027.53</x:v>
      </x:c>
      <x:c r="D1496" s="32">
        <x:v>1027.53</x:v>
      </x:c>
      <x:c r="E1496" s="32">
        <x:v>1027.53</x:v>
      </x:c>
      <x:c r="F1496" s="33">
        <x:v>4217300</x:v>
      </x:c>
      <x:c r="G1496" s="32" t="n">
        <x:f t="shared" si="60">AVERAGE(E1297:E1496)</x:f>
        <x:v>690.4222000000002</x:v>
      </x:c>
      <x:c r="H1496" s="37" t="n">
        <x:f t="shared" si="61">IFERROR(E1496/G1496-1,"")</x:f>
        <x:v>0.4882632684754338</x:v>
      </x:c>
      <x:c r="I1496" s="38" t="b">
        <x:f t="shared" si="62">E1496&lt;G1496</x:f>
        <x:v>0</x:v>
      </x:c>
    </x:row>
    <x:row r="1497">
      <x:c r="A1497" s="31">
        <x:v>39176</x:v>
      </x:c>
      <x:c r="B1497" s="32">
        <x:v>1050.9000000000001</x:v>
      </x:c>
      <x:c r="C1497" s="32">
        <x:v>1050.9000000000001</x:v>
      </x:c>
      <x:c r="D1497" s="32">
        <x:v>1050.9000000000001</x:v>
      </x:c>
      <x:c r="E1497" s="32">
        <x:v>1050.9000000000001</x:v>
      </x:c>
      <x:c r="F1497" s="33">
        <x:v>4504010</x:v>
      </x:c>
      <x:c r="G1497" s="32" t="n">
        <x:f t="shared" si="60">AVERAGE(E1298:E1497)</x:f>
        <x:v>693.0582</x:v>
      </x:c>
      <x:c r="H1497" s="37" t="n">
        <x:f t="shared" si="61">IFERROR(E1497/G1497-1,"")</x:f>
        <x:v>0.5163228715856765</x:v>
      </x:c>
      <x:c r="I1497" s="38" t="b">
        <x:f t="shared" si="62">E1497&lt;G1497</x:f>
        <x:v>0</x:v>
      </x:c>
    </x:row>
    <x:row r="1498">
      <x:c r="A1498" s="31">
        <x:v>39177</x:v>
      </x:c>
      <x:c r="B1498" s="32">
        <x:v>1048.98</x:v>
      </x:c>
      <x:c r="C1498" s="32">
        <x:v>1048.98</x:v>
      </x:c>
      <x:c r="D1498" s="32">
        <x:v>1048.98</x:v>
      </x:c>
      <x:c r="E1498" s="32">
        <x:v>1048.98</x:v>
      </x:c>
      <x:c r="F1498" s="33">
        <x:v>4562630</x:v>
      </x:c>
      <x:c r="G1498" s="32" t="n">
        <x:f t="shared" si="60">AVERAGE(E1299:E1498)</x:f>
        <x:v>695.7057500000003</x:v>
      </x:c>
      <x:c r="H1498" s="37" t="n">
        <x:f t="shared" si="61">IFERROR(E1498/G1498-1,"")</x:f>
        <x:v>0.5077926264085062</x:v>
      </x:c>
      <x:c r="I1498" s="38" t="b">
        <x:f t="shared" si="62">E1498&lt;G1498</x:f>
        <x:v>0</x:v>
      </x:c>
    </x:row>
    <x:row r="1499">
      <x:c r="A1499" s="31">
        <x:v>39178</x:v>
      </x:c>
      <x:c r="B1499" s="32">
        <x:v>1033.92</x:v>
      </x:c>
      <x:c r="C1499" s="32">
        <x:v>1033.92</x:v>
      </x:c>
      <x:c r="D1499" s="32">
        <x:v>1033.92</x:v>
      </x:c>
      <x:c r="E1499" s="32">
        <x:v>1033.92</x:v>
      </x:c>
      <x:c r="F1499" s="33">
        <x:v>4032090</x:v>
      </x:c>
      <x:c r="G1499" s="32" t="n">
        <x:f t="shared" si="60">AVERAGE(E1300:E1499)</x:f>
        <x:v>698.3456500000003</x:v>
      </x:c>
      <x:c r="H1499" s="37" t="n">
        <x:f t="shared" si="61">IFERROR(E1499/G1499-1,"")</x:f>
        <x:v>0.4805275868762118</x:v>
      </x:c>
      <x:c r="I1499" s="38" t="b">
        <x:f t="shared" si="62">E1499&lt;G1499</x:f>
        <x:v>0</x:v>
      </x:c>
    </x:row>
    <x:row r="1500">
      <x:c r="A1500" s="31">
        <x:v>39181</x:v>
      </x:c>
      <x:c r="B1500" s="32">
        <x:v>1041.3599999999999</x:v>
      </x:c>
      <x:c r="C1500" s="32">
        <x:v>1041.3599999999999</x:v>
      </x:c>
      <x:c r="D1500" s="32">
        <x:v>1041.3599999999999</x:v>
      </x:c>
      <x:c r="E1500" s="32">
        <x:v>1041.3599999999999</x:v>
      </x:c>
      <x:c r="F1500" s="33">
        <x:v>2979000</x:v>
      </x:c>
      <x:c r="G1500" s="32" t="n">
        <x:f t="shared" si="60">AVERAGE(E1301:E1500)</x:f>
        <x:v>701.1131500000001</x:v>
      </x:c>
      <x:c r="H1500" s="37" t="n">
        <x:f t="shared" si="61">IFERROR(E1500/G1500-1,"")</x:f>
        <x:v>0.48529520520332525</x:v>
      </x:c>
      <x:c r="I1500" s="38" t="b">
        <x:f t="shared" si="62">E1500&lt;G1500</x:f>
        <x:v>0</x:v>
      </x:c>
    </x:row>
    <x:row r="1501">
      <x:c r="A1501" s="31">
        <x:v>39182</x:v>
      </x:c>
      <x:c r="B1501" s="32">
        <x:v>1039.67</x:v>
      </x:c>
      <x:c r="C1501" s="32">
        <x:v>1039.67</x:v>
      </x:c>
      <x:c r="D1501" s="32">
        <x:v>1039.67</x:v>
      </x:c>
      <x:c r="E1501" s="32">
        <x:v>1039.67</x:v>
      </x:c>
      <x:c r="F1501" s="33">
        <x:v>3795820</x:v>
      </x:c>
      <x:c r="G1501" s="32" t="n">
        <x:f t="shared" si="60">AVERAGE(E1302:E1501)</x:f>
        <x:v>703.7607500000003</x:v>
      </x:c>
      <x:c r="H1501" s="37" t="n">
        <x:f t="shared" si="61">IFERROR(E1501/G1501-1,"")</x:f>
        <x:v>0.47730603049402753</x:v>
      </x:c>
      <x:c r="I1501" s="38" t="b">
        <x:f t="shared" si="62">E1501&lt;G1501</x:f>
        <x:v>0</x:v>
      </x:c>
    </x:row>
    <x:row r="1502">
      <x:c r="A1502" s="31">
        <x:v>39183</x:v>
      </x:c>
      <x:c r="B1502" s="32">
        <x:v>1034.68</x:v>
      </x:c>
      <x:c r="C1502" s="32">
        <x:v>1034.68</x:v>
      </x:c>
      <x:c r="D1502" s="32">
        <x:v>1034.68</x:v>
      </x:c>
      <x:c r="E1502" s="32">
        <x:v>1034.68</x:v>
      </x:c>
      <x:c r="F1502" s="33">
        <x:v>2734500</x:v>
      </x:c>
      <x:c r="G1502" s="32" t="n">
        <x:f t="shared" si="60">AVERAGE(E1303:E1502)</x:f>
        <x:v>706.3810500000003</x:v>
      </x:c>
      <x:c r="H1502" s="37" t="n">
        <x:f t="shared" si="61">IFERROR(E1502/G1502-1,"")</x:f>
        <x:v>0.4647618307427692</x:v>
      </x:c>
      <x:c r="I1502" s="38" t="b">
        <x:f t="shared" si="62">E1502&lt;G1502</x:f>
        <x:v>0</x:v>
      </x:c>
    </x:row>
    <x:row r="1503">
      <x:c r="A1503" s="31">
        <x:v>39184</x:v>
      </x:c>
      <x:c r="B1503" s="32">
        <x:v>1027.58</x:v>
      </x:c>
      <x:c r="C1503" s="32">
        <x:v>1027.58</x:v>
      </x:c>
      <x:c r="D1503" s="32">
        <x:v>1027.58</x:v>
      </x:c>
      <x:c r="E1503" s="32">
        <x:v>1027.58</x:v>
      </x:c>
      <x:c r="F1503" s="33">
        <x:v>3650020</x:v>
      </x:c>
      <x:c r="G1503" s="32" t="n">
        <x:f t="shared" si="60">AVERAGE(E1304:E1503)</x:f>
        <x:v>709.0042500000002</x:v>
      </x:c>
      <x:c r="H1503" s="37" t="n">
        <x:f t="shared" si="61">IFERROR(E1503/G1503-1,"")</x:f>
        <x:v>0.44932840670560115</x:v>
      </x:c>
      <x:c r="I1503" s="38" t="b">
        <x:f t="shared" si="62">E1503&lt;G1503</x:f>
        <x:v>0</x:v>
      </x:c>
    </x:row>
    <x:row r="1504">
      <x:c r="A1504" s="31">
        <x:v>39185</x:v>
      </x:c>
      <x:c r="B1504" s="32">
        <x:v>1012.98</x:v>
      </x:c>
      <x:c r="C1504" s="32">
        <x:v>1012.98</x:v>
      </x:c>
      <x:c r="D1504" s="32">
        <x:v>1012.98</x:v>
      </x:c>
      <x:c r="E1504" s="32">
        <x:v>1012.98</x:v>
      </x:c>
      <x:c r="F1504" s="33">
        <x:v>4166330</x:v>
      </x:c>
      <x:c r="G1504" s="32" t="n">
        <x:f t="shared" si="60">AVERAGE(E1305:E1504)</x:f>
        <x:v>711.5613500000003</x:v>
      </x:c>
      <x:c r="H1504" s="37" t="n">
        <x:f t="shared" si="61">IFERROR(E1504/G1504-1,"")</x:f>
        <x:v>0.42360177376132024</x:v>
      </x:c>
      <x:c r="I1504" s="38" t="b">
        <x:f t="shared" si="62">E1504&lt;G1504</x:f>
        <x:v>0</x:v>
      </x:c>
    </x:row>
    <x:row r="1505">
      <x:c r="A1505" s="31">
        <x:v>39188</x:v>
      </x:c>
      <x:c r="B1505" s="32">
        <x:v>983</x:v>
      </x:c>
      <x:c r="C1505" s="32">
        <x:v>983</x:v>
      </x:c>
      <x:c r="D1505" s="32">
        <x:v>983</x:v>
      </x:c>
      <x:c r="E1505" s="32">
        <x:v>983</x:v>
      </x:c>
      <x:c r="F1505" s="33">
        <x:v>4711750</x:v>
      </x:c>
      <x:c r="G1505" s="32" t="n">
        <x:f t="shared" si="60">AVERAGE(E1306:E1505)</x:f>
        <x:v>713.9440500000002</x:v>
      </x:c>
      <x:c r="H1505" s="37" t="n">
        <x:f t="shared" si="61">IFERROR(E1505/G1505-1,"")</x:f>
        <x:v>0.37685859277067957</x:v>
      </x:c>
      <x:c r="I1505" s="38" t="b">
        <x:f t="shared" si="62">E1505&lt;G1505</x:f>
        <x:v>0</x:v>
      </x:c>
    </x:row>
    <x:row r="1506">
      <x:c r="A1506" s="31">
        <x:v>39189</x:v>
      </x:c>
      <x:c r="B1506" s="32">
        <x:v>965.72</x:v>
      </x:c>
      <x:c r="C1506" s="32">
        <x:v>965.72</x:v>
      </x:c>
      <x:c r="D1506" s="32">
        <x:v>965.72</x:v>
      </x:c>
      <x:c r="E1506" s="32">
        <x:v>965.72</x:v>
      </x:c>
      <x:c r="F1506" s="33">
        <x:v>4775440</x:v>
      </x:c>
      <x:c r="G1506" s="32" t="n">
        <x:f t="shared" si="60">AVERAGE(E1307:E1506)</x:f>
        <x:v>716.2112000000001</x:v>
      </x:c>
      <x:c r="H1506" s="37" t="n">
        <x:f t="shared" si="61">IFERROR(E1506/G1506-1,"")</x:f>
        <x:v>0.3483732172856273</x:v>
      </x:c>
      <x:c r="I1506" s="38" t="b">
        <x:f t="shared" si="62">E1506&lt;G1506</x:f>
        <x:v>0</x:v>
      </x:c>
    </x:row>
    <x:row r="1507">
      <x:c r="A1507" s="31">
        <x:v>39190</x:v>
      </x:c>
      <x:c r="B1507" s="32">
        <x:v>1001.12</x:v>
      </x:c>
      <x:c r="C1507" s="32">
        <x:v>1001.12</x:v>
      </x:c>
      <x:c r="D1507" s="32">
        <x:v>1001.12</x:v>
      </x:c>
      <x:c r="E1507" s="32">
        <x:v>1001.12</x:v>
      </x:c>
      <x:c r="F1507" s="33">
        <x:v>3680490</x:v>
      </x:c>
      <x:c r="G1507" s="32" t="n">
        <x:f t="shared" si="60">AVERAGE(E1308:E1507)</x:f>
        <x:v>718.63885</x:v>
      </x:c>
      <x:c r="H1507" s="37" t="n">
        <x:f t="shared" si="61">IFERROR(E1507/G1507-1,"")</x:f>
        <x:v>0.39307803912911177</x:v>
      </x:c>
      <x:c r="I1507" s="38" t="b">
        <x:f t="shared" si="62">E1507&lt;G1507</x:f>
        <x:v>0</x:v>
      </x:c>
    </x:row>
    <x:row r="1508">
      <x:c r="A1508" s="31">
        <x:v>39191</x:v>
      </x:c>
      <x:c r="B1508" s="32">
        <x:v>998.09</x:v>
      </x:c>
      <x:c r="C1508" s="32">
        <x:v>998.09</x:v>
      </x:c>
      <x:c r="D1508" s="32">
        <x:v>998.09</x:v>
      </x:c>
      <x:c r="E1508" s="32">
        <x:v>998.09</x:v>
      </x:c>
      <x:c r="F1508" s="33">
        <x:v>6484600</x:v>
      </x:c>
      <x:c r="G1508" s="32" t="n">
        <x:f t="shared" si="60">AVERAGE(E1309:E1508)</x:f>
        <x:v>721.0927500000001</x:v>
      </x:c>
      <x:c r="H1508" s="37" t="n">
        <x:f t="shared" si="61">IFERROR(E1508/G1508-1,"")</x:f>
        <x:v>0.384135397284191</x:v>
      </x:c>
      <x:c r="I1508" s="38" t="b">
        <x:f t="shared" si="62">E1508&lt;G1508</x:f>
        <x:v>0</x:v>
      </x:c>
    </x:row>
    <x:row r="1509">
      <x:c r="A1509" s="31">
        <x:v>39192</x:v>
      </x:c>
      <x:c r="B1509" s="32">
        <x:v>968.88</x:v>
      </x:c>
      <x:c r="C1509" s="32">
        <x:v>968.88</x:v>
      </x:c>
      <x:c r="D1509" s="32">
        <x:v>968.88</x:v>
      </x:c>
      <x:c r="E1509" s="32">
        <x:v>968.88</x:v>
      </x:c>
      <x:c r="F1509" s="33">
        <x:v>4305390</x:v>
      </x:c>
      <x:c r="G1509" s="32" t="n">
        <x:f t="shared" si="60">AVERAGE(E1310:E1509)</x:f>
        <x:v>723.4347000000001</x:v>
      </x:c>
      <x:c r="H1509" s="37" t="n">
        <x:f t="shared" si="61">IFERROR(E1509/G1509-1,"")</x:f>
        <x:v>0.3392777537488869</x:v>
      </x:c>
      <x:c r="I1509" s="38" t="b">
        <x:f t="shared" si="62">E1509&lt;G1509</x:f>
        <x:v>0</x:v>
      </x:c>
    </x:row>
    <x:row r="1510">
      <x:c r="A1510" s="31">
        <x:v>39195</x:v>
      </x:c>
      <x:c r="B1510" s="32">
        <x:v>931.18</x:v>
      </x:c>
      <x:c r="C1510" s="32">
        <x:v>931.18</x:v>
      </x:c>
      <x:c r="D1510" s="32">
        <x:v>931.18</x:v>
      </x:c>
      <x:c r="E1510" s="32">
        <x:v>931.18</x:v>
      </x:c>
      <x:c r="F1510" s="33">
        <x:v>3412900</x:v>
      </x:c>
      <x:c r="G1510" s="32" t="n">
        <x:f t="shared" si="60">AVERAGE(E1311:E1510)</x:f>
        <x:v>725.5916000000002</x:v>
      </x:c>
      <x:c r="H1510" s="37" t="n">
        <x:f t="shared" si="61">IFERROR(E1510/G1510-1,"")</x:f>
        <x:v>0.2833390022706983</x:v>
      </x:c>
      <x:c r="I1510" s="38" t="b">
        <x:f t="shared" si="62">E1510&lt;G1510</x:f>
        <x:v>0</x:v>
      </x:c>
    </x:row>
    <x:row r="1511">
      <x:c r="A1511" s="31">
        <x:v>39196</x:v>
      </x:c>
      <x:c r="B1511" s="32">
        <x:v>905.53</x:v>
      </x:c>
      <x:c r="C1511" s="32">
        <x:v>905.53</x:v>
      </x:c>
      <x:c r="D1511" s="32">
        <x:v>905.53</x:v>
      </x:c>
      <x:c r="E1511" s="32">
        <x:v>905.53</x:v>
      </x:c>
      <x:c r="F1511" s="33">
        <x:v>4345970</x:v>
      </x:c>
      <x:c r="G1511" s="32" t="n">
        <x:f t="shared" si="60">AVERAGE(E1312:E1511)</x:f>
        <x:v>727.5929500000001</x:v>
      </x:c>
      <x:c r="H1511" s="37" t="n">
        <x:f t="shared" si="61">IFERROR(E1511/G1511-1,"")</x:f>
        <x:v>0.2445557643184968</x:v>
      </x:c>
      <x:c r="I1511" s="38" t="b">
        <x:f t="shared" si="62">E1511&lt;G1511</x:f>
        <x:v>0</x:v>
      </x:c>
    </x:row>
    <x:row r="1512">
      <x:c r="A1512" s="31">
        <x:v>39197</x:v>
      </x:c>
      <x:c r="B1512" s="32">
        <x:v>923.89</x:v>
      </x:c>
      <x:c r="C1512" s="32">
        <x:v>923.89</x:v>
      </x:c>
      <x:c r="D1512" s="32">
        <x:v>923.89</x:v>
      </x:c>
      <x:c r="E1512" s="32">
        <x:v>923.89</x:v>
      </x:c>
      <x:c r="F1512" s="33">
        <x:v>4410190</x:v>
      </x:c>
      <x:c r="G1512" s="32" t="n">
        <x:f t="shared" si="60">AVERAGE(E1313:E1512)</x:f>
        <x:v>729.6708500000002</x:v>
      </x:c>
      <x:c r="H1512" s="37" t="n">
        <x:f t="shared" si="61">IFERROR(E1512/G1512-1,"")</x:f>
        <x:v>0.2661736452812933</x:v>
      </x:c>
      <x:c r="I1512" s="38" t="b">
        <x:f t="shared" si="62">E1512&lt;G1512</x:f>
        <x:v>0</x:v>
      </x:c>
    </x:row>
    <x:row r="1513">
      <x:c r="A1513" s="31">
        <x:v>39204</x:v>
      </x:c>
      <x:c r="B1513" s="32">
        <x:v>935.48</x:v>
      </x:c>
      <x:c r="C1513" s="32">
        <x:v>935.48</x:v>
      </x:c>
      <x:c r="D1513" s="32">
        <x:v>935.48</x:v>
      </x:c>
      <x:c r="E1513" s="32">
        <x:v>935.48</x:v>
      </x:c>
      <x:c r="F1513" s="33">
        <x:v>3997310</x:v>
      </x:c>
      <x:c r="G1513" s="32" t="n">
        <x:f t="shared" si="60">AVERAGE(E1314:E1513)</x:f>
        <x:v>731.8233500000002</x:v>
      </x:c>
      <x:c r="H1513" s="37" t="n">
        <x:f t="shared" si="61">IFERROR(E1513/G1513-1,"")</x:f>
        <x:v>0.2782866247708544</x:v>
      </x:c>
      <x:c r="I1513" s="38" t="b">
        <x:f t="shared" si="62">E1513&lt;G1513</x:f>
        <x:v>0</x:v>
      </x:c>
    </x:row>
    <x:row r="1514">
      <x:c r="A1514" s="31">
        <x:v>39205</x:v>
      </x:c>
      <x:c r="B1514" s="32">
        <x:v>937.46</x:v>
      </x:c>
      <x:c r="C1514" s="32">
        <x:v>937.46</x:v>
      </x:c>
      <x:c r="D1514" s="32">
        <x:v>937.46</x:v>
      </x:c>
      <x:c r="E1514" s="32">
        <x:v>937.46</x:v>
      </x:c>
      <x:c r="F1514" s="33">
        <x:v>3204810</x:v>
      </x:c>
      <x:c r="G1514" s="32" t="n">
        <x:f t="shared" si="60">AVERAGE(E1315:E1514)</x:f>
        <x:v>733.9906500000001</x:v>
      </x:c>
      <x:c r="H1514" s="37" t="n">
        <x:f t="shared" si="61">IFERROR(E1514/G1514-1,"")</x:f>
        <x:v>0.27720973012394623</x:v>
      </x:c>
      <x:c r="I1514" s="38" t="b">
        <x:f t="shared" si="62">E1514&lt;G1514</x:f>
        <x:v>0</x:v>
      </x:c>
    </x:row>
    <x:row r="1515">
      <x:c r="A1515" s="31">
        <x:v>39206</x:v>
      </x:c>
      <x:c r="B1515" s="32">
        <x:v>947.19</x:v>
      </x:c>
      <x:c r="C1515" s="32">
        <x:v>947.19</x:v>
      </x:c>
      <x:c r="D1515" s="32">
        <x:v>947.19</x:v>
      </x:c>
      <x:c r="E1515" s="32">
        <x:v>947.19</x:v>
      </x:c>
      <x:c r="F1515" s="33">
        <x:v>2695500</x:v>
      </x:c>
      <x:c r="G1515" s="32" t="n">
        <x:f t="shared" si="60">AVERAGE(E1316:E1515)</x:f>
        <x:v>736.2162000000001</x:v>
      </x:c>
      <x:c r="H1515" s="37" t="n">
        <x:f t="shared" si="61">IFERROR(E1515/G1515-1,"")</x:f>
        <x:v>0.28656500631200443</x:v>
      </x:c>
      <x:c r="I1515" s="38" t="b">
        <x:f t="shared" si="62">E1515&lt;G1515</x:f>
        <x:v>0</x:v>
      </x:c>
    </x:row>
    <x:row r="1516">
      <x:c r="A1516" s="31">
        <x:v>39209</x:v>
      </x:c>
      <x:c r="B1516" s="32">
        <x:v>983.62</x:v>
      </x:c>
      <x:c r="C1516" s="32">
        <x:v>983.62</x:v>
      </x:c>
      <x:c r="D1516" s="32">
        <x:v>983.62</x:v>
      </x:c>
      <x:c r="E1516" s="32">
        <x:v>983.62</x:v>
      </x:c>
      <x:c r="F1516" s="33">
        <x:v>4465590</x:v>
      </x:c>
      <x:c r="G1516" s="32" t="n">
        <x:f t="shared" si="60">AVERAGE(E1317:E1516)</x:f>
        <x:v>738.5885499999999</x:v>
      </x:c>
      <x:c r="H1516" s="37" t="n">
        <x:f t="shared" si="61">IFERROR(E1516/G1516-1,"")</x:f>
        <x:v>0.33175636150871823</x:v>
      </x:c>
      <x:c r="I1516" s="38" t="b">
        <x:f t="shared" si="62">E1516&lt;G1516</x:f>
        <x:v>0</x:v>
      </x:c>
    </x:row>
    <x:row r="1517">
      <x:c r="A1517" s="31">
        <x:v>39210</x:v>
      </x:c>
      <x:c r="B1517" s="32">
        <x:v>1015.43</x:v>
      </x:c>
      <x:c r="C1517" s="32">
        <x:v>1015.43</x:v>
      </x:c>
      <x:c r="D1517" s="32">
        <x:v>1015.43</x:v>
      </x:c>
      <x:c r="E1517" s="32">
        <x:v>1015.43</x:v>
      </x:c>
      <x:c r="F1517" s="33">
        <x:v>5431280</x:v>
      </x:c>
      <x:c r="G1517" s="32" t="n">
        <x:f t="shared" si="60">AVERAGE(E1318:E1517)</x:f>
        <x:v>741.1351999999999</x:v>
      </x:c>
      <x:c r="H1517" s="37" t="n">
        <x:f t="shared" si="61">IFERROR(E1517/G1517-1,"")</x:f>
        <x:v>0.3701008938719954</x:v>
      </x:c>
      <x:c r="I1517" s="38" t="b">
        <x:f t="shared" si="62">E1517&lt;G1517</x:f>
        <x:v>0</x:v>
      </x:c>
    </x:row>
    <x:row r="1518">
      <x:c r="A1518" s="31">
        <x:v>39211</x:v>
      </x:c>
      <x:c r="B1518" s="32">
        <x:v>1019.96</x:v>
      </x:c>
      <x:c r="C1518" s="32">
        <x:v>1019.96</x:v>
      </x:c>
      <x:c r="D1518" s="32">
        <x:v>1019.96</x:v>
      </x:c>
      <x:c r="E1518" s="32">
        <x:v>1019.96</x:v>
      </x:c>
      <x:c r="F1518" s="33">
        <x:v>6030250</x:v>
      </x:c>
      <x:c r="G1518" s="32" t="n">
        <x:f t="shared" si="60">AVERAGE(E1319:E1518)</x:f>
        <x:v>743.7634499999999</x:v>
      </x:c>
      <x:c r="H1518" s="37" t="n">
        <x:f t="shared" si="61">IFERROR(E1518/G1518-1,"")</x:f>
        <x:v>0.37134999037664485</x:v>
      </x:c>
      <x:c r="I1518" s="38" t="b">
        <x:f t="shared" si="62">E1518&lt;G1518</x:f>
        <x:v>0</x:v>
      </x:c>
    </x:row>
    <x:row r="1519">
      <x:c r="A1519" s="31">
        <x:v>39212</x:v>
      </x:c>
      <x:c r="B1519" s="32">
        <x:v>1020.04</x:v>
      </x:c>
      <x:c r="C1519" s="32">
        <x:v>1020.04</x:v>
      </x:c>
      <x:c r="D1519" s="32">
        <x:v>1020.04</x:v>
      </x:c>
      <x:c r="E1519" s="32">
        <x:v>1020.04</x:v>
      </x:c>
      <x:c r="F1519" s="33">
        <x:v>3842610</x:v>
      </x:c>
      <x:c r="G1519" s="32" t="n">
        <x:f t="shared" si="60">AVERAGE(E1320:E1519)</x:f>
        <x:v>746.4429999999999</x:v>
      </x:c>
      <x:c r="H1519" s="37" t="n">
        <x:f t="shared" si="61">IFERROR(E1519/G1519-1,"")</x:f>
        <x:v>0.36653435024509595</x:v>
      </x:c>
      <x:c r="I1519" s="38" t="b">
        <x:f t="shared" si="62">E1519&lt;G1519</x:f>
        <x:v>0</x:v>
      </x:c>
    </x:row>
    <x:row r="1520">
      <x:c r="A1520" s="31">
        <x:v>39213</x:v>
      </x:c>
      <x:c r="B1520" s="32">
        <x:v>1039.6300000000001</x:v>
      </x:c>
      <x:c r="C1520" s="32">
        <x:v>1039.6300000000001</x:v>
      </x:c>
      <x:c r="D1520" s="32">
        <x:v>1039.6300000000001</x:v>
      </x:c>
      <x:c r="E1520" s="32">
        <x:v>1039.6300000000001</x:v>
      </x:c>
      <x:c r="F1520" s="33">
        <x:v>4251680</x:v>
      </x:c>
      <x:c r="G1520" s="32" t="n">
        <x:f t="shared" si="60">AVERAGE(E1321:E1520)</x:f>
        <x:v>749.3101999999999</x:v>
      </x:c>
      <x:c r="H1520" s="37" t="n">
        <x:f t="shared" si="61">IFERROR(E1520/G1520-1,"")</x:f>
        <x:v>0.387449416810288</x:v>
      </x:c>
      <x:c r="I1520" s="38" t="b">
        <x:f t="shared" si="62">E1520&lt;G1520</x:f>
        <x:v>0</x:v>
      </x:c>
    </x:row>
    <x:row r="1521">
      <x:c r="A1521" s="31">
        <x:v>39216</x:v>
      </x:c>
      <x:c r="B1521" s="32">
        <x:v>1066.04</x:v>
      </x:c>
      <x:c r="C1521" s="32">
        <x:v>1066.04</x:v>
      </x:c>
      <x:c r="D1521" s="32">
        <x:v>1066.04</x:v>
      </x:c>
      <x:c r="E1521" s="32">
        <x:v>1066.04</x:v>
      </x:c>
      <x:c r="F1521" s="33">
        <x:v>5233040</x:v>
      </x:c>
      <x:c r="G1521" s="32" t="n">
        <x:f t="shared" si="60">AVERAGE(E1322:E1521)</x:f>
        <x:v>752.2125499999999</x:v>
      </x:c>
      <x:c r="H1521" s="37" t="n">
        <x:f t="shared" si="61">IFERROR(E1521/G1521-1,"")</x:f>
        <x:v>0.4172058150319351</x:v>
      </x:c>
      <x:c r="I1521" s="38" t="b">
        <x:f t="shared" si="62">E1521&lt;G1521</x:f>
        <x:v>0</x:v>
      </x:c>
    </x:row>
    <x:row r="1522">
      <x:c r="A1522" s="31">
        <x:v>39217</x:v>
      </x:c>
      <x:c r="B1522" s="32">
        <x:v>1054.69</x:v>
      </x:c>
      <x:c r="C1522" s="32">
        <x:v>1054.69</x:v>
      </x:c>
      <x:c r="D1522" s="32">
        <x:v>1054.69</x:v>
      </x:c>
      <x:c r="E1522" s="32">
        <x:v>1054.69</x:v>
      </x:c>
      <x:c r="F1522" s="33">
        <x:v>5565560</x:v>
      </x:c>
      <x:c r="G1522" s="32" t="n">
        <x:f t="shared" si="60">AVERAGE(E1323:E1522)</x:f>
        <x:v>755.1217</x:v>
      </x:c>
      <x:c r="H1522" s="37" t="n">
        <x:f t="shared" si="61">IFERROR(E1522/G1522-1,"")</x:f>
        <x:v>0.3967152579511355</x:v>
      </x:c>
      <x:c r="I1522" s="38" t="b">
        <x:f t="shared" si="62">E1522&lt;G1522</x:f>
        <x:v>0</x:v>
      </x:c>
    </x:row>
    <x:row r="1523">
      <x:c r="A1523" s="31">
        <x:v>39218</x:v>
      </x:c>
      <x:c r="B1523" s="32">
        <x:v>1040.99</x:v>
      </x:c>
      <x:c r="C1523" s="32">
        <x:v>1040.99</x:v>
      </x:c>
      <x:c r="D1523" s="32">
        <x:v>1040.99</x:v>
      </x:c>
      <x:c r="E1523" s="32">
        <x:v>1040.99</x:v>
      </x:c>
      <x:c r="F1523" s="33">
        <x:v>4738670</x:v>
      </x:c>
      <x:c r="G1523" s="32" t="n">
        <x:f t="shared" si="60">AVERAGE(E1324:E1523)</x:f>
        <x:v>758.02325</x:v>
      </x:c>
      <x:c r="H1523" s="37" t="n">
        <x:f t="shared" si="61">IFERROR(E1523/G1523-1,"")</x:f>
        <x:v>0.37329560801730044</x:v>
      </x:c>
      <x:c r="I1523" s="38" t="b">
        <x:f t="shared" si="62">E1523&lt;G1523</x:f>
        <x:v>0</x:v>
      </x:c>
    </x:row>
    <x:row r="1524">
      <x:c r="A1524" s="31">
        <x:v>39219</x:v>
      </x:c>
      <x:c r="B1524" s="32">
        <x:v>1059.79</x:v>
      </x:c>
      <x:c r="C1524" s="32">
        <x:v>1059.79</x:v>
      </x:c>
      <x:c r="D1524" s="32">
        <x:v>1059.79</x:v>
      </x:c>
      <x:c r="E1524" s="32">
        <x:v>1059.79</x:v>
      </x:c>
      <x:c r="F1524" s="33">
        <x:v>4965380</x:v>
      </x:c>
      <x:c r="G1524" s="32" t="n">
        <x:f t="shared" si="60">AVERAGE(E1325:E1524)</x:f>
        <x:v>761.1239</x:v>
      </x:c>
      <x:c r="H1524" s="37" t="n">
        <x:f t="shared" si="61">IFERROR(E1524/G1524-1,"")</x:f>
        <x:v>0.3924014211089677</x:v>
      </x:c>
      <x:c r="I1524" s="38" t="b">
        <x:f t="shared" si="62">E1524&lt;G1524</x:f>
        <x:v>0</x:v>
      </x:c>
    </x:row>
    <x:row r="1525">
      <x:c r="A1525" s="31">
        <x:v>39220</x:v>
      </x:c>
      <x:c r="B1525" s="32">
        <x:v>1066.56</x:v>
      </x:c>
      <x:c r="C1525" s="32">
        <x:v>1066.56</x:v>
      </x:c>
      <x:c r="D1525" s="32">
        <x:v>1066.56</x:v>
      </x:c>
      <x:c r="E1525" s="32">
        <x:v>1066.56</x:v>
      </x:c>
      <x:c r="F1525" s="33">
        <x:v>5430620</x:v>
      </x:c>
      <x:c r="G1525" s="32" t="n">
        <x:f t="shared" si="60">AVERAGE(E1326:E1525)</x:f>
        <x:v>764.2855000000001</x:v>
      </x:c>
      <x:c r="H1525" s="37" t="n">
        <x:f t="shared" si="61">IFERROR(E1525/G1525-1,"")</x:f>
        <x:v>0.3954994566820904</x:v>
      </x:c>
      <x:c r="I1525" s="38" t="b">
        <x:f t="shared" si="62">E1525&lt;G1525</x:f>
        <x:v>0</x:v>
      </x:c>
    </x:row>
    <x:row r="1526">
      <x:c r="A1526" s="31">
        <x:v>39223</x:v>
      </x:c>
      <x:c r="B1526" s="32">
        <x:v>1085.4100000000001</x:v>
      </x:c>
      <x:c r="C1526" s="32">
        <x:v>1085.4100000000001</x:v>
      </x:c>
      <x:c r="D1526" s="32">
        <x:v>1085.4100000000001</x:v>
      </x:c>
      <x:c r="E1526" s="32">
        <x:v>1085.4100000000001</x:v>
      </x:c>
      <x:c r="F1526" s="33">
        <x:v>5458280</x:v>
      </x:c>
      <x:c r="G1526" s="32" t="n">
        <x:f t="shared" si="60">AVERAGE(E1327:E1526)</x:f>
        <x:v>767.5061999999999</x:v>
      </x:c>
      <x:c r="H1526" s="37" t="n">
        <x:f t="shared" si="61">IFERROR(E1526/G1526-1,"")</x:f>
        <x:v>0.41420355952824894</x:v>
      </x:c>
      <x:c r="I1526" s="38" t="b">
        <x:f t="shared" si="62">E1526&lt;G1526</x:f>
        <x:v>0</x:v>
      </x:c>
    </x:row>
    <x:row r="1527">
      <x:c r="A1527" s="31">
        <x:v>39224</x:v>
      </x:c>
      <x:c r="B1527" s="32">
        <x:v>1107.52</x:v>
      </x:c>
      <x:c r="C1527" s="32">
        <x:v>1107.52</x:v>
      </x:c>
      <x:c r="D1527" s="32">
        <x:v>1107.52</x:v>
      </x:c>
      <x:c r="E1527" s="32">
        <x:v>1107.52</x:v>
      </x:c>
      <x:c r="F1527" s="33">
        <x:v>7138500</x:v>
      </x:c>
      <x:c r="G1527" s="32" t="n">
        <x:f t="shared" si="60">AVERAGE(E1328:E1527)</x:f>
        <x:v>770.84595</x:v>
      </x:c>
      <x:c r="H1527" s="37" t="n">
        <x:f t="shared" si="61">IFERROR(E1527/G1527-1,"")</x:f>
        <x:v>0.43675918644964007</x:v>
      </x:c>
      <x:c r="I1527" s="38" t="b">
        <x:f t="shared" si="62">E1527&lt;G1527</x:f>
        <x:v>0</x:v>
      </x:c>
    </x:row>
    <x:row r="1528">
      <x:c r="A1528" s="31">
        <x:v>39225</x:v>
      </x:c>
      <x:c r="B1528" s="32">
        <x:v>1113.19</x:v>
      </x:c>
      <x:c r="C1528" s="32">
        <x:v>1113.19</x:v>
      </x:c>
      <x:c r="D1528" s="32">
        <x:v>1113.19</x:v>
      </x:c>
      <x:c r="E1528" s="32">
        <x:v>1113.19</x:v>
      </x:c>
      <x:c r="F1528" s="33">
        <x:v>8006120</x:v>
      </x:c>
      <x:c r="G1528" s="32" t="n">
        <x:f t="shared" si="60">AVERAGE(E1329:E1528)</x:f>
        <x:v>774.29985</x:v>
      </x:c>
      <x:c r="H1528" s="37" t="n">
        <x:f t="shared" si="61">IFERROR(E1528/G1528-1,"")</x:f>
        <x:v>0.4376730151762267</x:v>
      </x:c>
      <x:c r="I1528" s="38" t="b">
        <x:f t="shared" si="62">E1528&lt;G1528</x:f>
        <x:v>0</x:v>
      </x:c>
    </x:row>
    <x:row r="1529">
      <x:c r="A1529" s="31">
        <x:v>39226</x:v>
      </x:c>
      <x:c r="B1529" s="32">
        <x:v>1085.3</x:v>
      </x:c>
      <x:c r="C1529" s="32">
        <x:v>1085.3</x:v>
      </x:c>
      <x:c r="D1529" s="32">
        <x:v>1085.3</x:v>
      </x:c>
      <x:c r="E1529" s="32">
        <x:v>1085.3</x:v>
      </x:c>
      <x:c r="F1529" s="33">
        <x:v>5775610</x:v>
      </x:c>
      <x:c r="G1529" s="32" t="n">
        <x:f t="shared" si="60">AVERAGE(E1330:E1529)</x:f>
        <x:v>777.702</x:v>
      </x:c>
      <x:c r="H1529" s="37" t="n">
        <x:f t="shared" si="61">IFERROR(E1529/G1529-1,"")</x:f>
        <x:v>0.39552167796919635</x:v>
      </x:c>
      <x:c r="I1529" s="38" t="b">
        <x:f t="shared" si="62">E1529&lt;G1529</x:f>
        <x:v>0</x:v>
      </x:c>
    </x:row>
    <x:row r="1530">
      <x:c r="A1530" s="31">
        <x:v>39227</x:v>
      </x:c>
      <x:c r="B1530" s="32">
        <x:v>1089.5999999999999</x:v>
      </x:c>
      <x:c r="C1530" s="32">
        <x:v>1089.5999999999999</x:v>
      </x:c>
      <x:c r="D1530" s="32">
        <x:v>1089.5999999999999</x:v>
      </x:c>
      <x:c r="E1530" s="32">
        <x:v>1089.5999999999999</x:v>
      </x:c>
      <x:c r="F1530" s="33">
        <x:v>5820630</x:v>
      </x:c>
      <x:c r="G1530" s="32" t="n">
        <x:f t="shared" si="60">AVERAGE(E1331:E1530)</x:f>
        <x:v>781.151</x:v>
      </x:c>
      <x:c r="H1530" s="37" t="n">
        <x:f t="shared" si="61">IFERROR(E1530/G1530-1,"")</x:f>
        <x:v>0.3948647572620403</x:v>
      </x:c>
      <x:c r="I1530" s="38" t="b">
        <x:f t="shared" si="62">E1530&lt;G1530</x:f>
        <x:v>0</x:v>
      </x:c>
    </x:row>
    <x:row r="1531">
      <x:c r="A1531" s="31">
        <x:v>39230</x:v>
      </x:c>
      <x:c r="B1531" s="32">
        <x:v>1098.6400000000001</x:v>
      </x:c>
      <x:c r="C1531" s="32">
        <x:v>1098.6400000000001</x:v>
      </x:c>
      <x:c r="D1531" s="32">
        <x:v>1098.6400000000001</x:v>
      </x:c>
      <x:c r="E1531" s="32">
        <x:v>1098.6400000000001</x:v>
      </x:c>
      <x:c r="F1531" s="33">
        <x:v>5650020</x:v>
      </x:c>
      <x:c r="G1531" s="32" t="n">
        <x:f t="shared" si="60">AVERAGE(E1332:E1531)</x:f>
        <x:v>784.5555499999999</x:v>
      </x:c>
      <x:c r="H1531" s="37" t="n">
        <x:f t="shared" si="61">IFERROR(E1531/G1531-1,"")</x:f>
        <x:v>0.4003342401949743</x:v>
      </x:c>
      <x:c r="I1531" s="38" t="b">
        <x:f t="shared" si="62">E1531&lt;G1531</x:f>
        <x:v>0</x:v>
      </x:c>
    </x:row>
    <x:row r="1532">
      <x:c r="A1532" s="31">
        <x:v>39231</x:v>
      </x:c>
      <x:c r="B1532" s="32">
        <x:v>1093.77</x:v>
      </x:c>
      <x:c r="C1532" s="32">
        <x:v>1093.77</x:v>
      </x:c>
      <x:c r="D1532" s="32">
        <x:v>1093.77</x:v>
      </x:c>
      <x:c r="E1532" s="32">
        <x:v>1093.77</x:v>
      </x:c>
      <x:c r="F1532" s="33">
        <x:v>5961530</x:v>
      </x:c>
      <x:c r="G1532" s="32" t="n">
        <x:f t="shared" si="60">AVERAGE(E1333:E1532)</x:f>
        <x:v>787.8469</x:v>
      </x:c>
      <x:c r="H1532" s="37" t="n">
        <x:f t="shared" si="61">IFERROR(E1532/G1532-1,"")</x:f>
        <x:v>0.3883027273446147</x:v>
      </x:c>
      <x:c r="I1532" s="38" t="b">
        <x:f t="shared" si="62">E1532&lt;G1532</x:f>
        <x:v>0</x:v>
      </x:c>
    </x:row>
    <x:row r="1533">
      <x:c r="A1533" s="31">
        <x:v>39232</x:v>
      </x:c>
      <x:c r="B1533" s="32">
        <x:v>1077.8800000000001</x:v>
      </x:c>
      <x:c r="C1533" s="32">
        <x:v>1077.8800000000001</x:v>
      </x:c>
      <x:c r="D1533" s="32">
        <x:v>1077.8800000000001</x:v>
      </x:c>
      <x:c r="E1533" s="32">
        <x:v>1077.8800000000001</x:v>
      </x:c>
      <x:c r="F1533" s="33">
        <x:v>4697360</x:v>
      </x:c>
      <x:c r="G1533" s="32" t="n">
        <x:f t="shared" si="60">AVERAGE(E1334:E1533)</x:f>
        <x:v>791.1188500000001</x:v>
      </x:c>
      <x:c r="H1533" s="37" t="n">
        <x:f t="shared" si="61">IFERROR(E1533/G1533-1,"")</x:f>
        <x:v>0.3624754358968947</x:v>
      </x:c>
      <x:c r="I1533" s="38" t="b">
        <x:f t="shared" si="62">E1533&lt;G1533</x:f>
        <x:v>0</x:v>
      </x:c>
    </x:row>
    <x:row r="1534">
      <x:c r="A1534" s="31">
        <x:v>39233</x:v>
      </x:c>
      <x:c r="B1534" s="32">
        <x:v>1081.48</x:v>
      </x:c>
      <x:c r="C1534" s="32">
        <x:v>1081.48</x:v>
      </x:c>
      <x:c r="D1534" s="32">
        <x:v>1081.48</x:v>
      </x:c>
      <x:c r="E1534" s="32">
        <x:v>1081.48</x:v>
      </x:c>
      <x:c r="F1534" s="33">
        <x:v>5168490</x:v>
      </x:c>
      <x:c r="G1534" s="32" t="n">
        <x:f t="shared" si="60">AVERAGE(E1335:E1534)</x:f>
        <x:v>794.3592500000002</x:v>
      </x:c>
      <x:c r="H1534" s="37" t="n">
        <x:f t="shared" si="61">IFERROR(E1534/G1534-1,"")</x:f>
        <x:v>0.36144949530077186</x:v>
      </x:c>
      <x:c r="I1534" s="38" t="b">
        <x:f t="shared" si="62">E1534&lt;G1534</x:f>
        <x:v>0</x:v>
      </x:c>
    </x:row>
    <x:row r="1535">
      <x:c r="A1535" s="31">
        <x:v>39234</x:v>
      </x:c>
      <x:c r="B1535" s="32">
        <x:v>1077.3599999999999</x:v>
      </x:c>
      <x:c r="C1535" s="32">
        <x:v>1077.3599999999999</x:v>
      </x:c>
      <x:c r="D1535" s="32">
        <x:v>1077.3599999999999</x:v>
      </x:c>
      <x:c r="E1535" s="32">
        <x:v>1077.3599999999999</x:v>
      </x:c>
      <x:c r="F1535" s="33">
        <x:v>5187070</x:v>
      </x:c>
      <x:c r="G1535" s="32" t="n">
        <x:f t="shared" si="60">AVERAGE(E1336:E1535)</x:f>
        <x:v>797.5948000000001</x:v>
      </x:c>
      <x:c r="H1535" s="37" t="n">
        <x:f t="shared" si="61">IFERROR(E1535/G1535-1,"")</x:f>
        <x:v>0.35076106313631916</x:v>
      </x:c>
      <x:c r="I1535" s="38" t="b">
        <x:f t="shared" si="62">E1535&lt;G1535</x:f>
        <x:v>0</x:v>
      </x:c>
    </x:row>
    <x:row r="1536">
      <x:c r="A1536" s="31">
        <x:v>39237</x:v>
      </x:c>
      <x:c r="B1536" s="32">
        <x:v>1062.0999999999999</x:v>
      </x:c>
      <x:c r="C1536" s="32">
        <x:v>1062.0999999999999</x:v>
      </x:c>
      <x:c r="D1536" s="32">
        <x:v>1062.0999999999999</x:v>
      </x:c>
      <x:c r="E1536" s="32">
        <x:v>1062.0999999999999</x:v>
      </x:c>
      <x:c r="F1536" s="33">
        <x:v>4764980</x:v>
      </x:c>
      <x:c r="G1536" s="32" t="n">
        <x:f t="shared" si="60">AVERAGE(E1337:E1536)</x:f>
        <x:v>800.7433000000002</x:v>
      </x:c>
      <x:c r="H1536" s="37" t="n">
        <x:f t="shared" si="61">IFERROR(E1536/G1536-1,"")</x:f>
        <x:v>0.32639261546115916</x:v>
      </x:c>
      <x:c r="I1536" s="38" t="b">
        <x:f t="shared" si="62">E1536&lt;G1536</x:f>
        <x:v>0</x:v>
      </x:c>
    </x:row>
    <x:row r="1537">
      <x:c r="A1537" s="31">
        <x:v>39238</x:v>
      </x:c>
      <x:c r="B1537" s="32">
        <x:v>1039.6600000000001</x:v>
      </x:c>
      <x:c r="C1537" s="32">
        <x:v>1039.6600000000001</x:v>
      </x:c>
      <x:c r="D1537" s="32">
        <x:v>1039.6600000000001</x:v>
      </x:c>
      <x:c r="E1537" s="32">
        <x:v>1039.6600000000001</x:v>
      </x:c>
      <x:c r="F1537" s="33">
        <x:v>5462140</x:v>
      </x:c>
      <x:c r="G1537" s="32" t="n">
        <x:f t="shared" si="60">AVERAGE(E1338:E1537)</x:f>
        <x:v>803.7243500000001</x:v>
      </x:c>
      <x:c r="H1537" s="37" t="n">
        <x:f t="shared" si="61">IFERROR(E1537/G1537-1,"")</x:f>
        <x:v>0.2935529451110943</x:v>
      </x:c>
      <x:c r="I1537" s="38" t="b">
        <x:f t="shared" si="62">E1537&lt;G1537</x:f>
        <x:v>0</x:v>
      </x:c>
    </x:row>
    <x:row r="1538">
      <x:c r="A1538" s="31">
        <x:v>39239</x:v>
      </x:c>
      <x:c r="B1538" s="32">
        <x:v>1045.29</x:v>
      </x:c>
      <x:c r="C1538" s="32">
        <x:v>1045.29</x:v>
      </x:c>
      <x:c r="D1538" s="32">
        <x:v>1045.29</x:v>
      </x:c>
      <x:c r="E1538" s="32">
        <x:v>1045.29</x:v>
      </x:c>
      <x:c r="F1538" s="33">
        <x:v>6158370</x:v>
      </x:c>
      <x:c r="G1538" s="32" t="n">
        <x:f t="shared" si="60">AVERAGE(E1339:E1538)</x:f>
        <x:v>806.62805</x:v>
      </x:c>
      <x:c r="H1538" s="37" t="n">
        <x:f t="shared" si="61">IFERROR(E1538/G1538-1,"")</x:f>
        <x:v>0.29587608563823187</x:v>
      </x:c>
      <x:c r="I1538" s="38" t="b">
        <x:f t="shared" si="62">E1538&lt;G1538</x:f>
        <x:v>0</x:v>
      </x:c>
    </x:row>
    <x:row r="1539">
      <x:c r="A1539" s="31">
        <x:v>39240</x:v>
      </x:c>
      <x:c r="B1539" s="32">
        <x:v>1060.02</x:v>
      </x:c>
      <x:c r="C1539" s="32">
        <x:v>1060.02</x:v>
      </x:c>
      <x:c r="D1539" s="32">
        <x:v>1060.02</x:v>
      </x:c>
      <x:c r="E1539" s="32">
        <x:v>1060.02</x:v>
      </x:c>
      <x:c r="F1539" s="33">
        <x:v>4865430</x:v>
      </x:c>
      <x:c r="G1539" s="32" t="n">
        <x:f t="shared" si="60">AVERAGE(E1340:E1539)</x:f>
        <x:v>809.6264500000002</x:v>
      </x:c>
      <x:c r="H1539" s="37" t="n">
        <x:f t="shared" si="61">IFERROR(E1539/G1539-1,"")</x:f>
        <x:v>0.30927046664545066</x:v>
      </x:c>
      <x:c r="I1539" s="38" t="b">
        <x:f t="shared" si="62">E1539&lt;G1539</x:f>
        <x:v>0</x:v>
      </x:c>
    </x:row>
    <x:row r="1540">
      <x:c r="A1540" s="31">
        <x:v>39241</x:v>
      </x:c>
      <x:c r="B1540" s="32">
        <x:v>1057.3599999999999</x:v>
      </x:c>
      <x:c r="C1540" s="32">
        <x:v>1057.3599999999999</x:v>
      </x:c>
      <x:c r="D1540" s="32">
        <x:v>1057.3599999999999</x:v>
      </x:c>
      <x:c r="E1540" s="32">
        <x:v>1057.3599999999999</x:v>
      </x:c>
      <x:c r="F1540" s="33">
        <x:v>7527410</x:v>
      </x:c>
      <x:c r="G1540" s="32" t="n">
        <x:f t="shared" si="60">AVERAGE(E1341:E1540)</x:f>
        <x:v>812.53205</x:v>
      </x:c>
      <x:c r="H1540" s="37" t="n">
        <x:f t="shared" si="61">IFERROR(E1540/G1540-1,"")</x:f>
        <x:v>0.3013148219814836</x:v>
      </x:c>
      <x:c r="I1540" s="38" t="b">
        <x:f t="shared" si="62">E1540&lt;G1540</x:f>
        <x:v>0</x:v>
      </x:c>
    </x:row>
    <x:row r="1541">
      <x:c r="A1541" s="31">
        <x:v>39244</x:v>
      </x:c>
      <x:c r="B1541" s="32">
        <x:v>1040.75</x:v>
      </x:c>
      <x:c r="C1541" s="32">
        <x:v>1040.75</x:v>
      </x:c>
      <x:c r="D1541" s="32">
        <x:v>1040.75</x:v>
      </x:c>
      <x:c r="E1541" s="32">
        <x:v>1040.75</x:v>
      </x:c>
      <x:c r="F1541" s="33">
        <x:v>4957650</x:v>
      </x:c>
      <x:c r="G1541" s="32" t="n">
        <x:f t="shared" si="60">AVERAGE(E1342:E1541)</x:f>
        <x:v>815.3192000000001</x:v>
      </x:c>
      <x:c r="H1541" s="37" t="n">
        <x:f t="shared" si="61">IFERROR(E1541/G1541-1,"")</x:f>
        <x:v>0.2764939179648902</x:v>
      </x:c>
      <x:c r="I1541" s="38" t="b">
        <x:f t="shared" si="62">E1541&lt;G1541</x:f>
        <x:v>0</x:v>
      </x:c>
    </x:row>
    <x:row r="1542">
      <x:c r="A1542" s="31">
        <x:v>39245</x:v>
      </x:c>
      <x:c r="B1542" s="32">
        <x:v>1036.54</x:v>
      </x:c>
      <x:c r="C1542" s="32">
        <x:v>1036.54</x:v>
      </x:c>
      <x:c r="D1542" s="32">
        <x:v>1036.54</x:v>
      </x:c>
      <x:c r="E1542" s="32">
        <x:v>1036.54</x:v>
      </x:c>
      <x:c r="F1542" s="33">
        <x:v>5085160</x:v>
      </x:c>
      <x:c r="G1542" s="32" t="n">
        <x:f t="shared" si="60">AVERAGE(E1343:E1542)</x:f>
        <x:v>818.0903500000001</x:v>
      </x:c>
      <x:c r="H1542" s="37" t="n">
        <x:f t="shared" si="61">IFERROR(E1542/G1542-1,"")</x:f>
        <x:v>0.26702386845169346</x:v>
      </x:c>
      <x:c r="I1542" s="38" t="b">
        <x:f t="shared" si="62">E1542&lt;G1542</x:f>
        <x:v>0</x:v>
      </x:c>
    </x:row>
    <x:row r="1543">
      <x:c r="A1543" s="31">
        <x:v>39246</x:v>
      </x:c>
      <x:c r="B1543" s="32">
        <x:v>1038.8</x:v>
      </x:c>
      <x:c r="C1543" s="32">
        <x:v>1038.8</x:v>
      </x:c>
      <x:c r="D1543" s="32">
        <x:v>1038.8</x:v>
      </x:c>
      <x:c r="E1543" s="32">
        <x:v>1038.8</x:v>
      </x:c>
      <x:c r="F1543" s="33">
        <x:v>5546620</x:v>
      </x:c>
      <x:c r="G1543" s="32" t="n">
        <x:f t="shared" si="60">AVERAGE(E1344:E1543)</x:f>
        <x:v>820.8734</x:v>
      </x:c>
      <x:c r="H1543" s="37" t="n">
        <x:f t="shared" si="61">IFERROR(E1543/G1543-1,"")</x:f>
        <x:v>0.2654813762999264</x:v>
      </x:c>
      <x:c r="I1543" s="38" t="b">
        <x:f t="shared" si="62">E1543&lt;G1543</x:f>
        <x:v>0</x:v>
      </x:c>
    </x:row>
    <x:row r="1544">
      <x:c r="A1544" s="31">
        <x:v>39247</x:v>
      </x:c>
      <x:c r="B1544" s="32">
        <x:v>1042.79</x:v>
      </x:c>
      <x:c r="C1544" s="32">
        <x:v>1042.79</x:v>
      </x:c>
      <x:c r="D1544" s="32">
        <x:v>1042.79</x:v>
      </x:c>
      <x:c r="E1544" s="32">
        <x:v>1042.79</x:v>
      </x:c>
      <x:c r="F1544" s="33">
        <x:v>5896260</x:v>
      </x:c>
      <x:c r="G1544" s="32" t="n">
        <x:f t="shared" si="60">AVERAGE(E1345:E1544)</x:f>
        <x:v>823.73675</x:v>
      </x:c>
      <x:c r="H1544" s="37" t="n">
        <x:f t="shared" si="61">IFERROR(E1544/G1544-1,"")</x:f>
        <x:v>0.2659262804530693</x:v>
      </x:c>
      <x:c r="I1544" s="38" t="b">
        <x:f t="shared" si="62">E1544&lt;G1544</x:f>
        <x:v>0</x:v>
      </x:c>
    </x:row>
    <x:row r="1545">
      <x:c r="A1545" s="31">
        <x:v>39248</x:v>
      </x:c>
      <x:c r="B1545" s="32">
        <x:v>1048.19</x:v>
      </x:c>
      <x:c r="C1545" s="32">
        <x:v>1048.19</x:v>
      </x:c>
      <x:c r="D1545" s="32">
        <x:v>1048.19</x:v>
      </x:c>
      <x:c r="E1545" s="32">
        <x:v>1048.19</x:v>
      </x:c>
      <x:c r="F1545" s="33">
        <x:v>5318510</x:v>
      </x:c>
      <x:c r="G1545" s="32" t="n">
        <x:f t="shared" si="60">AVERAGE(E1346:E1545)</x:f>
        <x:v>826.58575</x:v>
      </x:c>
      <x:c r="H1545" s="37" t="n">
        <x:f t="shared" si="61">IFERROR(E1545/G1545-1,"")</x:f>
        <x:v>0.268095899306273</x:v>
      </x:c>
      <x:c r="I1545" s="38" t="b">
        <x:f t="shared" si="62">E1545&lt;G1545</x:f>
        <x:v>0</x:v>
      </x:c>
    </x:row>
    <x:row r="1546">
      <x:c r="A1546" s="31">
        <x:v>39251</x:v>
      </x:c>
      <x:c r="B1546" s="32">
        <x:v>1043.99</x:v>
      </x:c>
      <x:c r="C1546" s="32">
        <x:v>1043.99</x:v>
      </x:c>
      <x:c r="D1546" s="32">
        <x:v>1043.99</x:v>
      </x:c>
      <x:c r="E1546" s="32">
        <x:v>1043.99</x:v>
      </x:c>
      <x:c r="F1546" s="33">
        <x:v>5665300</x:v>
      </x:c>
      <x:c r="G1546" s="32" t="n">
        <x:f t="shared" si="60">AVERAGE(E1347:E1546)</x:f>
        <x:v>829.41055</x:v>
      </x:c>
      <x:c r="H1546" s="37" t="n">
        <x:f t="shared" si="61">IFERROR(E1546/G1546-1,"")</x:f>
        <x:v>0.2587131909522975</x:v>
      </x:c>
      <x:c r="I1546" s="38" t="b">
        <x:f t="shared" si="62">E1546&lt;G1546</x:f>
        <x:v>0</x:v>
      </x:c>
    </x:row>
    <x:row r="1547">
      <x:c r="A1547" s="31">
        <x:v>39252</x:v>
      </x:c>
      <x:c r="B1547" s="32">
        <x:v>1049.58</x:v>
      </x:c>
      <x:c r="C1547" s="32">
        <x:v>1049.58</x:v>
      </x:c>
      <x:c r="D1547" s="32">
        <x:v>1049.58</x:v>
      </x:c>
      <x:c r="E1547" s="32">
        <x:v>1049.58</x:v>
      </x:c>
      <x:c r="F1547" s="33">
        <x:v>6054960</x:v>
      </x:c>
      <x:c r="G1547" s="32" t="n">
        <x:f t="shared" si="60">AVERAGE(E1348:E1547)</x:f>
        <x:v>832.2712999999999</x:v>
      </x:c>
      <x:c r="H1547" s="37" t="n">
        <x:f t="shared" si="61">IFERROR(E1547/G1547-1,"")</x:f>
        <x:v>0.2611032003626703</x:v>
      </x:c>
      <x:c r="I1547" s="38" t="b">
        <x:f t="shared" si="62">E1547&lt;G1547</x:f>
        <x:v>0</x:v>
      </x:c>
    </x:row>
    <x:row r="1548">
      <x:c r="A1548" s="31">
        <x:v>39253</x:v>
      </x:c>
      <x:c r="B1548" s="32">
        <x:v>1045.28</x:v>
      </x:c>
      <x:c r="C1548" s="32">
        <x:v>1045.28</x:v>
      </x:c>
      <x:c r="D1548" s="32">
        <x:v>1045.28</x:v>
      </x:c>
      <x:c r="E1548" s="32">
        <x:v>1045.28</x:v>
      </x:c>
      <x:c r="F1548" s="33">
        <x:v>6392950</x:v>
      </x:c>
      <x:c r="G1548" s="32" t="n">
        <x:f t="shared" si="60">AVERAGE(E1349:E1548)</x:f>
        <x:v>835.0823999999999</x:v>
      </x:c>
      <x:c r="H1548" s="37" t="n">
        <x:f t="shared" si="61">IFERROR(E1548/G1548-1,"")</x:f>
        <x:v>0.25170881340571905</x:v>
      </x:c>
      <x:c r="I1548" s="38" t="b">
        <x:f t="shared" si="62">E1548&lt;G1548</x:f>
        <x:v>0</x:v>
      </x:c>
    </x:row>
    <x:row r="1549">
      <x:c r="A1549" s="31">
        <x:v>39254</x:v>
      </x:c>
      <x:c r="B1549" s="32">
        <x:v>1034.43</x:v>
      </x:c>
      <x:c r="C1549" s="32">
        <x:v>1034.43</x:v>
      </x:c>
      <x:c r="D1549" s="32">
        <x:v>1034.43</x:v>
      </x:c>
      <x:c r="E1549" s="32">
        <x:v>1034.43</x:v>
      </x:c>
      <x:c r="F1549" s="33">
        <x:v>5177010</x:v>
      </x:c>
      <x:c r="G1549" s="32" t="n">
        <x:f t="shared" ref="G1549:G1612" si="63">AVERAGE(E1350:E1549)</x:f>
        <x:v>837.8113999999998</x:v>
      </x:c>
      <x:c r="H1549" s="37" t="n">
        <x:f t="shared" ref="H1549:H1612" si="64">IFERROR(E1549/G1549-1,"")</x:f>
        <x:v>0.23468121823121568</x:v>
      </x:c>
      <x:c r="I1549" s="38" t="b">
        <x:f t="shared" ref="I1549:I1612" si="65">E1549&lt;G1549</x:f>
        <x:v>0</x:v>
      </x:c>
    </x:row>
    <x:row r="1550">
      <x:c r="A1550" s="31">
        <x:v>39255</x:v>
      </x:c>
      <x:c r="B1550" s="32">
        <x:v>1033.69</x:v>
      </x:c>
      <x:c r="C1550" s="32">
        <x:v>1033.69</x:v>
      </x:c>
      <x:c r="D1550" s="32">
        <x:v>1033.69</x:v>
      </x:c>
      <x:c r="E1550" s="32">
        <x:v>1033.69</x:v>
      </x:c>
      <x:c r="F1550" s="33">
        <x:v>5305310</x:v>
      </x:c>
      <x:c r="G1550" s="32" t="n">
        <x:f t="shared" si="63">AVERAGE(E1351:E1550)</x:f>
        <x:v>840.5159999999997</x:v>
      </x:c>
      <x:c r="H1550" s="37" t="n">
        <x:f t="shared" si="64">IFERROR(E1550/G1550-1,"")</x:f>
        <x:v>0.22982786764321017</x:v>
      </x:c>
      <x:c r="I1550" s="38" t="b">
        <x:f t="shared" si="65">E1550&lt;G1550</x:f>
        <x:v>0</x:v>
      </x:c>
    </x:row>
    <x:row r="1551">
      <x:c r="A1551" s="31">
        <x:v>39258</x:v>
      </x:c>
      <x:c r="B1551" s="32">
        <x:v>1044.3900000000001</x:v>
      </x:c>
      <x:c r="C1551" s="32">
        <x:v>1044.3900000000001</x:v>
      </x:c>
      <x:c r="D1551" s="32">
        <x:v>1044.3900000000001</x:v>
      </x:c>
      <x:c r="E1551" s="32">
        <x:v>1044.3900000000001</x:v>
      </x:c>
      <x:c r="F1551" s="33">
        <x:v>4397100</x:v>
      </x:c>
      <x:c r="G1551" s="32" t="n">
        <x:f t="shared" si="63">AVERAGE(E1352:E1551)</x:f>
        <x:v>843.2820499999999</x:v>
      </x:c>
      <x:c r="H1551" s="37" t="n">
        <x:f t="shared" si="64">IFERROR(E1551/G1551-1,"")</x:f>
        <x:v>0.23848242708356016</x:v>
      </x:c>
      <x:c r="I1551" s="38" t="b">
        <x:f t="shared" si="65">E1551&lt;G1551</x:f>
        <x:v>0</x:v>
      </x:c>
    </x:row>
    <x:row r="1552">
      <x:c r="A1552" s="31">
        <x:v>39259</x:v>
      </x:c>
      <x:c r="B1552" s="32">
        <x:v>1055.7</x:v>
      </x:c>
      <x:c r="C1552" s="32">
        <x:v>1055.7</x:v>
      </x:c>
      <x:c r="D1552" s="32">
        <x:v>1055.7</x:v>
      </x:c>
      <x:c r="E1552" s="32">
        <x:v>1055.7</x:v>
      </x:c>
      <x:c r="F1552" s="33">
        <x:v>4983050</x:v>
      </x:c>
      <x:c r="G1552" s="32" t="n">
        <x:f t="shared" si="63">AVERAGE(E1353:E1552)</x:f>
        <x:v>846.0695</x:v>
      </x:c>
      <x:c r="H1552" s="37" t="n">
        <x:f t="shared" si="64">IFERROR(E1552/G1552-1,"")</x:f>
        <x:v>0.24776983451123114</x:v>
      </x:c>
      <x:c r="I1552" s="38" t="b">
        <x:f t="shared" si="65">E1552&lt;G1552</x:f>
        <x:v>0</x:v>
      </x:c>
    </x:row>
    <x:row r="1553">
      <x:c r="A1553" s="31">
        <x:v>39260</x:v>
      </x:c>
      <x:c r="B1553" s="32">
        <x:v>1032.96</x:v>
      </x:c>
      <x:c r="C1553" s="32">
        <x:v>1032.96</x:v>
      </x:c>
      <x:c r="D1553" s="32">
        <x:v>1032.96</x:v>
      </x:c>
      <x:c r="E1553" s="32">
        <x:v>1032.96</x:v>
      </x:c>
      <x:c r="F1553" s="33">
        <x:v>4316970</x:v>
      </x:c>
      <x:c r="G1553" s="32" t="n">
        <x:f t="shared" si="63">AVERAGE(E1354:E1553)</x:f>
        <x:v>848.656</x:v>
      </x:c>
      <x:c r="H1553" s="37" t="n">
        <x:f t="shared" si="64">IFERROR(E1553/G1553-1,"")</x:f>
        <x:v>0.21717162195282902</x:v>
      </x:c>
      <x:c r="I1553" s="38" t="b">
        <x:f t="shared" si="65">E1553&lt;G1553</x:f>
        <x:v>0</x:v>
      </x:c>
    </x:row>
    <x:row r="1554">
      <x:c r="A1554" s="31">
        <x:v>39261</x:v>
      </x:c>
      <x:c r="B1554" s="32">
        <x:v>1024.04</x:v>
      </x:c>
      <x:c r="C1554" s="32">
        <x:v>1024.04</x:v>
      </x:c>
      <x:c r="D1554" s="32">
        <x:v>1024.04</x:v>
      </x:c>
      <x:c r="E1554" s="32">
        <x:v>1024.04</x:v>
      </x:c>
      <x:c r="F1554" s="33">
        <x:v>3977940</x:v>
      </x:c>
      <x:c r="G1554" s="32" t="n">
        <x:f t="shared" si="63">AVERAGE(E1355:E1554)</x:f>
        <x:v>851.1881500000001</x:v>
      </x:c>
      <x:c r="H1554" s="37" t="n">
        <x:f t="shared" si="64">IFERROR(E1554/G1554-1,"")</x:f>
        <x:v>0.20307125986187646</x:v>
      </x:c>
      <x:c r="I1554" s="38" t="b">
        <x:f t="shared" si="65">E1554&lt;G1554</x:f>
        <x:v>0</x:v>
      </x:c>
    </x:row>
    <x:row r="1555">
      <x:c r="A1555" s="31">
        <x:v>39262</x:v>
      </x:c>
      <x:c r="B1555" s="32">
        <x:v>1024.68</x:v>
      </x:c>
      <x:c r="C1555" s="32">
        <x:v>1024.68</x:v>
      </x:c>
      <x:c r="D1555" s="32">
        <x:v>1024.68</x:v>
      </x:c>
      <x:c r="E1555" s="32">
        <x:v>1024.68</x:v>
      </x:c>
      <x:c r="F1555" s="33">
        <x:v>4008410</x:v>
      </x:c>
      <x:c r="G1555" s="32" t="n">
        <x:f t="shared" si="63">AVERAGE(E1356:E1555)</x:f>
        <x:v>853.7555</x:v>
      </x:c>
      <x:c r="H1555" s="37" t="n">
        <x:f t="shared" si="64">IFERROR(E1555/G1555-1,"")</x:f>
        <x:v>0.20020310264472685</x:v>
      </x:c>
      <x:c r="I1555" s="38" t="b">
        <x:f t="shared" si="65">E1555&lt;G1555</x:f>
        <x:v>0</x:v>
      </x:c>
    </x:row>
    <x:row r="1556">
      <x:c r="A1556" s="31">
        <x:v>39265</x:v>
      </x:c>
      <x:c r="B1556" s="32">
        <x:v>994.17</x:v>
      </x:c>
      <x:c r="C1556" s="32">
        <x:v>994.17</x:v>
      </x:c>
      <x:c r="D1556" s="32">
        <x:v>994.17</x:v>
      </x:c>
      <x:c r="E1556" s="32">
        <x:v>994.17</x:v>
      </x:c>
      <x:c r="F1556" s="33">
        <x:v>5471790</x:v>
      </x:c>
      <x:c r="G1556" s="32" t="n">
        <x:f t="shared" si="63">AVERAGE(E1357:E1556)</x:f>
        <x:v>856.16115</x:v>
      </x:c>
      <x:c r="H1556" s="37" t="n">
        <x:f t="shared" si="64">IFERROR(E1556/G1556-1,"")</x:f>
        <x:v>0.1611949456010704</x:v>
      </x:c>
      <x:c r="I1556" s="38" t="b">
        <x:f t="shared" si="65">E1556&lt;G1556</x:f>
        <x:v>0</x:v>
      </x:c>
    </x:row>
    <x:row r="1557">
      <x:c r="A1557" s="31">
        <x:v>39266</x:v>
      </x:c>
      <x:c r="B1557" s="32">
        <x:v>977.3</x:v>
      </x:c>
      <x:c r="C1557" s="32">
        <x:v>977.3</x:v>
      </x:c>
      <x:c r="D1557" s="32">
        <x:v>977.3</x:v>
      </x:c>
      <x:c r="E1557" s="32">
        <x:v>977.3</x:v>
      </x:c>
      <x:c r="F1557" s="33">
        <x:v>5479910</x:v>
      </x:c>
      <x:c r="G1557" s="32" t="n">
        <x:f t="shared" si="63">AVERAGE(E1358:E1557)</x:f>
        <x:v>858.4899</x:v>
      </x:c>
      <x:c r="H1557" s="37" t="n">
        <x:f t="shared" si="64">IFERROR(E1557/G1557-1,"")</x:f>
        <x:v>0.13839428978721813</x:v>
      </x:c>
      <x:c r="I1557" s="38" t="b">
        <x:f t="shared" si="65">E1557&lt;G1557</x:f>
        <x:v>0</x:v>
      </x:c>
    </x:row>
    <x:row r="1558">
      <x:c r="A1558" s="31">
        <x:v>39267</x:v>
      </x:c>
      <x:c r="B1558" s="32">
        <x:v>1013.56</x:v>
      </x:c>
      <x:c r="C1558" s="32">
        <x:v>1013.56</x:v>
      </x:c>
      <x:c r="D1558" s="32">
        <x:v>1013.56</x:v>
      </x:c>
      <x:c r="E1558" s="32">
        <x:v>1013.56</x:v>
      </x:c>
      <x:c r="F1558" s="33">
        <x:v>4746820</x:v>
      </x:c>
      <x:c r="G1558" s="32" t="n">
        <x:f t="shared" si="63">AVERAGE(E1359:E1558)</x:f>
        <x:v>861.0536</x:v>
      </x:c>
      <x:c r="H1558" s="37" t="n">
        <x:f t="shared" si="64">IFERROR(E1558/G1558-1,"")</x:f>
        <x:v>0.17711603551741728</x:v>
      </x:c>
      <x:c r="I1558" s="38" t="b">
        <x:f t="shared" si="65">E1558&lt;G1558</x:f>
        <x:v>0</x:v>
      </x:c>
    </x:row>
    <x:row r="1559">
      <x:c r="A1559" s="31">
        <x:v>39268</x:v>
      </x:c>
      <x:c r="B1559" s="32">
        <x:v>1012.82</x:v>
      </x:c>
      <x:c r="C1559" s="32">
        <x:v>1012.82</x:v>
      </x:c>
      <x:c r="D1559" s="32">
        <x:v>1012.82</x:v>
      </x:c>
      <x:c r="E1559" s="32">
        <x:v>1012.82</x:v>
      </x:c>
      <x:c r="F1559" s="33">
        <x:v>5218240</x:v>
      </x:c>
      <x:c r="G1559" s="32" t="n">
        <x:f t="shared" si="63">AVERAGE(E1360:E1559)</x:f>
        <x:v>863.5644</x:v>
      </x:c>
      <x:c r="H1559" s="37" t="n">
        <x:f t="shared" si="64">IFERROR(E1559/G1559-1,"")</x:f>
        <x:v>0.1728366755276156</x:v>
      </x:c>
      <x:c r="I1559" s="38" t="b">
        <x:f t="shared" si="65">E1559&lt;G1559</x:f>
        <x:v>0</x:v>
      </x:c>
    </x:row>
    <x:row r="1560">
      <x:c r="A1560" s="31">
        <x:v>39269</x:v>
      </x:c>
      <x:c r="B1560" s="32">
        <x:v>1010.53</x:v>
      </x:c>
      <x:c r="C1560" s="32">
        <x:v>1010.53</x:v>
      </x:c>
      <x:c r="D1560" s="32">
        <x:v>1010.53</x:v>
      </x:c>
      <x:c r="E1560" s="32">
        <x:v>1010.53</x:v>
      </x:c>
      <x:c r="F1560" s="33">
        <x:v>3482520</x:v>
      </x:c>
      <x:c r="G1560" s="32" t="n">
        <x:f t="shared" si="63">AVERAGE(E1361:E1560)</x:f>
        <x:v>866.0912</x:v>
      </x:c>
      <x:c r="H1560" s="37" t="n">
        <x:f t="shared" si="64">IFERROR(E1560/G1560-1,"")</x:f>
        <x:v>0.166770889716926</x:v>
      </x:c>
      <x:c r="I1560" s="38" t="b">
        <x:f t="shared" si="65">E1560&lt;G1560</x:f>
        <x:v>0</x:v>
      </x:c>
    </x:row>
    <x:row r="1561">
      <x:c r="A1561" s="31">
        <x:v>39272</x:v>
      </x:c>
      <x:c r="B1561" s="32">
        <x:v>1010.27</x:v>
      </x:c>
      <x:c r="C1561" s="32">
        <x:v>1010.27</x:v>
      </x:c>
      <x:c r="D1561" s="32">
        <x:v>1010.27</x:v>
      </x:c>
      <x:c r="E1561" s="32">
        <x:v>1010.27</x:v>
      </x:c>
      <x:c r="F1561" s="33">
        <x:v>3773850</x:v>
      </x:c>
      <x:c r="G1561" s="32" t="n">
        <x:f t="shared" si="63">AVERAGE(E1362:E1561)</x:f>
        <x:v>868.5959499999999</x:v>
      </x:c>
      <x:c r="H1561" s="37" t="n">
        <x:f t="shared" si="64">IFERROR(E1561/G1561-1,"")</x:f>
        <x:v>0.1631069659028459</x:v>
      </x:c>
      <x:c r="I1561" s="38" t="b">
        <x:f t="shared" si="65">E1561&lt;G1561</x:f>
        <x:v>0</x:v>
      </x:c>
    </x:row>
    <x:row r="1562">
      <x:c r="A1562" s="31">
        <x:v>39273</x:v>
      </x:c>
      <x:c r="B1562" s="32">
        <x:v>1023.04</x:v>
      </x:c>
      <x:c r="C1562" s="32">
        <x:v>1023.04</x:v>
      </x:c>
      <x:c r="D1562" s="32">
        <x:v>1023.04</x:v>
      </x:c>
      <x:c r="E1562" s="32">
        <x:v>1023.04</x:v>
      </x:c>
      <x:c r="F1562" s="33">
        <x:v>4656500</x:v>
      </x:c>
      <x:c r="G1562" s="32" t="n">
        <x:f t="shared" si="63">AVERAGE(E1363:E1562)</x:f>
        <x:v>871.16075</x:v>
      </x:c>
      <x:c r="H1562" s="37" t="n">
        <x:f t="shared" si="64">IFERROR(E1562/G1562-1,"")</x:f>
        <x:v>0.17434124528681982</x:v>
      </x:c>
      <x:c r="I1562" s="38" t="b">
        <x:f t="shared" si="65">E1562&lt;G1562</x:f>
        <x:v>0</x:v>
      </x:c>
    </x:row>
    <x:row r="1563">
      <x:c r="A1563" s="31">
        <x:v>39274</x:v>
      </x:c>
      <x:c r="B1563" s="32">
        <x:v>1029.8499999999999</x:v>
      </x:c>
      <x:c r="C1563" s="32">
        <x:v>1029.8499999999999</x:v>
      </x:c>
      <x:c r="D1563" s="32">
        <x:v>1029.8499999999999</x:v>
      </x:c>
      <x:c r="E1563" s="32">
        <x:v>1029.8499999999999</x:v>
      </x:c>
      <x:c r="F1563" s="33">
        <x:v>4754480</x:v>
      </x:c>
      <x:c r="G1563" s="32" t="n">
        <x:f t="shared" si="63">AVERAGE(E1364:E1563)</x:f>
        <x:v>873.7345999999998</x:v>
      </x:c>
      <x:c r="H1563" s="37" t="n">
        <x:f t="shared" si="64">IFERROR(E1563/G1563-1,"")</x:f>
        <x:v>0.1786759961205613</x:v>
      </x:c>
      <x:c r="I1563" s="38" t="b">
        <x:f t="shared" si="65">E1563&lt;G1563</x:f>
        <x:v>0</x:v>
      </x:c>
    </x:row>
    <x:row r="1564">
      <x:c r="A1564" s="31">
        <x:v>39275</x:v>
      </x:c>
      <x:c r="B1564" s="32">
        <x:v>1017.68</x:v>
      </x:c>
      <x:c r="C1564" s="32">
        <x:v>1017.68</x:v>
      </x:c>
      <x:c r="D1564" s="32">
        <x:v>1017.68</x:v>
      </x:c>
      <x:c r="E1564" s="32">
        <x:v>1017.68</x:v>
      </x:c>
      <x:c r="F1564" s="33">
        <x:v>4243210</x:v>
      </x:c>
      <x:c r="G1564" s="32" t="n">
        <x:f t="shared" si="63">AVERAGE(E1365:E1564)</x:f>
        <x:v>876.2505999999998</x:v>
      </x:c>
      <x:c r="H1564" s="37" t="n">
        <x:f t="shared" si="64">IFERROR(E1564/G1564-1,"")</x:f>
        <x:v>0.1614029137326698</x:v>
      </x:c>
      <x:c r="I1564" s="38" t="b">
        <x:f t="shared" si="65">E1564&lt;G1564</x:f>
        <x:v>0</x:v>
      </x:c>
    </x:row>
    <x:row r="1565">
      <x:c r="A1565" s="31">
        <x:v>39276</x:v>
      </x:c>
      <x:c r="B1565" s="32">
        <x:v>1015.73</x:v>
      </x:c>
      <x:c r="C1565" s="32">
        <x:v>1015.73</x:v>
      </x:c>
      <x:c r="D1565" s="32">
        <x:v>1015.73</x:v>
      </x:c>
      <x:c r="E1565" s="32">
        <x:v>1015.73</x:v>
      </x:c>
      <x:c r="F1565" s="33">
        <x:v>4211130</x:v>
      </x:c>
      <x:c r="G1565" s="32" t="n">
        <x:f t="shared" si="63">AVERAGE(E1366:E1565)</x:f>
        <x:v>878.7624</x:v>
      </x:c>
      <x:c r="H1565" s="37" t="n">
        <x:f t="shared" si="64">IFERROR(E1565/G1565-1,"")</x:f>
        <x:v>0.15586420174554583</x:v>
      </x:c>
      <x:c r="I1565" s="38" t="b">
        <x:f t="shared" si="65">E1565&lt;G1565</x:f>
        <x:v>0</x:v>
      </x:c>
    </x:row>
    <x:row r="1566">
      <x:c r="A1566" s="31">
        <x:v>39279</x:v>
      </x:c>
      <x:c r="B1566" s="32">
        <x:v>995.83</x:v>
      </x:c>
      <x:c r="C1566" s="32">
        <x:v>995.83</x:v>
      </x:c>
      <x:c r="D1566" s="32">
        <x:v>995.83</x:v>
      </x:c>
      <x:c r="E1566" s="32">
        <x:v>995.83</x:v>
      </x:c>
      <x:c r="F1566" s="33">
        <x:v>3994340</x:v>
      </x:c>
      <x:c r="G1566" s="32" t="n">
        <x:f t="shared" si="63">AVERAGE(E1367:E1566)</x:f>
        <x:v>881.1727999999998</x:v>
      </x:c>
      <x:c r="H1566" s="37" t="n">
        <x:f t="shared" si="64">IFERROR(E1566/G1566-1,"")</x:f>
        <x:v>0.13011885977415583</x:v>
      </x:c>
      <x:c r="I1566" s="38" t="b">
        <x:f t="shared" si="65">E1566&lt;G1566</x:f>
        <x:v>0</x:v>
      </x:c>
    </x:row>
    <x:row r="1567">
      <x:c r="A1567" s="31">
        <x:v>39280</x:v>
      </x:c>
      <x:c r="B1567" s="32">
        <x:v>1000.33</x:v>
      </x:c>
      <x:c r="C1567" s="32">
        <x:v>1000.33</x:v>
      </x:c>
      <x:c r="D1567" s="32">
        <x:v>1000.33</x:v>
      </x:c>
      <x:c r="E1567" s="32">
        <x:v>1000.33</x:v>
      </x:c>
      <x:c r="F1567" s="33">
        <x:v>4000980</x:v>
      </x:c>
      <x:c r="G1567" s="32" t="n">
        <x:f t="shared" si="63">AVERAGE(E1368:E1567)</x:f>
        <x:v>883.5989999999998</x:v>
      </x:c>
      <x:c r="H1567" s="37" t="n">
        <x:f t="shared" si="64">IFERROR(E1567/G1567-1,"")</x:f>
        <x:v>0.13210856961132844</x:v>
      </x:c>
      <x:c r="I1567" s="38" t="b">
        <x:f t="shared" si="65">E1567&lt;G1567</x:f>
        <x:v>0</x:v>
      </x:c>
    </x:row>
    <x:row r="1568">
      <x:c r="A1568" s="31">
        <x:v>39281</x:v>
      </x:c>
      <x:c r="B1568" s="32">
        <x:v>994.73</x:v>
      </x:c>
      <x:c r="C1568" s="32">
        <x:v>994.73</x:v>
      </x:c>
      <x:c r="D1568" s="32">
        <x:v>994.73</x:v>
      </x:c>
      <x:c r="E1568" s="32">
        <x:v>994.73</x:v>
      </x:c>
      <x:c r="F1568" s="33">
        <x:v>4025070</x:v>
      </x:c>
      <x:c r="G1568" s="32" t="n">
        <x:f t="shared" si="63">AVERAGE(E1369:E1568)</x:f>
        <x:v>885.9723999999999</x:v>
      </x:c>
      <x:c r="H1568" s="37" t="n">
        <x:f t="shared" si="64">IFERROR(E1568/G1568-1,"")</x:f>
        <x:v>0.12275506550768411</x:v>
      </x:c>
      <x:c r="I1568" s="38" t="b">
        <x:f t="shared" si="65">E1568&lt;G1568</x:f>
        <x:v>0</x:v>
      </x:c>
    </x:row>
    <x:row r="1569">
      <x:c r="A1569" s="31">
        <x:v>39282</x:v>
      </x:c>
      <x:c r="B1569" s="32">
        <x:v>984.43</x:v>
      </x:c>
      <x:c r="C1569" s="32">
        <x:v>984.43</x:v>
      </x:c>
      <x:c r="D1569" s="32">
        <x:v>984.43</x:v>
      </x:c>
      <x:c r="E1569" s="32">
        <x:v>984.43</x:v>
      </x:c>
      <x:c r="F1569" s="33">
        <x:v>3531300</x:v>
      </x:c>
      <x:c r="G1569" s="32" t="n">
        <x:f t="shared" si="63">AVERAGE(E1370:E1569)</x:f>
        <x:v>888.2924499999998</x:v>
      </x:c>
      <x:c r="H1569" s="37" t="n">
        <x:f t="shared" si="64">IFERROR(E1569/G1569-1,"")</x:f>
        <x:v>0.10822736363457808</x:v>
      </x:c>
      <x:c r="I1569" s="38" t="b">
        <x:f t="shared" si="65">E1569&lt;G1569</x:f>
        <x:v>0</x:v>
      </x:c>
    </x:row>
    <x:row r="1570">
      <x:c r="A1570" s="31">
        <x:v>39283</x:v>
      </x:c>
      <x:c r="B1570" s="32">
        <x:v>981.31</x:v>
      </x:c>
      <x:c r="C1570" s="32">
        <x:v>981.31</x:v>
      </x:c>
      <x:c r="D1570" s="32">
        <x:v>981.31</x:v>
      </x:c>
      <x:c r="E1570" s="32">
        <x:v>981.31</x:v>
      </x:c>
      <x:c r="F1570" s="33">
        <x:v>4692360</x:v>
      </x:c>
      <x:c r="G1570" s="32" t="n">
        <x:f t="shared" si="63">AVERAGE(E1371:E1570)</x:f>
        <x:v>890.5602999999999</x:v>
      </x:c>
      <x:c r="H1570" s="37" t="n">
        <x:f t="shared" si="64">IFERROR(E1570/G1570-1,"")</x:f>
        <x:v>0.10190180271902993</x:v>
      </x:c>
      <x:c r="I1570" s="38" t="b">
        <x:f t="shared" si="65">E1570&lt;G1570</x:f>
        <x:v>0</x:v>
      </x:c>
    </x:row>
    <x:row r="1571">
      <x:c r="A1571" s="31">
        <x:v>39286</x:v>
      </x:c>
      <x:c r="B1571" s="32">
        <x:v>979.23</x:v>
      </x:c>
      <x:c r="C1571" s="32">
        <x:v>979.23</x:v>
      </x:c>
      <x:c r="D1571" s="32">
        <x:v>979.23</x:v>
      </x:c>
      <x:c r="E1571" s="32">
        <x:v>979.23</x:v>
      </x:c>
      <x:c r="F1571" s="33">
        <x:v>4865450</x:v>
      </x:c>
      <x:c r="G1571" s="32" t="n">
        <x:f t="shared" si="63">AVERAGE(E1372:E1571)</x:f>
        <x:v>892.8227999999997</x:v>
      </x:c>
      <x:c r="H1571" s="37" t="n">
        <x:f t="shared" si="64">IFERROR(E1571/G1571-1,"")</x:f>
        <x:v>0.0967797865377098</x:v>
      </x:c>
      <x:c r="I1571" s="38" t="b">
        <x:f t="shared" si="65">E1571&lt;G1571</x:f>
        <x:v>0</x:v>
      </x:c>
    </x:row>
    <x:row r="1572">
      <x:c r="A1572" s="31">
        <x:v>39287</x:v>
      </x:c>
      <x:c r="B1572" s="32">
        <x:v>982.43</x:v>
      </x:c>
      <x:c r="C1572" s="32">
        <x:v>982.43</x:v>
      </x:c>
      <x:c r="D1572" s="32">
        <x:v>982.43</x:v>
      </x:c>
      <x:c r="E1572" s="32">
        <x:v>982.43</x:v>
      </x:c>
      <x:c r="F1572" s="33">
        <x:v>5067280</x:v>
      </x:c>
      <x:c r="G1572" s="32" t="n">
        <x:f t="shared" si="63">AVERAGE(E1373:E1572)</x:f>
        <x:v>895.0765499999997</x:v>
      </x:c>
      <x:c r="H1572" s="37" t="n">
        <x:f t="shared" si="64">IFERROR(E1572/G1572-1,"")</x:f>
        <x:v>0.09759327288822428</x:v>
      </x:c>
      <x:c r="I1572" s="38" t="b">
        <x:f t="shared" si="65">E1572&lt;G1572</x:f>
        <x:v>0</x:v>
      </x:c>
    </x:row>
    <x:row r="1573">
      <x:c r="A1573" s="31">
        <x:v>39288</x:v>
      </x:c>
      <x:c r="B1573" s="32">
        <x:v>972.56</x:v>
      </x:c>
      <x:c r="C1573" s="32">
        <x:v>972.56</x:v>
      </x:c>
      <x:c r="D1573" s="32">
        <x:v>972.56</x:v>
      </x:c>
      <x:c r="E1573" s="32">
        <x:v>972.56</x:v>
      </x:c>
      <x:c r="F1573" s="33">
        <x:v>4496420</x:v>
      </x:c>
      <x:c r="G1573" s="32" t="n">
        <x:f t="shared" si="63">AVERAGE(E1374:E1573)</x:f>
        <x:v>897.2499999999999</x:v>
      </x:c>
      <x:c r="H1573" s="37" t="n">
        <x:f t="shared" si="64">IFERROR(E1573/G1573-1,"")</x:f>
        <x:v>0.0839342435218724</x:v>
      </x:c>
      <x:c r="I1573" s="38" t="b">
        <x:f t="shared" si="65">E1573&lt;G1573</x:f>
        <x:v>0</x:v>
      </x:c>
    </x:row>
    <x:row r="1574">
      <x:c r="A1574" s="31">
        <x:v>39289</x:v>
      </x:c>
      <x:c r="B1574" s="32">
        <x:v>956.13</x:v>
      </x:c>
      <x:c r="C1574" s="32">
        <x:v>956.13</x:v>
      </x:c>
      <x:c r="D1574" s="32">
        <x:v>956.13</x:v>
      </x:c>
      <x:c r="E1574" s="32">
        <x:v>956.13</x:v>
      </x:c>
      <x:c r="F1574" s="33">
        <x:v>3432540</x:v>
      </x:c>
      <x:c r="G1574" s="32" t="n">
        <x:f t="shared" si="63">AVERAGE(E1375:E1574)</x:f>
        <x:v>899.3210999999999</x:v>
      </x:c>
      <x:c r="H1574" s="37" t="n">
        <x:f t="shared" si="64">IFERROR(E1574/G1574-1,"")</x:f>
        <x:v>0.06316865021848161</x:v>
      </x:c>
      <x:c r="I1574" s="38" t="b">
        <x:f t="shared" si="65">E1574&lt;G1574</x:f>
        <x:v>0</x:v>
      </x:c>
    </x:row>
    <x:row r="1575">
      <x:c r="A1575" s="31">
        <x:v>39290</x:v>
      </x:c>
      <x:c r="B1575" s="32">
        <x:v>940.36</x:v>
      </x:c>
      <x:c r="C1575" s="32">
        <x:v>940.36</x:v>
      </x:c>
      <x:c r="D1575" s="32">
        <x:v>940.36</x:v>
      </x:c>
      <x:c r="E1575" s="32">
        <x:v>940.36</x:v>
      </x:c>
      <x:c r="F1575" s="33">
        <x:v>3392690</x:v>
      </x:c>
      <x:c r="G1575" s="32" t="n">
        <x:f t="shared" si="63">AVERAGE(E1376:E1575)</x:f>
        <x:v>901.3492499999998</x:v>
      </x:c>
      <x:c r="H1575" s="37" t="n">
        <x:f t="shared" si="64">IFERROR(E1575/G1575-1,"")</x:f>
        <x:v>0.04328039325489019</x:v>
      </x:c>
      <x:c r="I1575" s="38" t="b">
        <x:f t="shared" si="65">E1575&lt;G1575</x:f>
        <x:v>0</x:v>
      </x:c>
    </x:row>
    <x:row r="1576">
      <x:c r="A1576" s="31">
        <x:v>39293</x:v>
      </x:c>
      <x:c r="B1576" s="32">
        <x:v>925.44</x:v>
      </x:c>
      <x:c r="C1576" s="32">
        <x:v>925.44</x:v>
      </x:c>
      <x:c r="D1576" s="32">
        <x:v>925.44</x:v>
      </x:c>
      <x:c r="E1576" s="32">
        <x:v>925.44</x:v>
      </x:c>
      <x:c r="F1576" s="33">
        <x:v>2204160</x:v>
      </x:c>
      <x:c r="G1576" s="32" t="n">
        <x:f t="shared" si="63">AVERAGE(E1377:E1576)</x:f>
        <x:v>903.2940499999999</x:v>
      </x:c>
      <x:c r="H1576" s="37" t="n">
        <x:f t="shared" si="64">IFERROR(E1576/G1576-1,"")</x:f>
        <x:v>0.024516877975671703</x:v>
      </x:c>
      <x:c r="I1576" s="38" t="b">
        <x:f t="shared" si="65">E1576&lt;G1576</x:f>
        <x:v>0</x:v>
      </x:c>
    </x:row>
    <x:row r="1577">
      <x:c r="A1577" s="31">
        <x:v>39294</x:v>
      </x:c>
      <x:c r="B1577" s="32">
        <x:v>907.95</x:v>
      </x:c>
      <x:c r="C1577" s="32">
        <x:v>907.95</x:v>
      </x:c>
      <x:c r="D1577" s="32">
        <x:v>907.95</x:v>
      </x:c>
      <x:c r="E1577" s="32">
        <x:v>907.95</x:v>
      </x:c>
      <x:c r="F1577" s="33">
        <x:v>4511310</x:v>
      </x:c>
      <x:c r="G1577" s="32" t="n">
        <x:f t="shared" si="63">AVERAGE(E1378:E1577)</x:f>
        <x:v>905.1581499999999</x:v>
      </x:c>
      <x:c r="H1577" s="37" t="n">
        <x:f t="shared" si="64">IFERROR(E1577/G1577-1,"")</x:f>
        <x:v>0.0030843781277341</x:v>
      </x:c>
      <x:c r="I1577" s="38" t="b">
        <x:f t="shared" si="65">E1577&lt;G1577</x:f>
        <x:v>0</x:v>
      </x:c>
    </x:row>
    <x:row r="1578">
      <x:c r="A1578" s="31">
        <x:v>39295</x:v>
      </x:c>
      <x:c r="B1578" s="32">
        <x:v>923.14</x:v>
      </x:c>
      <x:c r="C1578" s="32">
        <x:v>923.14</x:v>
      </x:c>
      <x:c r="D1578" s="32">
        <x:v>923.14</x:v>
      </x:c>
      <x:c r="E1578" s="32">
        <x:v>923.14</x:v>
      </x:c>
      <x:c r="F1578" s="33">
        <x:v>4813010</x:v>
      </x:c>
      <x:c r="G1578" s="32" t="n">
        <x:f t="shared" si="63">AVERAGE(E1379:E1578)</x:f>
        <x:v>907.1379499999999</x:v>
      </x:c>
      <x:c r="H1578" s="37" t="n">
        <x:f t="shared" si="64">IFERROR(E1578/G1578-1,"")</x:f>
        <x:v>0.01764015054160173</x:v>
      </x:c>
      <x:c r="I1578" s="38" t="b">
        <x:f t="shared" si="65">E1578&lt;G1578</x:f>
        <x:v>0</x:v>
      </x:c>
    </x:row>
    <x:row r="1579">
      <x:c r="A1579" s="31">
        <x:v>39296</x:v>
      </x:c>
      <x:c r="B1579" s="32">
        <x:v>911.18</x:v>
      </x:c>
      <x:c r="C1579" s="32">
        <x:v>911.18</x:v>
      </x:c>
      <x:c r="D1579" s="32">
        <x:v>911.18</x:v>
      </x:c>
      <x:c r="E1579" s="32">
        <x:v>911.18</x:v>
      </x:c>
      <x:c r="F1579" s="33">
        <x:v>4692420</x:v>
      </x:c>
      <x:c r="G1579" s="32" t="n">
        <x:f t="shared" si="63">AVERAGE(E1380:E1579)</x:f>
        <x:v>909.0704999999999</x:v>
      </x:c>
      <x:c r="H1579" s="37" t="n">
        <x:f t="shared" si="64">IFERROR(E1579/G1579-1,"")</x:f>
        <x:v>0.0023205020952721256</x:v>
      </x:c>
      <x:c r="I1579" s="38" t="b">
        <x:f t="shared" si="65">E1579&lt;G1579</x:f>
        <x:v>0</x:v>
      </x:c>
    </x:row>
    <x:row r="1580">
      <x:c r="A1580" s="31">
        <x:v>39297</x:v>
      </x:c>
      <x:c r="B1580" s="32">
        <x:v>892.88</x:v>
      </x:c>
      <x:c r="C1580" s="32">
        <x:v>892.88</x:v>
      </x:c>
      <x:c r="D1580" s="32">
        <x:v>892.88</x:v>
      </x:c>
      <x:c r="E1580" s="32">
        <x:v>892.88</x:v>
      </x:c>
      <x:c r="F1580" s="33">
        <x:v>3803430</x:v>
      </x:c>
      <x:c r="G1580" s="32" t="n">
        <x:f t="shared" si="63">AVERAGE(E1381:E1580)</x:f>
        <x:v>910.9087999999999</x:v>
      </x:c>
      <x:c r="H1580" s="37" t="n">
        <x:f t="shared" si="64">IFERROR(E1580/G1580-1,"")</x:f>
        <x:v>-0.01979210212921423</x:v>
      </x:c>
      <x:c r="I1580" s="38" t="b">
        <x:f t="shared" si="65">E1580&lt;G1580</x:f>
        <x:v>1</x:v>
      </x:c>
    </x:row>
    <x:row r="1581">
      <x:c r="A1581" s="31">
        <x:v>39300</x:v>
      </x:c>
      <x:c r="B1581" s="32">
        <x:v>883.9</x:v>
      </x:c>
      <x:c r="C1581" s="32">
        <x:v>883.9</x:v>
      </x:c>
      <x:c r="D1581" s="32">
        <x:v>883.9</x:v>
      </x:c>
      <x:c r="E1581" s="32">
        <x:v>883.9</x:v>
      </x:c>
      <x:c r="F1581" s="33">
        <x:v>3231500</x:v>
      </x:c>
      <x:c r="G1581" s="32" t="n">
        <x:f t="shared" si="63">AVERAGE(E1382:E1581)</x:f>
        <x:v>912.69865</x:v>
      </x:c>
      <x:c r="H1581" s="37" t="n">
        <x:f t="shared" si="64">IFERROR(E1581/G1581-1,"")</x:f>
        <x:v>-0.0315532952744042</x:v>
      </x:c>
      <x:c r="I1581" s="38" t="b">
        <x:f t="shared" si="65">E1581&lt;G1581</x:f>
        <x:v>1</x:v>
      </x:c>
    </x:row>
    <x:row r="1582">
      <x:c r="A1582" s="31">
        <x:v>39301</x:v>
      </x:c>
      <x:c r="B1582" s="32">
        <x:v>896.91</x:v>
      </x:c>
      <x:c r="C1582" s="32">
        <x:v>896.91</x:v>
      </x:c>
      <x:c r="D1582" s="32">
        <x:v>896.91</x:v>
      </x:c>
      <x:c r="E1582" s="32">
        <x:v>896.91</x:v>
      </x:c>
      <x:c r="F1582" s="33">
        <x:v>3517070</x:v>
      </x:c>
      <x:c r="G1582" s="32" t="n">
        <x:f t="shared" si="63">AVERAGE(E1383:E1582)</x:f>
        <x:v>914.5514999999999</x:v>
      </x:c>
      <x:c r="H1582" s="37" t="n">
        <x:f t="shared" si="64">IFERROR(E1582/G1582-1,"")</x:f>
        <x:v>-0.019289783024794116</x:v>
      </x:c>
      <x:c r="I1582" s="38" t="b">
        <x:f t="shared" si="65">E1582&lt;G1582</x:f>
        <x:v>1</x:v>
      </x:c>
    </x:row>
    <x:row r="1583">
      <x:c r="A1583" s="31">
        <x:v>39302</x:v>
      </x:c>
      <x:c r="B1583" s="32">
        <x:v>910.05</x:v>
      </x:c>
      <x:c r="C1583" s="32">
        <x:v>910.05</x:v>
      </x:c>
      <x:c r="D1583" s="32">
        <x:v>910.05</x:v>
      </x:c>
      <x:c r="E1583" s="32">
        <x:v>910.05</x:v>
      </x:c>
      <x:c r="F1583" s="33">
        <x:v>4070630</x:v>
      </x:c>
      <x:c r="G1583" s="32" t="n">
        <x:f t="shared" si="63">AVERAGE(E1384:E1583)</x:f>
        <x:v>916.5081999999999</x:v>
      </x:c>
      <x:c r="H1583" s="37" t="n">
        <x:f t="shared" si="64">IFERROR(E1583/G1583-1,"")</x:f>
        <x:v>-0.007046527243291356</x:v>
      </x:c>
      <x:c r="I1583" s="38" t="b">
        <x:f t="shared" si="65">E1583&lt;G1583</x:f>
        <x:v>1</x:v>
      </x:c>
    </x:row>
    <x:row r="1584">
      <x:c r="A1584" s="31">
        <x:v>39303</x:v>
      </x:c>
      <x:c r="B1584" s="32">
        <x:v>938.21</x:v>
      </x:c>
      <x:c r="C1584" s="32">
        <x:v>938.21</x:v>
      </x:c>
      <x:c r="D1584" s="32">
        <x:v>938.21</x:v>
      </x:c>
      <x:c r="E1584" s="32">
        <x:v>938.21</x:v>
      </x:c>
      <x:c r="F1584" s="33">
        <x:v>4646490</x:v>
      </x:c>
      <x:c r="G1584" s="32" t="n">
        <x:f t="shared" si="63">AVERAGE(E1385:E1584)</x:f>
        <x:v>918.6063499999999</x:v>
      </x:c>
      <x:c r="H1584" s="37" t="n">
        <x:f t="shared" si="64">IFERROR(E1584/G1584-1,"")</x:f>
        <x:v>0.021340642811798594</x:v>
      </x:c>
      <x:c r="I1584" s="38" t="b">
        <x:f t="shared" si="65">E1584&lt;G1584</x:f>
        <x:v>0</x:v>
      </x:c>
    </x:row>
    <x:row r="1585">
      <x:c r="A1585" s="31">
        <x:v>39304</x:v>
      </x:c>
      <x:c r="B1585" s="32">
        <x:v>935.68</x:v>
      </x:c>
      <x:c r="C1585" s="32">
        <x:v>935.68</x:v>
      </x:c>
      <x:c r="D1585" s="32">
        <x:v>935.68</x:v>
      </x:c>
      <x:c r="E1585" s="32">
        <x:v>935.68</x:v>
      </x:c>
      <x:c r="F1585" s="33">
        <x:v>5382520</x:v>
      </x:c>
      <x:c r="G1585" s="32" t="n">
        <x:f t="shared" si="63">AVERAGE(E1386:E1585)</x:f>
        <x:v>920.6617999999997</x:v>
      </x:c>
      <x:c r="H1585" s="37" t="n">
        <x:f t="shared" si="64">IFERROR(E1585/G1585-1,"")</x:f>
        <x:v>0.01631239614807556</x:v>
      </x:c>
      <x:c r="I1585" s="38" t="b">
        <x:f t="shared" si="65">E1585&lt;G1585</x:f>
        <x:v>0</x:v>
      </x:c>
    </x:row>
    <x:row r="1586">
      <x:c r="A1586" s="31">
        <x:v>39307</x:v>
      </x:c>
      <x:c r="B1586" s="32">
        <x:v>909.15</x:v>
      </x:c>
      <x:c r="C1586" s="32">
        <x:v>909.15</x:v>
      </x:c>
      <x:c r="D1586" s="32">
        <x:v>909.15</x:v>
      </x:c>
      <x:c r="E1586" s="32">
        <x:v>909.15</x:v>
      </x:c>
      <x:c r="F1586" s="33">
        <x:v>3245980</x:v>
      </x:c>
      <x:c r="G1586" s="32" t="n">
        <x:f t="shared" si="63">AVERAGE(E1387:E1586)</x:f>
        <x:v>922.5654499999998</x:v>
      </x:c>
      <x:c r="H1586" s="37" t="n">
        <x:f t="shared" si="64">IFERROR(E1586/G1586-1,"")</x:f>
        <x:v>-0.01454146152991076</x:v>
      </x:c>
      <x:c r="I1586" s="38" t="b">
        <x:f t="shared" si="65">E1586&lt;G1586</x:f>
        <x:v>1</x:v>
      </x:c>
    </x:row>
    <x:row r="1587">
      <x:c r="A1587" s="31">
        <x:v>39308</x:v>
      </x:c>
      <x:c r="B1587" s="32">
        <x:v>923.15</x:v>
      </x:c>
      <x:c r="C1587" s="32">
        <x:v>923.15</x:v>
      </x:c>
      <x:c r="D1587" s="32">
        <x:v>923.15</x:v>
      </x:c>
      <x:c r="E1587" s="32">
        <x:v>923.15</x:v>
      </x:c>
      <x:c r="F1587" s="33">
        <x:v>3588960</x:v>
      </x:c>
      <x:c r="G1587" s="32" t="n">
        <x:f t="shared" si="63">AVERAGE(E1388:E1587)</x:f>
        <x:v>924.5515999999998</x:v>
      </x:c>
      <x:c r="H1587" s="37" t="n">
        <x:f t="shared" si="64">IFERROR(E1587/G1587-1,"")</x:f>
        <x:v>-0.0015159781238817116</x:v>
      </x:c>
      <x:c r="I1587" s="38" t="b">
        <x:f t="shared" si="65">E1587&lt;G1587</x:f>
        <x:v>1</x:v>
      </x:c>
    </x:row>
    <x:row r="1588">
      <x:c r="A1588" s="31">
        <x:v>39309</x:v>
      </x:c>
      <x:c r="B1588" s="32">
        <x:v>915.34</x:v>
      </x:c>
      <x:c r="C1588" s="32">
        <x:v>915.34</x:v>
      </x:c>
      <x:c r="D1588" s="32">
        <x:v>915.34</x:v>
      </x:c>
      <x:c r="E1588" s="32">
        <x:v>915.34</x:v>
      </x:c>
      <x:c r="F1588" s="33">
        <x:v>2999350</x:v>
      </x:c>
      <x:c r="G1588" s="32" t="n">
        <x:f t="shared" si="63">AVERAGE(E1389:E1588)</x:f>
        <x:v>926.4995499999998</x:v>
      </x:c>
      <x:c r="H1588" s="37" t="n">
        <x:f t="shared" si="64">IFERROR(E1588/G1588-1,"")</x:f>
        <x:v>-0.01204485204552963</x:v>
      </x:c>
      <x:c r="I1588" s="38" t="b">
        <x:f t="shared" si="65">E1588&lt;G1588</x:f>
        <x:v>1</x:v>
      </x:c>
    </x:row>
    <x:row r="1589">
      <x:c r="A1589" s="31">
        <x:v>39310</x:v>
      </x:c>
      <x:c r="B1589" s="32">
        <x:v>900.26</x:v>
      </x:c>
      <x:c r="C1589" s="32">
        <x:v>900.26</x:v>
      </x:c>
      <x:c r="D1589" s="32">
        <x:v>900.26</x:v>
      </x:c>
      <x:c r="E1589" s="32">
        <x:v>900.26</x:v>
      </x:c>
      <x:c r="F1589" s="33">
        <x:v>3582160</x:v>
      </x:c>
      <x:c r="G1589" s="32" t="n">
        <x:f t="shared" si="63">AVERAGE(E1390:E1589)</x:f>
        <x:v>928.3795999999998</x:v>
      </x:c>
      <x:c r="H1589" s="37" t="n">
        <x:f t="shared" si="64">IFERROR(E1589/G1589-1,"")</x:f>
        <x:v>-0.030288903375300102</x:v>
      </x:c>
      <x:c r="I1589" s="38" t="b">
        <x:f t="shared" si="65">E1589&lt;G1589</x:f>
        <x:v>1</x:v>
      </x:c>
    </x:row>
    <x:row r="1590">
      <x:c r="A1590" s="31">
        <x:v>39311</x:v>
      </x:c>
      <x:c r="B1590" s="32">
        <x:v>887.93</x:v>
      </x:c>
      <x:c r="C1590" s="32">
        <x:v>887.93</x:v>
      </x:c>
      <x:c r="D1590" s="32">
        <x:v>887.93</x:v>
      </x:c>
      <x:c r="E1590" s="32">
        <x:v>887.93</x:v>
      </x:c>
      <x:c r="F1590" s="33">
        <x:v>3822720</x:v>
      </x:c>
      <x:c r="G1590" s="32" t="n">
        <x:f t="shared" si="63">AVERAGE(E1391:E1590)</x:f>
        <x:v>930.1942999999998</x:v>
      </x:c>
      <x:c r="H1590" s="37" t="n">
        <x:f t="shared" si="64">IFERROR(E1590/G1590-1,"")</x:f>
        <x:v>-0.04543599116872665</x:v>
      </x:c>
      <x:c r="I1590" s="38" t="b">
        <x:f t="shared" si="65">E1590&lt;G1590</x:f>
        <x:v>1</x:v>
      </x:c>
    </x:row>
    <x:row r="1591">
      <x:c r="A1591" s="31">
        <x:v>39314</x:v>
      </x:c>
      <x:c r="B1591" s="32">
        <x:v>890.02</x:v>
      </x:c>
      <x:c r="C1591" s="32">
        <x:v>890.02</x:v>
      </x:c>
      <x:c r="D1591" s="32">
        <x:v>890.02</x:v>
      </x:c>
      <x:c r="E1591" s="32">
        <x:v>890.02</x:v>
      </x:c>
      <x:c r="F1591" s="33">
        <x:v>4452350</x:v>
      </x:c>
      <x:c r="G1591" s="32" t="n">
        <x:f t="shared" si="63">AVERAGE(E1392:E1591)</x:f>
        <x:v>932.0391999999997</x:v>
      </x:c>
      <x:c r="H1591" s="37" t="n">
        <x:f t="shared" si="64">IFERROR(E1591/G1591-1,"")</x:f>
        <x:v>-0.04508308234245917</x:v>
      </x:c>
      <x:c r="I1591" s="38" t="b">
        <x:f t="shared" si="65">E1591&lt;G1591</x:f>
        <x:v>1</x:v>
      </x:c>
    </x:row>
    <x:row r="1592">
      <x:c r="A1592" s="31">
        <x:v>39315</x:v>
      </x:c>
      <x:c r="B1592" s="32">
        <x:v>895.72</x:v>
      </x:c>
      <x:c r="C1592" s="32">
        <x:v>895.72</x:v>
      </x:c>
      <x:c r="D1592" s="32">
        <x:v>895.72</x:v>
      </x:c>
      <x:c r="E1592" s="32">
        <x:v>895.72</x:v>
      </x:c>
      <x:c r="F1592" s="33">
        <x:v>5507240</x:v>
      </x:c>
      <x:c r="G1592" s="32" t="n">
        <x:f t="shared" si="63">AVERAGE(E1393:E1592)</x:f>
        <x:v>933.9557999999996</x:v>
      </x:c>
      <x:c r="H1592" s="37" t="n">
        <x:f t="shared" si="64">IFERROR(E1592/G1592-1,"")</x:f>
        <x:v>-0.04093962476596813</x:v>
      </x:c>
      <x:c r="I1592" s="38" t="b">
        <x:f t="shared" si="65">E1592&lt;G1592</x:f>
        <x:v>1</x:v>
      </x:c>
    </x:row>
    <x:row r="1593">
      <x:c r="A1593" s="31">
        <x:v>39316</x:v>
      </x:c>
      <x:c r="B1593" s="32">
        <x:v>892.07</x:v>
      </x:c>
      <x:c r="C1593" s="32">
        <x:v>892.07</x:v>
      </x:c>
      <x:c r="D1593" s="32">
        <x:v>892.07</x:v>
      </x:c>
      <x:c r="E1593" s="32">
        <x:v>892.07</x:v>
      </x:c>
      <x:c r="F1593" s="33">
        <x:v>4204280</x:v>
      </x:c>
      <x:c r="G1593" s="32" t="n">
        <x:f t="shared" si="63">AVERAGE(E1394:E1593)</x:f>
        <x:v>935.8584499999997</x:v>
      </x:c>
      <x:c r="H1593" s="37" t="n">
        <x:f t="shared" si="64">IFERROR(E1593/G1593-1,"")</x:f>
        <x:v>-0.04678960797971066</x:v>
      </x:c>
      <x:c r="I1593" s="38" t="b">
        <x:f t="shared" si="65">E1593&lt;G1593</x:f>
        <x:v>1</x:v>
      </x:c>
    </x:row>
    <x:row r="1594">
      <x:c r="A1594" s="31">
        <x:v>39317</x:v>
      </x:c>
      <x:c r="B1594" s="32">
        <x:v>887.62</x:v>
      </x:c>
      <x:c r="C1594" s="32">
        <x:v>887.62</x:v>
      </x:c>
      <x:c r="D1594" s="32">
        <x:v>887.62</x:v>
      </x:c>
      <x:c r="E1594" s="32">
        <x:v>887.62</x:v>
      </x:c>
      <x:c r="F1594" s="33">
        <x:v>4871050</x:v>
      </x:c>
      <x:c r="G1594" s="32" t="n">
        <x:f t="shared" si="63">AVERAGE(E1395:E1594)</x:f>
        <x:v>937.6896499999997</x:v>
      </x:c>
      <x:c r="H1594" s="37" t="n">
        <x:f t="shared" si="64">IFERROR(E1594/G1594-1,"")</x:f>
        <x:v>-0.053396824844978985</x:v>
      </x:c>
      <x:c r="I1594" s="38" t="b">
        <x:f t="shared" si="65">E1594&lt;G1594</x:f>
        <x:v>1</x:v>
      </x:c>
    </x:row>
    <x:row r="1595">
      <x:c r="A1595" s="31">
        <x:v>39318</x:v>
      </x:c>
      <x:c r="B1595" s="32">
        <x:v>905.48</x:v>
      </x:c>
      <x:c r="C1595" s="32">
        <x:v>905.48</x:v>
      </x:c>
      <x:c r="D1595" s="32">
        <x:v>905.48</x:v>
      </x:c>
      <x:c r="E1595" s="32">
        <x:v>905.48</x:v>
      </x:c>
      <x:c r="F1595" s="33">
        <x:v>6780190</x:v>
      </x:c>
      <x:c r="G1595" s="32" t="n">
        <x:f t="shared" si="63">AVERAGE(E1396:E1595)</x:f>
        <x:v>939.6322999999998</x:v>
      </x:c>
      <x:c r="H1595" s="37" t="n">
        <x:f t="shared" si="64">IFERROR(E1595/G1595-1,"")</x:f>
        <x:v>-0.03634645169179451</x:v>
      </x:c>
      <x:c r="I1595" s="38" t="b">
        <x:f t="shared" si="65">E1595&lt;G1595</x:f>
        <x:v>1</x:v>
      </x:c>
    </x:row>
    <x:row r="1596">
      <x:c r="A1596" s="31">
        <x:v>39321</x:v>
      </x:c>
      <x:c r="B1596" s="32">
        <x:v>909.07</x:v>
      </x:c>
      <x:c r="C1596" s="32">
        <x:v>909.07</x:v>
      </x:c>
      <x:c r="D1596" s="32">
        <x:v>909.07</x:v>
      </x:c>
      <x:c r="E1596" s="32">
        <x:v>909.07</x:v>
      </x:c>
      <x:c r="F1596" s="33">
        <x:v>5587740</x:v>
      </x:c>
      <x:c r="G1596" s="32" t="n">
        <x:f t="shared" si="63">AVERAGE(E1397:E1596)</x:f>
        <x:v>941.6089499999997</x:v>
      </x:c>
      <x:c r="H1596" s="37" t="n">
        <x:f t="shared" si="64">IFERROR(E1596/G1596-1,"")</x:f>
        <x:v>-0.03455675522200552</x:v>
      </x:c>
      <x:c r="I1596" s="38" t="b">
        <x:f t="shared" si="65">E1596&lt;G1596</x:f>
        <x:v>1</x:v>
      </x:c>
    </x:row>
    <x:row r="1597">
      <x:c r="A1597" s="31">
        <x:v>39322</x:v>
      </x:c>
      <x:c r="B1597" s="32">
        <x:v>902.58</x:v>
      </x:c>
      <x:c r="C1597" s="32">
        <x:v>902.58</x:v>
      </x:c>
      <x:c r="D1597" s="32">
        <x:v>902.58</x:v>
      </x:c>
      <x:c r="E1597" s="32">
        <x:v>902.58</x:v>
      </x:c>
      <x:c r="F1597" s="33">
        <x:v>4675530</x:v>
      </x:c>
      <x:c r="G1597" s="32" t="n">
        <x:f t="shared" si="63">AVERAGE(E1398:E1597)</x:f>
        <x:v>943.5362999999998</x:v>
      </x:c>
      <x:c r="H1597" s="37" t="n">
        <x:f t="shared" si="64">IFERROR(E1597/G1597-1,"")</x:f>
        <x:v>-0.04340723298086113</x:v>
      </x:c>
      <x:c r="I1597" s="38" t="b">
        <x:f t="shared" si="65">E1597&lt;G1597</x:f>
        <x:v>1</x:v>
      </x:c>
    </x:row>
    <x:row r="1598">
      <x:c r="A1598" s="31">
        <x:v>39323</x:v>
      </x:c>
      <x:c r="B1598" s="32">
        <x:v>901.17</x:v>
      </x:c>
      <x:c r="C1598" s="32">
        <x:v>901.17</x:v>
      </x:c>
      <x:c r="D1598" s="32">
        <x:v>901.17</x:v>
      </x:c>
      <x:c r="E1598" s="32">
        <x:v>901.17</x:v>
      </x:c>
      <x:c r="F1598" s="33">
        <x:v>4838170</x:v>
      </x:c>
      <x:c r="G1598" s="32" t="n">
        <x:f t="shared" si="63">AVERAGE(E1399:E1598)</x:f>
        <x:v>945.4419999999998</x:v>
      </x:c>
      <x:c r="H1598" s="37" t="n">
        <x:f t="shared" si="64">IFERROR(E1598/G1598-1,"")</x:f>
        <x:v>-0.04682677520143996</x:v>
      </x:c>
      <x:c r="I1598" s="38" t="b">
        <x:f t="shared" si="65">E1598&lt;G1598</x:f>
        <x:v>1</x:v>
      </x:c>
    </x:row>
    <x:row r="1599">
      <x:c r="A1599" s="31">
        <x:v>39324</x:v>
      </x:c>
      <x:c r="B1599" s="32">
        <x:v>903.94</x:v>
      </x:c>
      <x:c r="C1599" s="32">
        <x:v>903.94</x:v>
      </x:c>
      <x:c r="D1599" s="32">
        <x:v>903.94</x:v>
      </x:c>
      <x:c r="E1599" s="32">
        <x:v>903.94</x:v>
      </x:c>
      <x:c r="F1599" s="33">
        <x:v>4098470</x:v>
      </x:c>
      <x:c r="G1599" s="32" t="n">
        <x:f t="shared" si="63">AVERAGE(E1400:E1599)</x:f>
        <x:v>947.3317499999998</x:v>
      </x:c>
      <x:c r="H1599" s="37" t="n">
        <x:f t="shared" si="64">IFERROR(E1599/G1599-1,"")</x:f>
        <x:v>-0.04580417578108176</x:v>
      </x:c>
      <x:c r="I1599" s="38" t="b">
        <x:f t="shared" si="65">E1599&lt;G1599</x:f>
        <x:v>1</x:v>
      </x:c>
    </x:row>
    <x:row r="1600">
      <x:c r="A1600" s="31">
        <x:v>39325</x:v>
      </x:c>
      <x:c r="B1600" s="32">
        <x:v>908.37</x:v>
      </x:c>
      <x:c r="C1600" s="32">
        <x:v>908.37</x:v>
      </x:c>
      <x:c r="D1600" s="32">
        <x:v>908.37</x:v>
      </x:c>
      <x:c r="E1600" s="32">
        <x:v>908.37</x:v>
      </x:c>
      <x:c r="F1600" s="33">
        <x:v>6264420</x:v>
      </x:c>
      <x:c r="G1600" s="32" t="n">
        <x:f t="shared" si="63">AVERAGE(E1401:E1600)</x:f>
        <x:v>949.2151499999999</x:v>
      </x:c>
      <x:c r="H1600" s="37" t="n">
        <x:f t="shared" si="64">IFERROR(E1600/G1600-1,"")</x:f>
        <x:v>-0.04303044467842709</x:v>
      </x:c>
      <x:c r="I1600" s="38" t="b">
        <x:f t="shared" si="65">E1600&lt;G1600</x:f>
        <x:v>1</x:v>
      </x:c>
    </x:row>
    <x:row r="1601">
      <x:c r="A1601" s="31">
        <x:v>39329</x:v>
      </x:c>
      <x:c r="B1601" s="32">
        <x:v>929.85</x:v>
      </x:c>
      <x:c r="C1601" s="32">
        <x:v>929.85</x:v>
      </x:c>
      <x:c r="D1601" s="32">
        <x:v>929.85</x:v>
      </x:c>
      <x:c r="E1601" s="32">
        <x:v>929.85</x:v>
      </x:c>
      <x:c r="F1601" s="33">
        <x:v>5673710</x:v>
      </x:c>
      <x:c r="G1601" s="32" t="n">
        <x:f t="shared" si="63">AVERAGE(E1402:E1601)</x:f>
        <x:v>951.2103499999998</x:v>
      </x:c>
      <x:c r="H1601" s="37" t="n">
        <x:f t="shared" si="64">IFERROR(E1601/G1601-1,"")</x:f>
        <x:v>-0.02245596886114598</x:v>
      </x:c>
      <x:c r="I1601" s="38" t="b">
        <x:f t="shared" si="65">E1601&lt;G1601</x:f>
        <x:v>1</x:v>
      </x:c>
    </x:row>
    <x:row r="1602">
      <x:c r="A1602" s="31">
        <x:v>39330</x:v>
      </x:c>
      <x:c r="B1602" s="32">
        <x:v>925.57</x:v>
      </x:c>
      <x:c r="C1602" s="32">
        <x:v>925.57</x:v>
      </x:c>
      <x:c r="D1602" s="32">
        <x:v>925.57</x:v>
      </x:c>
      <x:c r="E1602" s="32">
        <x:v>925.57</x:v>
      </x:c>
      <x:c r="F1602" s="33">
        <x:v>6789000</x:v>
      </x:c>
      <x:c r="G1602" s="32" t="n">
        <x:f t="shared" si="63">AVERAGE(E1403:E1602)</x:f>
        <x:v>953.1518</x:v>
      </x:c>
      <x:c r="H1602" s="37" t="n">
        <x:f t="shared" si="64">IFERROR(E1602/G1602-1,"")</x:f>
        <x:v>-0.028937468302530522</x:v>
      </x:c>
      <x:c r="I1602" s="38" t="b">
        <x:f t="shared" si="65">E1602&lt;G1602</x:f>
        <x:v>1</x:v>
      </x:c>
    </x:row>
    <x:row r="1603">
      <x:c r="A1603" s="31">
        <x:v>39331</x:v>
      </x:c>
      <x:c r="B1603" s="32">
        <x:v>928.36</x:v>
      </x:c>
      <x:c r="C1603" s="32">
        <x:v>928.36</x:v>
      </x:c>
      <x:c r="D1603" s="32">
        <x:v>928.36</x:v>
      </x:c>
      <x:c r="E1603" s="32">
        <x:v>928.36</x:v>
      </x:c>
      <x:c r="F1603" s="33">
        <x:v>6233390</x:v>
      </x:c>
      <x:c r="G1603" s="32" t="n">
        <x:f t="shared" si="63">AVERAGE(E1404:E1603)</x:f>
        <x:v>955.01475</x:v>
      </x:c>
      <x:c r="H1603" s="37" t="n">
        <x:f t="shared" si="64">IFERROR(E1603/G1603-1,"")</x:f>
        <x:v>-0.02791030190894961</x:v>
      </x:c>
      <x:c r="I1603" s="38" t="b">
        <x:f t="shared" si="65">E1603&lt;G1603</x:f>
        <x:v>1</x:v>
      </x:c>
    </x:row>
    <x:row r="1604">
      <x:c r="A1604" s="31">
        <x:v>39332</x:v>
      </x:c>
      <x:c r="B1604" s="32">
        <x:v>934.13</x:v>
      </x:c>
      <x:c r="C1604" s="32">
        <x:v>934.13</x:v>
      </x:c>
      <x:c r="D1604" s="32">
        <x:v>934.13</x:v>
      </x:c>
      <x:c r="E1604" s="32">
        <x:v>934.13</x:v>
      </x:c>
      <x:c r="F1604" s="33">
        <x:v>6208740</x:v>
      </x:c>
      <x:c r="G1604" s="32" t="n">
        <x:f t="shared" si="63">AVERAGE(E1405:E1604)</x:f>
        <x:v>956.8699499999999</x:v>
      </x:c>
      <x:c r="H1604" s="37" t="n">
        <x:f t="shared" si="64">IFERROR(E1604/G1604-1,"")</x:f>
        <x:v>-0.023764932737202038</x:v>
      </x:c>
      <x:c r="I1604" s="38" t="b">
        <x:f t="shared" si="65">E1604&lt;G1604</x:f>
        <x:v>1</x:v>
      </x:c>
    </x:row>
    <x:row r="1605">
      <x:c r="A1605" s="31">
        <x:v>39335</x:v>
      </x:c>
      <x:c r="B1605" s="32">
        <x:v>927.14</x:v>
      </x:c>
      <x:c r="C1605" s="32">
        <x:v>927.14</x:v>
      </x:c>
      <x:c r="D1605" s="32">
        <x:v>927.14</x:v>
      </x:c>
      <x:c r="E1605" s="32">
        <x:v>927.14</x:v>
      </x:c>
      <x:c r="F1605" s="33">
        <x:v>5534110</x:v>
      </x:c>
      <x:c r="G1605" s="32" t="n">
        <x:f t="shared" si="63">AVERAGE(E1406:E1605)</x:f>
        <x:v>958.7065000000001</x:v>
      </x:c>
      <x:c r="H1605" s="37" t="n">
        <x:f t="shared" si="64">IFERROR(E1605/G1605-1,"")</x:f>
        <x:v>-0.032926135370940024</x:v>
      </x:c>
      <x:c r="I1605" s="38" t="b">
        <x:f t="shared" si="65">E1605&lt;G1605</x:f>
        <x:v>1</x:v>
      </x:c>
    </x:row>
    <x:row r="1606">
      <x:c r="A1606" s="31">
        <x:v>39336</x:v>
      </x:c>
      <x:c r="B1606" s="32">
        <x:v>920.48</x:v>
      </x:c>
      <x:c r="C1606" s="32">
        <x:v>920.48</x:v>
      </x:c>
      <x:c r="D1606" s="32">
        <x:v>920.48</x:v>
      </x:c>
      <x:c r="E1606" s="32">
        <x:v>920.48</x:v>
      </x:c>
      <x:c r="F1606" s="33">
        <x:v>5771660</x:v>
      </x:c>
      <x:c r="G1606" s="32" t="n">
        <x:f t="shared" si="63">AVERAGE(E1407:E1606)</x:f>
        <x:v>960.4399500000001</x:v>
      </x:c>
      <x:c r="H1606" s="37" t="n">
        <x:f t="shared" si="64">IFERROR(E1606/G1606-1,"")</x:f>
        <x:v>-0.041605880721642285</x:v>
      </x:c>
      <x:c r="I1606" s="38" t="b">
        <x:f t="shared" si="65">E1606&lt;G1606</x:f>
        <x:v>1</x:v>
      </x:c>
    </x:row>
    <x:row r="1607">
      <x:c r="A1607" s="31">
        <x:v>39337</x:v>
      </x:c>
      <x:c r="B1607" s="32">
        <x:v>921.19</x:v>
      </x:c>
      <x:c r="C1607" s="32">
        <x:v>921.19</x:v>
      </x:c>
      <x:c r="D1607" s="32">
        <x:v>921.19</x:v>
      </x:c>
      <x:c r="E1607" s="32">
        <x:v>921.19</x:v>
      </x:c>
      <x:c r="F1607" s="33">
        <x:v>6332870</x:v>
      </x:c>
      <x:c r="G1607" s="32" t="n">
        <x:f t="shared" si="63">AVERAGE(E1408:E1607)</x:f>
        <x:v>962.1246000000001</x:v>
      </x:c>
      <x:c r="H1607" s="37" t="n">
        <x:f t="shared" si="64">IFERROR(E1607/G1607-1,"")</x:f>
        <x:v>-0.042546048609504505</x:v>
      </x:c>
      <x:c r="I1607" s="38" t="b">
        <x:f t="shared" si="65">E1607&lt;G1607</x:f>
        <x:v>1</x:v>
      </x:c>
    </x:row>
    <x:row r="1608">
      <x:c r="A1608" s="31">
        <x:v>39338</x:v>
      </x:c>
      <x:c r="B1608" s="32">
        <x:v>921.31</x:v>
      </x:c>
      <x:c r="C1608" s="32">
        <x:v>921.31</x:v>
      </x:c>
      <x:c r="D1608" s="32">
        <x:v>921.31</x:v>
      </x:c>
      <x:c r="E1608" s="32">
        <x:v>921.31</x:v>
      </x:c>
      <x:c r="F1608" s="33">
        <x:v>4870380</x:v>
      </x:c>
      <x:c r="G1608" s="32" t="n">
        <x:f t="shared" si="63">AVERAGE(E1409:E1608)</x:f>
        <x:v>963.74005</x:v>
      </x:c>
      <x:c r="H1608" s="37" t="n">
        <x:f t="shared" si="64">IFERROR(E1608/G1608-1,"")</x:f>
        <x:v>-0.04402644675812739</x:v>
      </x:c>
      <x:c r="I1608" s="38" t="b">
        <x:f t="shared" si="65">E1608&lt;G1608</x:f>
        <x:v>1</x:v>
      </x:c>
    </x:row>
    <x:row r="1609">
      <x:c r="A1609" s="31">
        <x:v>39339</x:v>
      </x:c>
      <x:c r="B1609" s="32">
        <x:v>930.46</x:v>
      </x:c>
      <x:c r="C1609" s="32">
        <x:v>930.46</x:v>
      </x:c>
      <x:c r="D1609" s="32">
        <x:v>930.46</x:v>
      </x:c>
      <x:c r="E1609" s="32">
        <x:v>930.46</x:v>
      </x:c>
      <x:c r="F1609" s="33">
        <x:v>5115070</x:v>
      </x:c>
      <x:c r="G1609" s="32" t="n">
        <x:f t="shared" si="63">AVERAGE(E1410:E1609)</x:f>
        <x:v>965.34155</x:v>
      </x:c>
      <x:c r="H1609" s="37" t="n">
        <x:f t="shared" si="64">IFERROR(E1609/G1609-1,"")</x:f>
        <x:v>-0.0361338947857367</x:v>
      </x:c>
      <x:c r="I1609" s="38" t="b">
        <x:f t="shared" si="65">E1609&lt;G1609</x:f>
        <x:v>1</x:v>
      </x:c>
    </x:row>
    <x:row r="1610">
      <x:c r="A1610" s="31">
        <x:v>39342</x:v>
      </x:c>
      <x:c r="B1610" s="32">
        <x:v>934.74</x:v>
      </x:c>
      <x:c r="C1610" s="32">
        <x:v>934.74</x:v>
      </x:c>
      <x:c r="D1610" s="32">
        <x:v>934.74</x:v>
      </x:c>
      <x:c r="E1610" s="32">
        <x:v>934.74</x:v>
      </x:c>
      <x:c r="F1610" s="33">
        <x:v>5543960</x:v>
      </x:c>
      <x:c r="G1610" s="32" t="n">
        <x:f t="shared" si="63">AVERAGE(E1411:E1610)</x:f>
        <x:v>966.8304999999999</x:v>
      </x:c>
      <x:c r="H1610" s="37" t="n">
        <x:f t="shared" si="64">IFERROR(E1610/G1610-1,"")</x:f>
        <x:v>-0.033191443588095226</x:v>
      </x:c>
      <x:c r="I1610" s="38" t="b">
        <x:f t="shared" si="65">E1610&lt;G1610</x:f>
        <x:v>1</x:v>
      </x:c>
    </x:row>
    <x:row r="1611">
      <x:c r="A1611" s="31">
        <x:v>39343</x:v>
      </x:c>
      <x:c r="B1611" s="32">
        <x:v>935.17</x:v>
      </x:c>
      <x:c r="C1611" s="32">
        <x:v>935.17</x:v>
      </x:c>
      <x:c r="D1611" s="32">
        <x:v>935.17</x:v>
      </x:c>
      <x:c r="E1611" s="32">
        <x:v>935.17</x:v>
      </x:c>
      <x:c r="F1611" s="33">
        <x:v>6276630</x:v>
      </x:c>
      <x:c r="G1611" s="32" t="n">
        <x:f t="shared" si="63">AVERAGE(E1412:E1611)</x:f>
        <x:v>968.1786999999999</x:v>
      </x:c>
      <x:c r="H1611" s="37" t="n">
        <x:f t="shared" si="64">IFERROR(E1611/G1611-1,"")</x:f>
        <x:v>-0.03409360276155626</x:v>
      </x:c>
      <x:c r="I1611" s="38" t="b">
        <x:f t="shared" si="65">E1611&lt;G1611</x:f>
        <x:v>1</x:v>
      </x:c>
    </x:row>
    <x:row r="1612">
      <x:c r="A1612" s="31">
        <x:v>39344</x:v>
      </x:c>
      <x:c r="B1612" s="32">
        <x:v>946.22</x:v>
      </x:c>
      <x:c r="C1612" s="32">
        <x:v>946.22</x:v>
      </x:c>
      <x:c r="D1612" s="32">
        <x:v>946.22</x:v>
      </x:c>
      <x:c r="E1612" s="32">
        <x:v>946.22</x:v>
      </x:c>
      <x:c r="F1612" s="33">
        <x:v>6464750</x:v>
      </x:c>
      <x:c r="G1612" s="32" t="n">
        <x:f t="shared" si="63">AVERAGE(E1413:E1612)</x:f>
        <x:v>969.7090499999999</x:v>
      </x:c>
      <x:c r="H1612" s="37" t="n">
        <x:f t="shared" si="64">IFERROR(E1612/G1612-1,"")</x:f>
        <x:v>-0.024222781049635378</x:v>
      </x:c>
      <x:c r="I1612" s="38" t="b">
        <x:f t="shared" si="65">E1612&lt;G1612</x:f>
        <x:v>1</x:v>
      </x:c>
    </x:row>
    <x:row r="1613">
      <x:c r="A1613" s="31">
        <x:v>39345</x:v>
      </x:c>
      <x:c r="B1613" s="32">
        <x:v>963.61</x:v>
      </x:c>
      <x:c r="C1613" s="32">
        <x:v>963.61</x:v>
      </x:c>
      <x:c r="D1613" s="32">
        <x:v>963.61</x:v>
      </x:c>
      <x:c r="E1613" s="32">
        <x:v>963.61</x:v>
      </x:c>
      <x:c r="F1613" s="33">
        <x:v>9618100</x:v>
      </x:c>
      <x:c r="G1613" s="32" t="n">
        <x:f t="shared" ref="G1613:G1676" si="66">AVERAGE(E1414:E1613)</x:f>
        <x:v>971.3371</x:v>
      </x:c>
      <x:c r="H1613" s="37" t="n">
        <x:f t="shared" ref="H1613:H1676" si="67">IFERROR(E1613/G1613-1,"")</x:f>
        <x:v>-0.007955116714887134</x:v>
      </x:c>
      <x:c r="I1613" s="38" t="b">
        <x:f t="shared" ref="I1613:I1676" si="68">E1613&lt;G1613</x:f>
        <x:v>1</x:v>
      </x:c>
    </x:row>
    <x:row r="1614">
      <x:c r="A1614" s="31">
        <x:v>39346</x:v>
      </x:c>
      <x:c r="B1614" s="32">
        <x:v>958.67</x:v>
      </x:c>
      <x:c r="C1614" s="32">
        <x:v>958.67</x:v>
      </x:c>
      <x:c r="D1614" s="32">
        <x:v>958.67</x:v>
      </x:c>
      <x:c r="E1614" s="32">
        <x:v>958.67</x:v>
      </x:c>
      <x:c r="F1614" s="33">
        <x:v>10347010</x:v>
      </x:c>
      <x:c r="G1614" s="32" t="n">
        <x:f t="shared" si="66">AVERAGE(E1415:E1614)</x:f>
        <x:v>973.0475500000002</x:v>
      </x:c>
      <x:c r="H1614" s="37" t="n">
        <x:f t="shared" si="67">IFERROR(E1614/G1614-1,"")</x:f>
        <x:v>-0.014775793844812868</x:v>
      </x:c>
      <x:c r="I1614" s="38" t="b">
        <x:f t="shared" si="68">E1614&lt;G1614</x:f>
        <x:v>1</x:v>
      </x:c>
    </x:row>
    <x:row r="1615">
      <x:c r="A1615" s="31">
        <x:v>39349</x:v>
      </x:c>
      <x:c r="B1615" s="32">
        <x:v>975.82</x:v>
      </x:c>
      <x:c r="C1615" s="32">
        <x:v>975.82</x:v>
      </x:c>
      <x:c r="D1615" s="32">
        <x:v>975.82</x:v>
      </x:c>
      <x:c r="E1615" s="32">
        <x:v>975.82</x:v>
      </x:c>
      <x:c r="F1615" s="33">
        <x:v>9424070</x:v>
      </x:c>
      <x:c r="G1615" s="32" t="n">
        <x:f t="shared" si="66">AVERAGE(E1416:E1615)</x:f>
        <x:v>974.7614000000001</x:v>
      </x:c>
      <x:c r="H1615" s="37" t="n">
        <x:f t="shared" si="67">IFERROR(E1615/G1615-1,"")</x:f>
        <x:v>0.001086009355725448</x:v>
      </x:c>
      <x:c r="I1615" s="38" t="b">
        <x:f t="shared" si="68">E1615&lt;G1615</x:f>
        <x:v>0</x:v>
      </x:c>
    </x:row>
    <x:row r="1616">
      <x:c r="A1616" s="31">
        <x:v>39350</x:v>
      </x:c>
      <x:c r="B1616" s="32">
        <x:v>1009.88</x:v>
      </x:c>
      <x:c r="C1616" s="32">
        <x:v>1009.88</x:v>
      </x:c>
      <x:c r="D1616" s="32">
        <x:v>1009.88</x:v>
      </x:c>
      <x:c r="E1616" s="32">
        <x:v>1009.88</x:v>
      </x:c>
      <x:c r="F1616" s="33">
        <x:v>12021490</x:v>
      </x:c>
      <x:c r="G1616" s="32" t="n">
        <x:f t="shared" si="66">AVERAGE(E1417:E1616)</x:f>
        <x:v>976.6543500000001</x:v>
      </x:c>
      <x:c r="H1616" s="37" t="n">
        <x:f t="shared" si="67">IFERROR(E1616/G1616-1,"")</x:f>
        <x:v>0.03401986588192618</x:v>
      </x:c>
      <x:c r="I1616" s="38" t="b">
        <x:f t="shared" si="68">E1616&lt;G1616</x:f>
        <x:v>0</x:v>
      </x:c>
    </x:row>
    <x:row r="1617">
      <x:c r="A1617" s="31">
        <x:v>39351</x:v>
      </x:c>
      <x:c r="B1617" s="32">
        <x:v>1015.91</x:v>
      </x:c>
      <x:c r="C1617" s="32">
        <x:v>1015.91</x:v>
      </x:c>
      <x:c r="D1617" s="32">
        <x:v>1015.91</x:v>
      </x:c>
      <x:c r="E1617" s="32">
        <x:v>1015.91</x:v>
      </x:c>
      <x:c r="F1617" s="33">
        <x:v>13588520</x:v>
      </x:c>
      <x:c r="G1617" s="32" t="n">
        <x:f t="shared" si="66">AVERAGE(E1418:E1617)</x:f>
        <x:v>978.53065</x:v>
      </x:c>
      <x:c r="H1617" s="37" t="n">
        <x:f t="shared" si="67">IFERROR(E1617/G1617-1,"")</x:f>
        <x:v>0.03819946774278349</x:v>
      </x:c>
      <x:c r="I1617" s="38" t="b">
        <x:f t="shared" si="68">E1617&lt;G1617</x:f>
        <x:v>0</x:v>
      </x:c>
    </x:row>
    <x:row r="1618">
      <x:c r="A1618" s="31">
        <x:v>39352</x:v>
      </x:c>
      <x:c r="B1618" s="32">
        <x:v>1014.09</x:v>
      </x:c>
      <x:c r="C1618" s="32">
        <x:v>1014.09</x:v>
      </x:c>
      <x:c r="D1618" s="32">
        <x:v>1014.09</x:v>
      </x:c>
      <x:c r="E1618" s="32">
        <x:v>1014.09</x:v>
      </x:c>
      <x:c r="F1618" s="33">
        <x:v>10897620</x:v>
      </x:c>
      <x:c r="G1618" s="32" t="n">
        <x:f t="shared" si="66">AVERAGE(E1419:E1618)</x:f>
        <x:v>980.3781000000001</x:v>
      </x:c>
      <x:c r="H1618" s="37" t="n">
        <x:f t="shared" si="67">IFERROR(E1618/G1618-1,"")</x:f>
        <x:v>0.03438663103551565</x:v>
      </x:c>
      <x:c r="I1618" s="38" t="b">
        <x:f t="shared" si="68">E1618&lt;G1618</x:f>
        <x:v>0</x:v>
      </x:c>
    </x:row>
    <x:row r="1619">
      <x:c r="A1619" s="31">
        <x:v>39353</x:v>
      </x:c>
      <x:c r="B1619" s="32">
        <x:v>1046.8599999999999</x:v>
      </x:c>
      <x:c r="C1619" s="32">
        <x:v>1046.8599999999999</x:v>
      </x:c>
      <x:c r="D1619" s="32">
        <x:v>1046.8599999999999</x:v>
      </x:c>
      <x:c r="E1619" s="32">
        <x:v>1046.8599999999999</x:v>
      </x:c>
      <x:c r="F1619" s="33">
        <x:v>14138920</x:v>
      </x:c>
      <x:c r="G1619" s="32" t="n">
        <x:f t="shared" si="66">AVERAGE(E1420:E1619)</x:f>
        <x:v>982.3367499999999</x:v>
      </x:c>
      <x:c r="H1619" s="37" t="n">
        <x:f t="shared" si="67">IFERROR(E1619/G1619-1,"")</x:f>
        <x:v>0.06568343289610201</x:v>
      </x:c>
      <x:c r="I1619" s="38" t="b">
        <x:f t="shared" si="68">E1619&lt;G1619</x:f>
        <x:v>0</x:v>
      </x:c>
    </x:row>
    <x:row r="1620">
      <x:c r="A1620" s="31">
        <x:v>39356</x:v>
      </x:c>
      <x:c r="B1620" s="32">
        <x:v>1084.3900000000001</x:v>
      </x:c>
      <x:c r="C1620" s="32">
        <x:v>1084.3900000000001</x:v>
      </x:c>
      <x:c r="D1620" s="32">
        <x:v>1084.3900000000001</x:v>
      </x:c>
      <x:c r="E1620" s="32">
        <x:v>1084.3900000000001</x:v>
      </x:c>
      <x:c r="F1620" s="33">
        <x:v>13331540</x:v>
      </x:c>
      <x:c r="G1620" s="32" t="n">
        <x:f t="shared" si="66">AVERAGE(E1421:E1620)</x:f>
        <x:v>984.373</x:v>
      </x:c>
      <x:c r="H1620" s="37" t="n">
        <x:f t="shared" si="67">IFERROR(E1620/G1620-1,"")</x:f>
        <x:v>0.10160477786367572</x:v>
      </x:c>
      <x:c r="I1620" s="38" t="b">
        <x:f t="shared" si="68">E1620&lt;G1620</x:f>
        <x:v>0</x:v>
      </x:c>
    </x:row>
    <x:row r="1621">
      <x:c r="A1621" s="31">
        <x:v>39357</x:v>
      </x:c>
      <x:c r="B1621" s="32">
        <x:v>1099.48</x:v>
      </x:c>
      <x:c r="C1621" s="32">
        <x:v>1099.48</x:v>
      </x:c>
      <x:c r="D1621" s="32">
        <x:v>1099.48</x:v>
      </x:c>
      <x:c r="E1621" s="32">
        <x:v>1099.48</x:v>
      </x:c>
      <x:c r="F1621" s="33">
        <x:v>16073350</x:v>
      </x:c>
      <x:c r="G1621" s="32" t="n">
        <x:f t="shared" si="66">AVERAGE(E1422:E1621)</x:f>
        <x:v>986.3897999999999</x:v>
      </x:c>
      <x:c r="H1621" s="37" t="n">
        <x:f t="shared" si="67">IFERROR(E1621/G1621-1,"")</x:f>
        <x:v>0.11465061783891128</x:v>
      </x:c>
      <x:c r="I1621" s="38" t="b">
        <x:f t="shared" si="68">E1621&lt;G1621</x:f>
        <x:v>0</x:v>
      </x:c>
    </x:row>
    <x:row r="1622">
      <x:c r="A1622" s="31">
        <x:v>39358</x:v>
      </x:c>
      <x:c r="B1622" s="32">
        <x:v>1106.5999999999999</x:v>
      </x:c>
      <x:c r="C1622" s="32">
        <x:v>1106.5999999999999</x:v>
      </x:c>
      <x:c r="D1622" s="32">
        <x:v>1106.5999999999999</x:v>
      </x:c>
      <x:c r="E1622" s="32">
        <x:v>1106.5999999999999</x:v>
      </x:c>
      <x:c r="F1622" s="33">
        <x:v>13407700</x:v>
      </x:c>
      <x:c r="G1622" s="32" t="n">
        <x:f t="shared" si="66">AVERAGE(E1423:E1622)</x:f>
        <x:v>988.3036</x:v>
      </x:c>
      <x:c r="H1622" s="37" t="n">
        <x:f t="shared" si="67">IFERROR(E1622/G1622-1,"")</x:f>
        <x:v>0.11969641717383195</x:v>
      </x:c>
      <x:c r="I1622" s="38" t="b">
        <x:f t="shared" si="68">E1622&lt;G1622</x:f>
        <x:v>0</x:v>
      </x:c>
    </x:row>
    <x:row r="1623">
      <x:c r="A1623" s="31">
        <x:v>39359</x:v>
      </x:c>
      <x:c r="B1623" s="32">
        <x:v>1087.76</x:v>
      </x:c>
      <x:c r="C1623" s="32">
        <x:v>1087.76</x:v>
      </x:c>
      <x:c r="D1623" s="32">
        <x:v>1087.76</x:v>
      </x:c>
      <x:c r="E1623" s="32">
        <x:v>1087.76</x:v>
      </x:c>
      <x:c r="F1623" s="33">
        <x:v>14169190</x:v>
      </x:c>
      <x:c r="G1623" s="32" t="n">
        <x:f t="shared" si="66">AVERAGE(E1424:E1623)</x:f>
        <x:v>990.1591999999999</x:v>
      </x:c>
      <x:c r="H1623" s="37" t="n">
        <x:f t="shared" si="67">IFERROR(E1623/G1623-1,"")</x:f>
        <x:v>0.09857081568297299</x:v>
      </x:c>
      <x:c r="I1623" s="38" t="b">
        <x:f t="shared" si="68">E1623&lt;G1623</x:f>
        <x:v>0</x:v>
      </x:c>
    </x:row>
    <x:row r="1624">
      <x:c r="A1624" s="31">
        <x:v>39360</x:v>
      </x:c>
      <x:c r="B1624" s="32">
        <x:v>1081.6300000000001</x:v>
      </x:c>
      <x:c r="C1624" s="32">
        <x:v>1081.6300000000001</x:v>
      </x:c>
      <x:c r="D1624" s="32">
        <x:v>1081.6300000000001</x:v>
      </x:c>
      <x:c r="E1624" s="32">
        <x:v>1081.6300000000001</x:v>
      </x:c>
      <x:c r="F1624" s="33">
        <x:v>13753700</x:v>
      </x:c>
      <x:c r="G1624" s="32" t="n">
        <x:f t="shared" si="66">AVERAGE(E1425:E1624)</x:f>
        <x:v>991.8645000000001</x:v>
      </x:c>
      <x:c r="H1624" s="37" t="n">
        <x:f t="shared" si="67">IFERROR(E1624/G1624-1,"")</x:f>
        <x:v>0.09050177720847952</x:v>
      </x:c>
      <x:c r="I1624" s="38" t="b">
        <x:f t="shared" si="68">E1624&lt;G1624</x:f>
        <x:v>0</x:v>
      </x:c>
    </x:row>
    <x:row r="1625">
      <x:c r="A1625" s="31">
        <x:v>39363</x:v>
      </x:c>
      <x:c r="B1625" s="32">
        <x:v>1084.8699999999999</x:v>
      </x:c>
      <x:c r="C1625" s="32">
        <x:v>1084.8699999999999</x:v>
      </x:c>
      <x:c r="D1625" s="32">
        <x:v>1084.8699999999999</x:v>
      </x:c>
      <x:c r="E1625" s="32">
        <x:v>1084.8699999999999</x:v>
      </x:c>
      <x:c r="F1625" s="33">
        <x:v>12581270</x:v>
      </x:c>
      <x:c r="G1625" s="32" t="n">
        <x:f t="shared" si="66">AVERAGE(E1426:E1625)</x:f>
        <x:v>993.503</x:v>
      </x:c>
      <x:c r="H1625" s="37" t="n">
        <x:f t="shared" si="67">IFERROR(E1625/G1625-1,"")</x:f>
        <x:v>0.09196449331305478</x:v>
      </x:c>
      <x:c r="I1625" s="38" t="b">
        <x:f t="shared" si="68">E1625&lt;G1625</x:f>
        <x:v>0</x:v>
      </x:c>
    </x:row>
    <x:row r="1626">
      <x:c r="A1626" s="31">
        <x:v>39364</x:v>
      </x:c>
      <x:c r="B1626" s="32">
        <x:v>1097.3599999999999</x:v>
      </x:c>
      <x:c r="C1626" s="32">
        <x:v>1097.3599999999999</x:v>
      </x:c>
      <x:c r="D1626" s="32">
        <x:v>1097.3599999999999</x:v>
      </x:c>
      <x:c r="E1626" s="32">
        <x:v>1097.3599999999999</x:v>
      </x:c>
      <x:c r="F1626" s="33">
        <x:v>13341890</x:v>
      </x:c>
      <x:c r="G1626" s="32" t="n">
        <x:f t="shared" si="66">AVERAGE(E1427:E1626)</x:f>
        <x:v>995.112</x:v>
      </x:c>
      <x:c r="H1626" s="37" t="n">
        <x:f t="shared" si="67">IFERROR(E1626/G1626-1,"")</x:f>
        <x:v>0.1027502431887064</x:v>
      </x:c>
      <x:c r="I1626" s="38" t="b">
        <x:f t="shared" si="68">E1626&lt;G1626</x:f>
        <x:v>0</x:v>
      </x:c>
    </x:row>
    <x:row r="1627">
      <x:c r="A1627" s="31">
        <x:v>39365</x:v>
      </x:c>
      <x:c r="B1627" s="32">
        <x:v>1104.67</x:v>
      </x:c>
      <x:c r="C1627" s="32">
        <x:v>1104.67</x:v>
      </x:c>
      <x:c r="D1627" s="32">
        <x:v>1104.67</x:v>
      </x:c>
      <x:c r="E1627" s="32">
        <x:v>1104.67</x:v>
      </x:c>
      <x:c r="F1627" s="33">
        <x:v>11789350</x:v>
      </x:c>
      <x:c r="G1627" s="32" t="n">
        <x:f t="shared" si="66">AVERAGE(E1428:E1627)</x:f>
        <x:v>996.7375</x:v>
      </x:c>
      <x:c r="H1627" s="37" t="n">
        <x:f t="shared" si="67">IFERROR(E1627/G1627-1,"")</x:f>
        <x:v>0.10828578236496589</x:v>
      </x:c>
      <x:c r="I1627" s="38" t="b">
        <x:f t="shared" si="68">E1627&lt;G1627</x:f>
        <x:v>0</x:v>
      </x:c>
    </x:row>
    <x:row r="1628">
      <x:c r="A1628" s="31">
        <x:v>39366</x:v>
      </x:c>
      <x:c r="B1628" s="32">
        <x:v>1099.31</x:v>
      </x:c>
      <x:c r="C1628" s="32">
        <x:v>1099.31</x:v>
      </x:c>
      <x:c r="D1628" s="32">
        <x:v>1099.31</x:v>
      </x:c>
      <x:c r="E1628" s="32">
        <x:v>1099.31</x:v>
      </x:c>
      <x:c r="F1628" s="33">
        <x:v>11307770</x:v>
      </x:c>
      <x:c r="G1628" s="32" t="n">
        <x:f t="shared" si="66">AVERAGE(E1429:E1628)</x:f>
        <x:v>998.2375</x:v>
      </x:c>
      <x:c r="H1628" s="37" t="n">
        <x:f t="shared" si="67">IFERROR(E1628/G1628-1,"")</x:f>
        <x:v>0.10125095480784885</x:v>
      </x:c>
      <x:c r="I1628" s="38" t="b">
        <x:f t="shared" si="68">E1628&lt;G1628</x:f>
        <x:v>0</x:v>
      </x:c>
    </x:row>
    <x:row r="1629">
      <x:c r="A1629" s="31">
        <x:v>39367</x:v>
      </x:c>
      <x:c r="B1629" s="32">
        <x:v>1104.6099999999999</x:v>
      </x:c>
      <x:c r="C1629" s="32">
        <x:v>1104.6099999999999</x:v>
      </x:c>
      <x:c r="D1629" s="32">
        <x:v>1104.6099999999999</x:v>
      </x:c>
      <x:c r="E1629" s="32">
        <x:v>1104.6099999999999</x:v>
      </x:c>
      <x:c r="F1629" s="33">
        <x:v>12763490</x:v>
      </x:c>
      <x:c r="G1629" s="32" t="n">
        <x:f t="shared" si="66">AVERAGE(E1430:E1629)</x:f>
        <x:v>999.71125</x:v>
      </x:c>
      <x:c r="H1629" s="37" t="n">
        <x:f t="shared" si="67">IFERROR(E1629/G1629-1,"")</x:f>
        <x:v>0.1049290482626859</x:v>
      </x:c>
      <x:c r="I1629" s="38" t="b">
        <x:f t="shared" si="68">E1629&lt;G1629</x:f>
        <x:v>0</x:v>
      </x:c>
    </x:row>
    <x:row r="1630">
      <x:c r="A1630" s="31">
        <x:v>39370</x:v>
      </x:c>
      <x:c r="B1630" s="32">
        <x:v>1105.21</x:v>
      </x:c>
      <x:c r="C1630" s="32">
        <x:v>1105.21</x:v>
      </x:c>
      <x:c r="D1630" s="32">
        <x:v>1105.21</x:v>
      </x:c>
      <x:c r="E1630" s="32">
        <x:v>1105.21</x:v>
      </x:c>
      <x:c r="F1630" s="33">
        <x:v>11317810</x:v>
      </x:c>
      <x:c r="G1630" s="32" t="n">
        <x:f t="shared" si="66">AVERAGE(E1431:E1630)</x:f>
        <x:v>1001.3428999999998</x:v>
      </x:c>
      <x:c r="H1630" s="37" t="n">
        <x:f t="shared" si="67">IFERROR(E1630/G1630-1,"")</x:f>
        <x:v>0.1037278039320999</x:v>
      </x:c>
      <x:c r="I1630" s="38" t="b">
        <x:f t="shared" si="68">E1630&lt;G1630</x:f>
        <x:v>0</x:v>
      </x:c>
    </x:row>
    <x:row r="1631">
      <x:c r="A1631" s="31">
        <x:v>39371</x:v>
      </x:c>
      <x:c r="B1631" s="32">
        <x:v>1103.8800000000001</x:v>
      </x:c>
      <x:c r="C1631" s="32">
        <x:v>1103.8800000000001</x:v>
      </x:c>
      <x:c r="D1631" s="32">
        <x:v>1103.8800000000001</x:v>
      </x:c>
      <x:c r="E1631" s="32">
        <x:v>1103.8800000000001</x:v>
      </x:c>
      <x:c r="F1631" s="33">
        <x:v>11844080</x:v>
      </x:c>
      <x:c r="G1631" s="32" t="n">
        <x:f t="shared" si="66">AVERAGE(E1432:E1631)</x:f>
        <x:v>1003.1415499999999</x:v>
      </x:c>
      <x:c r="H1631" s="37" t="n">
        <x:f t="shared" si="67">IFERROR(E1631/G1631-1,"")</x:f>
        <x:v>0.100422966230439</x:v>
      </x:c>
      <x:c r="I1631" s="38" t="b">
        <x:f t="shared" si="68">E1631&lt;G1631</x:f>
        <x:v>0</x:v>
      </x:c>
    </x:row>
    <x:row r="1632">
      <x:c r="A1632" s="31">
        <x:v>39372</x:v>
      </x:c>
      <x:c r="B1632" s="32">
        <x:v>1101.29</x:v>
      </x:c>
      <x:c r="C1632" s="32">
        <x:v>1101.29</x:v>
      </x:c>
      <x:c r="D1632" s="32">
        <x:v>1101.29</x:v>
      </x:c>
      <x:c r="E1632" s="32">
        <x:v>1101.29</x:v>
      </x:c>
      <x:c r="F1632" s="33">
        <x:v>12719330</x:v>
      </x:c>
      <x:c r="G1632" s="32" t="n">
        <x:f t="shared" si="66">AVERAGE(E1433:E1632)</x:f>
        <x:v>1004.9747</x:v>
      </x:c>
      <x:c r="H1632" s="37" t="n">
        <x:f t="shared" si="67">IFERROR(E1632/G1632-1,"")</x:f>
        <x:v>0.09583853205458803</x:v>
      </x:c>
      <x:c r="I1632" s="38" t="b">
        <x:f t="shared" si="68">E1632&lt;G1632</x:f>
        <x:v>0</x:v>
      </x:c>
    </x:row>
    <x:row r="1633">
      <x:c r="A1633" s="31">
        <x:v>39373</x:v>
      </x:c>
      <x:c r="B1633" s="32">
        <x:v>1088.68</x:v>
      </x:c>
      <x:c r="C1633" s="32">
        <x:v>1088.68</x:v>
      </x:c>
      <x:c r="D1633" s="32">
        <x:v>1088.68</x:v>
      </x:c>
      <x:c r="E1633" s="32">
        <x:v>1088.68</x:v>
      </x:c>
      <x:c r="F1633" s="33">
        <x:v>12882280</x:v>
      </x:c>
      <x:c r="G1633" s="32" t="n">
        <x:f t="shared" si="66">AVERAGE(E1434:E1633)</x:f>
        <x:v>1006.679</x:v>
      </x:c>
      <x:c r="H1633" s="37" t="n">
        <x:f t="shared" si="67">IFERROR(E1633/G1633-1,"")</x:f>
        <x:v>0.08145694903737954</x:v>
      </x:c>
      <x:c r="I1633" s="38" t="b">
        <x:f t="shared" si="68">E1633&lt;G1633</x:f>
        <x:v>0</x:v>
      </x:c>
    </x:row>
    <x:row r="1634">
      <x:c r="A1634" s="31">
        <x:v>39374</x:v>
      </x:c>
      <x:c r="B1634" s="32">
        <x:v>1097.07</x:v>
      </x:c>
      <x:c r="C1634" s="32">
        <x:v>1097.07</x:v>
      </x:c>
      <x:c r="D1634" s="32">
        <x:v>1097.07</x:v>
      </x:c>
      <x:c r="E1634" s="32">
        <x:v>1097.07</x:v>
      </x:c>
      <x:c r="F1634" s="33">
        <x:v>11134710</x:v>
      </x:c>
      <x:c r="G1634" s="32" t="n">
        <x:f t="shared" si="66">AVERAGE(E1435:E1634)</x:f>
        <x:v>1008.3911999999999</x:v>
      </x:c>
      <x:c r="H1634" s="37" t="n">
        <x:f t="shared" si="67">IFERROR(E1634/G1634-1,"")</x:f>
        <x:v>0.08794087056689914</x:v>
      </x:c>
      <x:c r="I1634" s="38" t="b">
        <x:f t="shared" si="68">E1634&lt;G1634</x:f>
        <x:v>0</x:v>
      </x:c>
    </x:row>
    <x:row r="1635">
      <x:c r="A1635" s="31">
        <x:v>39377</x:v>
      </x:c>
      <x:c r="B1635" s="32">
        <x:v>1085.74</x:v>
      </x:c>
      <x:c r="C1635" s="32">
        <x:v>1085.74</x:v>
      </x:c>
      <x:c r="D1635" s="32">
        <x:v>1085.74</x:v>
      </x:c>
      <x:c r="E1635" s="32">
        <x:v>1085.74</x:v>
      </x:c>
      <x:c r="F1635" s="33">
        <x:v>9799430</x:v>
      </x:c>
      <x:c r="G1635" s="32" t="n">
        <x:f t="shared" si="66">AVERAGE(E1436:E1635)</x:f>
        <x:v>1010.05085</x:v>
      </x:c>
      <x:c r="H1635" s="37" t="n">
        <x:f t="shared" si="67">IFERROR(E1635/G1635-1,"")</x:f>
        <x:v>0.07493597970834842</x:v>
      </x:c>
      <x:c r="I1635" s="38" t="b">
        <x:f t="shared" si="68">E1635&lt;G1635</x:f>
        <x:v>0</x:v>
      </x:c>
    </x:row>
    <x:row r="1636">
      <x:c r="A1636" s="31">
        <x:v>39378</x:v>
      </x:c>
      <x:c r="B1636" s="32">
        <x:v>1075.29</x:v>
      </x:c>
      <x:c r="C1636" s="32">
        <x:v>1075.29</x:v>
      </x:c>
      <x:c r="D1636" s="32">
        <x:v>1075.29</x:v>
      </x:c>
      <x:c r="E1636" s="32">
        <x:v>1075.29</x:v>
      </x:c>
      <x:c r="F1636" s="33">
        <x:v>9980580</x:v>
      </x:c>
      <x:c r="G1636" s="32" t="n">
        <x:f t="shared" si="66">AVERAGE(E1437:E1636)</x:f>
        <x:v>1011.6684499999999</x:v>
      </x:c>
      <x:c r="H1636" s="37" t="n">
        <x:f t="shared" si="67">IFERROR(E1636/G1636-1,"")</x:f>
        <x:v>0.06288774746311421</x:v>
      </x:c>
      <x:c r="I1636" s="38" t="b">
        <x:f t="shared" si="68">E1636&lt;G1636</x:f>
        <x:v>0</x:v>
      </x:c>
    </x:row>
    <x:row r="1637">
      <x:c r="A1637" s="31">
        <x:v>39379</x:v>
      </x:c>
      <x:c r="B1637" s="32">
        <x:v>1096.2</x:v>
      </x:c>
      <x:c r="C1637" s="32">
        <x:v>1096.2</x:v>
      </x:c>
      <x:c r="D1637" s="32">
        <x:v>1096.2</x:v>
      </x:c>
      <x:c r="E1637" s="32">
        <x:v>1096.2</x:v>
      </x:c>
      <x:c r="F1637" s="33">
        <x:v>10044240</x:v>
      </x:c>
      <x:c r="G1637" s="32" t="n">
        <x:f t="shared" si="66">AVERAGE(E1438:E1637)</x:f>
        <x:v>1013.4431</x:v>
      </x:c>
      <x:c r="H1637" s="37" t="n">
        <x:f t="shared" si="67">IFERROR(E1637/G1637-1,"")</x:f>
        <x:v>0.08165914790874806</x:v>
      </x:c>
      <x:c r="I1637" s="38" t="b">
        <x:f t="shared" si="68">E1637&lt;G1637</x:f>
        <x:v>0</x:v>
      </x:c>
    </x:row>
    <x:row r="1638">
      <x:c r="A1638" s="31">
        <x:v>39380</x:v>
      </x:c>
      <x:c r="B1638" s="32">
        <x:v>1095.53</x:v>
      </x:c>
      <x:c r="C1638" s="32">
        <x:v>1095.53</x:v>
      </x:c>
      <x:c r="D1638" s="32">
        <x:v>1095.53</x:v>
      </x:c>
      <x:c r="E1638" s="32">
        <x:v>1095.53</x:v>
      </x:c>
      <x:c r="F1638" s="33">
        <x:v>11323150</x:v>
      </x:c>
      <x:c r="G1638" s="32" t="n">
        <x:f t="shared" si="66">AVERAGE(E1439:E1638)</x:f>
        <x:v>1015.1322</x:v>
      </x:c>
      <x:c r="H1638" s="37" t="n">
        <x:f t="shared" si="67">IFERROR(E1638/G1638-1,"")</x:f>
        <x:v>0.07919933975101956</x:v>
      </x:c>
      <x:c r="I1638" s="38" t="b">
        <x:f t="shared" si="68">E1638&lt;G1638</x:f>
        <x:v>0</x:v>
      </x:c>
    </x:row>
    <x:row r="1639">
      <x:c r="A1639" s="31">
        <x:v>39381</x:v>
      </x:c>
      <x:c r="B1639" s="32">
        <x:v>1092.48</x:v>
      </x:c>
      <x:c r="C1639" s="32">
        <x:v>1092.48</x:v>
      </x:c>
      <x:c r="D1639" s="32">
        <x:v>1092.48</x:v>
      </x:c>
      <x:c r="E1639" s="32">
        <x:v>1092.48</x:v>
      </x:c>
      <x:c r="F1639" s="33">
        <x:v>11370340</x:v>
      </x:c>
      <x:c r="G1639" s="32" t="n">
        <x:f t="shared" si="66">AVERAGE(E1440:E1639)</x:f>
        <x:v>1016.6505000000001</x:v>
      </x:c>
      <x:c r="H1639" s="37" t="n">
        <x:f t="shared" si="67">IFERROR(E1639/G1639-1,"")</x:f>
        <x:v>0.0745875795074118</x:v>
      </x:c>
      <x:c r="I1639" s="38" t="b">
        <x:f t="shared" si="68">E1639&lt;G1639</x:f>
        <x:v>0</x:v>
      </x:c>
    </x:row>
    <x:row r="1640">
      <x:c r="A1640" s="31">
        <x:v>39384</x:v>
      </x:c>
      <x:c r="B1640" s="32">
        <x:v>1064.2</x:v>
      </x:c>
      <x:c r="C1640" s="32">
        <x:v>1064.2</x:v>
      </x:c>
      <x:c r="D1640" s="32">
        <x:v>1064.2</x:v>
      </x:c>
      <x:c r="E1640" s="32">
        <x:v>1064.2</x:v>
      </x:c>
      <x:c r="F1640" s="33">
        <x:v>14098100</x:v>
      </x:c>
      <x:c r="G1640" s="32" t="n">
        <x:f t="shared" si="66">AVERAGE(E1441:E1640)</x:f>
        <x:v>1017.8889500000001</x:v>
      </x:c>
      <x:c r="H1640" s="37" t="n">
        <x:f t="shared" si="67">IFERROR(E1640/G1640-1,"")</x:f>
        <x:v>0.04549715369245333</x:v>
      </x:c>
      <x:c r="I1640" s="38" t="b">
        <x:f t="shared" si="68">E1640&lt;G1640</x:f>
        <x:v>0</x:v>
      </x:c>
    </x:row>
    <x:row r="1641">
      <x:c r="A1641" s="31">
        <x:v>39385</x:v>
      </x:c>
      <x:c r="B1641" s="32">
        <x:v>1069.78</x:v>
      </x:c>
      <x:c r="C1641" s="32">
        <x:v>1069.78</x:v>
      </x:c>
      <x:c r="D1641" s="32">
        <x:v>1069.78</x:v>
      </x:c>
      <x:c r="E1641" s="32">
        <x:v>1069.78</x:v>
      </x:c>
      <x:c r="F1641" s="33">
        <x:v>11226940</x:v>
      </x:c>
      <x:c r="G1641" s="32" t="n">
        <x:f t="shared" si="66">AVERAGE(E1442:E1641)</x:f>
        <x:v>1019.1123000000002</x:v>
      </x:c>
      <x:c r="H1641" s="37" t="n">
        <x:f t="shared" si="67">IFERROR(E1641/G1641-1,"")</x:f>
        <x:v>0.049717484520596766</x:v>
      </x:c>
      <x:c r="I1641" s="38" t="b">
        <x:f t="shared" si="68">E1641&lt;G1641</x:f>
        <x:v>0</x:v>
      </x:c>
    </x:row>
    <x:row r="1642">
      <x:c r="A1642" s="31">
        <x:v>39386</x:v>
      </x:c>
      <x:c r="B1642" s="32">
        <x:v>1065.0899999999999</x:v>
      </x:c>
      <x:c r="C1642" s="32">
        <x:v>1065.0899999999999</x:v>
      </x:c>
      <x:c r="D1642" s="32">
        <x:v>1065.0899999999999</x:v>
      </x:c>
      <x:c r="E1642" s="32">
        <x:v>1065.0899999999999</x:v>
      </x:c>
      <x:c r="F1642" s="33">
        <x:v>10967620</x:v>
      </x:c>
      <x:c r="G1642" s="32" t="n">
        <x:f t="shared" si="66">AVERAGE(E1443:E1642)</x:f>
        <x:v>1020.2132000000003</x:v>
      </x:c>
      <x:c r="H1642" s="37" t="n">
        <x:f t="shared" si="67">IFERROR(E1642/G1642-1,"")</x:f>
        <x:v>0.04398766845988633</x:v>
      </x:c>
      <x:c r="I1642" s="38" t="b">
        <x:f t="shared" si="68">E1642&lt;G1642</x:f>
        <x:v>0</x:v>
      </x:c>
    </x:row>
    <x:row r="1643">
      <x:c r="A1643" s="31">
        <x:v>39387</x:v>
      </x:c>
      <x:c r="B1643" s="32">
        <x:v>1075.92</x:v>
      </x:c>
      <x:c r="C1643" s="32">
        <x:v>1075.92</x:v>
      </x:c>
      <x:c r="D1643" s="32">
        <x:v>1075.92</x:v>
      </x:c>
      <x:c r="E1643" s="32">
        <x:v>1075.92</x:v>
      </x:c>
      <x:c r="F1643" s="33">
        <x:v>10069520</x:v>
      </x:c>
      <x:c r="G1643" s="32" t="n">
        <x:f t="shared" si="66">AVERAGE(E1444:E1643)</x:f>
        <x:v>1021.2643000000003</x:v>
      </x:c>
      <x:c r="H1643" s="37" t="n">
        <x:f t="shared" si="67">IFERROR(E1643/G1643-1,"")</x:f>
        <x:v>0.0535176839139484</x:v>
      </x:c>
      <x:c r="I1643" s="38" t="b">
        <x:f t="shared" si="68">E1643&lt;G1643</x:f>
        <x:v>0</x:v>
      </x:c>
    </x:row>
    <x:row r="1644">
      <x:c r="A1644" s="31">
        <x:v>39388</x:v>
      </x:c>
      <x:c r="B1644" s="32">
        <x:v>1066.6300000000001</x:v>
      </x:c>
      <x:c r="C1644" s="32">
        <x:v>1066.6300000000001</x:v>
      </x:c>
      <x:c r="D1644" s="32">
        <x:v>1066.6300000000001</x:v>
      </x:c>
      <x:c r="E1644" s="32">
        <x:v>1066.6300000000001</x:v>
      </x:c>
      <x:c r="F1644" s="33">
        <x:v>10449640</x:v>
      </x:c>
      <x:c r="G1644" s="32" t="n">
        <x:f t="shared" si="66">AVERAGE(E1445:E1644)</x:f>
        <x:v>1022.1703000000002</x:v>
      </x:c>
      <x:c r="H1644" s="37" t="n">
        <x:f t="shared" si="67">IFERROR(E1644/G1644-1,"")</x:f>
        <x:v>0.04349539406496139</x:v>
      </x:c>
      <x:c r="I1644" s="38" t="b">
        <x:f t="shared" si="68">E1644&lt;G1644</x:f>
        <x:v>0</x:v>
      </x:c>
    </x:row>
    <x:row r="1645">
      <x:c r="A1645" s="31">
        <x:v>39391</x:v>
      </x:c>
      <x:c r="B1645" s="32">
        <x:v>1047.1500000000001</x:v>
      </x:c>
      <x:c r="C1645" s="32">
        <x:v>1047.1500000000001</x:v>
      </x:c>
      <x:c r="D1645" s="32">
        <x:v>1047.1500000000001</x:v>
      </x:c>
      <x:c r="E1645" s="32">
        <x:v>1047.1500000000001</x:v>
      </x:c>
      <x:c r="F1645" s="33">
        <x:v>13976900</x:v>
      </x:c>
      <x:c r="G1645" s="32" t="n">
        <x:f t="shared" si="66">AVERAGE(E1446:E1645)</x:f>
        <x:v>1022.8321000000002</x:v>
      </x:c>
      <x:c r="H1645" s="37" t="n">
        <x:f t="shared" si="67">IFERROR(E1645/G1645-1,"")</x:f>
        <x:v>0.02377506533085927</x:v>
      </x:c>
      <x:c r="I1645" s="38" t="b">
        <x:f t="shared" si="68">E1645&lt;G1645</x:f>
        <x:v>0</x:v>
      </x:c>
    </x:row>
    <x:row r="1646">
      <x:c r="A1646" s="31">
        <x:v>39392</x:v>
      </x:c>
      <x:c r="B1646" s="32">
        <x:v>1031.71</x:v>
      </x:c>
      <x:c r="C1646" s="32">
        <x:v>1031.71</x:v>
      </x:c>
      <x:c r="D1646" s="32">
        <x:v>1031.71</x:v>
      </x:c>
      <x:c r="E1646" s="32">
        <x:v>1031.71</x:v>
      </x:c>
      <x:c r="F1646" s="33">
        <x:v>11111590</x:v>
      </x:c>
      <x:c r="G1646" s="32" t="n">
        <x:f t="shared" si="66">AVERAGE(E1447:E1646)</x:f>
        <x:v>1023.2549000000002</x:v>
      </x:c>
      <x:c r="H1646" s="37" t="n">
        <x:f t="shared" si="67">IFERROR(E1646/G1646-1,"")</x:f>
        <x:v>0.008262946016676542</x:v>
      </x:c>
      <x:c r="I1646" s="38" t="b">
        <x:f t="shared" si="68">E1646&lt;G1646</x:f>
        <x:v>0</x:v>
      </x:c>
    </x:row>
    <x:row r="1647">
      <x:c r="A1647" s="31">
        <x:v>39393</x:v>
      </x:c>
      <x:c r="B1647" s="32">
        <x:v>1031.2</x:v>
      </x:c>
      <x:c r="C1647" s="32">
        <x:v>1031.2</x:v>
      </x:c>
      <x:c r="D1647" s="32">
        <x:v>1031.2</x:v>
      </x:c>
      <x:c r="E1647" s="32">
        <x:v>1031.2</x:v>
      </x:c>
      <x:c r="F1647" s="33">
        <x:v>12822220</x:v>
      </x:c>
      <x:c r="G1647" s="32" t="n">
        <x:f t="shared" si="66">AVERAGE(E1448:E1647)</x:f>
        <x:v>1023.4929000000002</x:v>
      </x:c>
      <x:c r="H1647" s="37" t="n">
        <x:f t="shared" si="67">IFERROR(E1647/G1647-1,"")</x:f>
        <x:v>0.007530193907549165</x:v>
      </x:c>
      <x:c r="I1647" s="38" t="b">
        <x:f t="shared" si="68">E1647&lt;G1647</x:f>
        <x:v>0</x:v>
      </x:c>
    </x:row>
    <x:row r="1648">
      <x:c r="A1648" s="31">
        <x:v>39394</x:v>
      </x:c>
      <x:c r="B1648" s="32">
        <x:v>1026.47</x:v>
      </x:c>
      <x:c r="C1648" s="32">
        <x:v>1026.47</x:v>
      </x:c>
      <x:c r="D1648" s="32">
        <x:v>1026.47</x:v>
      </x:c>
      <x:c r="E1648" s="32">
        <x:v>1026.47</x:v>
      </x:c>
      <x:c r="F1648" s="33">
        <x:v>8231280</x:v>
      </x:c>
      <x:c r="G1648" s="32" t="n">
        <x:f t="shared" si="66">AVERAGE(E1449:E1648)</x:f>
        <x:v>1023.8004500000002</x:v>
      </x:c>
      <x:c r="H1648" s="37" t="n">
        <x:f t="shared" si="67">IFERROR(E1648/G1648-1,"")</x:f>
        <x:v>0.002607490551503222</x:v>
      </x:c>
      <x:c r="I1648" s="38" t="b">
        <x:f t="shared" si="68">E1648&lt;G1648</x:f>
        <x:v>0</x:v>
      </x:c>
    </x:row>
    <x:row r="1649">
      <x:c r="A1649" s="31">
        <x:v>39395</x:v>
      </x:c>
      <x:c r="B1649" s="32">
        <x:v>1018.29</x:v>
      </x:c>
      <x:c r="C1649" s="32">
        <x:v>1018.29</x:v>
      </x:c>
      <x:c r="D1649" s="32">
        <x:v>1018.29</x:v>
      </x:c>
      <x:c r="E1649" s="32">
        <x:v>1018.29</x:v>
      </x:c>
      <x:c r="F1649" s="33">
        <x:v>11505820</x:v>
      </x:c>
      <x:c r="G1649" s="32" t="n">
        <x:f t="shared" si="66">AVERAGE(E1450:E1649)</x:f>
        <x:v>1024.1577000000004</x:v>
      </x:c>
      <x:c r="H1649" s="37" t="n">
        <x:f t="shared" si="67">IFERROR(E1649/G1649-1,"")</x:f>
        <x:v>-0.005729293447679473</x:v>
      </x:c>
      <x:c r="I1649" s="38" t="b">
        <x:f t="shared" si="68">E1649&lt;G1649</x:f>
        <x:v>1</x:v>
      </x:c>
    </x:row>
    <x:row r="1650">
      <x:c r="A1650" s="31">
        <x:v>39398</x:v>
      </x:c>
      <x:c r="B1650" s="32">
        <x:v>1006.12</x:v>
      </x:c>
      <x:c r="C1650" s="32">
        <x:v>1006.12</x:v>
      </x:c>
      <x:c r="D1650" s="32">
        <x:v>1006.12</x:v>
      </x:c>
      <x:c r="E1650" s="32">
        <x:v>1006.12</x:v>
      </x:c>
      <x:c r="F1650" s="33">
        <x:v>9424150</x:v>
      </x:c>
      <x:c r="G1650" s="32" t="n">
        <x:f t="shared" si="66">AVERAGE(E1451:E1650)</x:f>
        <x:v>1024.0730500000002</x:v>
      </x:c>
      <x:c r="H1650" s="37" t="n">
        <x:f t="shared" si="67">IFERROR(E1650/G1650-1,"")</x:f>
        <x:v>-0.01753102476429802</x:v>
      </x:c>
      <x:c r="I1650" s="38" t="b">
        <x:f t="shared" si="68">E1650&lt;G1650</x:f>
        <x:v>1</x:v>
      </x:c>
    </x:row>
    <x:row r="1651">
      <x:c r="A1651" s="31">
        <x:v>39399</x:v>
      </x:c>
      <x:c r="B1651" s="32">
        <x:v>973.59</x:v>
      </x:c>
      <x:c r="C1651" s="32">
        <x:v>973.59</x:v>
      </x:c>
      <x:c r="D1651" s="32">
        <x:v>973.59</x:v>
      </x:c>
      <x:c r="E1651" s="32">
        <x:v>973.59</x:v>
      </x:c>
      <x:c r="F1651" s="33">
        <x:v>12839120</x:v>
      </x:c>
      <x:c r="G1651" s="32" t="n">
        <x:f t="shared" si="66">AVERAGE(E1452:E1651)</x:f>
        <x:v>1023.8025000000002</x:v>
      </x:c>
      <x:c r="H1651" s="37" t="n">
        <x:f t="shared" si="67">IFERROR(E1651/G1651-1,"")</x:f>
        <x:v>-0.04904510391408523</x:v>
      </x:c>
      <x:c r="I1651" s="38" t="b">
        <x:f t="shared" si="68">E1651&lt;G1651</x:f>
        <x:v>1</x:v>
      </x:c>
    </x:row>
    <x:row r="1652">
      <x:c r="A1652" s="31">
        <x:v>39400</x:v>
      </x:c>
      <x:c r="B1652" s="32">
        <x:v>993.75</x:v>
      </x:c>
      <x:c r="C1652" s="32">
        <x:v>993.75</x:v>
      </x:c>
      <x:c r="D1652" s="32">
        <x:v>993.75</x:v>
      </x:c>
      <x:c r="E1652" s="32">
        <x:v>993.75</x:v>
      </x:c>
      <x:c r="F1652" s="33">
        <x:v>12808490</x:v>
      </x:c>
      <x:c r="G1652" s="32" t="n">
        <x:f t="shared" si="66">AVERAGE(E1453:E1652)</x:f>
        <x:v>1023.5677500000003</x:v>
      </x:c>
      <x:c r="H1652" s="37" t="n">
        <x:f t="shared" si="67">IFERROR(E1652/G1652-1,"")</x:f>
        <x:v>-0.029131193318664317</x:v>
      </x:c>
      <x:c r="I1652" s="38" t="b">
        <x:f t="shared" si="68">E1652&lt;G1652</x:f>
        <x:v>1</x:v>
      </x:c>
    </x:row>
    <x:row r="1653">
      <x:c r="A1653" s="31">
        <x:v>39401</x:v>
      </x:c>
      <x:c r="B1653" s="32">
        <x:v>1002.71</x:v>
      </x:c>
      <x:c r="C1653" s="32">
        <x:v>1002.71</x:v>
      </x:c>
      <x:c r="D1653" s="32">
        <x:v>1002.71</x:v>
      </x:c>
      <x:c r="E1653" s="32">
        <x:v>1002.71</x:v>
      </x:c>
      <x:c r="F1653" s="33">
        <x:v>12715190</x:v>
      </x:c>
      <x:c r="G1653" s="32" t="n">
        <x:f t="shared" si="66">AVERAGE(E1454:E1653)</x:f>
        <x:v>1023.4993500000002</x:v>
      </x:c>
      <x:c r="H1653" s="37" t="n">
        <x:f t="shared" si="67">IFERROR(E1653/G1653-1,"")</x:f>
        <x:v>-0.020312030486389743</x:v>
      </x:c>
      <x:c r="I1653" s="38" t="b">
        <x:f t="shared" si="68">E1653&lt;G1653</x:f>
        <x:v>1</x:v>
      </x:c>
    </x:row>
    <x:row r="1654">
      <x:c r="A1654" s="31">
        <x:v>39402</x:v>
      </x:c>
      <x:c r="B1654" s="32">
        <x:v>998.22</x:v>
      </x:c>
      <x:c r="C1654" s="32">
        <x:v>998.22</x:v>
      </x:c>
      <x:c r="D1654" s="32">
        <x:v>998.22</x:v>
      </x:c>
      <x:c r="E1654" s="32">
        <x:v>998.22</x:v>
      </x:c>
      <x:c r="F1654" s="33">
        <x:v>8028320</x:v>
      </x:c>
      <x:c r="G1654" s="32" t="n">
        <x:f t="shared" si="66">AVERAGE(E1455:E1654)</x:f>
        <x:v>1023.5461500000002</x:v>
      </x:c>
      <x:c r="H1654" s="37" t="n">
        <x:f t="shared" si="67">IFERROR(E1654/G1654-1,"")</x:f>
        <x:v>-0.024743535013052598</x:v>
      </x:c>
      <x:c r="I1654" s="38" t="b">
        <x:f t="shared" si="68">E1654&lt;G1654</x:f>
        <x:v>1</x:v>
      </x:c>
    </x:row>
    <x:row r="1655">
      <x:c r="A1655" s="31">
        <x:v>39405</x:v>
      </x:c>
      <x:c r="B1655" s="32">
        <x:v>998.75</x:v>
      </x:c>
      <x:c r="C1655" s="32">
        <x:v>998.75</x:v>
      </x:c>
      <x:c r="D1655" s="32">
        <x:v>998.75</x:v>
      </x:c>
      <x:c r="E1655" s="32">
        <x:v>998.75</x:v>
      </x:c>
      <x:c r="F1655" s="33">
        <x:v>6406450</x:v>
      </x:c>
      <x:c r="G1655" s="32" t="n">
        <x:f t="shared" si="66">AVERAGE(E1456:E1655)</x:f>
        <x:v>1023.6661000000001</x:v>
      </x:c>
      <x:c r="H1655" s="37" t="n">
        <x:f t="shared" si="67">IFERROR(E1655/G1655-1,"")</x:f>
        <x:v>-0.0243400655741165</x:v>
      </x:c>
      <x:c r="I1655" s="38" t="b">
        <x:f t="shared" si="68">E1655&lt;G1655</x:f>
        <x:v>1</x:v>
      </x:c>
    </x:row>
    <x:row r="1656">
      <x:c r="A1656" s="31">
        <x:v>39406</x:v>
      </x:c>
      <x:c r="B1656" s="32">
        <x:v>983.52</x:v>
      </x:c>
      <x:c r="C1656" s="32">
        <x:v>983.52</x:v>
      </x:c>
      <x:c r="D1656" s="32">
        <x:v>983.52</x:v>
      </x:c>
      <x:c r="E1656" s="32">
        <x:v>983.52</x:v>
      </x:c>
      <x:c r="F1656" s="33">
        <x:v>7086490</x:v>
      </x:c>
      <x:c r="G1656" s="32" t="n">
        <x:f t="shared" si="66">AVERAGE(E1457:E1656)</x:f>
        <x:v>1023.6059500000001</x:v>
      </x:c>
      <x:c r="H1656" s="37" t="n">
        <x:f t="shared" si="67">IFERROR(E1656/G1656-1,"")</x:f>
        <x:v>-0.03916150546018238</x:v>
      </x:c>
      <x:c r="I1656" s="38" t="b">
        <x:f t="shared" si="68">E1656&lt;G1656</x:f>
        <x:v>1</x:v>
      </x:c>
    </x:row>
    <x:row r="1657">
      <x:c r="A1657" s="31">
        <x:v>39407</x:v>
      </x:c>
      <x:c r="B1657" s="32">
        <x:v>971.49</x:v>
      </x:c>
      <x:c r="C1657" s="32">
        <x:v>971.49</x:v>
      </x:c>
      <x:c r="D1657" s="32">
        <x:v>971.49</x:v>
      </x:c>
      <x:c r="E1657" s="32">
        <x:v>971.49</x:v>
      </x:c>
      <x:c r="F1657" s="33">
        <x:v>8405070</x:v>
      </x:c>
      <x:c r="G1657" s="32" t="n">
        <x:f t="shared" si="66">AVERAGE(E1458:E1657)</x:f>
        <x:v>1023.3435500000003</x:v>
      </x:c>
      <x:c r="H1657" s="37" t="n">
        <x:f t="shared" si="67">IFERROR(E1657/G1657-1,"")</x:f>
        <x:v>-0.05067071561647141</x:v>
      </x:c>
      <x:c r="I1657" s="38" t="b">
        <x:f t="shared" si="68">E1657&lt;G1657</x:f>
        <x:v>1</x:v>
      </x:c>
    </x:row>
    <x:row r="1658">
      <x:c r="A1658" s="31">
        <x:v>39408</x:v>
      </x:c>
      <x:c r="B1658" s="32">
        <x:v>977.17</x:v>
      </x:c>
      <x:c r="C1658" s="32">
        <x:v>977.17</x:v>
      </x:c>
      <x:c r="D1658" s="32">
        <x:v>977.17</x:v>
      </x:c>
      <x:c r="E1658" s="32">
        <x:v>977.17</x:v>
      </x:c>
      <x:c r="F1658" s="33">
        <x:v>7226680</x:v>
      </x:c>
      <x:c r="G1658" s="32" t="n">
        <x:f t="shared" si="66">AVERAGE(E1459:E1658)</x:f>
        <x:v>1023.0227500000004</x:v>
      </x:c>
      <x:c r="H1658" s="37" t="n">
        <x:f t="shared" si="67">IFERROR(E1658/G1658-1,"")</x:f>
        <x:v>-0.044820850758206965</x:v>
      </x:c>
      <x:c r="I1658" s="38" t="b">
        <x:f t="shared" si="68">E1658&lt;G1658</x:f>
        <x:v>1</x:v>
      </x:c>
    </x:row>
    <x:row r="1659">
      <x:c r="A1659" s="31">
        <x:v>39409</x:v>
      </x:c>
      <x:c r="B1659" s="32">
        <x:v>975.92</x:v>
      </x:c>
      <x:c r="C1659" s="32">
        <x:v>975.92</x:v>
      </x:c>
      <x:c r="D1659" s="32">
        <x:v>975.92</x:v>
      </x:c>
      <x:c r="E1659" s="32">
        <x:v>975.92</x:v>
      </x:c>
      <x:c r="F1659" s="33">
        <x:v>6357310</x:v>
      </x:c>
      <x:c r="G1659" s="32" t="n">
        <x:f t="shared" si="66">AVERAGE(E1460:E1659)</x:f>
        <x:v>1022.6557500000004</x:v>
      </x:c>
      <x:c r="H1659" s="37" t="n">
        <x:f t="shared" si="67">IFERROR(E1659/G1659-1,"")</x:f>
        <x:v>-0.04570037375724956</x:v>
      </x:c>
      <x:c r="I1659" s="38" t="b">
        <x:f t="shared" si="68">E1659&lt;G1659</x:f>
        <x:v>1</x:v>
      </x:c>
    </x:row>
    <x:row r="1660">
      <x:c r="A1660" s="31">
        <x:v>39412</x:v>
      </x:c>
      <x:c r="B1660" s="32">
        <x:v>991.38</x:v>
      </x:c>
      <x:c r="C1660" s="32">
        <x:v>991.38</x:v>
      </x:c>
      <x:c r="D1660" s="32">
        <x:v>991.38</x:v>
      </x:c>
      <x:c r="E1660" s="32">
        <x:v>991.38</x:v>
      </x:c>
      <x:c r="F1660" s="33">
        <x:v>9189060</x:v>
      </x:c>
      <x:c r="G1660" s="32" t="n">
        <x:f t="shared" si="66">AVERAGE(E1461:E1660)</x:f>
        <x:v>1022.2399000000005</x:v>
      </x:c>
      <x:c r="H1660" s="37" t="n">
        <x:f t="shared" si="67">IFERROR(E1660/G1660-1,"")</x:f>
        <x:v>-0.03018851054434535</x:v>
      </x:c>
      <x:c r="I1660" s="38" t="b">
        <x:f t="shared" si="68">E1660&lt;G1660</x:f>
        <x:v>1</x:v>
      </x:c>
    </x:row>
    <x:row r="1661">
      <x:c r="A1661" s="31">
        <x:v>39413</x:v>
      </x:c>
      <x:c r="B1661" s="32">
        <x:v>988.08</x:v>
      </x:c>
      <x:c r="C1661" s="32">
        <x:v>988.08</x:v>
      </x:c>
      <x:c r="D1661" s="32">
        <x:v>988.08</x:v>
      </x:c>
      <x:c r="E1661" s="32">
        <x:v>988.08</x:v>
      </x:c>
      <x:c r="F1661" s="33">
        <x:v>7979180</x:v>
      </x:c>
      <x:c r="G1661" s="32" t="n">
        <x:f t="shared" si="66">AVERAGE(E1462:E1661)</x:f>
        <x:v>1021.8867500000005</x:v>
      </x:c>
      <x:c r="H1661" s="37" t="n">
        <x:f t="shared" si="67">IFERROR(E1661/G1661-1,"")</x:f>
        <x:v>-0.033082677703767494</x:v>
      </x:c>
      <x:c r="I1661" s="38" t="b">
        <x:f t="shared" si="68">E1661&lt;G1661</x:f>
        <x:v>1</x:v>
      </x:c>
    </x:row>
    <x:row r="1662">
      <x:c r="A1662" s="31">
        <x:v>39414</x:v>
      </x:c>
      <x:c r="B1662" s="32">
        <x:v>984.57</x:v>
      </x:c>
      <x:c r="C1662" s="32">
        <x:v>984.57</x:v>
      </x:c>
      <x:c r="D1662" s="32">
        <x:v>984.57</x:v>
      </x:c>
      <x:c r="E1662" s="32">
        <x:v>984.57</x:v>
      </x:c>
      <x:c r="F1662" s="33">
        <x:v>6779460</x:v>
      </x:c>
      <x:c r="G1662" s="32" t="n">
        <x:f t="shared" si="66">AVERAGE(E1463:E1662)</x:f>
        <x:v>1021.3527000000004</x:v>
      </x:c>
      <x:c r="H1662" s="37" t="n">
        <x:f t="shared" si="67">IFERROR(E1662/G1662-1,"")</x:f>
        <x:v>-0.036013710053344306</x:v>
      </x:c>
      <x:c r="I1662" s="38" t="b">
        <x:f t="shared" si="68">E1662&lt;G1662</x:f>
        <x:v>1</x:v>
      </x:c>
    </x:row>
    <x:row r="1663">
      <x:c r="A1663" s="31">
        <x:v>39415</x:v>
      </x:c>
      <x:c r="B1663" s="32">
        <x:v>980.09</x:v>
      </x:c>
      <x:c r="C1663" s="32">
        <x:v>980.09</x:v>
      </x:c>
      <x:c r="D1663" s="32">
        <x:v>980.09</x:v>
      </x:c>
      <x:c r="E1663" s="32">
        <x:v>980.09</x:v>
      </x:c>
      <x:c r="F1663" s="33">
        <x:v>6741150</x:v>
      </x:c>
      <x:c r="G1663" s="32" t="n">
        <x:f t="shared" si="66">AVERAGE(E1464:E1663)</x:f>
        <x:v>1020.7744000000004</x:v>
      </x:c>
      <x:c r="H1663" s="37" t="n">
        <x:f t="shared" si="67">IFERROR(E1663/G1663-1,"")</x:f>
        <x:v>-0.03985640705723059</x:v>
      </x:c>
      <x:c r="I1663" s="38" t="b">
        <x:f t="shared" si="68">E1663&lt;G1663</x:f>
        <x:v>1</x:v>
      </x:c>
    </x:row>
    <x:row r="1664">
      <x:c r="A1664" s="31">
        <x:v>39416</x:v>
      </x:c>
      <x:c r="B1664" s="32">
        <x:v>972.35</x:v>
      </x:c>
      <x:c r="C1664" s="32">
        <x:v>972.35</x:v>
      </x:c>
      <x:c r="D1664" s="32">
        <x:v>972.35</x:v>
      </x:c>
      <x:c r="E1664" s="32">
        <x:v>972.35</x:v>
      </x:c>
      <x:c r="F1664" s="33">
        <x:v>8267420</x:v>
      </x:c>
      <x:c r="G1664" s="32" t="n">
        <x:f t="shared" si="66">AVERAGE(E1465:E1664)</x:f>
        <x:v>1020.3718500000004</x:v>
      </x:c>
      <x:c r="H1664" s="37" t="n">
        <x:f t="shared" si="67">IFERROR(E1664/G1664-1,"")</x:f>
        <x:v>-0.047063087834107176</x:v>
      </x:c>
      <x:c r="I1664" s="38" t="b">
        <x:f t="shared" si="68">E1664&lt;G1664</x:f>
        <x:v>1</x:v>
      </x:c>
    </x:row>
    <x:row r="1665">
      <x:c r="A1665" s="31">
        <x:v>39419</x:v>
      </x:c>
      <x:c r="B1665" s="32">
        <x:v>987.96</x:v>
      </x:c>
      <x:c r="C1665" s="32">
        <x:v>987.96</x:v>
      </x:c>
      <x:c r="D1665" s="32">
        <x:v>987.96</x:v>
      </x:c>
      <x:c r="E1665" s="32">
        <x:v>987.96</x:v>
      </x:c>
      <x:c r="F1665" s="33">
        <x:v>8220190</x:v>
      </x:c>
      <x:c r="G1665" s="32" t="n">
        <x:f t="shared" si="66">AVERAGE(E1466:E1665)</x:f>
        <x:v>1020.1571500000002</x:v>
      </x:c>
      <x:c r="H1665" s="37" t="n">
        <x:f t="shared" si="67">IFERROR(E1665/G1665-1,"")</x:f>
        <x:v>-0.03156097077788478</x:v>
      </x:c>
      <x:c r="I1665" s="38" t="b">
        <x:f t="shared" si="68">E1665&lt;G1665</x:f>
        <x:v>1</x:v>
      </x:c>
    </x:row>
    <x:row r="1666">
      <x:c r="A1666" s="31">
        <x:v>39420</x:v>
      </x:c>
      <x:c r="B1666" s="32">
        <x:v>988.91</x:v>
      </x:c>
      <x:c r="C1666" s="32">
        <x:v>988.91</x:v>
      </x:c>
      <x:c r="D1666" s="32">
        <x:v>988.91</x:v>
      </x:c>
      <x:c r="E1666" s="32">
        <x:v>988.91</x:v>
      </x:c>
      <x:c r="F1666" s="33">
        <x:v>9313430</x:v>
      </x:c>
      <x:c r="G1666" s="32" t="n">
        <x:f t="shared" si="66">AVERAGE(E1467:E1666)</x:f>
        <x:v>1019.8304000000004</x:v>
      </x:c>
      <x:c r="H1666" s="37" t="n">
        <x:f t="shared" si="67">IFERROR(E1666/G1666-1,"")</x:f>
        <x:v>-0.03031915895035142</x:v>
      </x:c>
      <x:c r="I1666" s="38" t="b">
        <x:f t="shared" si="68">E1666&lt;G1666</x:f>
        <x:v>1</x:v>
      </x:c>
    </x:row>
    <x:row r="1667">
      <x:c r="A1667" s="31">
        <x:v>39421</x:v>
      </x:c>
      <x:c r="B1667" s="32">
        <x:v>976.21</x:v>
      </x:c>
      <x:c r="C1667" s="32">
        <x:v>976.21</x:v>
      </x:c>
      <x:c r="D1667" s="32">
        <x:v>976.21</x:v>
      </x:c>
      <x:c r="E1667" s="32">
        <x:v>976.21</x:v>
      </x:c>
      <x:c r="F1667" s="33">
        <x:v>7609570</x:v>
      </x:c>
      <x:c r="G1667" s="32" t="n">
        <x:f t="shared" si="66">AVERAGE(E1468:E1667)</x:f>
        <x:v>1019.3391500000002</x:v>
      </x:c>
      <x:c r="H1667" s="37" t="n">
        <x:f t="shared" si="67">IFERROR(E1667/G1667-1,"")</x:f>
        <x:v>-0.04231089328806825</x:v>
      </x:c>
      <x:c r="I1667" s="38" t="b">
        <x:f t="shared" si="68">E1667&lt;G1667</x:f>
        <x:v>1</x:v>
      </x:c>
    </x:row>
    <x:row r="1668">
      <x:c r="A1668" s="31">
        <x:v>39422</x:v>
      </x:c>
      <x:c r="B1668" s="32">
        <x:v>974.46</x:v>
      </x:c>
      <x:c r="C1668" s="32">
        <x:v>974.46</x:v>
      </x:c>
      <x:c r="D1668" s="32">
        <x:v>974.46</x:v>
      </x:c>
      <x:c r="E1668" s="32">
        <x:v>974.46</x:v>
      </x:c>
      <x:c r="F1668" s="33">
        <x:v>5878330</x:v>
      </x:c>
      <x:c r="G1668" s="32" t="n">
        <x:f t="shared" si="66">AVERAGE(E1469:E1668)</x:f>
        <x:v>1018.8455000000001</x:v>
      </x:c>
      <x:c r="H1668" s="37" t="n">
        <x:f t="shared" si="67">IFERROR(E1668/G1668-1,"")</x:f>
        <x:v>-0.04356450511878407</x:v>
      </x:c>
      <x:c r="I1668" s="38" t="b">
        <x:f t="shared" si="68">E1668&lt;G1668</x:f>
        <x:v>1</x:v>
      </x:c>
    </x:row>
    <x:row r="1669">
      <x:c r="A1669" s="31">
        <x:v>39423</x:v>
      </x:c>
      <x:c r="B1669" s="32">
        <x:v>974.63</x:v>
      </x:c>
      <x:c r="C1669" s="32">
        <x:v>974.63</x:v>
      </x:c>
      <x:c r="D1669" s="32">
        <x:v>974.63</x:v>
      </x:c>
      <x:c r="E1669" s="32">
        <x:v>974.63</x:v>
      </x:c>
      <x:c r="F1669" s="33">
        <x:v>6455380</x:v>
      </x:c>
      <x:c r="G1669" s="32" t="n">
        <x:f t="shared" si="66">AVERAGE(E1470:E1669)</x:f>
        <x:v>1018.3024000000001</x:v>
      </x:c>
      <x:c r="H1669" s="37" t="n">
        <x:f t="shared" si="67">IFERROR(E1669/G1669-1,"")</x:f>
        <x:v>-0.0428874566140669</x:v>
      </x:c>
      <x:c r="I1669" s="38" t="b">
        <x:f t="shared" si="68">E1669&lt;G1669</x:f>
        <x:v>1</x:v>
      </x:c>
    </x:row>
    <x:row r="1670">
      <x:c r="A1670" s="31">
        <x:v>39426</x:v>
      </x:c>
      <x:c r="B1670" s="32">
        <x:v>958.48</x:v>
      </x:c>
      <x:c r="C1670" s="32">
        <x:v>958.48</x:v>
      </x:c>
      <x:c r="D1670" s="32">
        <x:v>958.48</x:v>
      </x:c>
      <x:c r="E1670" s="32">
        <x:v>958.48</x:v>
      </x:c>
      <x:c r="F1670" s="33">
        <x:v>6210520</x:v>
      </x:c>
      <x:c r="G1670" s="32" t="n">
        <x:f t="shared" si="66">AVERAGE(E1471:E1670)</x:f>
        <x:v>1017.4497000000001</x:v>
      </x:c>
      <x:c r="H1670" s="37" t="n">
        <x:f t="shared" si="67">IFERROR(E1670/G1670-1,"")</x:f>
        <x:v>-0.057958344279820495</x:v>
      </x:c>
      <x:c r="I1670" s="38" t="b">
        <x:f t="shared" si="68">E1670&lt;G1670</x:f>
        <x:v>1</x:v>
      </x:c>
    </x:row>
    <x:row r="1671">
      <x:c r="A1671" s="31">
        <x:v>39427</x:v>
      </x:c>
      <x:c r="B1671" s="32">
        <x:v>941.04</x:v>
      </x:c>
      <x:c r="C1671" s="32">
        <x:v>941.04</x:v>
      </x:c>
      <x:c r="D1671" s="32">
        <x:v>941.04</x:v>
      </x:c>
      <x:c r="E1671" s="32">
        <x:v>941.04</x:v>
      </x:c>
      <x:c r="F1671" s="33">
        <x:v>7389530</x:v>
      </x:c>
      <x:c r="G1671" s="32" t="n">
        <x:f t="shared" si="66">AVERAGE(E1472:E1671)</x:f>
        <x:v>1016.3181000000003</x:v>
      </x:c>
      <x:c r="H1671" s="37" t="n">
        <x:f t="shared" si="67">IFERROR(E1671/G1671-1,"")</x:f>
        <x:v>-0.07406942767230096</x:v>
      </x:c>
      <x:c r="I1671" s="38" t="b">
        <x:f t="shared" si="68">E1671&lt;G1671</x:f>
        <x:v>1</x:v>
      </x:c>
    </x:row>
    <x:row r="1672">
      <x:c r="A1672" s="31">
        <x:v>39428</x:v>
      </x:c>
      <x:c r="B1672" s="32">
        <x:v>946.32</x:v>
      </x:c>
      <x:c r="C1672" s="32">
        <x:v>946.32</x:v>
      </x:c>
      <x:c r="D1672" s="32">
        <x:v>946.32</x:v>
      </x:c>
      <x:c r="E1672" s="32">
        <x:v>946.32</x:v>
      </x:c>
      <x:c r="F1672" s="33">
        <x:v>7460800</x:v>
      </x:c>
      <x:c r="G1672" s="32" t="n">
        <x:f t="shared" si="66">AVERAGE(E1473:E1672)</x:f>
        <x:v>1015.3612500000003</x:v>
      </x:c>
      <x:c r="H1672" s="37" t="n">
        <x:f t="shared" si="67">IFERROR(E1672/G1672-1,"")</x:f>
        <x:v>-0.06799673515214433</x:v>
      </x:c>
      <x:c r="I1672" s="38" t="b">
        <x:f t="shared" si="68">E1672&lt;G1672</x:f>
        <x:v>1</x:v>
      </x:c>
    </x:row>
    <x:row r="1673">
      <x:c r="A1673" s="31">
        <x:v>39429</x:v>
      </x:c>
      <x:c r="B1673" s="32">
        <x:v>930.36</x:v>
      </x:c>
      <x:c r="C1673" s="32">
        <x:v>930.36</x:v>
      </x:c>
      <x:c r="D1673" s="32">
        <x:v>930.36</x:v>
      </x:c>
      <x:c r="E1673" s="32">
        <x:v>930.36</x:v>
      </x:c>
      <x:c r="F1673" s="33">
        <x:v>5793160</x:v>
      </x:c>
      <x:c r="G1673" s="32" t="n">
        <x:f t="shared" si="66">AVERAGE(E1474:E1673)</x:f>
        <x:v>1014.3977000000002</x:v>
      </x:c>
      <x:c r="H1673" s="37" t="n">
        <x:f t="shared" si="67">IFERROR(E1673/G1673-1,"")</x:f>
        <x:v>-0.08284492364286722</x:v>
      </x:c>
      <x:c r="I1673" s="38" t="b">
        <x:f t="shared" si="68">E1673&lt;G1673</x:f>
        <x:v>1</x:v>
      </x:c>
    </x:row>
    <x:row r="1674">
      <x:c r="A1674" s="31">
        <x:v>39430</x:v>
      </x:c>
      <x:c r="B1674" s="32">
        <x:v>922.09</x:v>
      </x:c>
      <x:c r="C1674" s="32">
        <x:v>922.09</x:v>
      </x:c>
      <x:c r="D1674" s="32">
        <x:v>922.09</x:v>
      </x:c>
      <x:c r="E1674" s="32">
        <x:v>922.09</x:v>
      </x:c>
      <x:c r="F1674" s="33">
        <x:v>5404390</x:v>
      </x:c>
      <x:c r="G1674" s="32" t="n">
        <x:f t="shared" si="66">AVERAGE(E1475:E1674)</x:f>
        <x:v>1013.2698500000001</x:v>
      </x:c>
      <x:c r="H1674" s="37" t="n">
        <x:f t="shared" si="67">IFERROR(E1674/G1674-1,"")</x:f>
        <x:v>-0.08998575256137353</x:v>
      </x:c>
      <x:c r="I1674" s="38" t="b">
        <x:f t="shared" si="68">E1674&lt;G1674</x:f>
        <x:v>1</x:v>
      </x:c>
    </x:row>
    <x:row r="1675">
      <x:c r="A1675" s="31">
        <x:v>39433</x:v>
      </x:c>
      <x:c r="B1675" s="32">
        <x:v>911.15</x:v>
      </x:c>
      <x:c r="C1675" s="32">
        <x:v>911.15</x:v>
      </x:c>
      <x:c r="D1675" s="32">
        <x:v>911.15</x:v>
      </x:c>
      <x:c r="E1675" s="32">
        <x:v>911.15</x:v>
      </x:c>
      <x:c r="F1675" s="33">
        <x:v>5599770</x:v>
      </x:c>
      <x:c r="G1675" s="32" t="n">
        <x:f t="shared" si="66">AVERAGE(E1476:E1675)</x:f>
        <x:v>1012.0311000000002</x:v>
      </x:c>
      <x:c r="H1675" s="37" t="n">
        <x:f t="shared" si="67">IFERROR(E1675/G1675-1,"")</x:f>
        <x:v>-0.09968181807851573</x:v>
      </x:c>
      <x:c r="I1675" s="38" t="b">
        <x:f t="shared" si="68">E1675&lt;G1675</x:f>
        <x:v>1</x:v>
      </x:c>
    </x:row>
    <x:row r="1676">
      <x:c r="A1676" s="31">
        <x:v>39434</x:v>
      </x:c>
      <x:c r="B1676" s="32">
        <x:v>919.6</x:v>
      </x:c>
      <x:c r="C1676" s="32">
        <x:v>919.6</x:v>
      </x:c>
      <x:c r="D1676" s="32">
        <x:v>919.6</x:v>
      </x:c>
      <x:c r="E1676" s="32">
        <x:v>919.6</x:v>
      </x:c>
      <x:c r="F1676" s="33">
        <x:v>7068380</x:v>
      </x:c>
      <x:c r="G1676" s="32" t="n">
        <x:f t="shared" si="66">AVERAGE(E1477:E1676)</x:f>
        <x:v>1010.9625500000001</x:v>
      </x:c>
      <x:c r="H1676" s="37" t="n">
        <x:f t="shared" si="67">IFERROR(E1676/G1676-1,"")</x:f>
        <x:v>-0.09037184414002286</x:v>
      </x:c>
      <x:c r="I1676" s="38" t="b">
        <x:f t="shared" si="68">E1676&lt;G1676</x:f>
        <x:v>1</x:v>
      </x:c>
    </x:row>
    <x:row r="1677">
      <x:c r="A1677" s="31">
        <x:v>39435</x:v>
      </x:c>
      <x:c r="B1677" s="32">
        <x:v>946.78</x:v>
      </x:c>
      <x:c r="C1677" s="32">
        <x:v>946.78</x:v>
      </x:c>
      <x:c r="D1677" s="32">
        <x:v>946.78</x:v>
      </x:c>
      <x:c r="E1677" s="32">
        <x:v>946.78</x:v>
      </x:c>
      <x:c r="F1677" s="33">
        <x:v>8299280</x:v>
      </x:c>
      <x:c r="G1677" s="32" t="n">
        <x:f t="shared" ref="G1677:G1740" si="69">AVERAGE(E1478:E1677)</x:f>
        <x:v>1010.0353</x:v>
      </x:c>
      <x:c r="H1677" s="37" t="n">
        <x:f t="shared" ref="H1677:H1740" si="70">IFERROR(E1677/G1677-1,"")</x:f>
        <x:v>-0.06262682106259065</x:v>
      </x:c>
      <x:c r="I1677" s="38" t="b">
        <x:f t="shared" ref="I1677:I1740" si="71">E1677&lt;G1677</x:f>
        <x:v>1</x:v>
      </x:c>
    </x:row>
    <x:row r="1678">
      <x:c r="A1678" s="31">
        <x:v>39436</x:v>
      </x:c>
      <x:c r="B1678" s="32">
        <x:v>930.45</x:v>
      </x:c>
      <x:c r="C1678" s="32">
        <x:v>930.45</x:v>
      </x:c>
      <x:c r="D1678" s="32">
        <x:v>930.45</x:v>
      </x:c>
      <x:c r="E1678" s="32">
        <x:v>930.45</x:v>
      </x:c>
      <x:c r="F1678" s="33">
        <x:v>7018570</x:v>
      </x:c>
      <x:c r="G1678" s="32" t="n">
        <x:f t="shared" si="69">AVERAGE(E1479:E1678)</x:f>
        <x:v>1008.9796000000002</x:v>
      </x:c>
      <x:c r="H1678" s="37" t="n">
        <x:f t="shared" si="70">IFERROR(E1678/G1678-1,"")</x:f>
        <x:v>-0.07783071134441188</x:v>
      </x:c>
      <x:c r="I1678" s="38" t="b">
        <x:f t="shared" si="71">E1678&lt;G1678</x:f>
        <x:v>1</x:v>
      </x:c>
    </x:row>
    <x:row r="1679">
      <x:c r="A1679" s="31">
        <x:v>39437</x:v>
      </x:c>
      <x:c r="B1679" s="32">
        <x:v>935.07</x:v>
      </x:c>
      <x:c r="C1679" s="32">
        <x:v>935.07</x:v>
      </x:c>
      <x:c r="D1679" s="32">
        <x:v>935.07</x:v>
      </x:c>
      <x:c r="E1679" s="32">
        <x:v>935.07</x:v>
      </x:c>
      <x:c r="F1679" s="33">
        <x:v>6655160</x:v>
      </x:c>
      <x:c r="G1679" s="32" t="n">
        <x:f t="shared" si="69">AVERAGE(E1480:E1679)</x:f>
        <x:v>1007.8765500000003</x:v>
      </x:c>
      <x:c r="H1679" s="37" t="n">
        <x:f t="shared" si="70">IFERROR(E1679/G1679-1,"")</x:f>
        <x:v>-0.07223756719014862</x:v>
      </x:c>
      <x:c r="I1679" s="38" t="b">
        <x:f t="shared" si="71">E1679&lt;G1679</x:f>
        <x:v>1</x:v>
      </x:c>
    </x:row>
    <x:row r="1680">
      <x:c r="A1680" s="31">
        <x:v>39440</x:v>
      </x:c>
      <x:c r="B1680" s="32">
        <x:v>930.86</x:v>
      </x:c>
      <x:c r="C1680" s="32">
        <x:v>930.86</x:v>
      </x:c>
      <x:c r="D1680" s="32">
        <x:v>930.86</x:v>
      </x:c>
      <x:c r="E1680" s="32">
        <x:v>930.86</x:v>
      </x:c>
      <x:c r="F1680" s="33">
        <x:v>5457610</x:v>
      </x:c>
      <x:c r="G1680" s="32" t="n">
        <x:f t="shared" si="69">AVERAGE(E1481:E1680)</x:f>
        <x:v>1006.6775000000001</x:v>
      </x:c>
      <x:c r="H1680" s="37" t="n">
        <x:f t="shared" si="70">IFERROR(E1680/G1680-1,"")</x:f>
        <x:v>-0.07531458684633374</x:v>
      </x:c>
      <x:c r="I1680" s="38" t="b">
        <x:f t="shared" si="71">E1680&lt;G1680</x:f>
        <x:v>1</x:v>
      </x:c>
    </x:row>
    <x:row r="1681">
      <x:c r="A1681" s="31">
        <x:v>39441</x:v>
      </x:c>
      <x:c r="B1681" s="32">
        <x:v>918.43</x:v>
      </x:c>
      <x:c r="C1681" s="32">
        <x:v>918.43</x:v>
      </x:c>
      <x:c r="D1681" s="32">
        <x:v>918.43</x:v>
      </x:c>
      <x:c r="E1681" s="32">
        <x:v>918.43</x:v>
      </x:c>
      <x:c r="F1681" s="33">
        <x:v>5831860</x:v>
      </x:c>
      <x:c r="G1681" s="32" t="n">
        <x:f t="shared" si="69">AVERAGE(E1482:E1681)</x:f>
        <x:v>1005.4783000000002</x:v>
      </x:c>
      <x:c r="H1681" s="37" t="n">
        <x:f t="shared" si="70">IFERROR(E1681/G1681-1,"")</x:f>
        <x:v>-0.08657402153780969</x:v>
      </x:c>
      <x:c r="I1681" s="38" t="b">
        <x:f t="shared" si="71">E1681&lt;G1681</x:f>
        <x:v>1</x:v>
      </x:c>
    </x:row>
    <x:row r="1682">
      <x:c r="A1682" s="31">
        <x:v>39442</x:v>
      </x:c>
      <x:c r="B1682" s="32">
        <x:v>924.37</x:v>
      </x:c>
      <x:c r="C1682" s="32">
        <x:v>924.37</x:v>
      </x:c>
      <x:c r="D1682" s="32">
        <x:v>924.37</x:v>
      </x:c>
      <x:c r="E1682" s="32">
        <x:v>924.37</x:v>
      </x:c>
      <x:c r="F1682" s="33">
        <x:v>5510840</x:v>
      </x:c>
      <x:c r="G1682" s="32" t="n">
        <x:f t="shared" si="69">AVERAGE(E1483:E1682)</x:f>
        <x:v>1004.5291000000002</x:v>
      </x:c>
      <x:c r="H1682" s="37" t="n">
        <x:f t="shared" si="70">IFERROR(E1682/G1682-1,"")</x:f>
        <x:v>-0.07979768828996614</x:v>
      </x:c>
      <x:c r="I1682" s="38" t="b">
        <x:f t="shared" si="71">E1682&lt;G1682</x:f>
        <x:v>1</x:v>
      </x:c>
    </x:row>
    <x:row r="1683">
      <x:c r="A1683" s="31">
        <x:v>39443</x:v>
      </x:c>
      <x:c r="B1683" s="32">
        <x:v>921.75</x:v>
      </x:c>
      <x:c r="C1683" s="32">
        <x:v>921.75</x:v>
      </x:c>
      <x:c r="D1683" s="32">
        <x:v>921.75</x:v>
      </x:c>
      <x:c r="E1683" s="32">
        <x:v>921.75</x:v>
      </x:c>
      <x:c r="F1683" s="33">
        <x:v>5449580</x:v>
      </x:c>
      <x:c r="G1683" s="32" t="n">
        <x:f t="shared" si="69">AVERAGE(E1484:E1683)</x:f>
        <x:v>1003.8102500000001</x:v>
      </x:c>
      <x:c r="H1683" s="37" t="n">
        <x:f t="shared" si="70">IFERROR(E1683/G1683-1,"")</x:f>
        <x:v>-0.08174876676144727</x:v>
      </x:c>
      <x:c r="I1683" s="38" t="b">
        <x:f t="shared" si="71">E1683&lt;G1683</x:f>
        <x:v>1</x:v>
      </x:c>
    </x:row>
    <x:row r="1684">
      <x:c r="A1684" s="31">
        <x:v>39444</x:v>
      </x:c>
      <x:c r="B1684" s="32">
        <x:v>927.02</x:v>
      </x:c>
      <x:c r="C1684" s="32">
        <x:v>927.02</x:v>
      </x:c>
      <x:c r="D1684" s="32">
        <x:v>927.02</x:v>
      </x:c>
      <x:c r="E1684" s="32">
        <x:v>927.02</x:v>
      </x:c>
      <x:c r="F1684" s="33">
        <x:v>5296830</x:v>
      </x:c>
      <x:c r="G1684" s="32" t="n">
        <x:f t="shared" si="69">AVERAGE(E1485:E1684)</x:f>
        <x:v>1002.8965499999999</x:v>
      </x:c>
      <x:c r="H1684" s="37" t="n">
        <x:f t="shared" si="70">IFERROR(E1684/G1684-1,"")</x:f>
        <x:v>-0.07565740454486558</x:v>
      </x:c>
      <x:c r="I1684" s="38" t="b">
        <x:f t="shared" si="71">E1684&lt;G1684</x:f>
        <x:v>1</x:v>
      </x:c>
    </x:row>
    <x:row r="1685">
      <x:c r="A1685" s="31">
        <x:v>39449</x:v>
      </x:c>
      <x:c r="B1685" s="32">
        <x:v>921.07</x:v>
      </x:c>
      <x:c r="C1685" s="32">
        <x:v>921.07</x:v>
      </x:c>
      <x:c r="D1685" s="32">
        <x:v>921.07</x:v>
      </x:c>
      <x:c r="E1685" s="32">
        <x:v>921.07</x:v>
      </x:c>
      <x:c r="F1685" s="33">
        <x:v>4543630</x:v>
      </x:c>
      <x:c r="G1685" s="32" t="n">
        <x:f t="shared" si="69">AVERAGE(E1486:E1685)</x:f>
        <x:v>1001.8352</x:v>
      </x:c>
      <x:c r="H1685" s="37" t="n">
        <x:f t="shared" si="70">IFERROR(E1685/G1685-1,"")</x:f>
        <x:v>-0.08061725122055996</x:v>
      </x:c>
      <x:c r="I1685" s="38" t="b">
        <x:f t="shared" si="71">E1685&lt;G1685</x:f>
        <x:v>1</x:v>
      </x:c>
    </x:row>
    <x:row r="1686">
      <x:c r="A1686" s="31">
        <x:v>39450</x:v>
      </x:c>
      <x:c r="B1686" s="32">
        <x:v>908.25</x:v>
      </x:c>
      <x:c r="C1686" s="32">
        <x:v>908.25</x:v>
      </x:c>
      <x:c r="D1686" s="32">
        <x:v>908.25</x:v>
      </x:c>
      <x:c r="E1686" s="32">
        <x:v>908.25</x:v>
      </x:c>
      <x:c r="F1686" s="33">
        <x:v>4850620</x:v>
      </x:c>
      <x:c r="G1686" s="32" t="n">
        <x:f t="shared" si="69">AVERAGE(E1487:E1686)</x:f>
        <x:v>1000.7902</x:v>
      </x:c>
      <x:c r="H1686" s="37" t="n">
        <x:f t="shared" si="70">IFERROR(E1686/G1686-1,"")</x:f>
        <x:v>-0.09246713247192073</x:v>
      </x:c>
      <x:c r="I1686" s="38" t="b">
        <x:f t="shared" si="71">E1686&lt;G1686</x:f>
        <x:v>1</x:v>
      </x:c>
    </x:row>
    <x:row r="1687">
      <x:c r="A1687" s="31">
        <x:v>39451</x:v>
      </x:c>
      <x:c r="B1687" s="32">
        <x:v>903.09</x:v>
      </x:c>
      <x:c r="C1687" s="32">
        <x:v>903.09</x:v>
      </x:c>
      <x:c r="D1687" s="32">
        <x:v>903.09</x:v>
      </x:c>
      <x:c r="E1687" s="32">
        <x:v>903.09</x:v>
      </x:c>
      <x:c r="F1687" s="33">
        <x:v>4409690</x:v>
      </x:c>
      <x:c r="G1687" s="32" t="n">
        <x:f t="shared" si="69">AVERAGE(E1488:E1687)</x:f>
        <x:v>999.7475000000002</x:v>
      </x:c>
      <x:c r="H1687" s="37" t="n">
        <x:f t="shared" si="70">IFERROR(E1687/G1687-1,"")</x:f>
        <x:v>-0.09668191218282629</x:v>
      </x:c>
      <x:c r="I1687" s="38" t="b">
        <x:f t="shared" si="71">E1687&lt;G1687</x:f>
        <x:v>1</x:v>
      </x:c>
    </x:row>
    <x:row r="1688">
      <x:c r="A1688" s="31">
        <x:v>39454</x:v>
      </x:c>
      <x:c r="B1688" s="32">
        <x:v>887.08</x:v>
      </x:c>
      <x:c r="C1688" s="32">
        <x:v>887.08</x:v>
      </x:c>
      <x:c r="D1688" s="32">
        <x:v>887.08</x:v>
      </x:c>
      <x:c r="E1688" s="32">
        <x:v>887.08</x:v>
      </x:c>
      <x:c r="F1688" s="33">
        <x:v>6177560</x:v>
      </x:c>
      <x:c r="G1688" s="32" t="n">
        <x:f t="shared" si="69">AVERAGE(E1489:E1688)</x:f>
        <x:v>998.6838</x:v>
      </x:c>
      <x:c r="H1688" s="37" t="n">
        <x:f t="shared" si="70">IFERROR(E1688/G1688-1,"")</x:f>
        <x:v>-0.1117508865168334</x:v>
      </x:c>
      <x:c r="I1688" s="38" t="b">
        <x:f t="shared" si="71">E1688&lt;G1688</x:f>
        <x:v>1</x:v>
      </x:c>
    </x:row>
    <x:row r="1689">
      <x:c r="A1689" s="31">
        <x:v>39455</x:v>
      </x:c>
      <x:c r="B1689" s="32">
        <x:v>893.74</x:v>
      </x:c>
      <x:c r="C1689" s="32">
        <x:v>893.74</x:v>
      </x:c>
      <x:c r="D1689" s="32">
        <x:v>893.74</x:v>
      </x:c>
      <x:c r="E1689" s="32">
        <x:v>893.74</x:v>
      </x:c>
      <x:c r="F1689" s="33">
        <x:v>5919770</x:v>
      </x:c>
      <x:c r="G1689" s="32" t="n">
        <x:f t="shared" si="69">AVERAGE(E1490:E1689)</x:f>
        <x:v>997.6996999999999</x:v>
      </x:c>
      <x:c r="H1689" s="37" t="n">
        <x:f t="shared" si="70">IFERROR(E1689/G1689-1,"")</x:f>
        <x:v>-0.1041993898564868</x:v>
      </x:c>
      <x:c r="I1689" s="38" t="b">
        <x:f t="shared" si="71">E1689&lt;G1689</x:f>
        <x:v>1</x:v>
      </x:c>
    </x:row>
    <x:row r="1690">
      <x:c r="A1690" s="31">
        <x:v>39456</x:v>
      </x:c>
      <x:c r="B1690" s="32">
        <x:v>878.41</x:v>
      </x:c>
      <x:c r="C1690" s="32">
        <x:v>878.41</x:v>
      </x:c>
      <x:c r="D1690" s="32">
        <x:v>878.41</x:v>
      </x:c>
      <x:c r="E1690" s="32">
        <x:v>878.41</x:v>
      </x:c>
      <x:c r="F1690" s="33">
        <x:v>6115760</x:v>
      </x:c>
      <x:c r="G1690" s="32" t="n">
        <x:f t="shared" si="69">AVERAGE(E1491:E1690)</x:f>
        <x:v>996.7309499999999</x:v>
      </x:c>
      <x:c r="H1690" s="37" t="n">
        <x:f t="shared" si="70">IFERROR(E1690/G1690-1,"")</x:f>
        <x:v>-0.11870901570779957</x:v>
      </x:c>
      <x:c r="I1690" s="38" t="b">
        <x:f t="shared" si="71">E1690&lt;G1690</x:f>
        <x:v>1</x:v>
      </x:c>
    </x:row>
    <x:row r="1691">
      <x:c r="A1691" s="31">
        <x:v>39457</x:v>
      </x:c>
      <x:c r="B1691" s="32">
        <x:v>850.07</x:v>
      </x:c>
      <x:c r="C1691" s="32">
        <x:v>850.07</x:v>
      </x:c>
      <x:c r="D1691" s="32">
        <x:v>850.07</x:v>
      </x:c>
      <x:c r="E1691" s="32">
        <x:v>850.07</x:v>
      </x:c>
      <x:c r="F1691" s="33">
        <x:v>10101130</x:v>
      </x:c>
      <x:c r="G1691" s="32" t="n">
        <x:f t="shared" si="69">AVERAGE(E1492:E1691)</x:f>
        <x:v>995.8100999999999</x:v>
      </x:c>
      <x:c r="H1691" s="37" t="n">
        <x:f t="shared" si="70">IFERROR(E1691/G1691-1,"")</x:f>
        <x:v>-0.14635330571561778</x:v>
      </x:c>
      <x:c r="I1691" s="38" t="b">
        <x:f t="shared" si="71">E1691&lt;G1691</x:f>
        <x:v>1</x:v>
      </x:c>
    </x:row>
    <x:row r="1692">
      <x:c r="A1692" s="31">
        <x:v>39458</x:v>
      </x:c>
      <x:c r="B1692" s="32">
        <x:v>860.77</x:v>
      </x:c>
      <x:c r="C1692" s="32">
        <x:v>860.77</x:v>
      </x:c>
      <x:c r="D1692" s="32">
        <x:v>860.77</x:v>
      </x:c>
      <x:c r="E1692" s="32">
        <x:v>860.77</x:v>
      </x:c>
      <x:c r="F1692" s="33">
        <x:v>7088110</x:v>
      </x:c>
      <x:c r="G1692" s="32" t="n">
        <x:f t="shared" si="69">AVERAGE(E1493:E1692)</x:f>
        <x:v>994.9549999999998</x:v>
      </x:c>
      <x:c r="H1692" s="37" t="n">
        <x:f t="shared" si="70">IFERROR(E1692/G1692-1,"")</x:f>
        <x:v>-0.13486539592242852</x:v>
      </x:c>
      <x:c r="I1692" s="38" t="b">
        <x:f t="shared" si="71">E1692&lt;G1692</x:f>
        <x:v>1</x:v>
      </x:c>
    </x:row>
    <x:row r="1693">
      <x:c r="A1693" s="31">
        <x:v>39461</x:v>
      </x:c>
      <x:c r="B1693" s="32">
        <x:v>841</x:v>
      </x:c>
      <x:c r="C1693" s="32">
        <x:v>841</x:v>
      </x:c>
      <x:c r="D1693" s="32">
        <x:v>841</x:v>
      </x:c>
      <x:c r="E1693" s="32">
        <x:v>841</x:v>
      </x:c>
      <x:c r="F1693" s="33">
        <x:v>7000570</x:v>
      </x:c>
      <x:c r="G1693" s="32" t="n">
        <x:f t="shared" si="69">AVERAGE(E1494:E1693)</x:f>
        <x:v>993.8164499999999</x:v>
      </x:c>
      <x:c r="H1693" s="37" t="n">
        <x:f t="shared" si="70">IFERROR(E1693/G1693-1,"")</x:f>
        <x:v>-0.15376727764971077</x:v>
      </x:c>
      <x:c r="I1693" s="38" t="b">
        <x:f t="shared" si="71">E1693&lt;G1693</x:f>
        <x:v>1</x:v>
      </x:c>
    </x:row>
    <x:row r="1694">
      <x:c r="A1694" s="31">
        <x:v>39462</x:v>
      </x:c>
      <x:c r="B1694" s="32">
        <x:v>808.83</x:v>
      </x:c>
      <x:c r="C1694" s="32">
        <x:v>808.83</x:v>
      </x:c>
      <x:c r="D1694" s="32">
        <x:v>808.83</x:v>
      </x:c>
      <x:c r="E1694" s="32">
        <x:v>808.83</x:v>
      </x:c>
      <x:c r="F1694" s="33">
        <x:v>9382680</x:v>
      </x:c>
      <x:c r="G1694" s="32" t="n">
        <x:f t="shared" si="69">AVERAGE(E1495:E1694)</x:f>
        <x:v>992.5039499999999</x:v>
      </x:c>
      <x:c r="H1694" s="37" t="n">
        <x:f t="shared" si="70">IFERROR(E1694/G1694-1,"")</x:f>
        <x:v>-0.1850611778421637</x:v>
      </x:c>
      <x:c r="I1694" s="38" t="b">
        <x:f t="shared" si="71">E1694&lt;G1694</x:f>
        <x:v>1</x:v>
      </x:c>
    </x:row>
    <x:row r="1695">
      <x:c r="A1695" s="31">
        <x:v>39463</x:v>
      </x:c>
      <x:c r="B1695" s="32">
        <x:v>846.07</x:v>
      </x:c>
      <x:c r="C1695" s="32">
        <x:v>846.07</x:v>
      </x:c>
      <x:c r="D1695" s="32">
        <x:v>846.07</x:v>
      </x:c>
      <x:c r="E1695" s="32">
        <x:v>846.07</x:v>
      </x:c>
      <x:c r="F1695" s="33">
        <x:v>9010790</x:v>
      </x:c>
      <x:c r="G1695" s="32" t="n">
        <x:f t="shared" si="69">AVERAGE(E1496:E1695)</x:f>
        <x:v>991.4587999999999</x:v>
      </x:c>
      <x:c r="H1695" s="37" t="n">
        <x:f t="shared" si="70">IFERROR(E1695/G1695-1,"")</x:f>
        <x:v>-0.14664129260842695</x:v>
      </x:c>
      <x:c r="I1695" s="38" t="b">
        <x:f t="shared" si="71">E1695&lt;G1695</x:f>
        <x:v>1</x:v>
      </x:c>
    </x:row>
    <x:row r="1696">
      <x:c r="A1696" s="31">
        <x:v>39464</x:v>
      </x:c>
      <x:c r="B1696" s="32">
        <x:v>833.81</x:v>
      </x:c>
      <x:c r="C1696" s="32">
        <x:v>833.81</x:v>
      </x:c>
      <x:c r="D1696" s="32">
        <x:v>833.81</x:v>
      </x:c>
      <x:c r="E1696" s="32">
        <x:v>833.81</x:v>
      </x:c>
      <x:c r="F1696" s="33">
        <x:v>9950270</x:v>
      </x:c>
      <x:c r="G1696" s="32" t="n">
        <x:f t="shared" si="69">AVERAGE(E1497:E1696)</x:f>
        <x:v>990.4901999999998</x:v>
      </x:c>
      <x:c r="H1696" s="37" t="n">
        <x:f t="shared" si="70">IFERROR(E1696/G1696-1,"")</x:f>
        <x:v>-0.158184502986501</x:v>
      </x:c>
      <x:c r="I1696" s="38" t="b">
        <x:f t="shared" si="71">E1696&lt;G1696</x:f>
        <x:v>1</x:v>
      </x:c>
    </x:row>
    <x:row r="1697">
      <x:c r="A1697" s="31">
        <x:v>39465</x:v>
      </x:c>
      <x:c r="B1697" s="32">
        <x:v>847.05</x:v>
      </x:c>
      <x:c r="C1697" s="32">
        <x:v>847.05</x:v>
      </x:c>
      <x:c r="D1697" s="32">
        <x:v>847.05</x:v>
      </x:c>
      <x:c r="E1697" s="32">
        <x:v>847.05</x:v>
      </x:c>
      <x:c r="F1697" s="33">
        <x:v>5602330</x:v>
      </x:c>
      <x:c r="G1697" s="32" t="n">
        <x:f t="shared" si="69">AVERAGE(E1498:E1697)</x:f>
        <x:v>989.4709499999997</x:v>
      </x:c>
      <x:c r="H1697" s="37" t="n">
        <x:f t="shared" si="70">IFERROR(E1697/G1697-1,"")</x:f>
        <x:v>-0.14393646422868678</x:v>
      </x:c>
      <x:c r="I1697" s="38" t="b">
        <x:f t="shared" si="71">E1697&lt;G1697</x:f>
        <x:v>1</x:v>
      </x:c>
    </x:row>
    <x:row r="1698">
      <x:c r="A1698" s="31">
        <x:v>39468</x:v>
      </x:c>
      <x:c r="B1698" s="32">
        <x:v>833.88</x:v>
      </x:c>
      <x:c r="C1698" s="32">
        <x:v>833.88</x:v>
      </x:c>
      <x:c r="D1698" s="32">
        <x:v>833.88</x:v>
      </x:c>
      <x:c r="E1698" s="32">
        <x:v>833.88</x:v>
      </x:c>
      <x:c r="F1698" s="33">
        <x:v>5195510</x:v>
      </x:c>
      <x:c r="G1698" s="32" t="n">
        <x:f t="shared" si="69">AVERAGE(E1499:E1698)</x:f>
        <x:v>988.3954499999999</x:v>
      </x:c>
      <x:c r="H1698" s="37" t="n">
        <x:f t="shared" si="70">IFERROR(E1698/G1698-1,"")</x:f>
        <x:v>-0.15632958447957235</x:v>
      </x:c>
      <x:c r="I1698" s="38" t="b">
        <x:f t="shared" si="71">E1698&lt;G1698</x:f>
        <x:v>1</x:v>
      </x:c>
    </x:row>
    <x:row r="1699">
      <x:c r="A1699" s="31">
        <x:v>39469</x:v>
      </x:c>
      <x:c r="B1699" s="32">
        <x:v>807.74</x:v>
      </x:c>
      <x:c r="C1699" s="32">
        <x:v>807.74</x:v>
      </x:c>
      <x:c r="D1699" s="32">
        <x:v>807.74</x:v>
      </x:c>
      <x:c r="E1699" s="32">
        <x:v>807.74</x:v>
      </x:c>
      <x:c r="F1699" s="33">
        <x:v>7393800</x:v>
      </x:c>
      <x:c r="G1699" s="32" t="n">
        <x:f t="shared" si="69">AVERAGE(E1500:E1699)</x:f>
        <x:v>987.2645499999999</x:v>
      </x:c>
      <x:c r="H1699" s="37" t="n">
        <x:f t="shared" si="70">IFERROR(E1699/G1699-1,"")</x:f>
        <x:v>-0.18184036892644417</x:v>
      </x:c>
      <x:c r="I1699" s="38" t="b">
        <x:f t="shared" si="71">E1699&lt;G1699</x:f>
        <x:v>1</x:v>
      </x:c>
    </x:row>
    <x:row r="1700">
      <x:c r="A1700" s="31">
        <x:v>39470</x:v>
      </x:c>
      <x:c r="B1700" s="32">
        <x:v>776.68</x:v>
      </x:c>
      <x:c r="C1700" s="32">
        <x:v>776.68</x:v>
      </x:c>
      <x:c r="D1700" s="32">
        <x:v>776.68</x:v>
      </x:c>
      <x:c r="E1700" s="32">
        <x:v>776.68</x:v>
      </x:c>
      <x:c r="F1700" s="33">
        <x:v>8336830</x:v>
      </x:c>
      <x:c r="G1700" s="32" t="n">
        <x:f t="shared" si="69">AVERAGE(E1501:E1700)</x:f>
        <x:v>985.9411499999998</x:v>
      </x:c>
      <x:c r="H1700" s="37" t="n">
        <x:f t="shared" si="70">IFERROR(E1700/G1700-1,"")</x:f>
        <x:v>-0.2122450716252181</x:v>
      </x:c>
      <x:c r="I1700" s="38" t="b">
        <x:f t="shared" si="71">E1700&lt;G1700</x:f>
        <x:v>1</x:v>
      </x:c>
    </x:row>
    <x:row r="1701">
      <x:c r="A1701" s="31">
        <x:v>39471</x:v>
      </x:c>
      <x:c r="B1701" s="32">
        <x:v>764.13</x:v>
      </x:c>
      <x:c r="C1701" s="32">
        <x:v>764.13</x:v>
      </x:c>
      <x:c r="D1701" s="32">
        <x:v>764.13</x:v>
      </x:c>
      <x:c r="E1701" s="32">
        <x:v>764.13</x:v>
      </x:c>
      <x:c r="F1701" s="33">
        <x:v>8074170</x:v>
      </x:c>
      <x:c r="G1701" s="32" t="n">
        <x:f t="shared" si="69">AVERAGE(E1502:E1701)</x:f>
        <x:v>984.5634499999999</x:v>
      </x:c>
      <x:c r="H1701" s="37" t="n">
        <x:f t="shared" si="70">IFERROR(E1701/G1701-1,"")</x:f>
        <x:v>-0.22388953195449202</x:v>
      </x:c>
      <x:c r="I1701" s="38" t="b">
        <x:f t="shared" si="71">E1701&lt;G1701</x:f>
        <x:v>1</x:v>
      </x:c>
    </x:row>
    <x:row r="1702">
      <x:c r="A1702" s="31">
        <x:v>39472</x:v>
      </x:c>
      <x:c r="B1702" s="32">
        <x:v>776.04</x:v>
      </x:c>
      <x:c r="C1702" s="32">
        <x:v>776.04</x:v>
      </x:c>
      <x:c r="D1702" s="32">
        <x:v>776.04</x:v>
      </x:c>
      <x:c r="E1702" s="32">
        <x:v>776.04</x:v>
      </x:c>
      <x:c r="F1702" s="33">
        <x:v>6206740</x:v>
      </x:c>
      <x:c r="G1702" s="32" t="n">
        <x:f t="shared" si="69">AVERAGE(E1503:E1702)</x:f>
        <x:v>983.2702499999998</x:v>
      </x:c>
      <x:c r="H1702" s="37" t="n">
        <x:f t="shared" si="70">IFERROR(E1702/G1702-1,"")</x:f>
        <x:v>-0.2107561476613371</x:v>
      </x:c>
      <x:c r="I1702" s="38" t="b">
        <x:f t="shared" si="71">E1702&lt;G1702</x:f>
        <x:v>1</x:v>
      </x:c>
    </x:row>
    <x:row r="1703">
      <x:c r="A1703" s="31">
        <x:v>39475</x:v>
      </x:c>
      <x:c r="B1703" s="32">
        <x:v>785.07</x:v>
      </x:c>
      <x:c r="C1703" s="32">
        <x:v>785.07</x:v>
      </x:c>
      <x:c r="D1703" s="32">
        <x:v>785.07</x:v>
      </x:c>
      <x:c r="E1703" s="32">
        <x:v>785.07</x:v>
      </x:c>
      <x:c r="F1703" s="33">
        <x:v>6407110</x:v>
      </x:c>
      <x:c r="G1703" s="32" t="n">
        <x:f t="shared" si="69">AVERAGE(E1504:E1703)</x:f>
        <x:v>982.0576999999998</x:v>
      </x:c>
      <x:c r="H1703" s="37" t="n">
        <x:f t="shared" si="70">IFERROR(E1703/G1703-1,"")</x:f>
        <x:v>-0.20058668650528355</x:v>
      </x:c>
      <x:c r="I1703" s="38" t="b">
        <x:f t="shared" si="71">E1703&lt;G1703</x:f>
        <x:v>1</x:v>
      </x:c>
    </x:row>
    <x:row r="1704">
      <x:c r="A1704" s="31">
        <x:v>39476</x:v>
      </x:c>
      <x:c r="B1704" s="32">
        <x:v>811.61</x:v>
      </x:c>
      <x:c r="C1704" s="32">
        <x:v>811.61</x:v>
      </x:c>
      <x:c r="D1704" s="32">
        <x:v>811.61</x:v>
      </x:c>
      <x:c r="E1704" s="32">
        <x:v>811.61</x:v>
      </x:c>
      <x:c r="F1704" s="33">
        <x:v>8662410</x:v>
      </x:c>
      <x:c r="G1704" s="32" t="n">
        <x:f t="shared" si="69">AVERAGE(E1505:E1704)</x:f>
        <x:v>981.05085</x:v>
      </x:c>
      <x:c r="H1704" s="37" t="n">
        <x:f t="shared" si="70">IFERROR(E1704/G1704-1,"")</x:f>
        <x:v>-0.17271362641396204</x:v>
      </x:c>
      <x:c r="I1704" s="38" t="b">
        <x:f t="shared" si="71">E1704&lt;G1704</x:f>
        <x:v>1</x:v>
      </x:c>
    </x:row>
    <x:row r="1705">
      <x:c r="A1705" s="31">
        <x:v>39477</x:v>
      </x:c>
      <x:c r="B1705" s="32">
        <x:v>843.1</x:v>
      </x:c>
      <x:c r="C1705" s="32">
        <x:v>843.1</x:v>
      </x:c>
      <x:c r="D1705" s="32">
        <x:v>843.1</x:v>
      </x:c>
      <x:c r="E1705" s="32">
        <x:v>843.1</x:v>
      </x:c>
      <x:c r="F1705" s="33">
        <x:v>10961810</x:v>
      </x:c>
      <x:c r="G1705" s="32" t="n">
        <x:f t="shared" si="69">AVERAGE(E1506:E1705)</x:f>
        <x:v>980.3513499999999</x:v>
      </x:c>
      <x:c r="H1705" s="37" t="n">
        <x:f t="shared" si="70">IFERROR(E1705/G1705-1,"")</x:f>
        <x:v>-0.14000220431174992</x:v>
      </x:c>
      <x:c r="I1705" s="38" t="b">
        <x:f t="shared" si="71">E1705&lt;G1705</x:f>
        <x:v>1</x:v>
      </x:c>
    </x:row>
    <x:row r="1706">
      <x:c r="A1706" s="31">
        <x:v>39478</x:v>
      </x:c>
      <x:c r="B1706" s="32">
        <x:v>844.11</x:v>
      </x:c>
      <x:c r="C1706" s="32">
        <x:v>844.11</x:v>
      </x:c>
      <x:c r="D1706" s="32">
        <x:v>844.11</x:v>
      </x:c>
      <x:c r="E1706" s="32">
        <x:v>844.11</x:v>
      </x:c>
      <x:c r="F1706" s="33">
        <x:v>12386380</x:v>
      </x:c>
      <x:c r="G1706" s="32" t="n">
        <x:f t="shared" si="69">AVERAGE(E1507:E1706)</x:f>
        <x:v>979.7432999999999</x:v>
      </x:c>
      <x:c r="H1706" s="37" t="n">
        <x:f t="shared" si="70">IFERROR(E1706/G1706-1,"")</x:f>
        <x:v>-0.13843758870308154</x:v>
      </x:c>
      <x:c r="I1706" s="38" t="b">
        <x:f t="shared" si="71">E1706&lt;G1706</x:f>
        <x:v>1</x:v>
      </x:c>
    </x:row>
    <x:row r="1707">
      <x:c r="A1707" s="31">
        <x:v>39479</x:v>
      </x:c>
      <x:c r="B1707" s="32">
        <x:v>859.62</x:v>
      </x:c>
      <x:c r="C1707" s="32">
        <x:v>859.62</x:v>
      </x:c>
      <x:c r="D1707" s="32">
        <x:v>859.62</x:v>
      </x:c>
      <x:c r="E1707" s="32">
        <x:v>859.62</x:v>
      </x:c>
      <x:c r="F1707" s="33">
        <x:v>10929330</x:v>
      </x:c>
      <x:c r="G1707" s="32" t="n">
        <x:f t="shared" si="69">AVERAGE(E1508:E1707)</x:f>
        <x:v>979.0357999999999</x:v>
      </x:c>
      <x:c r="H1707" s="37" t="n">
        <x:f t="shared" si="70">IFERROR(E1707/G1707-1,"")</x:f>
        <x:v>-0.1219728635050934</x:v>
      </x:c>
      <x:c r="I1707" s="38" t="b">
        <x:f t="shared" si="71">E1707&lt;G1707</x:f>
        <x:v>1</x:v>
      </x:c>
    </x:row>
    <x:row r="1708">
      <x:c r="A1708" s="31">
        <x:v>39490</x:v>
      </x:c>
      <x:c r="B1708" s="32">
        <x:v>841.23</x:v>
      </x:c>
      <x:c r="C1708" s="32">
        <x:v>841.23</x:v>
      </x:c>
      <x:c r="D1708" s="32">
        <x:v>841.23</x:v>
      </x:c>
      <x:c r="E1708" s="32">
        <x:v>841.23</x:v>
      </x:c>
      <x:c r="F1708" s="33">
        <x:v>6027010</x:v>
      </x:c>
      <x:c r="G1708" s="32" t="n">
        <x:f t="shared" si="69">AVERAGE(E1509:E1708)</x:f>
        <x:v>978.2514999999999</x:v>
      </x:c>
      <x:c r="H1708" s="37" t="n">
        <x:f t="shared" si="70">IFERROR(E1708/G1708-1,"")</x:f>
        <x:v>-0.1400677637601372</x:v>
      </x:c>
      <x:c r="I1708" s="38" t="b">
        <x:f t="shared" si="71">E1708&lt;G1708</x:f>
        <x:v>1</x:v>
      </x:c>
    </x:row>
    <x:row r="1709">
      <x:c r="A1709" s="31">
        <x:v>39491</x:v>
      </x:c>
      <x:c r="B1709" s="32">
        <x:v>817.86</x:v>
      </x:c>
      <x:c r="C1709" s="32">
        <x:v>817.86</x:v>
      </x:c>
      <x:c r="D1709" s="32">
        <x:v>817.86</x:v>
      </x:c>
      <x:c r="E1709" s="32">
        <x:v>817.86</x:v>
      </x:c>
      <x:c r="F1709" s="33">
        <x:v>7012110</x:v>
      </x:c>
      <x:c r="G1709" s="32" t="n">
        <x:f t="shared" si="69">AVERAGE(E1510:E1709)</x:f>
        <x:v>977.4963999999997</x:v>
      </x:c>
      <x:c r="H1709" s="37" t="n">
        <x:f t="shared" si="70">IFERROR(E1709/G1709-1,"")</x:f>
        <x:v>-0.16331149659476973</x:v>
      </x:c>
      <x:c r="I1709" s="38" t="b">
        <x:f t="shared" si="71">E1709&lt;G1709</x:f>
        <x:v>1</x:v>
      </x:c>
    </x:row>
    <x:row r="1710">
      <x:c r="A1710" s="31">
        <x:v>39492</x:v>
      </x:c>
      <x:c r="B1710" s="32">
        <x:v>823.46</x:v>
      </x:c>
      <x:c r="C1710" s="32">
        <x:v>823.46</x:v>
      </x:c>
      <x:c r="D1710" s="32">
        <x:v>823.46</x:v>
      </x:c>
      <x:c r="E1710" s="32">
        <x:v>823.46</x:v>
      </x:c>
      <x:c r="F1710" s="33">
        <x:v>7075510</x:v>
      </x:c>
      <x:c r="G1710" s="32" t="n">
        <x:f t="shared" si="69">AVERAGE(E1511:E1710)</x:f>
        <x:v>976.9577999999997</x:v>
      </x:c>
      <x:c r="H1710" s="37" t="n">
        <x:f t="shared" si="70">IFERROR(E1710/G1710-1,"")</x:f>
        <x:v>-0.15711814778488864</x:v>
      </x:c>
      <x:c r="I1710" s="38" t="b">
        <x:f t="shared" si="71">E1710&lt;G1710</x:f>
        <x:v>1</x:v>
      </x:c>
    </x:row>
    <x:row r="1711">
      <x:c r="A1711" s="31">
        <x:v>39493</x:v>
      </x:c>
      <x:c r="B1711" s="32">
        <x:v>816.03</x:v>
      </x:c>
      <x:c r="C1711" s="32">
        <x:v>816.03</x:v>
      </x:c>
      <x:c r="D1711" s="32">
        <x:v>816.03</x:v>
      </x:c>
      <x:c r="E1711" s="32">
        <x:v>816.03</x:v>
      </x:c>
      <x:c r="F1711" s="33">
        <x:v>5580320</x:v>
      </x:c>
      <x:c r="G1711" s="32" t="n">
        <x:f t="shared" si="69">AVERAGE(E1512:E1711)</x:f>
        <x:v>976.5102999999996</x:v>
      </x:c>
      <x:c r="H1711" s="37" t="n">
        <x:f t="shared" si="70">IFERROR(E1711/G1711-1,"")</x:f>
        <x:v>-0.1643406116658469</x:v>
      </x:c>
      <x:c r="I1711" s="38" t="b">
        <x:f t="shared" si="71">E1711&lt;G1711</x:f>
        <x:v>1</x:v>
      </x:c>
    </x:row>
    <x:row r="1712">
      <x:c r="A1712" s="31">
        <x:v>39496</x:v>
      </x:c>
      <x:c r="B1712" s="32">
        <x:v>782.57</x:v>
      </x:c>
      <x:c r="C1712" s="32">
        <x:v>782.57</x:v>
      </x:c>
      <x:c r="D1712" s="32">
        <x:v>782.57</x:v>
      </x:c>
      <x:c r="E1712" s="32">
        <x:v>782.57</x:v>
      </x:c>
      <x:c r="F1712" s="33">
        <x:v>11864060</x:v>
      </x:c>
      <x:c r="G1712" s="32" t="n">
        <x:f t="shared" si="69">AVERAGE(E1513:E1712)</x:f>
        <x:v>975.8036999999995</x:v>
      </x:c>
      <x:c r="H1712" s="37" t="n">
        <x:f t="shared" si="70">IFERROR(E1712/G1712-1,"")</x:f>
        <x:v>-0.19802517658008423</x:v>
      </x:c>
      <x:c r="I1712" s="38" t="b">
        <x:f t="shared" si="71">E1712&lt;G1712</x:f>
        <x:v>1</x:v>
      </x:c>
    </x:row>
    <x:row r="1713">
      <x:c r="A1713" s="31">
        <x:v>39497</x:v>
      </x:c>
      <x:c r="B1713" s="32">
        <x:v>776.79</x:v>
      </x:c>
      <x:c r="C1713" s="32">
        <x:v>776.79</x:v>
      </x:c>
      <x:c r="D1713" s="32">
        <x:v>776.79</x:v>
      </x:c>
      <x:c r="E1713" s="32">
        <x:v>776.79</x:v>
      </x:c>
      <x:c r="F1713" s="33">
        <x:v>8701260</x:v>
      </x:c>
      <x:c r="G1713" s="32" t="n">
        <x:f t="shared" si="69">AVERAGE(E1514:E1713)</x:f>
        <x:v>975.0102499999995</x:v>
      </x:c>
      <x:c r="H1713" s="37" t="n">
        <x:f t="shared" si="70">IFERROR(E1713/G1713-1,"")</x:f>
        <x:v>-0.203300683249227</x:v>
      </x:c>
      <x:c r="I1713" s="38" t="b">
        <x:f t="shared" si="71">E1713&lt;G1713</x:f>
        <x:v>1</x:v>
      </x:c>
    </x:row>
    <x:row r="1714">
      <x:c r="A1714" s="31">
        <x:v>39498</x:v>
      </x:c>
      <x:c r="B1714" s="32">
        <x:v>744.92</x:v>
      </x:c>
      <x:c r="C1714" s="32">
        <x:v>744.92</x:v>
      </x:c>
      <x:c r="D1714" s="32">
        <x:v>744.92</x:v>
      </x:c>
      <x:c r="E1714" s="32">
        <x:v>744.92</x:v>
      </x:c>
      <x:c r="F1714" s="33">
        <x:v>9454220</x:v>
      </x:c>
      <x:c r="G1714" s="32" t="n">
        <x:f t="shared" si="69">AVERAGE(E1515:E1714)</x:f>
        <x:v>974.0475499999998</x:v>
      </x:c>
      <x:c r="H1714" s="37" t="n">
        <x:f t="shared" si="70">IFERROR(E1714/G1714-1,"")</x:f>
        <x:v>-0.23523240728853523</x:v>
      </x:c>
      <x:c r="I1714" s="38" t="b">
        <x:f t="shared" si="71">E1714&lt;G1714</x:f>
        <x:v>1</x:v>
      </x:c>
    </x:row>
    <x:row r="1715">
      <x:c r="A1715" s="31">
        <x:v>39499</x:v>
      </x:c>
      <x:c r="B1715" s="32">
        <x:v>710.45</x:v>
      </x:c>
      <x:c r="C1715" s="32">
        <x:v>710.45</x:v>
      </x:c>
      <x:c r="D1715" s="32">
        <x:v>710.45</x:v>
      </x:c>
      <x:c r="E1715" s="32">
        <x:v>710.45</x:v>
      </x:c>
      <x:c r="F1715" s="33">
        <x:v>7424120</x:v>
      </x:c>
      <x:c r="G1715" s="32" t="n">
        <x:f t="shared" si="69">AVERAGE(E1516:E1715)</x:f>
        <x:v>972.8638499999998</x:v>
      </x:c>
      <x:c r="H1715" s="37" t="n">
        <x:f t="shared" si="70">IFERROR(E1715/G1715-1,"")</x:f>
        <x:v>-0.26973337533304365</x:v>
      </x:c>
      <x:c r="I1715" s="38" t="b">
        <x:f t="shared" si="71">E1715&lt;G1715</x:f>
        <x:v>1</x:v>
      </x:c>
    </x:row>
    <x:row r="1716">
      <x:c r="A1716" s="31">
        <x:v>39500</x:v>
      </x:c>
      <x:c r="B1716" s="32">
        <x:v>687.1</x:v>
      </x:c>
      <x:c r="C1716" s="32">
        <x:v>687.1</x:v>
      </x:c>
      <x:c r="D1716" s="32">
        <x:v>687.1</x:v>
      </x:c>
      <x:c r="E1716" s="32">
        <x:v>687.1</x:v>
      </x:c>
      <x:c r="F1716" s="33">
        <x:v>13878440</x:v>
      </x:c>
      <x:c r="G1716" s="32" t="n">
        <x:f t="shared" si="69">AVERAGE(E1517:E1716)</x:f>
        <x:v>971.3812499999997</x:v>
      </x:c>
      <x:c r="H1716" s="37" t="n">
        <x:f t="shared" si="70">IFERROR(E1716/G1716-1,"")</x:f>
        <x:v>-0.29265671949093086</x:v>
      </x:c>
      <x:c r="I1716" s="38" t="b">
        <x:f t="shared" si="71">E1716&lt;G1716</x:f>
        <x:v>1</x:v>
      </x:c>
    </x:row>
    <x:row r="1717">
      <x:c r="A1717" s="31">
        <x:v>39503</x:v>
      </x:c>
      <x:c r="B1717" s="32">
        <x:v>715.04</x:v>
      </x:c>
      <x:c r="C1717" s="32">
        <x:v>715.04</x:v>
      </x:c>
      <x:c r="D1717" s="32">
        <x:v>715.04</x:v>
      </x:c>
      <x:c r="E1717" s="32">
        <x:v>715.04</x:v>
      </x:c>
      <x:c r="F1717" s="33">
        <x:v>11418200</x:v>
      </x:c>
      <x:c r="G1717" s="32" t="n">
        <x:f t="shared" si="69">AVERAGE(E1518:E1717)</x:f>
        <x:v>969.8792999999998</x:v>
      </x:c>
      <x:c r="H1717" s="37" t="n">
        <x:f t="shared" si="70">IFERROR(E1717/G1717-1,"")</x:f>
        <x:v>-0.26275362305392014</x:v>
      </x:c>
      <x:c r="I1717" s="38" t="b">
        <x:f t="shared" si="71">E1717&lt;G1717</x:f>
        <x:v>1</x:v>
      </x:c>
    </x:row>
    <x:row r="1718">
      <x:c r="A1718" s="31">
        <x:v>39504</x:v>
      </x:c>
      <x:c r="B1718" s="32">
        <x:v>692.91</x:v>
      </x:c>
      <x:c r="C1718" s="32">
        <x:v>692.91</x:v>
      </x:c>
      <x:c r="D1718" s="32">
        <x:v>692.91</x:v>
      </x:c>
      <x:c r="E1718" s="32">
        <x:v>692.91</x:v>
      </x:c>
      <x:c r="F1718" s="33">
        <x:v>11049330</x:v>
      </x:c>
      <x:c r="G1718" s="32" t="n">
        <x:f t="shared" si="69">AVERAGE(E1519:E1718)</x:f>
        <x:v>968.2440499999997</x:v>
      </x:c>
      <x:c r="H1718" s="37" t="n">
        <x:f t="shared" si="70">IFERROR(E1718/G1718-1,"")</x:f>
        <x:v>-0.28436430877112007</x:v>
      </x:c>
      <x:c r="I1718" s="38" t="b">
        <x:f t="shared" si="71">E1718&lt;G1718</x:f>
        <x:v>1</x:v>
      </x:c>
    </x:row>
    <x:row r="1719">
      <x:c r="A1719" s="31">
        <x:v>39505</x:v>
      </x:c>
      <x:c r="B1719" s="32">
        <x:v>686.49</x:v>
      </x:c>
      <x:c r="C1719" s="32">
        <x:v>686.49</x:v>
      </x:c>
      <x:c r="D1719" s="32">
        <x:v>686.49</x:v>
      </x:c>
      <x:c r="E1719" s="32">
        <x:v>686.49</x:v>
      </x:c>
      <x:c r="F1719" s="33">
        <x:v>8388650</x:v>
      </x:c>
      <x:c r="G1719" s="32" t="n">
        <x:f t="shared" si="69">AVERAGE(E1520:E1719)</x:f>
        <x:v>966.5762999999997</x:v>
      </x:c>
      <x:c r="H1719" s="37" t="n">
        <x:f t="shared" si="70">IFERROR(E1719/G1719-1,"")</x:f>
        <x:v>-0.28977153691850277</x:v>
      </x:c>
      <x:c r="I1719" s="38" t="b">
        <x:f t="shared" si="71">E1719&lt;G1719</x:f>
        <x:v>1</x:v>
      </x:c>
    </x:row>
    <x:row r="1720">
      <x:c r="A1720" s="31">
        <x:v>39506</x:v>
      </x:c>
      <x:c r="B1720" s="32">
        <x:v>678.12</x:v>
      </x:c>
      <x:c r="C1720" s="32">
        <x:v>678.12</x:v>
      </x:c>
      <x:c r="D1720" s="32">
        <x:v>678.12</x:v>
      </x:c>
      <x:c r="E1720" s="32">
        <x:v>678.12</x:v>
      </x:c>
      <x:c r="F1720" s="33">
        <x:v>8434530</x:v>
      </x:c>
      <x:c r="G1720" s="32" t="n">
        <x:f t="shared" si="69">AVERAGE(E1521:E1720)</x:f>
        <x:v>964.7687499999997</x:v>
      </x:c>
      <x:c r="H1720" s="37" t="n">
        <x:f t="shared" si="70">IFERROR(E1720/G1720-1,"")</x:f>
        <x:v>-0.29711653699396856</x:v>
      </x:c>
      <x:c r="I1720" s="38" t="b">
        <x:f t="shared" si="71">E1720&lt;G1720</x:f>
        <x:v>1</x:v>
      </x:c>
    </x:row>
    <x:row r="1721">
      <x:c r="A1721" s="31">
        <x:v>39507</x:v>
      </x:c>
      <x:c r="B1721" s="32">
        <x:v>663.3</x:v>
      </x:c>
      <x:c r="C1721" s="32">
        <x:v>663.3</x:v>
      </x:c>
      <x:c r="D1721" s="32">
        <x:v>663.3</x:v>
      </x:c>
      <x:c r="E1721" s="32">
        <x:v>663.3</x:v>
      </x:c>
      <x:c r="F1721" s="33">
        <x:v>10351870</x:v>
      </x:c>
      <x:c r="G1721" s="32" t="n">
        <x:f t="shared" si="69">AVERAGE(E1522:E1721)</x:f>
        <x:v>962.7550499999998</x:v>
      </x:c>
      <x:c r="H1721" s="37" t="n">
        <x:f t="shared" si="70">IFERROR(E1721/G1721-1,"")</x:f>
        <x:v>-0.311039708386884</x:v>
      </x:c>
      <x:c r="I1721" s="38" t="b">
        <x:f t="shared" si="71">E1721&lt;G1721</x:f>
        <x:v>1</x:v>
      </x:c>
    </x:row>
    <x:row r="1722">
      <x:c r="A1722" s="31">
        <x:v>39510</x:v>
      </x:c>
      <x:c r="B1722" s="32">
        <x:v>635.24</x:v>
      </x:c>
      <x:c r="C1722" s="32">
        <x:v>635.24</x:v>
      </x:c>
      <x:c r="D1722" s="32">
        <x:v>635.24</x:v>
      </x:c>
      <x:c r="E1722" s="32">
        <x:v>635.24</x:v>
      </x:c>
      <x:c r="F1722" s="33">
        <x:v>9393810</x:v>
      </x:c>
      <x:c r="G1722" s="32" t="n">
        <x:f t="shared" si="69">AVERAGE(E1523:E1722)</x:f>
        <x:v>960.6577999999997</x:v>
      </x:c>
      <x:c r="H1722" s="37" t="n">
        <x:f t="shared" si="70">IFERROR(E1722/G1722-1,"")</x:f>
        <x:v>-0.3387447642646526</x:v>
      </x:c>
      <x:c r="I1722" s="38" t="b">
        <x:f t="shared" si="71">E1722&lt;G1722</x:f>
        <x:v>1</x:v>
      </x:c>
    </x:row>
    <x:row r="1723">
      <x:c r="A1723" s="31">
        <x:v>39511</x:v>
      </x:c>
      <x:c r="B1723" s="32">
        <x:v>608.88</x:v>
      </x:c>
      <x:c r="C1723" s="32">
        <x:v>608.88</x:v>
      </x:c>
      <x:c r="D1723" s="32">
        <x:v>608.88</x:v>
      </x:c>
      <x:c r="E1723" s="32">
        <x:v>608.88</x:v>
      </x:c>
      <x:c r="F1723" s="33">
        <x:v>6939890</x:v>
      </x:c>
      <x:c r="G1723" s="32" t="n">
        <x:f t="shared" si="69">AVERAGE(E1524:E1723)</x:f>
        <x:v>958.4972499999998</x:v>
      </x:c>
      <x:c r="H1723" s="37" t="n">
        <x:f t="shared" si="70">IFERROR(E1723/G1723-1,"")</x:f>
        <x:v>-0.3647556109315909</x:v>
      </x:c>
      <x:c r="I1723" s="38" t="b">
        <x:f t="shared" si="71">E1723&lt;G1723</x:f>
        <x:v>1</x:v>
      </x:c>
    </x:row>
    <x:row r="1724">
      <x:c r="A1724" s="31">
        <x:v>39512</x:v>
      </x:c>
      <x:c r="B1724" s="32">
        <x:v>583.45000000000005</x:v>
      </x:c>
      <x:c r="C1724" s="32">
        <x:v>583.45000000000005</x:v>
      </x:c>
      <x:c r="D1724" s="32">
        <x:v>583.45000000000005</x:v>
      </x:c>
      <x:c r="E1724" s="32">
        <x:v>583.45000000000005</x:v>
      </x:c>
      <x:c r="F1724" s="33">
        <x:v>9009920</x:v>
      </x:c>
      <x:c r="G1724" s="32" t="n">
        <x:f t="shared" si="69">AVERAGE(E1525:E1724)</x:f>
        <x:v>956.11555</x:v>
      </x:c>
      <x:c r="H1724" s="37" t="n">
        <x:f t="shared" si="70">IFERROR(E1724/G1724-1,"")</x:f>
        <x:v>-0.3897704100722972</x:v>
      </x:c>
      <x:c r="I1724" s="38" t="b">
        <x:f t="shared" si="71">E1724&lt;G1724</x:f>
        <x:v>1</x:v>
      </x:c>
    </x:row>
    <x:row r="1725">
      <x:c r="A1725" s="31">
        <x:v>39513</x:v>
      </x:c>
      <x:c r="B1725" s="32">
        <x:v>611.16999999999996</x:v>
      </x:c>
      <x:c r="C1725" s="32">
        <x:v>611.16999999999996</x:v>
      </x:c>
      <x:c r="D1725" s="32">
        <x:v>611.16999999999996</x:v>
      </x:c>
      <x:c r="E1725" s="32">
        <x:v>611.16999999999996</x:v>
      </x:c>
      <x:c r="F1725" s="33">
        <x:v>8845120</x:v>
      </x:c>
      <x:c r="G1725" s="32" t="n">
        <x:f t="shared" si="69">AVERAGE(E1526:E1725)</x:f>
        <x:v>953.8386</x:v>
      </x:c>
      <x:c r="H1725" s="37" t="n">
        <x:f t="shared" si="70">IFERROR(E1725/G1725-1,"")</x:f>
        <x:v>-0.3592521837551972</x:v>
      </x:c>
      <x:c r="I1725" s="38" t="b">
        <x:f t="shared" si="71">E1725&lt;G1725</x:f>
        <x:v>1</x:v>
      </x:c>
    </x:row>
    <x:row r="1726">
      <x:c r="A1726" s="31">
        <x:v>39514</x:v>
      </x:c>
      <x:c r="B1726" s="32">
        <x:v>640.14</x:v>
      </x:c>
      <x:c r="C1726" s="32">
        <x:v>640.14</x:v>
      </x:c>
      <x:c r="D1726" s="32">
        <x:v>640.14</x:v>
      </x:c>
      <x:c r="E1726" s="32">
        <x:v>640.14</x:v>
      </x:c>
      <x:c r="F1726" s="33">
        <x:v>8169220</x:v>
      </x:c>
      <x:c r="G1726" s="32" t="n">
        <x:f t="shared" si="69">AVERAGE(E1527:E1726)</x:f>
        <x:v>951.61225</x:v>
      </x:c>
      <x:c r="H1726" s="37" t="n">
        <x:f t="shared" si="70">IFERROR(E1726/G1726-1,"")</x:f>
        <x:v>-0.3273100467128287</x:v>
      </x:c>
      <x:c r="I1726" s="38" t="b">
        <x:f t="shared" si="71">E1726&lt;G1726</x:f>
        <x:v>1</x:v>
      </x:c>
    </x:row>
    <x:row r="1727">
      <x:c r="A1727" s="31">
        <x:v>39517</x:v>
      </x:c>
      <x:c r="B1727" s="32">
        <x:v>658.29</x:v>
      </x:c>
      <x:c r="C1727" s="32">
        <x:v>658.29</x:v>
      </x:c>
      <x:c r="D1727" s="32">
        <x:v>658.29</x:v>
      </x:c>
      <x:c r="E1727" s="32">
        <x:v>658.29</x:v>
      </x:c>
      <x:c r="F1727" s="33">
        <x:v>23093020</x:v>
      </x:c>
      <x:c r="G1727" s="32" t="n">
        <x:f t="shared" si="69">AVERAGE(E1528:E1727)</x:f>
        <x:v>949.3661000000002</x:v>
      </x:c>
      <x:c r="H1727" s="37" t="n">
        <x:f t="shared" si="70">IFERROR(E1727/G1727-1,"")</x:f>
        <x:v>-0.3066004779399646</x:v>
      </x:c>
      <x:c r="I1727" s="38" t="b">
        <x:f t="shared" si="71">E1727&lt;G1727</x:f>
        <x:v>1</x:v>
      </x:c>
    </x:row>
    <x:row r="1728">
      <x:c r="A1728" s="31">
        <x:v>39518</x:v>
      </x:c>
      <x:c r="B1728" s="32">
        <x:v>638.71</x:v>
      </x:c>
      <x:c r="C1728" s="32">
        <x:v>638.71</x:v>
      </x:c>
      <x:c r="D1728" s="32">
        <x:v>638.71</x:v>
      </x:c>
      <x:c r="E1728" s="32">
        <x:v>638.71</x:v>
      </x:c>
      <x:c r="F1728" s="33">
        <x:v>13842800</x:v>
      </x:c>
      <x:c r="G1728" s="32" t="n">
        <x:f t="shared" si="69">AVERAGE(E1529:E1728)</x:f>
        <x:v>946.9937</x:v>
      </x:c>
      <x:c r="H1728" s="37" t="n">
        <x:f t="shared" si="70">IFERROR(E1728/G1728-1,"")</x:f>
        <x:v>-0.32553933568935034</x:v>
      </x:c>
      <x:c r="I1728" s="38" t="b">
        <x:f t="shared" si="71">E1728&lt;G1728</x:f>
        <x:v>1</x:v>
      </x:c>
    </x:row>
    <x:row r="1729">
      <x:c r="A1729" s="31">
        <x:v>39519</x:v>
      </x:c>
      <x:c r="B1729" s="32">
        <x:v>643.9</x:v>
      </x:c>
      <x:c r="C1729" s="32">
        <x:v>643.9</x:v>
      </x:c>
      <x:c r="D1729" s="32">
        <x:v>643.9</x:v>
      </x:c>
      <x:c r="E1729" s="32">
        <x:v>643.9</x:v>
      </x:c>
      <x:c r="F1729" s="33">
        <x:v>12166910</x:v>
      </x:c>
      <x:c r="G1729" s="32" t="n">
        <x:f t="shared" si="69">AVERAGE(E1530:E1729)</x:f>
        <x:v>944.7867</x:v>
      </x:c>
      <x:c r="H1729" s="37" t="n">
        <x:f t="shared" si="70">IFERROR(E1729/G1729-1,"")</x:f>
        <x:v>-0.31847050768178686</x:v>
      </x:c>
      <x:c r="I1729" s="38" t="b">
        <x:f t="shared" si="71">E1729&lt;G1729</x:f>
        <x:v>1</x:v>
      </x:c>
    </x:row>
    <x:row r="1730">
      <x:c r="A1730" s="31">
        <x:v>39520</x:v>
      </x:c>
      <x:c r="B1730" s="32">
        <x:v>647.6</x:v>
      </x:c>
      <x:c r="C1730" s="32">
        <x:v>647.6</x:v>
      </x:c>
      <x:c r="D1730" s="32">
        <x:v>647.6</x:v>
      </x:c>
      <x:c r="E1730" s="32">
        <x:v>647.6</x:v>
      </x:c>
      <x:c r="F1730" s="33">
        <x:v>8930090</x:v>
      </x:c>
      <x:c r="G1730" s="32" t="n">
        <x:f t="shared" si="69">AVERAGE(E1531:E1730)</x:f>
        <x:v>942.5767</x:v>
      </x:c>
      <x:c r="H1730" s="37" t="n">
        <x:f t="shared" si="70">IFERROR(E1730/G1730-1,"")</x:f>
        <x:v>-0.31294715857075606</x:v>
      </x:c>
      <x:c r="I1730" s="38" t="b">
        <x:f t="shared" si="71">E1730&lt;G1730</x:f>
        <x:v>1</x:v>
      </x:c>
    </x:row>
    <x:row r="1731">
      <x:c r="A1731" s="31">
        <x:v>39521</x:v>
      </x:c>
      <x:c r="B1731" s="32">
        <x:v>643.79999999999995</x:v>
      </x:c>
      <x:c r="C1731" s="32">
        <x:v>643.79999999999995</x:v>
      </x:c>
      <x:c r="D1731" s="32">
        <x:v>643.79999999999995</x:v>
      </x:c>
      <x:c r="E1731" s="32">
        <x:v>643.79999999999995</x:v>
      </x:c>
      <x:c r="F1731" s="33">
        <x:v>8379060</x:v>
      </x:c>
      <x:c r="G1731" s="32" t="n">
        <x:f t="shared" si="69">AVERAGE(E1532:E1731)</x:f>
        <x:v>940.3025</x:v>
      </x:c>
      <x:c r="H1731" s="37" t="n">
        <x:f t="shared" si="70">IFERROR(E1731/G1731-1,"")</x:f>
        <x:v>-0.31532671666830625</x:v>
      </x:c>
      <x:c r="I1731" s="38" t="b">
        <x:f t="shared" si="71">E1731&lt;G1731</x:f>
        <x:v>1</x:v>
      </x:c>
    </x:row>
    <x:row r="1732">
      <x:c r="A1732" s="31">
        <x:v>39524</x:v>
      </x:c>
      <x:c r="B1732" s="32">
        <x:v>615.71</x:v>
      </x:c>
      <x:c r="C1732" s="32">
        <x:v>615.71</x:v>
      </x:c>
      <x:c r="D1732" s="32">
        <x:v>615.71</x:v>
      </x:c>
      <x:c r="E1732" s="32">
        <x:v>615.71</x:v>
      </x:c>
      <x:c r="F1732" s="33">
        <x:v>10225420</x:v>
      </x:c>
      <x:c r="G1732" s="32" t="n">
        <x:f t="shared" si="69">AVERAGE(E1533:E1732)</x:f>
        <x:v>937.9121999999999</x:v>
      </x:c>
      <x:c r="H1732" s="37" t="n">
        <x:f t="shared" si="70">IFERROR(E1732/G1732-1,"")</x:f>
        <x:v>-0.34353130282344113</x:v>
      </x:c>
      <x:c r="I1732" s="38" t="b">
        <x:f t="shared" si="71">E1732&lt;G1732</x:f>
        <x:v>1</x:v>
      </x:c>
    </x:row>
    <x:row r="1733">
      <x:c r="A1733" s="31">
        <x:v>39525</x:v>
      </x:c>
      <x:c r="B1733" s="32">
        <x:v>588.26</x:v>
      </x:c>
      <x:c r="C1733" s="32">
        <x:v>588.26</x:v>
      </x:c>
      <x:c r="D1733" s="32">
        <x:v>588.26</x:v>
      </x:c>
      <x:c r="E1733" s="32">
        <x:v>588.26</x:v>
      </x:c>
      <x:c r="F1733" s="33">
        <x:v>7662260</x:v>
      </x:c>
      <x:c r="G1733" s="32" t="n">
        <x:f t="shared" si="69">AVERAGE(E1534:E1733)</x:f>
        <x:v>935.4641</x:v>
      </x:c>
      <x:c r="H1733" s="37" t="n">
        <x:f t="shared" si="70">IFERROR(E1733/G1733-1,"")</x:f>
        <x:v>-0.37115705455719794</x:v>
      </x:c>
      <x:c r="I1733" s="38" t="b">
        <x:f t="shared" si="71">E1733&lt;G1733</x:f>
        <x:v>1</x:v>
      </x:c>
    </x:row>
    <x:row r="1734">
      <x:c r="A1734" s="31">
        <x:v>39526</x:v>
      </x:c>
      <x:c r="B1734" s="32">
        <x:v>573.45000000000005</x:v>
      </x:c>
      <x:c r="C1734" s="32">
        <x:v>573.45000000000005</x:v>
      </x:c>
      <x:c r="D1734" s="32">
        <x:v>573.45000000000005</x:v>
      </x:c>
      <x:c r="E1734" s="32">
        <x:v>573.45000000000005</x:v>
      </x:c>
      <x:c r="F1734" s="33">
        <x:v>17338000</x:v>
      </x:c>
      <x:c r="G1734" s="32" t="n">
        <x:f t="shared" si="69">AVERAGE(E1535:E1734)</x:f>
        <x:v>932.92395</x:v>
      </x:c>
      <x:c r="H1734" s="37" t="n">
        <x:f t="shared" si="70">IFERROR(E1734/G1734-1,"")</x:f>
        <x:v>-0.3853196715552216</x:v>
      </x:c>
      <x:c r="I1734" s="38" t="b">
        <x:f t="shared" si="71">E1734&lt;G1734</x:f>
        <x:v>1</x:v>
      </x:c>
    </x:row>
    <x:row r="1735">
      <x:c r="A1735" s="31">
        <x:v>39527</x:v>
      </x:c>
      <x:c r="B1735" s="32">
        <x:v>564.82000000000005</x:v>
      </x:c>
      <x:c r="C1735" s="32">
        <x:v>564.82000000000005</x:v>
      </x:c>
      <x:c r="D1735" s="32">
        <x:v>564.82000000000005</x:v>
      </x:c>
      <x:c r="E1735" s="32">
        <x:v>564.82000000000005</x:v>
      </x:c>
      <x:c r="F1735" s="33">
        <x:v>9957530</x:v>
      </x:c>
      <x:c r="G1735" s="32" t="n">
        <x:f t="shared" si="69">AVERAGE(E1536:E1735)</x:f>
        <x:v>930.3612500000002</x:v>
      </x:c>
      <x:c r="H1735" s="37" t="n">
        <x:f t="shared" si="70">IFERROR(E1735/G1735-1,"")</x:f>
        <x:v>-0.3929024881464055</x:v>
      </x:c>
      <x:c r="I1735" s="38" t="b">
        <x:f t="shared" si="71">E1735&lt;G1735</x:f>
        <x:v>1</x:v>
      </x:c>
    </x:row>
    <x:row r="1736">
      <x:c r="A1736" s="31">
        <x:v>39528</x:v>
      </x:c>
      <x:c r="B1736" s="32">
        <x:v>545.67999999999995</x:v>
      </x:c>
      <x:c r="C1736" s="32">
        <x:v>545.67999999999995</x:v>
      </x:c>
      <x:c r="D1736" s="32">
        <x:v>545.67999999999995</x:v>
      </x:c>
      <x:c r="E1736" s="32">
        <x:v>545.67999999999995</x:v>
      </x:c>
      <x:c r="F1736" s="33">
        <x:v>10334890</x:v>
      </x:c>
      <x:c r="G1736" s="32" t="n">
        <x:f t="shared" si="69">AVERAGE(E1537:E1736)</x:f>
        <x:v>927.7791500000002</x:v>
      </x:c>
      <x:c r="H1736" s="37" t="n">
        <x:f t="shared" si="70">IFERROR(E1736/G1736-1,"")</x:f>
        <x:v>-0.41184278607683755</x:v>
      </x:c>
      <x:c r="I1736" s="38" t="b">
        <x:f t="shared" si="71">E1736&lt;G1736</x:f>
        <x:v>1</x:v>
      </x:c>
    </x:row>
    <x:row r="1737">
      <x:c r="A1737" s="31">
        <x:v>39531</x:v>
      </x:c>
      <x:c r="B1737" s="32">
        <x:v>521.07000000000005</x:v>
      </x:c>
      <x:c r="C1737" s="32">
        <x:v>521.07000000000005</x:v>
      </x:c>
      <x:c r="D1737" s="32">
        <x:v>521.07000000000005</x:v>
      </x:c>
      <x:c r="E1737" s="32">
        <x:v>521.07000000000005</x:v>
      </x:c>
      <x:c r="F1737" s="33">
        <x:v>7352510</x:v>
      </x:c>
      <x:c r="G1737" s="32" t="n">
        <x:f t="shared" si="69">AVERAGE(E1538:E1737)</x:f>
        <x:v>925.1862000000002</x:v>
      </x:c>
      <x:c r="H1737" s="37" t="n">
        <x:f t="shared" si="70">IFERROR(E1737/G1737-1,"")</x:f>
        <x:v>-0.4367944528355482</x:v>
      </x:c>
      <x:c r="I1737" s="38" t="b">
        <x:f t="shared" si="71">E1737&lt;G1737</x:f>
        <x:v>1</x:v>
      </x:c>
    </x:row>
    <x:row r="1738">
      <x:c r="A1738" s="31">
        <x:v>39532</x:v>
      </x:c>
      <x:c r="B1738" s="32">
        <x:v>496.64</x:v>
      </x:c>
      <x:c r="C1738" s="32">
        <x:v>496.64</x:v>
      </x:c>
      <x:c r="D1738" s="32">
        <x:v>496.64</x:v>
      </x:c>
      <x:c r="E1738" s="32">
        <x:v>496.64</x:v>
      </x:c>
      <x:c r="F1738" s="33">
        <x:v>6675490</x:v>
      </x:c>
      <x:c r="G1738" s="32" t="n">
        <x:f t="shared" si="69">AVERAGE(E1539:E1738)</x:f>
        <x:v>922.4429500000002</x:v>
      </x:c>
      <x:c r="H1738" s="37" t="n">
        <x:f t="shared" si="70">IFERROR(E1738/G1738-1,"")</x:f>
        <x:v>-0.46160356041530826</x:v>
      </x:c>
      <x:c r="I1738" s="38" t="b">
        <x:f t="shared" si="71">E1738&lt;G1738</x:f>
        <x:v>1</x:v>
      </x:c>
    </x:row>
    <x:row r="1739">
      <x:c r="A1739" s="31">
        <x:v>39533</x:v>
      </x:c>
      <x:c r="B1739" s="32">
        <x:v>504.67</x:v>
      </x:c>
      <x:c r="C1739" s="32">
        <x:v>504.67</x:v>
      </x:c>
      <x:c r="D1739" s="32">
        <x:v>504.67</x:v>
      </x:c>
      <x:c r="E1739" s="32">
        <x:v>504.67</x:v>
      </x:c>
      <x:c r="F1739" s="33">
        <x:v>17917220</x:v>
      </x:c>
      <x:c r="G1739" s="32" t="n">
        <x:f t="shared" si="69">AVERAGE(E1540:E1739)</x:f>
        <x:v>919.6662000000002</x:v>
      </x:c>
      <x:c r="H1739" s="37" t="n">
        <x:f t="shared" si="70">IFERROR(E1739/G1739-1,"")</x:f>
        <x:v>-0.45124655010698456</x:v>
      </x:c>
      <x:c r="I1739" s="38" t="b">
        <x:f t="shared" si="71">E1739&lt;G1739</x:f>
        <x:v>1</x:v>
      </x:c>
    </x:row>
    <x:row r="1740">
      <x:c r="A1740" s="31">
        <x:v>39534</x:v>
      </x:c>
      <x:c r="B1740" s="32">
        <x:v>508.75</x:v>
      </x:c>
      <x:c r="C1740" s="32">
        <x:v>508.75</x:v>
      </x:c>
      <x:c r="D1740" s="32">
        <x:v>508.75</x:v>
      </x:c>
      <x:c r="E1740" s="32">
        <x:v>508.75</x:v>
      </x:c>
      <x:c r="F1740" s="33">
        <x:v>5568080</x:v>
      </x:c>
      <x:c r="G1740" s="32" t="n">
        <x:f t="shared" si="69">AVERAGE(E1541:E1740)</x:f>
        <x:v>916.9231500000002</x:v>
      </x:c>
      <x:c r="H1740" s="37" t="n">
        <x:f t="shared" si="70">IFERROR(E1740/G1740-1,"")</x:f>
        <x:v>-0.4451552455622918</x:v>
      </x:c>
      <x:c r="I1740" s="38" t="b">
        <x:f t="shared" si="71">E1740&lt;G1740</x:f>
        <x:v>1</x:v>
      </x:c>
    </x:row>
    <x:row r="1741">
      <x:c r="A1741" s="31">
        <x:v>39535</x:v>
      </x:c>
      <x:c r="B1741" s="32">
        <x:v>512.70000000000005</x:v>
      </x:c>
      <x:c r="C1741" s="32">
        <x:v>512.70000000000005</x:v>
      </x:c>
      <x:c r="D1741" s="32">
        <x:v>512.70000000000005</x:v>
      </x:c>
      <x:c r="E1741" s="32">
        <x:v>512.70000000000005</x:v>
      </x:c>
      <x:c r="F1741" s="33">
        <x:v>2589490</x:v>
      </x:c>
      <x:c r="G1741" s="32" t="n">
        <x:f t="shared" ref="G1741:G1804" si="72">AVERAGE(E1542:E1741)</x:f>
        <x:v>914.2829000000004</x:v>
      </x:c>
      <x:c r="H1741" s="37" t="n">
        <x:f t="shared" ref="H1741:H1804" si="73">IFERROR(E1741/G1741-1,"")</x:f>
        <x:v>-0.4392326488879975</x:v>
      </x:c>
      <x:c r="I1741" s="38" t="b">
        <x:f t="shared" ref="I1741:I1804" si="74">E1741&lt;G1741</x:f>
        <x:v>1</x:v>
      </x:c>
    </x:row>
    <x:row r="1742">
      <x:c r="A1742" s="31">
        <x:v>39538</x:v>
      </x:c>
      <x:c r="B1742" s="32">
        <x:v>516.85</x:v>
      </x:c>
      <x:c r="C1742" s="32">
        <x:v>516.85</x:v>
      </x:c>
      <x:c r="D1742" s="32">
        <x:v>516.85</x:v>
      </x:c>
      <x:c r="E1742" s="32">
        <x:v>516.85</x:v>
      </x:c>
      <x:c r="F1742" s="33">
        <x:v>2153030</x:v>
      </x:c>
      <x:c r="G1742" s="32" t="n">
        <x:f t="shared" si="72">AVERAGE(E1543:E1742)</x:f>
        <x:v>911.6844500000003</x:v>
      </x:c>
      <x:c r="H1742" s="37" t="n">
        <x:f t="shared" si="73">IFERROR(E1742/G1742-1,"")</x:f>
        <x:v>-0.43308235651052307</x:v>
      </x:c>
      <x:c r="I1742" s="38" t="b">
        <x:f t="shared" si="74">E1742&lt;G1742</x:f>
        <x:v>1</x:v>
      </x:c>
    </x:row>
    <x:row r="1743">
      <x:c r="A1743" s="31">
        <x:v>39539</x:v>
      </x:c>
      <x:c r="B1743" s="32">
        <x:v>520.99</x:v>
      </x:c>
      <x:c r="C1743" s="32">
        <x:v>520.99</x:v>
      </x:c>
      <x:c r="D1743" s="32">
        <x:v>520.99</x:v>
      </x:c>
      <x:c r="E1743" s="32">
        <x:v>520.99</x:v>
      </x:c>
      <x:c r="F1743" s="33">
        <x:v>1426080</x:v>
      </x:c>
      <x:c r="G1743" s="32" t="n">
        <x:f t="shared" si="72">AVERAGE(E1544:E1743)</x:f>
        <x:v>909.0954000000003</x:v>
      </x:c>
      <x:c r="H1743" s="37" t="n">
        <x:f t="shared" si="73">IFERROR(E1743/G1743-1,"")</x:f>
        <x:v>-0.4269138310456748</x:v>
      </x:c>
      <x:c r="I1743" s="38" t="b">
        <x:f t="shared" si="74">E1743&lt;G1743</x:f>
        <x:v>1</x:v>
      </x:c>
    </x:row>
    <x:row r="1744">
      <x:c r="A1744" s="31">
        <x:v>39540</x:v>
      </x:c>
      <x:c r="B1744" s="32">
        <x:v>525.11</x:v>
      </x:c>
      <x:c r="C1744" s="32">
        <x:v>525.11</x:v>
      </x:c>
      <x:c r="D1744" s="32">
        <x:v>525.11</x:v>
      </x:c>
      <x:c r="E1744" s="32">
        <x:v>525.11</x:v>
      </x:c>
      <x:c r="F1744" s="33">
        <x:v>705040</x:v>
      </x:c>
      <x:c r="G1744" s="32" t="n">
        <x:f t="shared" si="72">AVERAGE(E1545:E1744)</x:f>
        <x:v>906.5070000000003</x:v>
      </x:c>
      <x:c r="H1744" s="37" t="n">
        <x:f t="shared" si="73">IFERROR(E1744/G1744-1,"")</x:f>
        <x:v>-0.42073254812152594</x:v>
      </x:c>
      <x:c r="I1744" s="38" t="b">
        <x:f t="shared" si="74">E1744&lt;G1744</x:f>
        <x:v>1</x:v>
      </x:c>
    </x:row>
    <x:row r="1745">
      <x:c r="A1745" s="31">
        <x:v>39541</x:v>
      </x:c>
      <x:c r="B1745" s="32">
        <x:v>529.23</x:v>
      </x:c>
      <x:c r="C1745" s="32">
        <x:v>529.23</x:v>
      </x:c>
      <x:c r="D1745" s="32">
        <x:v>529.23</x:v>
      </x:c>
      <x:c r="E1745" s="32">
        <x:v>529.23</x:v>
      </x:c>
      <x:c r="F1745" s="33">
        <x:v>829010</x:v>
      </x:c>
      <x:c r="G1745" s="32" t="n">
        <x:f t="shared" si="72">AVERAGE(E1546:E1745)</x:f>
        <x:v>903.9122000000003</x:v>
      </x:c>
      <x:c r="H1745" s="37" t="n">
        <x:f t="shared" si="73">IFERROR(E1745/G1745-1,"")</x:f>
        <x:v>-0.41451171916918494</x:v>
      </x:c>
      <x:c r="I1745" s="38" t="b">
        <x:f t="shared" si="74">E1745&lt;G1745</x:f>
        <x:v>1</x:v>
      </x:c>
    </x:row>
    <x:row r="1746">
      <x:c r="A1746" s="31">
        <x:v>39542</x:v>
      </x:c>
      <x:c r="B1746" s="32">
        <x:v>533</x:v>
      </x:c>
      <x:c r="C1746" s="32">
        <x:v>533</x:v>
      </x:c>
      <x:c r="D1746" s="32">
        <x:v>533</x:v>
      </x:c>
      <x:c r="E1746" s="32">
        <x:v>533</x:v>
      </x:c>
      <x:c r="F1746" s="33">
        <x:v>785120</x:v>
      </x:c>
      <x:c r="G1746" s="32" t="n">
        <x:f t="shared" si="72">AVERAGE(E1547:E1746)</x:f>
        <x:v>901.3572500000002</x:v>
      </x:c>
      <x:c r="H1746" s="37" t="n">
        <x:f t="shared" si="73">IFERROR(E1746/G1746-1,"")</x:f>
        <x:v>-0.408669536967723</x:v>
      </x:c>
      <x:c r="I1746" s="38" t="b">
        <x:f t="shared" si="74">E1746&lt;G1746</x:f>
        <x:v>1</x:v>
      </x:c>
    </x:row>
    <x:row r="1747">
      <x:c r="A1747" s="31">
        <x:v>39545</x:v>
      </x:c>
      <x:c r="B1747" s="32">
        <x:v>542.33000000000004</x:v>
      </x:c>
      <x:c r="C1747" s="32">
        <x:v>542.33000000000004</x:v>
      </x:c>
      <x:c r="D1747" s="32">
        <x:v>542.33000000000004</x:v>
      </x:c>
      <x:c r="E1747" s="32">
        <x:v>542.33000000000004</x:v>
      </x:c>
      <x:c r="F1747" s="33">
        <x:v>1927800</x:v>
      </x:c>
      <x:c r="G1747" s="32" t="n">
        <x:f t="shared" si="72">AVERAGE(E1548:E1747)</x:f>
        <x:v>898.8210000000003</x:v>
      </x:c>
      <x:c r="H1747" s="37" t="n">
        <x:f t="shared" si="73">IFERROR(E1747/G1747-1,"")</x:f>
        <x:v>-0.3966206842074229</x:v>
      </x:c>
      <x:c r="I1747" s="38" t="b">
        <x:f t="shared" si="74">E1747&lt;G1747</x:f>
        <x:v>1</x:v>
      </x:c>
    </x:row>
    <x:row r="1748">
      <x:c r="A1748" s="31">
        <x:v>39546</x:v>
      </x:c>
      <x:c r="B1748" s="32">
        <x:v>548.55999999999995</x:v>
      </x:c>
      <x:c r="C1748" s="32">
        <x:v>548.55999999999995</x:v>
      </x:c>
      <x:c r="D1748" s="32">
        <x:v>548.55999999999995</x:v>
      </x:c>
      <x:c r="E1748" s="32">
        <x:v>548.55999999999995</x:v>
      </x:c>
      <x:c r="F1748" s="33">
        <x:v>24373260</x:v>
      </x:c>
      <x:c r="G1748" s="32" t="n">
        <x:f t="shared" si="72">AVERAGE(E1549:E1748)</x:f>
        <x:v>896.3374000000002</x:v>
      </x:c>
      <x:c r="H1748" s="37" t="n">
        <x:f t="shared" si="73">IFERROR(E1748/G1748-1,"")</x:f>
        <x:v>-0.38799831402773133</x:v>
      </x:c>
      <x:c r="I1748" s="38" t="b">
        <x:f t="shared" si="74">E1748&lt;G1748</x:f>
        <x:v>1</x:v>
      </x:c>
    </x:row>
    <x:row r="1749">
      <x:c r="A1749" s="31">
        <x:v>39547</x:v>
      </x:c>
      <x:c r="B1749" s="32">
        <x:v>552.04999999999995</x:v>
      </x:c>
      <x:c r="C1749" s="32">
        <x:v>552.04999999999995</x:v>
      </x:c>
      <x:c r="D1749" s="32">
        <x:v>552.04999999999995</x:v>
      </x:c>
      <x:c r="E1749" s="32">
        <x:v>552.04999999999995</x:v>
      </x:c>
      <x:c r="F1749" s="33">
        <x:v>10436750</x:v>
      </x:c>
      <x:c r="G1749" s="32" t="n">
        <x:f t="shared" si="72">AVERAGE(E1550:E1749)</x:f>
        <x:v>893.9255000000002</x:v>
      </x:c>
      <x:c r="H1749" s="37" t="n">
        <x:f t="shared" si="73">IFERROR(E1749/G1749-1,"")</x:f>
        <x:v>-0.3824429440708428</x:v>
      </x:c>
      <x:c r="I1749" s="38" t="b">
        <x:f t="shared" si="74">E1749&lt;G1749</x:f>
        <x:v>1</x:v>
      </x:c>
    </x:row>
    <x:row r="1750">
      <x:c r="A1750" s="31">
        <x:v>39548</x:v>
      </x:c>
      <x:c r="B1750" s="32">
        <x:v>545.73</x:v>
      </x:c>
      <x:c r="C1750" s="32">
        <x:v>545.73</x:v>
      </x:c>
      <x:c r="D1750" s="32">
        <x:v>545.73</x:v>
      </x:c>
      <x:c r="E1750" s="32">
        <x:v>545.73</x:v>
      </x:c>
      <x:c r="F1750" s="33">
        <x:v>8146560</x:v>
      </x:c>
      <x:c r="G1750" s="32" t="n">
        <x:f t="shared" si="72">AVERAGE(E1551:E1750)</x:f>
        <x:v>891.4857000000002</x:v>
      </x:c>
      <x:c r="H1750" s="37" t="n">
        <x:f t="shared" si="73">IFERROR(E1750/G1750-1,"")</x:f>
        <x:v>-0.3878421156951818</x:v>
      </x:c>
      <x:c r="I1750" s="38" t="b">
        <x:f t="shared" si="74">E1750&lt;G1750</x:f>
        <x:v>1</x:v>
      </x:c>
    </x:row>
    <x:row r="1751">
      <x:c r="A1751" s="31">
        <x:v>39549</x:v>
      </x:c>
      <x:c r="B1751" s="32">
        <x:v>539.01</x:v>
      </x:c>
      <x:c r="C1751" s="32">
        <x:v>539.01</x:v>
      </x:c>
      <x:c r="D1751" s="32">
        <x:v>539.01</x:v>
      </x:c>
      <x:c r="E1751" s="32">
        <x:v>539.01</x:v>
      </x:c>
      <x:c r="F1751" s="33">
        <x:v>7557750</x:v>
      </x:c>
      <x:c r="G1751" s="32" t="n">
        <x:f t="shared" si="72">AVERAGE(E1552:E1751)</x:f>
        <x:v>888.9588000000002</x:v>
      </x:c>
      <x:c r="H1751" s="37" t="n">
        <x:f t="shared" si="73">IFERROR(E1751/G1751-1,"")</x:f>
        <x:v>-0.39366143852785995</x:v>
      </x:c>
      <x:c r="I1751" s="38" t="b">
        <x:f t="shared" si="74">E1751&lt;G1751</x:f>
        <x:v>1</x:v>
      </x:c>
    </x:row>
    <x:row r="1752">
      <x:c r="A1752" s="31">
        <x:v>39554</x:v>
      </x:c>
      <x:c r="B1752" s="32">
        <x:v>531.38</x:v>
      </x:c>
      <x:c r="C1752" s="32">
        <x:v>531.38</x:v>
      </x:c>
      <x:c r="D1752" s="32">
        <x:v>531.38</x:v>
      </x:c>
      <x:c r="E1752" s="32">
        <x:v>531.38</x:v>
      </x:c>
      <x:c r="F1752" s="33">
        <x:v>5543290</x:v>
      </x:c>
      <x:c r="G1752" s="32" t="n">
        <x:f t="shared" si="72">AVERAGE(E1553:E1752)</x:f>
        <x:v>886.3372000000003</x:v>
      </x:c>
      <x:c r="H1752" s="37" t="n">
        <x:f t="shared" si="73">IFERROR(E1752/G1752-1,"")</x:f>
        <x:v>-0.4004764778009996</x:v>
      </x:c>
      <x:c r="I1752" s="38" t="b">
        <x:f t="shared" si="74">E1752&lt;G1752</x:f>
        <x:v>1</x:v>
      </x:c>
    </x:row>
    <x:row r="1753">
      <x:c r="A1753" s="31">
        <x:v>39555</x:v>
      </x:c>
      <x:c r="B1753" s="32">
        <x:v>537.58000000000004</x:v>
      </x:c>
      <x:c r="C1753" s="32">
        <x:v>537.58000000000004</x:v>
      </x:c>
      <x:c r="D1753" s="32">
        <x:v>537.58000000000004</x:v>
      </x:c>
      <x:c r="E1753" s="32">
        <x:v>537.58000000000004</x:v>
      </x:c>
      <x:c r="F1753" s="33">
        <x:v>11660700</x:v>
      </x:c>
      <x:c r="G1753" s="32" t="n">
        <x:f t="shared" si="72">AVERAGE(E1554:E1753)</x:f>
        <x:v>883.8603000000003</x:v>
      </x:c>
      <x:c r="H1753" s="37" t="n">
        <x:f t="shared" si="73">IFERROR(E1753/G1753-1,"")</x:f>
        <x:v>-0.39178171029969344</x:v>
      </x:c>
      <x:c r="I1753" s="38" t="b">
        <x:f t="shared" si="74">E1753&lt;G1753</x:f>
        <x:v>1</x:v>
      </x:c>
    </x:row>
    <x:row r="1754">
      <x:c r="A1754" s="31">
        <x:v>39556</x:v>
      </x:c>
      <x:c r="B1754" s="32">
        <x:v>537.30999999999995</x:v>
      </x:c>
      <x:c r="C1754" s="32">
        <x:v>537.30999999999995</x:v>
      </x:c>
      <x:c r="D1754" s="32">
        <x:v>537.30999999999995</x:v>
      </x:c>
      <x:c r="E1754" s="32">
        <x:v>537.30999999999995</x:v>
      </x:c>
      <x:c r="F1754" s="33">
        <x:v>9533570</x:v>
      </x:c>
      <x:c r="G1754" s="32" t="n">
        <x:f t="shared" si="72">AVERAGE(E1555:E1754)</x:f>
        <x:v>881.4266500000002</x:v>
      </x:c>
      <x:c r="H1754" s="37" t="n">
        <x:f t="shared" si="73">IFERROR(E1754/G1754-1,"")</x:f>
        <x:v>-0.3904087197726551</x:v>
      </x:c>
      <x:c r="I1754" s="38" t="b">
        <x:f t="shared" si="74">E1754&lt;G1754</x:f>
        <x:v>1</x:v>
      </x:c>
    </x:row>
    <x:row r="1755">
      <x:c r="A1755" s="31">
        <x:v>39559</x:v>
      </x:c>
      <x:c r="B1755" s="32">
        <x:v>534.91999999999996</x:v>
      </x:c>
      <x:c r="C1755" s="32">
        <x:v>534.91999999999996</x:v>
      </x:c>
      <x:c r="D1755" s="32">
        <x:v>534.91999999999996</x:v>
      </x:c>
      <x:c r="E1755" s="32">
        <x:v>534.91999999999996</x:v>
      </x:c>
      <x:c r="F1755" s="33">
        <x:v>4993620</x:v>
      </x:c>
      <x:c r="G1755" s="32" t="n">
        <x:f t="shared" si="72">AVERAGE(E1556:E1755)</x:f>
        <x:v>878.9778500000003</x:v>
      </x:c>
      <x:c r="H1755" s="37" t="n">
        <x:f t="shared" si="73">IFERROR(E1755/G1755-1,"")</x:f>
        <x:v>-0.39142948824023294</x:v>
      </x:c>
      <x:c r="I1755" s="38" t="b">
        <x:f t="shared" si="74">E1755&lt;G1755</x:f>
        <x:v>1</x:v>
      </x:c>
    </x:row>
    <x:row r="1756">
      <x:c r="A1756" s="31">
        <x:v>39560</x:v>
      </x:c>
      <x:c r="B1756" s="32">
        <x:v>530.62</x:v>
      </x:c>
      <x:c r="C1756" s="32">
        <x:v>530.62</x:v>
      </x:c>
      <x:c r="D1756" s="32">
        <x:v>530.62</x:v>
      </x:c>
      <x:c r="E1756" s="32">
        <x:v>530.62</x:v>
      </x:c>
      <x:c r="F1756" s="33">
        <x:v>4028030</x:v>
      </x:c>
      <x:c r="G1756" s="32" t="n">
        <x:f t="shared" si="72">AVERAGE(E1557:E1756)</x:f>
        <x:v>876.6601000000004</x:v>
      </x:c>
      <x:c r="H1756" s="37" t="n">
        <x:f t="shared" si="73">IFERROR(E1756/G1756-1,"")</x:f>
        <x:v>-0.3947255042176554</x:v>
      </x:c>
      <x:c r="I1756" s="38" t="b">
        <x:f t="shared" si="74">E1756&lt;G1756</x:f>
        <x:v>1</x:v>
      </x:c>
    </x:row>
    <x:row r="1757">
      <x:c r="A1757" s="31">
        <x:v>39561</x:v>
      </x:c>
      <x:c r="B1757" s="32">
        <x:v>521.95000000000005</x:v>
      </x:c>
      <x:c r="C1757" s="32">
        <x:v>521.95000000000005</x:v>
      </x:c>
      <x:c r="D1757" s="32">
        <x:v>521.95000000000005</x:v>
      </x:c>
      <x:c r="E1757" s="32">
        <x:v>521.95000000000005</x:v>
      </x:c>
      <x:c r="F1757" s="33">
        <x:v>4324350</x:v>
      </x:c>
      <x:c r="G1757" s="32" t="n">
        <x:f t="shared" si="72">AVERAGE(E1558:E1757)</x:f>
        <x:v>874.3833500000005</x:v>
      </x:c>
      <x:c r="H1757" s="37" t="n">
        <x:f t="shared" si="73">IFERROR(E1757/G1757-1,"")</x:f>
        <x:v>-0.4030650286284617</x:v>
      </x:c>
      <x:c r="I1757" s="38" t="b">
        <x:f t="shared" si="74">E1757&lt;G1757</x:f>
        <x:v>1</x:v>
      </x:c>
    </x:row>
    <x:row r="1758">
      <x:c r="A1758" s="31">
        <x:v>39562</x:v>
      </x:c>
      <x:c r="B1758" s="32">
        <x:v>518.41999999999996</x:v>
      </x:c>
      <x:c r="C1758" s="32">
        <x:v>518.41999999999996</x:v>
      </x:c>
      <x:c r="D1758" s="32">
        <x:v>518.41999999999996</x:v>
      </x:c>
      <x:c r="E1758" s="32">
        <x:v>518.41999999999996</x:v>
      </x:c>
      <x:c r="F1758" s="33">
        <x:v>6461260</x:v>
      </x:c>
      <x:c r="G1758" s="32" t="n">
        <x:f t="shared" si="72">AVERAGE(E1559:E1758)</x:f>
        <x:v>871.9076500000006</x:v>
      </x:c>
      <x:c r="H1758" s="37" t="n">
        <x:f t="shared" si="73">IFERROR(E1758/G1758-1,"")</x:f>
        <x:v>-0.4054186816688675</x:v>
      </x:c>
      <x:c r="I1758" s="38" t="b">
        <x:f t="shared" si="74">E1758&lt;G1758</x:f>
        <x:v>1</x:v>
      </x:c>
    </x:row>
    <x:row r="1759">
      <x:c r="A1759" s="31">
        <x:v>39563</x:v>
      </x:c>
      <x:c r="B1759" s="32">
        <x:v>515.88</x:v>
      </x:c>
      <x:c r="C1759" s="32">
        <x:v>515.88</x:v>
      </x:c>
      <x:c r="D1759" s="32">
        <x:v>515.88</x:v>
      </x:c>
      <x:c r="E1759" s="32">
        <x:v>515.88</x:v>
      </x:c>
      <x:c r="F1759" s="33">
        <x:v>6838240</x:v>
      </x:c>
      <x:c r="G1759" s="32" t="n">
        <x:f t="shared" si="72">AVERAGE(E1560:E1759)</x:f>
        <x:v>869.4229500000007</x:v>
      </x:c>
      <x:c r="H1759" s="37" t="n">
        <x:f t="shared" si="73">IFERROR(E1759/G1759-1,"")</x:f>
        <x:v>-0.4066409220046474</x:v>
      </x:c>
      <x:c r="I1759" s="38" t="b">
        <x:f t="shared" si="74">E1759&lt;G1759</x:f>
        <x:v>1</x:v>
      </x:c>
    </x:row>
    <x:row r="1760">
      <x:c r="A1760" s="31">
        <x:v>39566</x:v>
      </x:c>
      <x:c r="B1760" s="32">
        <x:v>519.41999999999996</x:v>
      </x:c>
      <x:c r="C1760" s="32">
        <x:v>519.41999999999996</x:v>
      </x:c>
      <x:c r="D1760" s="32">
        <x:v>519.41999999999996</x:v>
      </x:c>
      <x:c r="E1760" s="32">
        <x:v>519.41999999999996</x:v>
      </x:c>
      <x:c r="F1760" s="33">
        <x:v>8410120</x:v>
      </x:c>
      <x:c r="G1760" s="32" t="n">
        <x:f t="shared" si="72">AVERAGE(E1561:E1760)</x:f>
        <x:v>866.9674000000007</x:v>
      </x:c>
      <x:c r="H1760" s="37" t="n">
        <x:f t="shared" si="73">IFERROR(E1760/G1760-1,"")</x:f>
        <x:v>-0.4008771264063683</x:v>
      </x:c>
      <x:c r="I1760" s="38" t="b">
        <x:f t="shared" si="74">E1760&lt;G1760</x:f>
        <x:v>1</x:v>
      </x:c>
    </x:row>
    <x:row r="1761">
      <x:c r="A1761" s="31">
        <x:v>39567</x:v>
      </x:c>
      <x:c r="B1761" s="32">
        <x:v>522.36</x:v>
      </x:c>
      <x:c r="C1761" s="32">
        <x:v>522.36</x:v>
      </x:c>
      <x:c r="D1761" s="32">
        <x:v>522.36</x:v>
      </x:c>
      <x:c r="E1761" s="32">
        <x:v>522.36</x:v>
      </x:c>
      <x:c r="F1761" s="33">
        <x:v>8894480</x:v>
      </x:c>
      <x:c r="G1761" s="32" t="n">
        <x:f t="shared" si="72">AVERAGE(E1562:E1761)</x:f>
        <x:v>864.5278500000007</x:v>
      </x:c>
      <x:c r="H1761" s="37" t="n">
        <x:f t="shared" si="73">IFERROR(E1761/G1761-1,"")</x:f>
        <x:v>-0.3957858037771721</x:v>
      </x:c>
      <x:c r="I1761" s="38" t="b">
        <x:f t="shared" si="74">E1761&lt;G1761</x:f>
        <x:v>1</x:v>
      </x:c>
    </x:row>
    <x:row r="1762">
      <x:c r="A1762" s="31">
        <x:v>39573</x:v>
      </x:c>
      <x:c r="B1762" s="32">
        <x:v>521.28</x:v>
      </x:c>
      <x:c r="C1762" s="32">
        <x:v>521.28</x:v>
      </x:c>
      <x:c r="D1762" s="32">
        <x:v>521.28</x:v>
      </x:c>
      <x:c r="E1762" s="32">
        <x:v>521.28</x:v>
      </x:c>
      <x:c r="F1762" s="33">
        <x:v>4725790</x:v>
      </x:c>
      <x:c r="G1762" s="32" t="n">
        <x:f t="shared" si="72">AVERAGE(E1563:E1762)</x:f>
        <x:v>862.0190500000007</x:v>
      </x:c>
      <x:c r="H1762" s="37" t="n">
        <x:f t="shared" si="73">IFERROR(E1762/G1762-1,"")</x:f>
        <x:v>-0.39528018551330213</x:v>
      </x:c>
      <x:c r="I1762" s="38" t="b">
        <x:f t="shared" si="74">E1762&lt;G1762</x:f>
        <x:v>1</x:v>
      </x:c>
    </x:row>
    <x:row r="1763">
      <x:c r="A1763" s="31">
        <x:v>39574</x:v>
      </x:c>
      <x:c r="B1763" s="32">
        <x:v>518.35</x:v>
      </x:c>
      <x:c r="C1763" s="32">
        <x:v>518.35</x:v>
      </x:c>
      <x:c r="D1763" s="32">
        <x:v>518.35</x:v>
      </x:c>
      <x:c r="E1763" s="32">
        <x:v>518.35</x:v>
      </x:c>
      <x:c r="F1763" s="33">
        <x:v>4989110</x:v>
      </x:c>
      <x:c r="G1763" s="32" t="n">
        <x:f t="shared" si="72">AVERAGE(E1564:E1763)</x:f>
        <x:v>859.4615500000007</x:v>
      </x:c>
      <x:c r="H1763" s="37" t="n">
        <x:f t="shared" si="73">IFERROR(E1763/G1763-1,"")</x:f>
        <x:v>-0.39688983177897885</x:v>
      </x:c>
      <x:c r="I1763" s="38" t="b">
        <x:f t="shared" si="74">E1763&lt;G1763</x:f>
        <x:v>1</x:v>
      </x:c>
    </x:row>
    <x:row r="1764">
      <x:c r="A1764" s="31">
        <x:v>39575</x:v>
      </x:c>
      <x:c r="B1764" s="32">
        <x:v>515.26</x:v>
      </x:c>
      <x:c r="C1764" s="32">
        <x:v>515.26</x:v>
      </x:c>
      <x:c r="D1764" s="32">
        <x:v>515.26</x:v>
      </x:c>
      <x:c r="E1764" s="32">
        <x:v>515.26</x:v>
      </x:c>
      <x:c r="F1764" s="33">
        <x:v>5898390</x:v>
      </x:c>
      <x:c r="G1764" s="32" t="n">
        <x:f t="shared" si="72">AVERAGE(E1565:E1764)</x:f>
        <x:v>856.9494500000008</x:v>
      </x:c>
      <x:c r="H1764" s="37" t="n">
        <x:f t="shared" si="73">IFERROR(E1764/G1764-1,"")</x:f>
        <x:v>-0.3987276612406957</x:v>
      </x:c>
      <x:c r="I1764" s="38" t="b">
        <x:f t="shared" si="74">E1764&lt;G1764</x:f>
        <x:v>1</x:v>
      </x:c>
    </x:row>
    <x:row r="1765">
      <x:c r="A1765" s="31">
        <x:v>39576</x:v>
      </x:c>
      <x:c r="B1765" s="32">
        <x:v>507.94</x:v>
      </x:c>
      <x:c r="C1765" s="32">
        <x:v>507.94</x:v>
      </x:c>
      <x:c r="D1765" s="32">
        <x:v>507.94</x:v>
      </x:c>
      <x:c r="E1765" s="32">
        <x:v>507.94</x:v>
      </x:c>
      <x:c r="F1765" s="33">
        <x:v>4312830</x:v>
      </x:c>
      <x:c r="G1765" s="32" t="n">
        <x:f t="shared" si="72">AVERAGE(E1566:E1765)</x:f>
        <x:v>854.4105000000008</x:v>
      </x:c>
      <x:c r="H1765" s="37" t="n">
        <x:f t="shared" si="73">IFERROR(E1765/G1765-1,"")</x:f>
        <x:v>-0.4055082422325106</x:v>
      </x:c>
      <x:c r="I1765" s="38" t="b">
        <x:f t="shared" si="74">E1765&lt;G1765</x:f>
        <x:v>1</x:v>
      </x:c>
    </x:row>
    <x:row r="1766">
      <x:c r="A1766" s="31">
        <x:v>39577</x:v>
      </x:c>
      <x:c r="B1766" s="32">
        <x:v>500.33</x:v>
      </x:c>
      <x:c r="C1766" s="32">
        <x:v>500.33</x:v>
      </x:c>
      <x:c r="D1766" s="32">
        <x:v>500.33</x:v>
      </x:c>
      <x:c r="E1766" s="32">
        <x:v>500.33</x:v>
      </x:c>
      <x:c r="F1766" s="33">
        <x:v>2739340</x:v>
      </x:c>
      <x:c r="G1766" s="32" t="n">
        <x:f t="shared" si="72">AVERAGE(E1567:E1766)</x:f>
        <x:v>851.9330000000006</x:v>
      </x:c>
      <x:c r="H1766" s="37" t="n">
        <x:f t="shared" si="73">IFERROR(E1766/G1766-1,"")</x:f>
        <x:v>-0.4127120325189896</x:v>
      </x:c>
      <x:c r="I1766" s="38" t="b">
        <x:f t="shared" si="74">E1766&lt;G1766</x:f>
        <x:v>1</x:v>
      </x:c>
    </x:row>
    <x:row r="1767">
      <x:c r="A1767" s="31">
        <x:v>39580</x:v>
      </x:c>
      <x:c r="B1767" s="32">
        <x:v>492.04</x:v>
      </x:c>
      <x:c r="C1767" s="32">
        <x:v>492.04</x:v>
      </x:c>
      <x:c r="D1767" s="32">
        <x:v>492.04</x:v>
      </x:c>
      <x:c r="E1767" s="32">
        <x:v>492.04</x:v>
      </x:c>
      <x:c r="F1767" s="33">
        <x:v>2156610</x:v>
      </x:c>
      <x:c r="G1767" s="32" t="n">
        <x:f t="shared" si="72">AVERAGE(E1568:E1767)</x:f>
        <x:v>849.3915500000007</x:v>
      </x:c>
      <x:c r="H1767" s="37" t="n">
        <x:f t="shared" si="73">IFERROR(E1767/G1767-1,"")</x:f>
        <x:v>-0.42071474574947254</x:v>
      </x:c>
      <x:c r="I1767" s="38" t="b">
        <x:f t="shared" si="74">E1767&lt;G1767</x:f>
        <x:v>1</x:v>
      </x:c>
    </x:row>
    <x:row r="1768">
      <x:c r="A1768" s="31">
        <x:v>39581</x:v>
      </x:c>
      <x:c r="B1768" s="32">
        <x:v>483.92</x:v>
      </x:c>
      <x:c r="C1768" s="32">
        <x:v>483.92</x:v>
      </x:c>
      <x:c r="D1768" s="32">
        <x:v>483.92</x:v>
      </x:c>
      <x:c r="E1768" s="32">
        <x:v>483.92</x:v>
      </x:c>
      <x:c r="F1768" s="33">
        <x:v>1041790</x:v>
      </x:c>
      <x:c r="G1768" s="32" t="n">
        <x:f t="shared" si="72">AVERAGE(E1569:E1768)</x:f>
        <x:v>846.8375000000008</x:v>
      </x:c>
      <x:c r="H1768" s="37" t="n">
        <x:f t="shared" si="73">IFERROR(E1768/G1768-1,"")</x:f>
        <x:v>-0.4285562460330352</x:v>
      </x:c>
      <x:c r="I1768" s="38" t="b">
        <x:f t="shared" si="74">E1768&lt;G1768</x:f>
        <x:v>1</x:v>
      </x:c>
    </x:row>
    <x:row r="1769">
      <x:c r="A1769" s="31">
        <x:v>39582</x:v>
      </x:c>
      <x:c r="B1769" s="32">
        <x:v>475.5</x:v>
      </x:c>
      <x:c r="C1769" s="32">
        <x:v>475.5</x:v>
      </x:c>
      <x:c r="D1769" s="32">
        <x:v>475.5</x:v>
      </x:c>
      <x:c r="E1769" s="32">
        <x:v>475.5</x:v>
      </x:c>
      <x:c r="F1769" s="33">
        <x:v>900580</x:v>
      </x:c>
      <x:c r="G1769" s="32" t="n">
        <x:f t="shared" si="72">AVERAGE(E1570:E1769)</x:f>
        <x:v>844.292850000001</x:v>
      </x:c>
      <x:c r="H1769" s="37" t="n">
        <x:f t="shared" si="73">IFERROR(E1769/G1769-1,"")</x:f>
        <x:v>-0.4368067904400713</x:v>
      </x:c>
      <x:c r="I1769" s="38" t="b">
        <x:f t="shared" si="74">E1769&lt;G1769</x:f>
        <x:v>1</x:v>
      </x:c>
    </x:row>
    <x:row r="1770">
      <x:c r="A1770" s="31">
        <x:v>39583</x:v>
      </x:c>
      <x:c r="B1770" s="32">
        <x:v>466.67</x:v>
      </x:c>
      <x:c r="C1770" s="32">
        <x:v>466.67</x:v>
      </x:c>
      <x:c r="D1770" s="32">
        <x:v>466.67</x:v>
      </x:c>
      <x:c r="E1770" s="32">
        <x:v>466.67</x:v>
      </x:c>
      <x:c r="F1770" s="33">
        <x:v>1347360</x:v>
      </x:c>
      <x:c r="G1770" s="32" t="n">
        <x:f t="shared" si="72">AVERAGE(E1571:E1770)</x:f>
        <x:v>841.719650000001</x:v>
      </x:c>
      <x:c r="H1770" s="37" t="n">
        <x:f t="shared" si="73">IFERROR(E1770/G1770-1,"")</x:f>
        <x:v>-0.4455754953564415</x:v>
      </x:c>
      <x:c r="I1770" s="38" t="b">
        <x:f t="shared" si="74">E1770&lt;G1770</x:f>
        <x:v>1</x:v>
      </x:c>
    </x:row>
    <x:row r="1771">
      <x:c r="A1771" s="31">
        <x:v>39584</x:v>
      </x:c>
      <x:c r="B1771" s="32">
        <x:v>460.04</x:v>
      </x:c>
      <x:c r="C1771" s="32">
        <x:v>460.04</x:v>
      </x:c>
      <x:c r="D1771" s="32">
        <x:v>460.04</x:v>
      </x:c>
      <x:c r="E1771" s="32">
        <x:v>460.04</x:v>
      </x:c>
      <x:c r="F1771" s="33">
        <x:v>7625620</x:v>
      </x:c>
      <x:c r="G1771" s="32" t="n">
        <x:f t="shared" si="72">AVERAGE(E1572:E1771)</x:f>
        <x:v>839.123700000001</x:v>
      </x:c>
      <x:c r="H1771" s="37" t="n">
        <x:f t="shared" si="73">IFERROR(E1771/G1771-1,"")</x:f>
        <x:v>-0.45176140299696044</x:v>
      </x:c>
      <x:c r="I1771" s="38" t="b">
        <x:f t="shared" si="74">E1771&lt;G1771</x:f>
        <x:v>1</x:v>
      </x:c>
    </x:row>
    <x:row r="1772">
      <x:c r="A1772" s="31">
        <x:v>39587</x:v>
      </x:c>
      <x:c r="B1772" s="32">
        <x:v>455.67</x:v>
      </x:c>
      <x:c r="C1772" s="32">
        <x:v>455.67</x:v>
      </x:c>
      <x:c r="D1772" s="32">
        <x:v>455.67</x:v>
      </x:c>
      <x:c r="E1772" s="32">
        <x:v>455.67</x:v>
      </x:c>
      <x:c r="F1772" s="33">
        <x:v>3316000</x:v>
      </x:c>
      <x:c r="G1772" s="32" t="n">
        <x:f t="shared" si="72">AVERAGE(E1573:E1772)</x:f>
        <x:v>836.4899000000011</x:v>
      </x:c>
      <x:c r="H1772" s="37" t="n">
        <x:f t="shared" si="73">IFERROR(E1772/G1772-1,"")</x:f>
        <x:v>-0.45525941197855535</x:v>
      </x:c>
      <x:c r="I1772" s="38" t="b">
        <x:f t="shared" si="74">E1772&lt;G1772</x:f>
        <x:v>1</x:v>
      </x:c>
    </x:row>
    <x:row r="1773">
      <x:c r="A1773" s="31">
        <x:v>39588</x:v>
      </x:c>
      <x:c r="B1773" s="32">
        <x:v>449.24</x:v>
      </x:c>
      <x:c r="C1773" s="32">
        <x:v>449.24</x:v>
      </x:c>
      <x:c r="D1773" s="32">
        <x:v>449.24</x:v>
      </x:c>
      <x:c r="E1773" s="32">
        <x:v>449.24</x:v>
      </x:c>
      <x:c r="F1773" s="33">
        <x:v>2556160</x:v>
      </x:c>
      <x:c r="G1773" s="32" t="n">
        <x:f t="shared" si="72">AVERAGE(E1574:E1773)</x:f>
        <x:v>833.8733000000012</x:v>
      </x:c>
      <x:c r="H1773" s="37" t="n">
        <x:f t="shared" si="73">IFERROR(E1773/G1773-1,"")</x:f>
        <x:v>-0.46126108126978116</x:v>
      </x:c>
      <x:c r="I1773" s="38" t="b">
        <x:f t="shared" si="74">E1773&lt;G1773</x:f>
        <x:v>1</x:v>
      </x:c>
    </x:row>
    <x:row r="1774">
      <x:c r="A1774" s="31">
        <x:v>39589</x:v>
      </x:c>
      <x:c r="B1774" s="32">
        <x:v>441.75</x:v>
      </x:c>
      <x:c r="C1774" s="32">
        <x:v>441.75</x:v>
      </x:c>
      <x:c r="D1774" s="32">
        <x:v>441.75</x:v>
      </x:c>
      <x:c r="E1774" s="32">
        <x:v>441.75</x:v>
      </x:c>
      <x:c r="F1774" s="33">
        <x:v>2559880</x:v>
      </x:c>
      <x:c r="G1774" s="32" t="n">
        <x:f t="shared" si="72">AVERAGE(E1575:E1774)</x:f>
        <x:v>831.3014000000012</x:v>
      </x:c>
      <x:c r="H1774" s="37" t="n">
        <x:f t="shared" si="73">IFERROR(E1774/G1774-1,"")</x:f>
        <x:v>-0.4686042872055799</x:v>
      </x:c>
      <x:c r="I1774" s="38" t="b">
        <x:f t="shared" si="74">E1774&lt;G1774</x:f>
        <x:v>1</x:v>
      </x:c>
    </x:row>
    <x:row r="1775">
      <x:c r="A1775" s="31">
        <x:v>39590</x:v>
      </x:c>
      <x:c r="B1775" s="32">
        <x:v>434.75</x:v>
      </x:c>
      <x:c r="C1775" s="32">
        <x:v>434.75</x:v>
      </x:c>
      <x:c r="D1775" s="32">
        <x:v>434.75</x:v>
      </x:c>
      <x:c r="E1775" s="32">
        <x:v>434.75</x:v>
      </x:c>
      <x:c r="F1775" s="33">
        <x:v>2811850</x:v>
      </x:c>
      <x:c r="G1775" s="32" t="n">
        <x:f t="shared" si="72">AVERAGE(E1576:E1775)</x:f>
        <x:v>828.7733500000011</x:v>
      </x:c>
      <x:c r="H1775" s="37" t="n">
        <x:f t="shared" si="73">IFERROR(E1775/G1775-1,"")</x:f>
        <x:v>-0.4754295610494722</x:v>
      </x:c>
      <x:c r="I1775" s="38" t="b">
        <x:f t="shared" si="74">E1775&lt;G1775</x:f>
        <x:v>1</x:v>
      </x:c>
    </x:row>
    <x:row r="1776">
      <x:c r="A1776" s="31">
        <x:v>39591</x:v>
      </x:c>
      <x:c r="B1776" s="32">
        <x:v>428.05</x:v>
      </x:c>
      <x:c r="C1776" s="32">
        <x:v>428.05</x:v>
      </x:c>
      <x:c r="D1776" s="32">
        <x:v>428.05</x:v>
      </x:c>
      <x:c r="E1776" s="32">
        <x:v>428.05</x:v>
      </x:c>
      <x:c r="F1776" s="33">
        <x:v>3140160</x:v>
      </x:c>
      <x:c r="G1776" s="32" t="n">
        <x:f t="shared" si="72">AVERAGE(E1577:E1776)</x:f>
        <x:v>826.2864000000009</x:v>
      </x:c>
      <x:c r="H1776" s="37" t="n">
        <x:f t="shared" si="73">IFERROR(E1776/G1776-1,"")</x:f>
        <x:v>-0.4819592819148426</x:v>
      </x:c>
      <x:c r="I1776" s="38" t="b">
        <x:f t="shared" si="74">E1776&lt;G1776</x:f>
        <x:v>1</x:v>
      </x:c>
    </x:row>
    <x:row r="1777">
      <x:c r="A1777" s="31">
        <x:v>39594</x:v>
      </x:c>
      <x:c r="B1777" s="32">
        <x:v>420.51</x:v>
      </x:c>
      <x:c r="C1777" s="32">
        <x:v>420.51</x:v>
      </x:c>
      <x:c r="D1777" s="32">
        <x:v>420.51</x:v>
      </x:c>
      <x:c r="E1777" s="32">
        <x:v>420.51</x:v>
      </x:c>
      <x:c r="F1777" s="33">
        <x:v>1486410</x:v>
      </x:c>
      <x:c r="G1777" s="32" t="n">
        <x:f t="shared" si="72">AVERAGE(E1578:E1777)</x:f>
        <x:v>823.8492000000009</x:v>
      </x:c>
      <x:c r="H1777" s="37" t="n">
        <x:f t="shared" si="73">IFERROR(E1777/G1777-1,"")</x:f>
        <x:v>-0.4895789180835528</x:v>
      </x:c>
      <x:c r="I1777" s="38" t="b">
        <x:f t="shared" si="74">E1777&lt;G1777</x:f>
        <x:v>1</x:v>
      </x:c>
    </x:row>
    <x:row r="1778">
      <x:c r="A1778" s="31">
        <x:v>39595</x:v>
      </x:c>
      <x:c r="B1778" s="32">
        <x:v>420.51</x:v>
      </x:c>
      <x:c r="C1778" s="32">
        <x:v>420.51</x:v>
      </x:c>
      <x:c r="D1778" s="32">
        <x:v>420.51</x:v>
      </x:c>
      <x:c r="E1778" s="32">
        <x:v>420.51</x:v>
      </x:c>
      <x:c r="F1778" s="33">
        <x:v>1486410</x:v>
      </x:c>
      <x:c r="G1778" s="32" t="n">
        <x:f t="shared" si="72">AVERAGE(E1579:E1778)</x:f>
        <x:v>821.336050000001</x:v>
      </x:c>
      <x:c r="H1778" s="37" t="n">
        <x:f t="shared" si="73">IFERROR(E1778/G1778-1,"")</x:f>
        <x:v>-0.48801711552780436</x:v>
      </x:c>
      <x:c r="I1778" s="38" t="b">
        <x:f t="shared" si="74">E1778&lt;G1778</x:f>
        <x:v>1</x:v>
      </x:c>
    </x:row>
    <x:row r="1779">
      <x:c r="A1779" s="31">
        <x:v>39596</x:v>
      </x:c>
      <x:c r="B1779" s="32">
        <x:v>420.51</x:v>
      </x:c>
      <x:c r="C1779" s="32">
        <x:v>420.51</x:v>
      </x:c>
      <x:c r="D1779" s="32">
        <x:v>420.51</x:v>
      </x:c>
      <x:c r="E1779" s="32">
        <x:v>420.51</x:v>
      </x:c>
      <x:c r="F1779" s="33">
        <x:v>1486410</x:v>
      </x:c>
      <x:c r="G1779" s="32" t="n">
        <x:f t="shared" si="72">AVERAGE(E1580:E1779)</x:f>
        <x:v>818.8827000000009</x:v>
      </x:c>
      <x:c r="H1779" s="37" t="n">
        <x:f t="shared" si="73">IFERROR(E1779/G1779-1,"")</x:f>
        <x:v>-0.4864832289166696</x:v>
      </x:c>
      <x:c r="I1779" s="38" t="b">
        <x:f t="shared" si="74">E1779&lt;G1779</x:f>
        <x:v>1</x:v>
      </x:c>
    </x:row>
    <x:row r="1780">
      <x:c r="A1780" s="31">
        <x:v>39597</x:v>
      </x:c>
      <x:c r="B1780" s="32">
        <x:v>420.51</x:v>
      </x:c>
      <x:c r="C1780" s="32">
        <x:v>420.51</x:v>
      </x:c>
      <x:c r="D1780" s="32">
        <x:v>420.51</x:v>
      </x:c>
      <x:c r="E1780" s="32">
        <x:v>420.51</x:v>
      </x:c>
      <x:c r="F1780" s="33">
        <x:v>1486410</x:v>
      </x:c>
      <x:c r="G1780" s="32" t="n">
        <x:f t="shared" si="72">AVERAGE(E1581:E1780)</x:f>
        <x:v>816.5208500000011</x:v>
      </x:c>
      <x:c r="H1780" s="37" t="n">
        <x:f t="shared" si="73">IFERROR(E1780/G1780-1,"")</x:f>
        <x:v>-0.4849978417575015</x:v>
      </x:c>
      <x:c r="I1780" s="38" t="b">
        <x:f t="shared" si="74">E1780&lt;G1780</x:f>
        <x:v>1</x:v>
      </x:c>
    </x:row>
    <x:row r="1781">
      <x:c r="A1781" s="31">
        <x:v>39598</x:v>
      </x:c>
      <x:c r="B1781" s="32">
        <x:v>414.1</x:v>
      </x:c>
      <x:c r="C1781" s="32">
        <x:v>414.1</x:v>
      </x:c>
      <x:c r="D1781" s="32">
        <x:v>414.1</x:v>
      </x:c>
      <x:c r="E1781" s="32">
        <x:v>414.1</x:v>
      </x:c>
      <x:c r="F1781" s="33">
        <x:v>2664330</x:v>
      </x:c>
      <x:c r="G1781" s="32" t="n">
        <x:f t="shared" si="72">AVERAGE(E1582:E1781)</x:f>
        <x:v>814.1718500000011</x:v>
      </x:c>
      <x:c r="H1781" s="37" t="n">
        <x:f t="shared" si="73">IFERROR(E1781/G1781-1,"")</x:f>
        <x:v>-0.4913850190227045</x:v>
      </x:c>
      <x:c r="I1781" s="38" t="b">
        <x:f t="shared" si="74">E1781&lt;G1781</x:f>
        <x:v>1</x:v>
      </x:c>
    </x:row>
    <x:row r="1782">
      <x:c r="A1782" s="31">
        <x:v>39601</x:v>
      </x:c>
      <x:c r="B1782" s="32">
        <x:v>407.94</x:v>
      </x:c>
      <x:c r="C1782" s="32">
        <x:v>407.94</x:v>
      </x:c>
      <x:c r="D1782" s="32">
        <x:v>407.94</x:v>
      </x:c>
      <x:c r="E1782" s="32">
        <x:v>407.94</x:v>
      </x:c>
      <x:c r="F1782" s="33">
        <x:v>1075090</x:v>
      </x:c>
      <x:c r="G1782" s="32" t="n">
        <x:f t="shared" si="72">AVERAGE(E1583:E1782)</x:f>
        <x:v>811.7270000000011</x:v>
      </x:c>
      <x:c r="H1782" s="37" t="n">
        <x:f t="shared" si="73">IFERROR(E1782/G1782-1,"")</x:f>
        <x:v>-0.49744187393052164</x:v>
      </x:c>
      <x:c r="I1782" s="38" t="b">
        <x:f t="shared" si="74">E1782&lt;G1782</x:f>
        <x:v>1</x:v>
      </x:c>
    </x:row>
    <x:row r="1783">
      <x:c r="A1783" s="31">
        <x:v>39602</x:v>
      </x:c>
      <x:c r="B1783" s="32">
        <x:v>401.2</x:v>
      </x:c>
      <x:c r="C1783" s="32">
        <x:v>401.2</x:v>
      </x:c>
      <x:c r="D1783" s="32">
        <x:v>401.2</x:v>
      </x:c>
      <x:c r="E1783" s="32">
        <x:v>401.2</x:v>
      </x:c>
      <x:c r="F1783" s="33">
        <x:v>1036240</x:v>
      </x:c>
      <x:c r="G1783" s="32" t="n">
        <x:f t="shared" si="72">AVERAGE(E1584:E1783)</x:f>
        <x:v>809.1827500000013</x:v>
      </x:c>
      <x:c r="H1783" s="37" t="n">
        <x:f t="shared" si="73">IFERROR(E1783/G1783-1,"")</x:f>
        <x:v>-0.5041911113404243</x:v>
      </x:c>
      <x:c r="I1783" s="38" t="b">
        <x:f t="shared" si="74">E1783&lt;G1783</x:f>
        <x:v>1</x:v>
      </x:c>
    </x:row>
    <x:row r="1784">
      <x:c r="A1784" s="31">
        <x:v>39603</x:v>
      </x:c>
      <x:c r="B1784" s="32">
        <x:v>395.66</x:v>
      </x:c>
      <x:c r="C1784" s="32">
        <x:v>395.66</x:v>
      </x:c>
      <x:c r="D1784" s="32">
        <x:v>395.66</x:v>
      </x:c>
      <x:c r="E1784" s="32">
        <x:v>395.66</x:v>
      </x:c>
      <x:c r="F1784" s="33">
        <x:v>1261860</x:v>
      </x:c>
      <x:c r="G1784" s="32" t="n">
        <x:f t="shared" si="72">AVERAGE(E1585:E1784)</x:f>
        <x:v>806.4700000000012</x:v>
      </x:c>
      <x:c r="H1784" s="37" t="n">
        <x:f t="shared" si="73">IFERROR(E1784/G1784-1,"")</x:f>
        <x:v>-0.5093927858444834</x:v>
      </x:c>
      <x:c r="I1784" s="38" t="b">
        <x:f t="shared" si="74">E1784&lt;G1784</x:f>
        <x:v>1</x:v>
      </x:c>
    </x:row>
    <x:row r="1785">
      <x:c r="A1785" s="31">
        <x:v>39604</x:v>
      </x:c>
      <x:c r="B1785" s="32">
        <x:v>390.08</x:v>
      </x:c>
      <x:c r="C1785" s="32">
        <x:v>390.08</x:v>
      </x:c>
      <x:c r="D1785" s="32">
        <x:v>390.08</x:v>
      </x:c>
      <x:c r="E1785" s="32">
        <x:v>390.08</x:v>
      </x:c>
      <x:c r="F1785" s="33">
        <x:v>1255200</x:v>
      </x:c>
      <x:c r="G1785" s="32" t="n">
        <x:f t="shared" si="72">AVERAGE(E1586:E1785)</x:f>
        <x:v>803.7420000000011</x:v>
      </x:c>
      <x:c r="H1785" s="37" t="n">
        <x:f t="shared" si="73">IFERROR(E1785/G1785-1,"")</x:f>
        <x:v>-0.5146701304647519</x:v>
      </x:c>
      <x:c r="I1785" s="38" t="b">
        <x:f t="shared" si="74">E1785&lt;G1785</x:f>
        <x:v>1</x:v>
      </x:c>
    </x:row>
    <x:row r="1786">
      <x:c r="A1786" s="31">
        <x:v>39605</x:v>
      </x:c>
      <x:c r="B1786" s="32">
        <x:v>384.24</x:v>
      </x:c>
      <x:c r="C1786" s="32">
        <x:v>384.24</x:v>
      </x:c>
      <x:c r="D1786" s="32">
        <x:v>384.24</x:v>
      </x:c>
      <x:c r="E1786" s="32">
        <x:v>384.24</x:v>
      </x:c>
      <x:c r="F1786" s="33">
        <x:v>1535360</x:v>
      </x:c>
      <x:c r="G1786" s="32" t="n">
        <x:f t="shared" si="72">AVERAGE(E1587:E1786)</x:f>
        <x:v>801.1174500000011</x:v>
      </x:c>
      <x:c r="H1786" s="37" t="n">
        <x:f t="shared" si="73">IFERROR(E1786/G1786-1,"")</x:f>
        <x:v>-0.520369953244684</x:v>
      </x:c>
      <x:c r="I1786" s="38" t="b">
        <x:f t="shared" si="74">E1786&lt;G1786</x:f>
        <x:v>1</x:v>
      </x:c>
    </x:row>
    <x:row r="1787">
      <x:c r="A1787" s="31">
        <x:v>39608</x:v>
      </x:c>
      <x:c r="B1787" s="32">
        <x:v>379.12</x:v>
      </x:c>
      <x:c r="C1787" s="32">
        <x:v>379.12</x:v>
      </x:c>
      <x:c r="D1787" s="32">
        <x:v>379.12</x:v>
      </x:c>
      <x:c r="E1787" s="32">
        <x:v>379.12</x:v>
      </x:c>
      <x:c r="F1787" s="33">
        <x:v>870500</x:v>
      </x:c>
      <x:c r="G1787" s="32" t="n">
        <x:f t="shared" si="72">AVERAGE(E1588:E1787)</x:f>
        <x:v>798.397300000001</x:v>
      </x:c>
      <x:c r="H1787" s="37" t="n">
        <x:f t="shared" si="73">IFERROR(E1787/G1787-1,"")</x:f>
        <x:v>-0.5251486947663782</x:v>
      </x:c>
      <x:c r="I1787" s="38" t="b">
        <x:f t="shared" si="74">E1787&lt;G1787</x:f>
        <x:v>1</x:v>
      </x:c>
    </x:row>
    <x:row r="1788">
      <x:c r="A1788" s="31">
        <x:v>39609</x:v>
      </x:c>
      <x:c r="B1788" s="32">
        <x:v>373</x:v>
      </x:c>
      <x:c r="C1788" s="32">
        <x:v>373</x:v>
      </x:c>
      <x:c r="D1788" s="32">
        <x:v>373</x:v>
      </x:c>
      <x:c r="E1788" s="32">
        <x:v>373</x:v>
      </x:c>
      <x:c r="F1788" s="33">
        <x:v>1148220</x:v>
      </x:c>
      <x:c r="G1788" s="32" t="n">
        <x:f t="shared" si="72">AVERAGE(E1589:E1788)</x:f>
        <x:v>795.685600000001</x:v>
      </x:c>
      <x:c r="H1788" s="37" t="n">
        <x:f t="shared" si="73">IFERROR(E1788/G1788-1,"")</x:f>
        <x:v>-0.5312218795966654</x:v>
      </x:c>
      <x:c r="I1788" s="38" t="b">
        <x:f t="shared" si="74">E1788&lt;G1788</x:f>
        <x:v>1</x:v>
      </x:c>
    </x:row>
    <x:row r="1789">
      <x:c r="A1789" s="31">
        <x:v>39610</x:v>
      </x:c>
      <x:c r="B1789" s="32">
        <x:v>370.45</x:v>
      </x:c>
      <x:c r="C1789" s="32">
        <x:v>370.45</x:v>
      </x:c>
      <x:c r="D1789" s="32">
        <x:v>370.45</x:v>
      </x:c>
      <x:c r="E1789" s="32">
        <x:v>370.45</x:v>
      </x:c>
      <x:c r="F1789" s="33">
        <x:v>10250660</x:v>
      </x:c>
      <x:c r="G1789" s="32" t="n">
        <x:f t="shared" si="72">AVERAGE(E1590:E1789)</x:f>
        <x:v>793.0365500000012</x:v>
      </x:c>
      <x:c r="H1789" s="37" t="n">
        <x:f t="shared" si="73">IFERROR(E1789/G1789-1,"")</x:f>
        <x:v>-0.5328714672734827</x:v>
      </x:c>
      <x:c r="I1789" s="38" t="b">
        <x:f t="shared" si="74">E1789&lt;G1789</x:f>
        <x:v>1</x:v>
      </x:c>
    </x:row>
    <x:row r="1790">
      <x:c r="A1790" s="31">
        <x:v>39611</x:v>
      </x:c>
      <x:c r="B1790" s="32">
        <x:v>370.55</x:v>
      </x:c>
      <x:c r="C1790" s="32">
        <x:v>370.55</x:v>
      </x:c>
      <x:c r="D1790" s="32">
        <x:v>370.55</x:v>
      </x:c>
      <x:c r="E1790" s="32">
        <x:v>370.55</x:v>
      </x:c>
      <x:c r="F1790" s="33">
        <x:v>6190740</x:v>
      </x:c>
      <x:c r="G1790" s="32" t="n">
        <x:f t="shared" si="72">AVERAGE(E1591:E1790)</x:f>
        <x:v>790.4496500000009</x:v>
      </x:c>
      <x:c r="H1790" s="37" t="n">
        <x:f t="shared" si="73">IFERROR(E1790/G1790-1,"")</x:f>
        <x:v>-0.5312161881531612</x:v>
      </x:c>
      <x:c r="I1790" s="38" t="b">
        <x:f t="shared" si="74">E1790&lt;G1790</x:f>
        <x:v>1</x:v>
      </x:c>
    </x:row>
    <x:row r="1791">
      <x:c r="A1791" s="31">
        <x:v>39612</x:v>
      </x:c>
      <x:c r="B1791" s="32">
        <x:v>372.68</x:v>
      </x:c>
      <x:c r="C1791" s="32">
        <x:v>372.68</x:v>
      </x:c>
      <x:c r="D1791" s="32">
        <x:v>372.68</x:v>
      </x:c>
      <x:c r="E1791" s="32">
        <x:v>372.68</x:v>
      </x:c>
      <x:c r="F1791" s="33">
        <x:v>9861360</x:v>
      </x:c>
      <x:c r="G1791" s="32" t="n">
        <x:f t="shared" si="72">AVERAGE(E1592:E1791)</x:f>
        <x:v>787.862950000001</x:v>
      </x:c>
      <x:c r="H1791" s="37" t="n">
        <x:f t="shared" si="73">IFERROR(E1791/G1791-1,"")</x:f>
        <x:v>-0.5269735681821317</x:v>
      </x:c>
      <x:c r="I1791" s="38" t="b">
        <x:f t="shared" si="74">E1791&lt;G1791</x:f>
        <x:v>1</x:v>
      </x:c>
    </x:row>
    <x:row r="1792">
      <x:c r="A1792" s="31">
        <x:v>39615</x:v>
      </x:c>
      <x:c r="B1792" s="32">
        <x:v>378.2</x:v>
      </x:c>
      <x:c r="C1792" s="32">
        <x:v>378.2</x:v>
      </x:c>
      <x:c r="D1792" s="32">
        <x:v>378.2</x:v>
      </x:c>
      <x:c r="E1792" s="32">
        <x:v>378.2</x:v>
      </x:c>
      <x:c r="F1792" s="33">
        <x:v>11087640</x:v>
      </x:c>
      <x:c r="G1792" s="32" t="n">
        <x:f t="shared" si="72">AVERAGE(E1593:E1792)</x:f>
        <x:v>785.2753500000009</x:v>
      </x:c>
      <x:c r="H1792" s="37" t="n">
        <x:f t="shared" si="73">IFERROR(E1792/G1792-1,"")</x:f>
        <x:v>-0.5183854936997583</x:v>
      </x:c>
      <x:c r="I1792" s="38" t="b">
        <x:f t="shared" si="74">E1792&lt;G1792</x:f>
        <x:v>1</x:v>
      </x:c>
    </x:row>
    <x:row r="1793">
      <x:c r="A1793" s="31">
        <x:v>39616</x:v>
      </x:c>
      <x:c r="B1793" s="32">
        <x:v>384.71</x:v>
      </x:c>
      <x:c r="C1793" s="32">
        <x:v>384.71</x:v>
      </x:c>
      <x:c r="D1793" s="32">
        <x:v>384.71</x:v>
      </x:c>
      <x:c r="E1793" s="32">
        <x:v>384.71</x:v>
      </x:c>
      <x:c r="F1793" s="33">
        <x:v>7082560</x:v>
      </x:c>
      <x:c r="G1793" s="32" t="n">
        <x:f t="shared" si="72">AVERAGE(E1594:E1793)</x:f>
        <x:v>782.7385500000007</x:v>
      </x:c>
      <x:c r="H1793" s="37" t="n">
        <x:f t="shared" si="73">IFERROR(E1793/G1793-1,"")</x:f>
        <x:v>-0.508507661977298</x:v>
      </x:c>
      <x:c r="I1793" s="38" t="b">
        <x:f t="shared" si="74">E1793&lt;G1793</x:f>
        <x:v>1</x:v>
      </x:c>
    </x:row>
    <x:row r="1794">
      <x:c r="A1794" s="31">
        <x:v>39617</x:v>
      </x:c>
      <x:c r="B1794" s="32">
        <x:v>382.07</x:v>
      </x:c>
      <x:c r="C1794" s="32">
        <x:v>382.07</x:v>
      </x:c>
      <x:c r="D1794" s="32">
        <x:v>382.07</x:v>
      </x:c>
      <x:c r="E1794" s="32">
        <x:v>382.07</x:v>
      </x:c>
      <x:c r="F1794" s="33">
        <x:v>21154850</x:v>
      </x:c>
      <x:c r="G1794" s="32" t="n">
        <x:f t="shared" si="72">AVERAGE(E1595:E1794)</x:f>
        <x:v>780.2108000000007</x:v>
      </x:c>
      <x:c r="H1794" s="37" t="n">
        <x:f t="shared" si="73">IFERROR(E1794/G1794-1,"")</x:f>
        <x:v>-0.5102990114979187</x:v>
      </x:c>
      <x:c r="I1794" s="38" t="b">
        <x:f t="shared" si="74">E1794&lt;G1794</x:f>
        <x:v>1</x:v>
      </x:c>
    </x:row>
    <x:row r="1795">
      <x:c r="A1795" s="31">
        <x:v>39618</x:v>
      </x:c>
      <x:c r="B1795" s="32">
        <x:v>373.27</x:v>
      </x:c>
      <x:c r="C1795" s="32">
        <x:v>373.27</x:v>
      </x:c>
      <x:c r="D1795" s="32">
        <x:v>373.27</x:v>
      </x:c>
      <x:c r="E1795" s="32">
        <x:v>373.27</x:v>
      </x:c>
      <x:c r="F1795" s="33">
        <x:v>5080040</x:v>
      </x:c>
      <x:c r="G1795" s="32" t="n">
        <x:f t="shared" si="72">AVERAGE(E1596:E1795)</x:f>
        <x:v>777.5497500000006</x:v>
      </x:c>
      <x:c r="H1795" s="37" t="n">
        <x:f t="shared" si="73">IFERROR(E1795/G1795-1,"")</x:f>
        <x:v>-0.5199406854673934</x:v>
      </x:c>
      <x:c r="I1795" s="38" t="b">
        <x:f t="shared" si="74">E1795&lt;G1795</x:f>
        <x:v>1</x:v>
      </x:c>
    </x:row>
    <x:row r="1796">
      <x:c r="A1796" s="31">
        <x:v>39619</x:v>
      </x:c>
      <x:c r="B1796" s="32">
        <x:v>366.02</x:v>
      </x:c>
      <x:c r="C1796" s="32">
        <x:v>366.02</x:v>
      </x:c>
      <x:c r="D1796" s="32">
        <x:v>366.02</x:v>
      </x:c>
      <x:c r="E1796" s="32">
        <x:v>366.02</x:v>
      </x:c>
      <x:c r="F1796" s="33">
        <x:v>6878720</x:v>
      </x:c>
      <x:c r="G1796" s="32" t="n">
        <x:f t="shared" si="72">AVERAGE(E1597:E1796)</x:f>
        <x:v>774.8345000000007</x:v>
      </x:c>
      <x:c r="H1796" s="37" t="n">
        <x:f t="shared" si="73">IFERROR(E1796/G1796-1,"")</x:f>
        <x:v>-0.5276152520312407</x:v>
      </x:c>
      <x:c r="I1796" s="38" t="b">
        <x:f t="shared" si="74">E1796&lt;G1796</x:f>
        <x:v>1</x:v>
      </x:c>
    </x:row>
    <x:row r="1797">
      <x:c r="A1797" s="31">
        <x:v>39622</x:v>
      </x:c>
      <x:c r="B1797" s="32">
        <x:v>368.95</x:v>
      </x:c>
      <x:c r="C1797" s="32">
        <x:v>368.95</x:v>
      </x:c>
      <x:c r="D1797" s="32">
        <x:v>368.95</x:v>
      </x:c>
      <x:c r="E1797" s="32">
        <x:v>368.95</x:v>
      </x:c>
      <x:c r="F1797" s="33">
        <x:v>9257330</x:v>
      </x:c>
      <x:c r="G1797" s="32" t="n">
        <x:f t="shared" si="72">AVERAGE(E1598:E1797)</x:f>
        <x:v>772.1663500000006</x:v>
      </x:c>
      <x:c r="H1797" s="37" t="n">
        <x:f t="shared" si="73">IFERROR(E1797/G1797-1,"")</x:f>
        <x:v>-0.5221884507140208</x:v>
      </x:c>
      <x:c r="I1797" s="38" t="b">
        <x:f t="shared" si="74">E1797&lt;G1797</x:f>
        <x:v>1</x:v>
      </x:c>
    </x:row>
    <x:row r="1798">
      <x:c r="A1798" s="31">
        <x:v>39623</x:v>
      </x:c>
      <x:c r="B1798" s="32">
        <x:v>375.97</x:v>
      </x:c>
      <x:c r="C1798" s="32">
        <x:v>375.97</x:v>
      </x:c>
      <x:c r="D1798" s="32">
        <x:v>375.97</x:v>
      </x:c>
      <x:c r="E1798" s="32">
        <x:v>375.97</x:v>
      </x:c>
      <x:c r="F1798" s="33">
        <x:v>6483900</x:v>
      </x:c>
      <x:c r="G1798" s="32" t="n">
        <x:f t="shared" si="72">AVERAGE(E1599:E1798)</x:f>
        <x:v>769.5403500000009</x:v>
      </x:c>
      <x:c r="H1798" s="37" t="n">
        <x:f t="shared" si="73">IFERROR(E1798/G1798-1,"")</x:f>
        <x:v>-0.5114356251754706</x:v>
      </x:c>
      <x:c r="I1798" s="38" t="b">
        <x:f t="shared" si="74">E1798&lt;G1798</x:f>
        <x:v>1</x:v>
      </x:c>
    </x:row>
    <x:row r="1799">
      <x:c r="A1799" s="31">
        <x:v>39624</x:v>
      </x:c>
      <x:c r="B1799" s="32">
        <x:v>383.78</x:v>
      </x:c>
      <x:c r="C1799" s="32">
        <x:v>383.78</x:v>
      </x:c>
      <x:c r="D1799" s="32">
        <x:v>383.78</x:v>
      </x:c>
      <x:c r="E1799" s="32">
        <x:v>383.78</x:v>
      </x:c>
      <x:c r="F1799" s="33">
        <x:v>6571390</x:v>
      </x:c>
      <x:c r="G1799" s="32" t="n">
        <x:f t="shared" si="72">AVERAGE(E1600:E1799)</x:f>
        <x:v>766.9395500000007</x:v>
      </x:c>
      <x:c r="H1799" s="37" t="n">
        <x:f t="shared" si="73">IFERROR(E1799/G1799-1,"")</x:f>
        <x:v>-0.4995955026703218</x:v>
      </x:c>
      <x:c r="I1799" s="38" t="b">
        <x:f t="shared" si="74">E1799&lt;G1799</x:f>
        <x:v>1</x:v>
      </x:c>
    </x:row>
    <x:row r="1800">
      <x:c r="A1800" s="31">
        <x:v>39625</x:v>
      </x:c>
      <x:c r="B1800" s="32">
        <x:v>386.48</x:v>
      </x:c>
      <x:c r="C1800" s="32">
        <x:v>386.48</x:v>
      </x:c>
      <x:c r="D1800" s="32">
        <x:v>386.48</x:v>
      </x:c>
      <x:c r="E1800" s="32">
        <x:v>386.48</x:v>
      </x:c>
      <x:c r="F1800" s="33">
        <x:v>13494960</x:v>
      </x:c>
      <x:c r="G1800" s="32" t="n">
        <x:f t="shared" si="72">AVERAGE(E1601:E1800)</x:f>
        <x:v>764.3301000000007</x:v>
      </x:c>
      <x:c r="H1800" s="37" t="n">
        <x:f t="shared" si="73">IFERROR(E1800/G1800-1,"")</x:f>
        <x:v>-0.4943545988833886</x:v>
      </x:c>
      <x:c r="I1800" s="38" t="b">
        <x:f t="shared" si="74">E1800&lt;G1800</x:f>
        <x:v>1</x:v>
      </x:c>
    </x:row>
    <x:row r="1801">
      <x:c r="A1801" s="31">
        <x:v>39626</x:v>
      </x:c>
      <x:c r="B1801" s="32">
        <x:v>392.61</x:v>
      </x:c>
      <x:c r="C1801" s="32">
        <x:v>392.61</x:v>
      </x:c>
      <x:c r="D1801" s="32">
        <x:v>392.61</x:v>
      </x:c>
      <x:c r="E1801" s="32">
        <x:v>392.61</x:v>
      </x:c>
      <x:c r="F1801" s="33">
        <x:v>7734100</x:v>
      </x:c>
      <x:c r="G1801" s="32" t="n">
        <x:f t="shared" si="72">AVERAGE(E1602:E1801)</x:f>
        <x:v>761.6439000000006</x:v>
      </x:c>
      <x:c r="H1801" s="37" t="n">
        <x:f t="shared" si="73">IFERROR(E1801/G1801-1,"")</x:f>
        <x:v>-0.4845228853011234</x:v>
      </x:c>
      <x:c r="I1801" s="38" t="b">
        <x:f t="shared" si="74">E1801&lt;G1801</x:f>
        <x:v>1</x:v>
      </x:c>
    </x:row>
    <x:row r="1802">
      <x:c r="A1802" s="31">
        <x:v>39629</x:v>
      </x:c>
      <x:c r="B1802" s="32">
        <x:v>399.4</x:v>
      </x:c>
      <x:c r="C1802" s="32">
        <x:v>399.4</x:v>
      </x:c>
      <x:c r="D1802" s="32">
        <x:v>399.4</x:v>
      </x:c>
      <x:c r="E1802" s="32">
        <x:v>399.4</x:v>
      </x:c>
      <x:c r="F1802" s="33">
        <x:v>6897900</x:v>
      </x:c>
      <x:c r="G1802" s="32" t="n">
        <x:f t="shared" si="72">AVERAGE(E1603:E1802)</x:f>
        <x:v>759.0130500000007</x:v>
      </x:c>
      <x:c r="H1802" s="37" t="n">
        <x:f t="shared" si="73">IFERROR(E1802/G1802-1,"")</x:f>
        <x:v>-0.4737903386509631</x:v>
      </x:c>
      <x:c r="I1802" s="38" t="b">
        <x:f t="shared" si="74">E1802&lt;G1802</x:f>
        <x:v>1</x:v>
      </x:c>
    </x:row>
    <x:row r="1803">
      <x:c r="A1803" s="31">
        <x:v>39630</x:v>
      </x:c>
      <x:c r="B1803" s="32">
        <x:v>409.61</x:v>
      </x:c>
      <x:c r="C1803" s="32">
        <x:v>409.61</x:v>
      </x:c>
      <x:c r="D1803" s="32">
        <x:v>409.61</x:v>
      </x:c>
      <x:c r="E1803" s="32">
        <x:v>409.61</x:v>
      </x:c>
      <x:c r="F1803" s="33">
        <x:v>8021730</x:v>
      </x:c>
      <x:c r="G1803" s="32" t="n">
        <x:f t="shared" si="72">AVERAGE(E1604:E1803)</x:f>
        <x:v>756.4193000000004</x:v>
      </x:c>
      <x:c r="H1803" s="37" t="n">
        <x:f t="shared" si="73">IFERROR(E1803/G1803-1,"")</x:f>
        <x:v>-0.45848816919399094</x:v>
      </x:c>
      <x:c r="I1803" s="38" t="b">
        <x:f t="shared" si="74">E1803&lt;G1803</x:f>
        <x:v>1</x:v>
      </x:c>
    </x:row>
    <x:row r="1804">
      <x:c r="A1804" s="31">
        <x:v>39631</x:v>
      </x:c>
      <x:c r="B1804" s="32">
        <x:v>419.29</x:v>
      </x:c>
      <x:c r="C1804" s="32">
        <x:v>419.29</x:v>
      </x:c>
      <x:c r="D1804" s="32">
        <x:v>419.29</x:v>
      </x:c>
      <x:c r="E1804" s="32">
        <x:v>419.29</x:v>
      </x:c>
      <x:c r="F1804" s="33">
        <x:v>12976090</x:v>
      </x:c>
      <x:c r="G1804" s="32" t="n">
        <x:f t="shared" si="72">AVERAGE(E1605:E1804)</x:f>
        <x:v>753.8451000000003</x:v>
      </x:c>
      <x:c r="H1804" s="37" t="n">
        <x:f t="shared" si="73">IFERROR(E1804/G1804-1,"")</x:f>
        <x:v>-0.44379820204442555</x:v>
      </x:c>
      <x:c r="I1804" s="38" t="b">
        <x:f t="shared" si="74">E1804&lt;G1804</x:f>
        <x:v>1</x:v>
      </x:c>
    </x:row>
    <x:row r="1805">
      <x:c r="A1805" s="31">
        <x:v>39632</x:v>
      </x:c>
      <x:c r="B1805" s="32">
        <x:v>430.05</x:v>
      </x:c>
      <x:c r="C1805" s="32">
        <x:v>430.05</x:v>
      </x:c>
      <x:c r="D1805" s="32">
        <x:v>430.05</x:v>
      </x:c>
      <x:c r="E1805" s="32">
        <x:v>430.05</x:v>
      </x:c>
      <x:c r="F1805" s="33">
        <x:v>8282900</x:v>
      </x:c>
      <x:c r="G1805" s="32" t="n">
        <x:f t="shared" ref="G1805:G1868" si="75">AVERAGE(E1606:E1805)</x:f>
        <x:v>751.3596500000002</x:v>
      </x:c>
      <x:c r="H1805" s="37" t="n">
        <x:f t="shared" ref="H1805:H1868" si="76">IFERROR(E1805/G1805-1,"")</x:f>
        <x:v>-0.427637616685964</x:v>
      </x:c>
      <x:c r="I1805" s="38" t="b">
        <x:f t="shared" ref="I1805:I1868" si="77">E1805&lt;G1805</x:f>
        <x:v>1</x:v>
      </x:c>
    </x:row>
    <x:row r="1806">
      <x:c r="A1806" s="31">
        <x:v>39633</x:v>
      </x:c>
      <x:c r="B1806" s="32">
        <x:v>439.68</x:v>
      </x:c>
      <x:c r="C1806" s="32">
        <x:v>439.68</x:v>
      </x:c>
      <x:c r="D1806" s="32">
        <x:v>439.68</x:v>
      </x:c>
      <x:c r="E1806" s="32">
        <x:v>439.68</x:v>
      </x:c>
      <x:c r="F1806" s="33">
        <x:v>9995160</x:v>
      </x:c>
      <x:c r="G1806" s="32" t="n">
        <x:f t="shared" si="75">AVERAGE(E1607:E1806)</x:f>
        <x:v>748.9556500000003</x:v>
      </x:c>
      <x:c r="H1806" s="37" t="n">
        <x:f t="shared" si="76">IFERROR(E1806/G1806-1,"")</x:f>
        <x:v>-0.41294254205839853</x:v>
      </x:c>
      <x:c r="I1806" s="38" t="b">
        <x:f t="shared" si="77">E1806&lt;G1806</x:f>
        <x:v>1</x:v>
      </x:c>
    </x:row>
    <x:row r="1807">
      <x:c r="A1807" s="31">
        <x:v>39636</x:v>
      </x:c>
      <x:c r="B1807" s="32">
        <x:v>435.89</x:v>
      </x:c>
      <x:c r="C1807" s="32">
        <x:v>435.89</x:v>
      </x:c>
      <x:c r="D1807" s="32">
        <x:v>435.89</x:v>
      </x:c>
      <x:c r="E1807" s="32">
        <x:v>435.89</x:v>
      </x:c>
      <x:c r="F1807" s="33">
        <x:v>24016960</x:v>
      </x:c>
      <x:c r="G1807" s="32" t="n">
        <x:f t="shared" si="75">AVERAGE(E1608:E1807)</x:f>
        <x:v>746.5291500000004</x:v>
      </x:c>
      <x:c r="H1807" s="37" t="n">
        <x:f t="shared" si="76">IFERROR(E1807/G1807-1,"")</x:f>
        <x:v>-0.4161112128039478</x:v>
      </x:c>
      <x:c r="I1807" s="38" t="b">
        <x:f t="shared" si="77">E1807&lt;G1807</x:f>
        <x:v>1</x:v>
      </x:c>
    </x:row>
    <x:row r="1808">
      <x:c r="A1808" s="31">
        <x:v>39637</x:v>
      </x:c>
      <x:c r="B1808" s="32">
        <x:v>436.71</x:v>
      </x:c>
      <x:c r="C1808" s="32">
        <x:v>436.71</x:v>
      </x:c>
      <x:c r="D1808" s="32">
        <x:v>436.71</x:v>
      </x:c>
      <x:c r="E1808" s="32">
        <x:v>436.71</x:v>
      </x:c>
      <x:c r="F1808" s="33">
        <x:v>14709440</x:v>
      </x:c>
      <x:c r="G1808" s="32" t="n">
        <x:f t="shared" si="75">AVERAGE(E1609:E1808)</x:f>
        <x:v>744.1061500000003</x:v>
      </x:c>
      <x:c r="H1808" s="37" t="n">
        <x:f t="shared" si="76">IFERROR(E1808/G1808-1,"")</x:f>
        <x:v>-0.4131079282169623</x:v>
      </x:c>
      <x:c r="I1808" s="38" t="b">
        <x:f t="shared" si="77">E1808&lt;G1808</x:f>
        <x:v>1</x:v>
      </x:c>
    </x:row>
    <x:row r="1809">
      <x:c r="A1809" s="31">
        <x:v>39638</x:v>
      </x:c>
      <x:c r="B1809" s="32">
        <x:v>439.55</x:v>
      </x:c>
      <x:c r="C1809" s="32">
        <x:v>439.55</x:v>
      </x:c>
      <x:c r="D1809" s="32">
        <x:v>439.55</x:v>
      </x:c>
      <x:c r="E1809" s="32">
        <x:v>439.55</x:v>
      </x:c>
      <x:c r="F1809" s="33">
        <x:v>14047760</x:v>
      </x:c>
      <x:c r="G1809" s="32" t="n">
        <x:f t="shared" si="75">AVERAGE(E1610:E1809)</x:f>
        <x:v>741.6516000000001</x:v>
      </x:c>
      <x:c r="H1809" s="37" t="n">
        <x:f t="shared" si="76">IFERROR(E1809/G1809-1,"")</x:f>
        <x:v>-0.4073362748762358</x:v>
      </x:c>
      <x:c r="I1809" s="38" t="b">
        <x:f t="shared" si="77">E1809&lt;G1809</x:f>
        <x:v>1</x:v>
      </x:c>
    </x:row>
    <x:row r="1810">
      <x:c r="A1810" s="31">
        <x:v>39639</x:v>
      </x:c>
      <x:c r="B1810" s="32">
        <x:v>446.6</x:v>
      </x:c>
      <x:c r="C1810" s="32">
        <x:v>446.6</x:v>
      </x:c>
      <x:c r="D1810" s="32">
        <x:v>446.6</x:v>
      </x:c>
      <x:c r="E1810" s="32">
        <x:v>446.6</x:v>
      </x:c>
      <x:c r="F1810" s="33">
        <x:v>12280500</x:v>
      </x:c>
      <x:c r="G1810" s="32" t="n">
        <x:f t="shared" si="75">AVERAGE(E1611:E1810)</x:f>
        <x:v>739.2109000000003</x:v>
      </x:c>
      <x:c r="H1810" s="37" t="n">
        <x:f t="shared" si="76">IFERROR(E1810/G1810-1,"")</x:f>
        <x:v>-0.39584224204486185</x:v>
      </x:c>
      <x:c r="I1810" s="38" t="b">
        <x:f t="shared" si="77">E1810&lt;G1810</x:f>
        <x:v>1</x:v>
      </x:c>
    </x:row>
    <x:row r="1811">
      <x:c r="A1811" s="31">
        <x:v>39640</x:v>
      </x:c>
      <x:c r="B1811" s="32">
        <x:v>456.64</x:v>
      </x:c>
      <x:c r="C1811" s="32">
        <x:v>456.64</x:v>
      </x:c>
      <x:c r="D1811" s="32">
        <x:v>456.64</x:v>
      </x:c>
      <x:c r="E1811" s="32">
        <x:v>456.64</x:v>
      </x:c>
      <x:c r="F1811" s="33">
        <x:v>11435280</x:v>
      </x:c>
      <x:c r="G1811" s="32" t="n">
        <x:f t="shared" si="75">AVERAGE(E1612:E1811)</x:f>
        <x:v>736.8182500000001</x:v>
      </x:c>
      <x:c r="H1811" s="37" t="n">
        <x:f t="shared" si="76">IFERROR(E1811/G1811-1,"")</x:f>
        <x:v>-0.3802542214447051</x:v>
      </x:c>
      <x:c r="I1811" s="38" t="b">
        <x:f t="shared" si="77">E1811&lt;G1811</x:f>
        <x:v>1</x:v>
      </x:c>
    </x:row>
    <x:row r="1812">
      <x:c r="A1812" s="31">
        <x:v>39643</x:v>
      </x:c>
      <x:c r="B1812" s="32">
        <x:v>467.94</x:v>
      </x:c>
      <x:c r="C1812" s="32">
        <x:v>467.94</x:v>
      </x:c>
      <x:c r="D1812" s="32">
        <x:v>467.94</x:v>
      </x:c>
      <x:c r="E1812" s="32">
        <x:v>467.94</x:v>
      </x:c>
      <x:c r="F1812" s="33">
        <x:v>7858730</x:v>
      </x:c>
      <x:c r="G1812" s="32" t="n">
        <x:f t="shared" si="75">AVERAGE(E1613:E1812)</x:f>
        <x:v>734.4268500000002</x:v>
      </x:c>
      <x:c r="H1812" s="37" t="n">
        <x:f t="shared" si="76">IFERROR(E1812/G1812-1,"")</x:f>
        <x:v>-0.3628500918777685</x:v>
      </x:c>
      <x:c r="I1812" s="38" t="b">
        <x:f t="shared" si="77">E1812&lt;G1812</x:f>
        <x:v>1</x:v>
      </x:c>
    </x:row>
    <x:row r="1813">
      <x:c r="A1813" s="31">
        <x:v>39644</x:v>
      </x:c>
      <x:c r="B1813" s="32">
        <x:v>479.8</x:v>
      </x:c>
      <x:c r="C1813" s="32">
        <x:v>479.8</x:v>
      </x:c>
      <x:c r="D1813" s="32">
        <x:v>479.8</x:v>
      </x:c>
      <x:c r="E1813" s="32">
        <x:v>479.8</x:v>
      </x:c>
      <x:c r="F1813" s="33">
        <x:v>9657160</x:v>
      </x:c>
      <x:c r="G1813" s="32" t="n">
        <x:f t="shared" si="75">AVERAGE(E1614:E1813)</x:f>
        <x:v>732.0078000000001</x:v>
      </x:c>
      <x:c r="H1813" s="37" t="n">
        <x:f t="shared" si="76">IFERROR(E1813/G1813-1,"")</x:f>
        <x:v>-0.3445425035088424</x:v>
      </x:c>
      <x:c r="I1813" s="38" t="b">
        <x:f t="shared" si="77">E1813&lt;G1813</x:f>
        <x:v>1</x:v>
      </x:c>
    </x:row>
    <x:row r="1814">
      <x:c r="A1814" s="31">
        <x:v>39645</x:v>
      </x:c>
      <x:c r="B1814" s="32">
        <x:v>486.53</x:v>
      </x:c>
      <x:c r="C1814" s="32">
        <x:v>486.53</x:v>
      </x:c>
      <x:c r="D1814" s="32">
        <x:v>486.53</x:v>
      </x:c>
      <x:c r="E1814" s="32">
        <x:v>486.53</x:v>
      </x:c>
      <x:c r="F1814" s="33">
        <x:v>33479690</x:v>
      </x:c>
      <x:c r="G1814" s="32" t="n">
        <x:f t="shared" si="75">AVERAGE(E1615:E1814)</x:f>
        <x:v>729.6471</x:v>
      </x:c>
      <x:c r="H1814" s="37" t="n">
        <x:f t="shared" si="76">IFERROR(E1814/G1814-1,"")</x:f>
        <x:v>-0.333198199513162</x:v>
      </x:c>
      <x:c r="I1814" s="38" t="b">
        <x:f t="shared" si="77">E1814&lt;G1814</x:f>
        <x:v>1</x:v>
      </x:c>
    </x:row>
    <x:row r="1815">
      <x:c r="A1815" s="31">
        <x:v>39646</x:v>
      </x:c>
      <x:c r="B1815" s="32">
        <x:v>489.83</x:v>
      </x:c>
      <x:c r="C1815" s="32">
        <x:v>489.83</x:v>
      </x:c>
      <x:c r="D1815" s="32">
        <x:v>489.83</x:v>
      </x:c>
      <x:c r="E1815" s="32">
        <x:v>489.83</x:v>
      </x:c>
      <x:c r="F1815" s="33">
        <x:v>12929800</x:v>
      </x:c>
      <x:c r="G1815" s="32" t="n">
        <x:f t="shared" si="75">AVERAGE(E1616:E1815)</x:f>
        <x:v>727.2171499999998</x:v>
      </x:c>
      <x:c r="H1815" s="37" t="n">
        <x:f t="shared" si="76">IFERROR(E1815/G1815-1,"")</x:f>
        <x:v>-0.3264322767965523</x:v>
      </x:c>
      <x:c r="I1815" s="38" t="b">
        <x:f t="shared" si="77">E1815&lt;G1815</x:f>
        <x:v>1</x:v>
      </x:c>
    </x:row>
    <x:row r="1816">
      <x:c r="A1816" s="31">
        <x:v>39647</x:v>
      </x:c>
      <x:c r="B1816" s="32">
        <x:v>483.05</x:v>
      </x:c>
      <x:c r="C1816" s="32">
        <x:v>483.05</x:v>
      </x:c>
      <x:c r="D1816" s="32">
        <x:v>483.05</x:v>
      </x:c>
      <x:c r="E1816" s="32">
        <x:v>483.05</x:v>
      </x:c>
      <x:c r="F1816" s="33">
        <x:v>25846350</x:v>
      </x:c>
      <x:c r="G1816" s="32" t="n">
        <x:f t="shared" si="75">AVERAGE(E1617:E1816)</x:f>
        <x:v>724.5829999999997</x:v>
      </x:c>
      <x:c r="H1816" s="37" t="n">
        <x:f t="shared" si="76">IFERROR(E1816/G1816-1,"")</x:f>
        <x:v>-0.33334069388876064</x:v>
      </x:c>
      <x:c r="I1816" s="38" t="b">
        <x:f t="shared" si="77">E1816&lt;G1816</x:f>
        <x:v>1</x:v>
      </x:c>
    </x:row>
    <x:row r="1817">
      <x:c r="A1817" s="31">
        <x:v>39650</x:v>
      </x:c>
      <x:c r="B1817" s="32">
        <x:v>470.82</x:v>
      </x:c>
      <x:c r="C1817" s="32">
        <x:v>470.82</x:v>
      </x:c>
      <x:c r="D1817" s="32">
        <x:v>470.82</x:v>
      </x:c>
      <x:c r="E1817" s="32">
        <x:v>470.82</x:v>
      </x:c>
      <x:c r="F1817" s="33">
        <x:v>14105170</x:v>
      </x:c>
      <x:c r="G1817" s="32" t="n">
        <x:f t="shared" si="75">AVERAGE(E1618:E1817)</x:f>
        <x:v>721.8575499999997</x:v>
      </x:c>
      <x:c r="H1817" s="37" t="n">
        <x:f t="shared" si="76">IFERROR(E1817/G1817-1,"")</x:f>
        <x:v>-0.3477660516261135</x:v>
      </x:c>
      <x:c r="I1817" s="38" t="b">
        <x:f t="shared" si="77">E1817&lt;G1817</x:f>
        <x:v>1</x:v>
      </x:c>
    </x:row>
    <x:row r="1818">
      <x:c r="A1818" s="31">
        <x:v>39651</x:v>
      </x:c>
      <x:c r="B1818" s="32">
        <x:v>461.31</x:v>
      </x:c>
      <x:c r="C1818" s="32">
        <x:v>461.31</x:v>
      </x:c>
      <x:c r="D1818" s="32">
        <x:v>457.88</x:v>
      </x:c>
      <x:c r="E1818" s="32">
        <x:v>457.88</x:v>
      </x:c>
      <x:c r="F1818" s="33">
        <x:v>1647240</x:v>
      </x:c>
      <x:c r="G1818" s="32" t="n">
        <x:f t="shared" si="75">AVERAGE(E1619:E1818)</x:f>
        <x:v>719.0764999999999</x:v>
      </x:c>
      <x:c r="H1818" s="37" t="n">
        <x:f t="shared" si="76">IFERROR(E1818/G1818-1,"")</x:f>
        <x:v>-0.3632388209043126</x:v>
      </x:c>
      <x:c r="I1818" s="38" t="b">
        <x:f t="shared" si="77">E1818&lt;G1818</x:f>
        <x:v>1</x:v>
      </x:c>
    </x:row>
    <x:row r="1819">
      <x:c r="A1819" s="31">
        <x:v>39652</x:v>
      </x:c>
      <x:c r="B1819" s="32">
        <x:v>451.17</x:v>
      </x:c>
      <x:c r="C1819" s="32">
        <x:v>451.17</x:v>
      </x:c>
      <x:c r="D1819" s="32">
        <x:v>445.59</x:v>
      </x:c>
      <x:c r="E1819" s="32">
        <x:v>445.59</x:v>
      </x:c>
      <x:c r="F1819" s="33">
        <x:v>1644530</x:v>
      </x:c>
      <x:c r="G1819" s="32" t="n">
        <x:f t="shared" si="75">AVERAGE(E1620:E1819)</x:f>
        <x:v>716.0701499999999</x:v>
      </x:c>
      <x:c r="H1819" s="37" t="n">
        <x:f t="shared" si="76">IFERROR(E1819/G1819-1,"")</x:f>
        <x:v>-0.37772856472232497</x:v>
      </x:c>
      <x:c r="I1819" s="38" t="b">
        <x:f t="shared" si="77">E1819&lt;G1819</x:f>
        <x:v>1</x:v>
      </x:c>
    </x:row>
    <x:row r="1820">
      <x:c r="A1820" s="31">
        <x:v>39653</x:v>
      </x:c>
      <x:c r="B1820" s="32">
        <x:v>435.73</x:v>
      </x:c>
      <x:c r="C1820" s="32">
        <x:v>440.99</x:v>
      </x:c>
      <x:c r="D1820" s="32">
        <x:v>434.01</x:v>
      </x:c>
      <x:c r="E1820" s="32">
        <x:v>435.79</x:v>
      </x:c>
      <x:c r="F1820" s="33">
        <x:v>22557110</x:v>
      </x:c>
      <x:c r="G1820" s="32" t="n">
        <x:f t="shared" si="75">AVERAGE(E1621:E1820)</x:f>
        <x:v>712.8271499999998</x:v>
      </x:c>
      <x:c r="H1820" s="37" t="n">
        <x:f t="shared" si="76">IFERROR(E1820/G1820-1,"")</x:f>
        <x:v>-0.3886456204705445</x:v>
      </x:c>
      <x:c r="I1820" s="38" t="b">
        <x:f t="shared" si="77">E1820&lt;G1820</x:f>
        <x:v>1</x:v>
      </x:c>
    </x:row>
    <x:row r="1821">
      <x:c r="A1821" s="31">
        <x:v>39654</x:v>
      </x:c>
      <x:c r="B1821" s="32">
        <x:v>428.04</x:v>
      </x:c>
      <x:c r="C1821" s="32">
        <x:v>429.46</x:v>
      </x:c>
      <x:c r="D1821" s="32">
        <x:v>427.4</x:v>
      </x:c>
      <x:c r="E1821" s="32">
        <x:v>429.46</x:v>
      </x:c>
      <x:c r="F1821" s="33">
        <x:v>8888450</x:v>
      </x:c>
      <x:c r="G1821" s="32" t="n">
        <x:f t="shared" si="75">AVERAGE(E1622:E1821)</x:f>
        <x:v>709.4770499999998</x:v>
      </x:c>
      <x:c r="H1821" s="37" t="n">
        <x:f t="shared" si="76">IFERROR(E1821/G1821-1,"")</x:f>
        <x:v>-0.39468091321629073</x:v>
      </x:c>
      <x:c r="I1821" s="38" t="b">
        <x:f t="shared" si="77">E1821&lt;G1821</x:f>
        <x:v>1</x:v>
      </x:c>
    </x:row>
    <x:row r="1822">
      <x:c r="A1822" s="31">
        <x:v>39657</x:v>
      </x:c>
      <x:c r="B1822" s="32">
        <x:v>426.23</x:v>
      </x:c>
      <x:c r="C1822" s="32">
        <x:v>434.64</x:v>
      </x:c>
      <x:c r="D1822" s="32">
        <x:v>425.94</x:v>
      </x:c>
      <x:c r="E1822" s="32">
        <x:v>434.64</x:v>
      </x:c>
      <x:c r="F1822" s="33">
        <x:v>13393330</x:v>
      </x:c>
      <x:c r="G1822" s="32" t="n">
        <x:f t="shared" si="75">AVERAGE(E1623:E1822)</x:f>
        <x:v>706.1172499999999</x:v>
      </x:c>
      <x:c r="H1822" s="37" t="n">
        <x:f t="shared" si="76">IFERROR(E1822/G1822-1,"")</x:f>
        <x:v>-0.3844648321507511</x:v>
      </x:c>
      <x:c r="I1822" s="38" t="b">
        <x:f t="shared" si="77">E1822&lt;G1822</x:f>
        <x:v>1</x:v>
      </x:c>
    </x:row>
    <x:row r="1823">
      <x:c r="A1823" s="31">
        <x:v>39658</x:v>
      </x:c>
      <x:c r="B1823" s="32">
        <x:v>443.45</x:v>
      </x:c>
      <x:c r="C1823" s="32">
        <x:v>445.12</x:v>
      </x:c>
      <x:c r="D1823" s="32">
        <x:v>443.45</x:v>
      </x:c>
      <x:c r="E1823" s="32">
        <x:v>444.4</x:v>
      </x:c>
      <x:c r="F1823" s="33">
        <x:v>13066180</x:v>
      </x:c>
      <x:c r="G1823" s="32" t="n">
        <x:f t="shared" si="75">AVERAGE(E1624:E1823)</x:f>
        <x:v>702.90045</x:v>
      </x:c>
      <x:c r="H1823" s="37" t="n">
        <x:f t="shared" si="76">IFERROR(E1823/G1823-1,"")</x:f>
        <x:v>-0.3677625330870111</x:v>
      </x:c>
      <x:c r="I1823" s="38" t="b">
        <x:f t="shared" si="77">E1823&lt;G1823</x:f>
        <x:v>1</x:v>
      </x:c>
    </x:row>
    <x:row r="1824">
      <x:c r="A1824" s="31">
        <x:v>39659</x:v>
      </x:c>
      <x:c r="B1824" s="32">
        <x:v>448.39</x:v>
      </x:c>
      <x:c r="C1824" s="32">
        <x:v>448.81</x:v>
      </x:c>
      <x:c r="D1824" s="32">
        <x:v>442.83</x:v>
      </x:c>
      <x:c r="E1824" s="32">
        <x:v>448.27</x:v>
      </x:c>
      <x:c r="F1824" s="33">
        <x:v>19066860</x:v>
      </x:c>
      <x:c r="G1824" s="32" t="n">
        <x:f t="shared" si="75">AVERAGE(E1625:E1824)</x:f>
        <x:v>699.7336499999999</x:v>
      </x:c>
      <x:c r="H1824" s="37" t="n">
        <x:f t="shared" si="76">IFERROR(E1824/G1824-1,"")</x:f>
        <x:v>-0.3593705261995046</x:v>
      </x:c>
      <x:c r="I1824" s="38" t="b">
        <x:f t="shared" si="77">E1824&lt;G1824</x:f>
        <x:v>1</x:v>
      </x:c>
    </x:row>
    <x:row r="1825">
      <x:c r="A1825" s="31">
        <x:v>39660</x:v>
      </x:c>
      <x:c r="B1825" s="32">
        <x:v>447.42</x:v>
      </x:c>
      <x:c r="C1825" s="32">
        <x:v>451.36</x:v>
      </x:c>
      <x:c r="D1825" s="32">
        <x:v>444.94</x:v>
      </x:c>
      <x:c r="E1825" s="32">
        <x:v>451.36</x:v>
      </x:c>
      <x:c r="F1825" s="33">
        <x:v>12261080</x:v>
      </x:c>
      <x:c r="G1825" s="32" t="n">
        <x:f t="shared" si="75">AVERAGE(E1626:E1825)</x:f>
        <x:v>696.5660999999997</x:v>
      </x:c>
      <x:c r="H1825" s="37" t="n">
        <x:f t="shared" si="76">IFERROR(E1825/G1825-1,"")</x:f>
        <x:v>-0.3520212941743788</x:v>
      </x:c>
      <x:c r="I1825" s="38" t="b">
        <x:f t="shared" si="77">E1825&lt;G1825</x:f>
        <x:v>1</x:v>
      </x:c>
    </x:row>
    <x:row r="1826">
      <x:c r="A1826" s="31">
        <x:v>39661</x:v>
      </x:c>
      <x:c r="B1826" s="32">
        <x:v>447.37</x:v>
      </x:c>
      <x:c r="C1826" s="32">
        <x:v>449.86</x:v>
      </x:c>
      <x:c r="D1826" s="32">
        <x:v>446.48</x:v>
      </x:c>
      <x:c r="E1826" s="32">
        <x:v>447.11</x:v>
      </x:c>
      <x:c r="F1826" s="33">
        <x:v>11136740</x:v>
      </x:c>
      <x:c r="G1826" s="32" t="n">
        <x:f t="shared" si="75">AVERAGE(E1627:E1826)</x:f>
        <x:v>693.3148499999999</x:v>
      </x:c>
      <x:c r="H1826" s="37" t="n">
        <x:f t="shared" si="76">IFERROR(E1826/G1826-1,"")</x:f>
        <x:v>-0.3551126158627641</x:v>
      </x:c>
      <x:c r="I1826" s="38" t="b">
        <x:f t="shared" si="77">E1826&lt;G1826</x:f>
        <x:v>1</x:v>
      </x:c>
    </x:row>
    <x:row r="1827">
      <x:c r="A1827" s="31">
        <x:v>39664</x:v>
      </x:c>
      <x:c r="B1827" s="32">
        <x:v>439.49</x:v>
      </x:c>
      <x:c r="C1827" s="32">
        <x:v>440.52</x:v>
      </x:c>
      <x:c r="D1827" s="32">
        <x:v>438.17</x:v>
      </x:c>
      <x:c r="E1827" s="32">
        <x:v>439.41</x:v>
      </x:c>
      <x:c r="F1827" s="33">
        <x:v>11514420</x:v>
      </x:c>
      <x:c r="G1827" s="32" t="n">
        <x:f t="shared" si="75">AVERAGE(E1628:E1827)</x:f>
        <x:v>689.9885499999997</x:v>
      </x:c>
      <x:c r="H1827" s="37" t="n">
        <x:f t="shared" si="76">IFERROR(E1827/G1827-1,"")</x:f>
        <x:v>-0.3631633452468157</x:v>
      </x:c>
      <x:c r="I1827" s="38" t="b">
        <x:f t="shared" si="77">E1827&lt;G1827</x:f>
        <x:v>1</x:v>
      </x:c>
    </x:row>
    <x:row r="1828">
      <x:c r="A1828" s="31">
        <x:v>39665</x:v>
      </x:c>
      <x:c r="B1828" s="32">
        <x:v>429.78</x:v>
      </x:c>
      <x:c r="C1828" s="32">
        <x:v>430.26</x:v>
      </x:c>
      <x:c r="D1828" s="32">
        <x:v>428.63</x:v>
      </x:c>
      <x:c r="E1828" s="32">
        <x:v>430.26</x:v>
      </x:c>
      <x:c r="F1828" s="33">
        <x:v>9914390</x:v>
      </x:c>
      <x:c r="G1828" s="32" t="n">
        <x:f t="shared" si="75">AVERAGE(E1629:E1828)</x:f>
        <x:v>686.6432999999998</x:v>
      </x:c>
      <x:c r="H1828" s="37" t="n">
        <x:f t="shared" si="76">IFERROR(E1828/G1828-1,"")</x:f>
        <x:v>-0.3733864438785027</x:v>
      </x:c>
      <x:c r="I1828" s="38" t="b">
        <x:f t="shared" si="77">E1828&lt;G1828</x:f>
        <x:v>1</x:v>
      </x:c>
    </x:row>
    <x:row r="1829">
      <x:c r="A1829" s="31">
        <x:v>39666</x:v>
      </x:c>
      <x:c r="B1829" s="32">
        <x:v>431.43</x:v>
      </x:c>
      <x:c r="C1829" s="32">
        <x:v>437.45</x:v>
      </x:c>
      <x:c r="D1829" s="32">
        <x:v>431.43</x:v>
      </x:c>
      <x:c r="E1829" s="32">
        <x:v>437.45</x:v>
      </x:c>
      <x:c r="F1829" s="33">
        <x:v>15685970</x:v>
      </x:c>
      <x:c r="G1829" s="32" t="n">
        <x:f t="shared" si="75">AVERAGE(E1630:E1829)</x:f>
        <x:v>683.3075</x:v>
      </x:c>
      <x:c r="H1829" s="37" t="n">
        <x:f t="shared" si="76">IFERROR(E1829/G1829-1,"")</x:f>
        <x:v>-0.35980506580126814</x:v>
      </x:c>
      <x:c r="I1829" s="38" t="b">
        <x:f t="shared" si="77">E1829&lt;G1829</x:f>
        <x:v>1</x:v>
      </x:c>
    </x:row>
    <x:row r="1830">
      <x:c r="A1830" s="31">
        <x:v>39667</x:v>
      </x:c>
      <x:c r="B1830" s="32">
        <x:v>446.85</x:v>
      </x:c>
      <x:c r="C1830" s="32">
        <x:v>446.87</x:v>
      </x:c>
      <x:c r="D1830" s="32">
        <x:v>438.83</x:v>
      </x:c>
      <x:c r="E1830" s="32">
        <x:v>438.83</x:v>
      </x:c>
      <x:c r="F1830" s="33">
        <x:v>16138900</x:v>
      </x:c>
      <x:c r="G1830" s="32" t="n">
        <x:f t="shared" si="75">AVERAGE(E1631:E1830)</x:f>
        <x:v>679.9756</x:v>
      </x:c>
      <x:c r="H1830" s="37" t="n">
        <x:f t="shared" si="76">IFERROR(E1830/G1830-1,"")</x:f>
        <x:v>-0.3546386076206264</x:v>
      </x:c>
      <x:c r="I1830" s="38" t="b">
        <x:f t="shared" si="77">E1830&lt;G1830</x:f>
        <x:v>1</x:v>
      </x:c>
    </x:row>
    <x:row r="1831">
      <x:c r="A1831" s="31">
        <x:v>39668</x:v>
      </x:c>
      <x:c r="B1831" s="32">
        <x:v>441.79</x:v>
      </x:c>
      <x:c r="C1831" s="32">
        <x:v>444.29</x:v>
      </x:c>
      <x:c r="D1831" s="32">
        <x:v>438.82</x:v>
      </x:c>
      <x:c r="E1831" s="32">
        <x:v>444.28</x:v>
      </x:c>
      <x:c r="F1831" s="33">
        <x:v>13855730</x:v>
      </x:c>
      <x:c r="G1831" s="32" t="n">
        <x:f t="shared" si="75">AVERAGE(E1632:E1831)</x:f>
        <x:v>676.6776</x:v>
      </x:c>
      <x:c r="H1831" s="37" t="n">
        <x:f t="shared" si="76">IFERROR(E1831/G1831-1,"")</x:f>
        <x:v>-0.3434391798989652</x:v>
      </x:c>
      <x:c r="I1831" s="38" t="b">
        <x:f t="shared" si="77">E1831&lt;G1831</x:f>
        <x:v>1</x:v>
      </x:c>
    </x:row>
    <x:row r="1832">
      <x:c r="A1832" s="31">
        <x:v>39671</x:v>
      </x:c>
      <x:c r="B1832" s="32">
        <x:v>454.87</x:v>
      </x:c>
      <x:c r="C1832" s="32">
        <x:v>455.08</x:v>
      </x:c>
      <x:c r="D1832" s="32">
        <x:v>454.04</x:v>
      </x:c>
      <x:c r="E1832" s="32">
        <x:v>454.8</x:v>
      </x:c>
      <x:c r="F1832" s="33">
        <x:v>13040980</x:v>
      </x:c>
      <x:c r="G1832" s="32" t="n">
        <x:f t="shared" si="75">AVERAGE(E1633:E1832)</x:f>
        <x:v>673.4451499999999</x:v>
      </x:c>
      <x:c r="H1832" s="37" t="n">
        <x:f t="shared" si="76">IFERROR(E1832/G1832-1,"")</x:f>
        <x:v>-0.3246666042512889</x:v>
      </x:c>
      <x:c r="I1832" s="38" t="b">
        <x:f t="shared" si="77">E1832&lt;G1832</x:f>
        <x:v>1</x:v>
      </x:c>
    </x:row>
    <x:row r="1833">
      <x:c r="A1833" s="31">
        <x:v>39672</x:v>
      </x:c>
      <x:c r="B1833" s="32">
        <x:v>464.09</x:v>
      </x:c>
      <x:c r="C1833" s="32">
        <x:v>464.62</x:v>
      </x:c>
      <x:c r="D1833" s="32">
        <x:v>456.27</x:v>
      </x:c>
      <x:c r="E1833" s="32">
        <x:v>459.89</x:v>
      </x:c>
      <x:c r="F1833" s="33">
        <x:v>21698800</x:v>
      </x:c>
      <x:c r="G1833" s="32" t="n">
        <x:f t="shared" si="75">AVERAGE(E1634:E1833)</x:f>
        <x:v>670.3012000000001</x:v>
      </x:c>
      <x:c r="H1833" s="37" t="n">
        <x:f t="shared" si="76">IFERROR(E1833/G1833-1,"")</x:f>
        <x:v>-0.3139054502662386</x:v>
      </x:c>
      <x:c r="I1833" s="38" t="b">
        <x:f t="shared" si="77">E1833&lt;G1833</x:f>
        <x:v>1</x:v>
      </x:c>
    </x:row>
    <x:row r="1834">
      <x:c r="A1834" s="31">
        <x:v>39673</x:v>
      </x:c>
      <x:c r="B1834" s="32">
        <x:v>460.28</x:v>
      </x:c>
      <x:c r="C1834" s="32">
        <x:v>465.17</x:v>
      </x:c>
      <x:c r="D1834" s="32">
        <x:v>457.31</x:v>
      </x:c>
      <x:c r="E1834" s="32">
        <x:v>464.01</x:v>
      </x:c>
      <x:c r="F1834" s="33">
        <x:v>19909170</x:v>
      </x:c>
      <x:c r="G1834" s="32" t="n">
        <x:f t="shared" si="75">AVERAGE(E1635:E1834)</x:f>
        <x:v>667.1359</x:v>
      </x:c>
      <x:c r="H1834" s="37" t="n">
        <x:f t="shared" si="76">IFERROR(E1834/G1834-1,"")</x:f>
        <x:v>-0.30447454559108567</x:v>
      </x:c>
      <x:c r="I1834" s="38" t="b">
        <x:f t="shared" si="77">E1834&lt;G1834</x:f>
        <x:v>1</x:v>
      </x:c>
    </x:row>
    <x:row r="1835">
      <x:c r="A1835" s="31">
        <x:v>39674</x:v>
      </x:c>
      <x:c r="B1835" s="32">
        <x:v>470.14</x:v>
      </x:c>
      <x:c r="C1835" s="32">
        <x:v>476.56</x:v>
      </x:c>
      <x:c r="D1835" s="32">
        <x:v>469.64</x:v>
      </x:c>
      <x:c r="E1835" s="32">
        <x:v>476.5</x:v>
      </x:c>
      <x:c r="F1835" s="33">
        <x:v>18550500</x:v>
      </x:c>
      <x:c r="G1835" s="32" t="n">
        <x:f t="shared" si="75">AVERAGE(E1636:E1835)</x:f>
        <x:v>664.0897</x:v>
      </x:c>
      <x:c r="H1835" s="37" t="n">
        <x:f t="shared" si="76">IFERROR(E1835/G1835-1,"")</x:f>
        <x:v>-0.2824764485881952</x:v>
      </x:c>
      <x:c r="I1835" s="38" t="b">
        <x:f t="shared" si="77">E1835&lt;G1835</x:f>
        <x:v>1</x:v>
      </x:c>
    </x:row>
    <x:row r="1836">
      <x:c r="A1836" s="31">
        <x:v>39675</x:v>
      </x:c>
      <x:c r="B1836" s="32">
        <x:v>488.81</x:v>
      </x:c>
      <x:c r="C1836" s="32">
        <x:v>489.18</x:v>
      </x:c>
      <x:c r="D1836" s="32">
        <x:v>488.69</x:v>
      </x:c>
      <x:c r="E1836" s="32">
        <x:v>488.94</x:v>
      </x:c>
      <x:c r="F1836" s="33">
        <x:v>8824290</x:v>
      </x:c>
      <x:c r="G1836" s="32" t="n">
        <x:f t="shared" si="75">AVERAGE(E1637:E1836)</x:f>
        <x:v>661.15795</x:v>
      </x:c>
      <x:c r="H1836" s="37" t="n">
        <x:f t="shared" si="76">IFERROR(E1836/G1836-1,"")</x:f>
        <x:v>-0.2604792848668007</x:v>
      </x:c>
      <x:c r="I1836" s="38" t="b">
        <x:f t="shared" si="77">E1836&lt;G1836</x:f>
        <x:v>1</x:v>
      </x:c>
    </x:row>
    <x:row r="1837">
      <x:c r="A1837" s="31">
        <x:v>39678</x:v>
      </x:c>
      <x:c r="B1837" s="32">
        <x:v>504.14</x:v>
      </x:c>
      <x:c r="C1837" s="32">
        <x:v>508.48</x:v>
      </x:c>
      <x:c r="D1837" s="32">
        <x:v>503.65</x:v>
      </x:c>
      <x:c r="E1837" s="32">
        <x:v>508.05</x:v>
      </x:c>
      <x:c r="F1837" s="33">
        <x:v>16903560</x:v>
      </x:c>
      <x:c r="G1837" s="32" t="n">
        <x:f t="shared" si="75">AVERAGE(E1638:E1837)</x:f>
        <x:v>658.2171999999998</x:v>
      </x:c>
      <x:c r="H1837" s="37" t="n">
        <x:f t="shared" si="76">IFERROR(E1837/G1837-1,"")</x:f>
        <x:v>-0.22814232141001456</x:v>
      </x:c>
      <x:c r="I1837" s="38" t="b">
        <x:f t="shared" si="77">E1837&lt;G1837</x:f>
        <x:v>1</x:v>
      </x:c>
    </x:row>
    <x:row r="1838">
      <x:c r="A1838" s="31">
        <x:v>39679</x:v>
      </x:c>
      <x:c r="B1838" s="32">
        <x:v>520.51</x:v>
      </x:c>
      <x:c r="C1838" s="32">
        <x:v>520.51</x:v>
      </x:c>
      <x:c r="D1838" s="32">
        <x:v>506.76</x:v>
      </x:c>
      <x:c r="E1838" s="32">
        <x:v>511.53</x:v>
      </x:c>
      <x:c r="F1838" s="33">
        <x:v>32034240</x:v>
      </x:c>
      <x:c r="G1838" s="32" t="n">
        <x:f t="shared" si="75">AVERAGE(E1639:E1838)</x:f>
        <x:v>655.2972</x:v>
      </x:c>
      <x:c r="H1838" s="37" t="n">
        <x:f t="shared" si="76">IFERROR(E1838/G1838-1,"")</x:f>
        <x:v>-0.21939236120648764</x:v>
      </x:c>
      <x:c r="I1838" s="38" t="b">
        <x:f t="shared" si="77">E1838&lt;G1838</x:f>
        <x:v>1</x:v>
      </x:c>
    </x:row>
    <x:row r="1839">
      <x:c r="A1839" s="31">
        <x:v>39680</x:v>
      </x:c>
      <x:c r="B1839" s="32">
        <x:v>497.75</x:v>
      </x:c>
      <x:c r="C1839" s="32">
        <x:v>514.95000000000005</x:v>
      </x:c>
      <x:c r="D1839" s="32">
        <x:v>497.75</x:v>
      </x:c>
      <x:c r="E1839" s="32">
        <x:v>508.47</x:v>
      </x:c>
      <x:c r="F1839" s="33">
        <x:v>30560540</x:v>
      </x:c>
      <x:c r="G1839" s="32" t="n">
        <x:f t="shared" si="75">AVERAGE(E1640:E1839)</x:f>
        <x:v>652.37715</x:v>
      </x:c>
      <x:c r="H1839" s="37" t="n">
        <x:f t="shared" si="76">IFERROR(E1839/G1839-1,"")</x:f>
        <x:v>-0.2205888878848684</x:v>
      </x:c>
      <x:c r="I1839" s="38" t="b">
        <x:f t="shared" si="77">E1839&lt;G1839</x:f>
        <x:v>1</x:v>
      </x:c>
    </x:row>
    <x:row r="1840">
      <x:c r="A1840" s="31">
        <x:v>39681</x:v>
      </x:c>
      <x:c r="B1840" s="32">
        <x:v>512.54</x:v>
      </x:c>
      <x:c r="C1840" s="32">
        <x:v>525.98</x:v>
      </x:c>
      <x:c r="D1840" s="32">
        <x:v>510.69</x:v>
      </x:c>
      <x:c r="E1840" s="32">
        <x:v>525.98</x:v>
      </x:c>
      <x:c r="F1840" s="33">
        <x:v>23831770</x:v>
      </x:c>
      <x:c r="G1840" s="32" t="n">
        <x:f t="shared" si="75">AVERAGE(E1641:E1840)</x:f>
        <x:v>649.6860499999999</x:v>
      </x:c>
      <x:c r="H1840" s="37" t="n">
        <x:f t="shared" si="76">IFERROR(E1840/G1840-1,"")</x:f>
        <x:v>-0.19040896753131753</x:v>
      </x:c>
      <x:c r="I1840" s="38" t="b">
        <x:f t="shared" si="77">E1840&lt;G1840</x:f>
        <x:v>1</x:v>
      </x:c>
    </x:row>
    <x:row r="1841">
      <x:c r="A1841" s="31">
        <x:v>39682</x:v>
      </x:c>
      <x:c r="B1841" s="32">
        <x:v>535.99</x:v>
      </x:c>
      <x:c r="C1841" s="32">
        <x:v>536.61</x:v>
      </x:c>
      <x:c r="D1841" s="32">
        <x:v>526.98</x:v>
      </x:c>
      <x:c r="E1841" s="32">
        <x:v>526.98</x:v>
      </x:c>
      <x:c r="F1841" s="33">
        <x:v>21493410</x:v>
      </x:c>
      <x:c r="G1841" s="32" t="n">
        <x:f t="shared" si="75">AVERAGE(E1642:E1841)</x:f>
        <x:v>646.97205</x:v>
      </x:c>
      <x:c r="H1841" s="37" t="n">
        <x:f t="shared" si="76">IFERROR(E1841/G1841-1,"")</x:f>
        <x:v>-0.1854671310762187</x:v>
      </x:c>
      <x:c r="I1841" s="38" t="b">
        <x:f t="shared" si="77">E1841&lt;G1841</x:f>
        <x:v>1</x:v>
      </x:c>
    </x:row>
    <x:row r="1842">
      <x:c r="A1842" s="31">
        <x:v>39685</x:v>
      </x:c>
      <x:c r="B1842" s="32">
        <x:v>544.75</x:v>
      </x:c>
      <x:c r="C1842" s="32">
        <x:v>548.72</x:v>
      </x:c>
      <x:c r="D1842" s="32">
        <x:v>542.89</x:v>
      </x:c>
      <x:c r="E1842" s="32">
        <x:v>548.25</x:v>
      </x:c>
      <x:c r="F1842" s="33">
        <x:v>18926500</x:v>
      </x:c>
      <x:c r="G1842" s="32" t="n">
        <x:f t="shared" si="75">AVERAGE(E1643:E1842)</x:f>
        <x:v>644.38785</x:v>
      </x:c>
      <x:c r="H1842" s="37" t="n">
        <x:f t="shared" si="76">IFERROR(E1842/G1842-1,"")</x:f>
        <x:v>-0.14919252434694408</x:v>
      </x:c>
      <x:c r="I1842" s="38" t="b">
        <x:f t="shared" si="77">E1842&lt;G1842</x:f>
        <x:v>1</x:v>
      </x:c>
    </x:row>
    <x:row r="1843">
      <x:c r="A1843" s="31">
        <x:v>39686</x:v>
      </x:c>
      <x:c r="B1843" s="32">
        <x:v>568.36</x:v>
      </x:c>
      <x:c r="C1843" s="32">
        <x:v>569.54</x:v>
      </x:c>
      <x:c r="D1843" s="32">
        <x:v>561.66999999999996</x:v>
      </x:c>
      <x:c r="E1843" s="32">
        <x:v>561.66999999999996</x:v>
      </x:c>
      <x:c r="F1843" s="33">
        <x:v>15598530</x:v>
      </x:c>
      <x:c r="G1843" s="32" t="n">
        <x:f t="shared" si="75">AVERAGE(E1644:E1843)</x:f>
        <x:v>641.8166</x:v>
      </x:c>
      <x:c r="H1843" s="37" t="n">
        <x:f t="shared" si="76">IFERROR(E1843/G1843-1,"")</x:f>
        <x:v>-0.12487461371363728</x:v>
      </x:c>
      <x:c r="I1843" s="38" t="b">
        <x:f t="shared" si="77">E1843&lt;G1843</x:f>
        <x:v>1</x:v>
      </x:c>
    </x:row>
    <x:row r="1844">
      <x:c r="A1844" s="31">
        <x:v>39687</x:v>
      </x:c>
      <x:c r="B1844" s="32">
        <x:v>568.91</x:v>
      </x:c>
      <x:c r="C1844" s="32">
        <x:v>575.71</x:v>
      </x:c>
      <x:c r="D1844" s="32">
        <x:v>561.85</x:v>
      </x:c>
      <x:c r="E1844" s="32">
        <x:v>561.85</x:v>
      </x:c>
      <x:c r="F1844" s="33">
        <x:v>28847870</x:v>
      </x:c>
      <x:c r="G1844" s="32" t="n">
        <x:f t="shared" si="75">AVERAGE(E1645:E1844)</x:f>
        <x:v>639.2927</x:v>
      </x:c>
      <x:c r="H1844" s="37" t="n">
        <x:f t="shared" si="76">IFERROR(E1844/G1844-1,"")</x:f>
        <x:v>-0.12113809527310404</x:v>
      </x:c>
      <x:c r="I1844" s="38" t="b">
        <x:f t="shared" si="77">E1844&lt;G1844</x:f>
        <x:v>1</x:v>
      </x:c>
    </x:row>
    <x:row r="1845">
      <x:c r="A1845" s="31">
        <x:v>39688</x:v>
      </x:c>
      <x:c r="B1845" s="32">
        <x:v>549.84</x:v>
      </x:c>
      <x:c r="C1845" s="32">
        <x:v>551.29999999999995</x:v>
      </x:c>
      <x:c r="D1845" s="32">
        <x:v>547.45000000000005</x:v>
      </x:c>
      <x:c r="E1845" s="32">
        <x:v>547.69000000000005</x:v>
      </x:c>
      <x:c r="F1845" s="33">
        <x:v>35355960</x:v>
      </x:c>
      <x:c r="G1845" s="32" t="n">
        <x:f t="shared" si="75">AVERAGE(E1646:E1845)</x:f>
        <x:v>636.7954</x:v>
      </x:c>
      <x:c r="H1845" s="37" t="n">
        <x:f t="shared" si="76">IFERROR(E1845/G1845-1,"")</x:f>
        <x:v>-0.13992783239326156</x:v>
      </x:c>
      <x:c r="I1845" s="38" t="b">
        <x:f t="shared" si="77">E1845&lt;G1845</x:f>
        <x:v>1</x:v>
      </x:c>
    </x:row>
    <x:row r="1846">
      <x:c r="A1846" s="31">
        <x:v>39689</x:v>
      </x:c>
      <x:c r="B1846" s="32">
        <x:v>533.1</x:v>
      </x:c>
      <x:c r="C1846" s="32">
        <x:v>539.1</x:v>
      </x:c>
      <x:c r="D1846" s="32">
        <x:v>531.37</x:v>
      </x:c>
      <x:c r="E1846" s="32">
        <x:v>539.1</x:v>
      </x:c>
      <x:c r="F1846" s="33">
        <x:v>30771040</x:v>
      </x:c>
      <x:c r="G1846" s="32" t="n">
        <x:f t="shared" si="75">AVERAGE(E1647:E1846)</x:f>
        <x:v>634.33235</x:v>
      </x:c>
      <x:c r="H1846" s="37" t="n">
        <x:f t="shared" si="76">IFERROR(E1846/G1846-1,"")</x:f>
        <x:v>-0.15013005406393032</x:v>
      </x:c>
      <x:c r="I1846" s="38" t="b">
        <x:f t="shared" si="77">E1846&lt;G1846</x:f>
        <x:v>1</x:v>
      </x:c>
    </x:row>
    <x:row r="1847">
      <x:c r="A1847" s="31">
        <x:v>39694</x:v>
      </x:c>
      <x:c r="B1847" s="32">
        <x:v>552.6</x:v>
      </x:c>
      <x:c r="C1847" s="32">
        <x:v>559.34</x:v>
      </x:c>
      <x:c r="D1847" s="32">
        <x:v>552.6</x:v>
      </x:c>
      <x:c r="E1847" s="32">
        <x:v>555.14</x:v>
      </x:c>
      <x:c r="F1847" s="33">
        <x:v>16118760</x:v>
      </x:c>
      <x:c r="G1847" s="32" t="n">
        <x:f t="shared" si="75">AVERAGE(E1648:E1847)</x:f>
        <x:v>631.95205</x:v>
      </x:c>
      <x:c r="H1847" s="37" t="n">
        <x:f t="shared" si="76">IFERROR(E1847/G1847-1,"")</x:f>
        <x:v>-0.12154727562004108</x:v>
      </x:c>
      <x:c r="I1847" s="38" t="b">
        <x:f t="shared" si="77">E1847&lt;G1847</x:f>
        <x:v>1</x:v>
      </x:c>
    </x:row>
    <x:row r="1848">
      <x:c r="A1848" s="31">
        <x:v>39695</x:v>
      </x:c>
      <x:c r="B1848" s="32">
        <x:v>556.61</x:v>
      </x:c>
      <x:c r="C1848" s="32">
        <x:v>558.62</x:v>
      </x:c>
      <x:c r="D1848" s="32">
        <x:v>549.71</x:v>
      </x:c>
      <x:c r="E1848" s="32">
        <x:v>558.55999999999995</x:v>
      </x:c>
      <x:c r="F1848" s="33">
        <x:v>28536610</x:v>
      </x:c>
      <x:c r="G1848" s="32" t="n">
        <x:f t="shared" si="75">AVERAGE(E1649:E1848)</x:f>
        <x:v>629.6125</x:v>
      </x:c>
      <x:c r="H1848" s="37" t="n">
        <x:f t="shared" si="76">IFERROR(E1848/G1848-1,"")</x:f>
        <x:v>-0.11285115845063431</x:v>
      </x:c>
      <x:c r="I1848" s="38" t="b">
        <x:f t="shared" si="77">E1848&lt;G1848</x:f>
        <x:v>1</x:v>
      </x:c>
    </x:row>
    <x:row r="1849">
      <x:c r="A1849" s="31">
        <x:v>39696</x:v>
      </x:c>
      <x:c r="B1849" s="32">
        <x:v>551.35</x:v>
      </x:c>
      <x:c r="C1849" s="32">
        <x:v>553.37</x:v>
      </x:c>
      <x:c r="D1849" s="32">
        <x:v>546.66</x:v>
      </x:c>
      <x:c r="E1849" s="32">
        <x:v>546.66</x:v>
      </x:c>
      <x:c r="F1849" s="33">
        <x:v>19832940</x:v>
      </x:c>
      <x:c r="G1849" s="32" t="n">
        <x:f t="shared" si="75">AVERAGE(E1650:E1849)</x:f>
        <x:v>627.2543499999999</x:v>
      </x:c>
      <x:c r="H1849" s="37" t="n">
        <x:f t="shared" si="76">IFERROR(E1849/G1849-1,"")</x:f>
        <x:v>-0.1284875106884471</x:v>
      </x:c>
      <x:c r="I1849" s="38" t="b">
        <x:f t="shared" si="77">E1849&lt;G1849</x:f>
        <x:v>1</x:v>
      </x:c>
    </x:row>
    <x:row r="1850">
      <x:c r="A1850" s="31">
        <x:v>39699</x:v>
      </x:c>
      <x:c r="B1850" s="32">
        <x:v>527.84</x:v>
      </x:c>
      <x:c r="C1850" s="32">
        <x:v>536.1</x:v>
      </x:c>
      <x:c r="D1850" s="32">
        <x:v>526.03</x:v>
      </x:c>
      <x:c r="E1850" s="32">
        <x:v>532.71</x:v>
      </x:c>
      <x:c r="F1850" s="33">
        <x:v>34175000</x:v>
      </x:c>
      <x:c r="G1850" s="32" t="n">
        <x:f t="shared" si="75">AVERAGE(E1651:E1850)</x:f>
        <x:v>624.8873</x:v>
      </x:c>
      <x:c r="H1850" s="37" t="n">
        <x:f t="shared" si="76">IFERROR(E1850/G1850-1,"")</x:f>
        <x:v>-0.14751027905351888</x:v>
      </x:c>
      <x:c r="I1850" s="38" t="b">
        <x:f t="shared" si="77">E1850&lt;G1850</x:f>
        <x:v>1</x:v>
      </x:c>
    </x:row>
    <x:row r="1851">
      <x:c r="A1851" s="31">
        <x:v>39700</x:v>
      </x:c>
      <x:c r="B1851" s="32">
        <x:v>532.89</x:v>
      </x:c>
      <x:c r="C1851" s="32">
        <x:v>542.96</x:v>
      </x:c>
      <x:c r="D1851" s="32">
        <x:v>525.49</x:v>
      </x:c>
      <x:c r="E1851" s="32">
        <x:v>525.49</x:v>
      </x:c>
      <x:c r="F1851" s="33">
        <x:v>28118610</x:v>
      </x:c>
      <x:c r="G1851" s="32" t="n">
        <x:f t="shared" si="75">AVERAGE(E1652:E1851)</x:f>
        <x:v>622.6468</x:v>
      </x:c>
      <x:c r="H1851" s="37" t="n">
        <x:f t="shared" si="76">IFERROR(E1851/G1851-1,"")</x:f>
        <x:v>-0.15603838323749508</x:v>
      </x:c>
      <x:c r="I1851" s="38" t="b">
        <x:f t="shared" si="77">E1851&lt;G1851</x:f>
        <x:v>1</x:v>
      </x:c>
    </x:row>
    <x:row r="1852">
      <x:c r="A1852" s="31">
        <x:v>39701</x:v>
      </x:c>
      <x:c r="B1852" s="32">
        <x:v>530.01</x:v>
      </x:c>
      <x:c r="C1852" s="32">
        <x:v>530.25</x:v>
      </x:c>
      <x:c r="D1852" s="32">
        <x:v>508.69</x:v>
      </x:c>
      <x:c r="E1852" s="32">
        <x:v>514.45000000000005</x:v>
      </x:c>
      <x:c r="F1852" s="33">
        <x:v>26037190</x:v>
      </x:c>
      <x:c r="G1852" s="32" t="n">
        <x:f t="shared" si="75">AVERAGE(E1653:E1852)</x:f>
        <x:v>620.2503</x:v>
      </x:c>
      <x:c r="H1852" s="37" t="n">
        <x:f t="shared" si="76">IFERROR(E1852/G1852-1,"")</x:f>
        <x:v>-0.17057678166378953</x:v>
      </x:c>
      <x:c r="I1852" s="38" t="b">
        <x:f t="shared" si="77">E1852&lt;G1852</x:f>
        <x:v>1</x:v>
      </x:c>
    </x:row>
    <x:row r="1853">
      <x:c r="A1853" s="31">
        <x:v>39702</x:v>
      </x:c>
      <x:c r="B1853" s="32">
        <x:v>499.03</x:v>
      </x:c>
      <x:c r="C1853" s="32">
        <x:v>500.14</x:v>
      </x:c>
      <x:c r="D1853" s="32">
        <x:v>496.84</x:v>
      </x:c>
      <x:c r="E1853" s="32">
        <x:v>497.01</x:v>
      </x:c>
      <x:c r="F1853" s="33">
        <x:v>15818230</x:v>
      </x:c>
      <x:c r="G1853" s="32" t="n">
        <x:f t="shared" si="75">AVERAGE(E1654:E1853)</x:f>
        <x:v>617.7218</x:v>
      </x:c>
      <x:c r="H1853" s="37" t="n">
        <x:f t="shared" si="76">IFERROR(E1853/G1853-1,"")</x:f>
        <x:v>-0.19541450536471283</x:v>
      </x:c>
      <x:c r="I1853" s="38" t="b">
        <x:f t="shared" si="77">E1853&lt;G1853</x:f>
        <x:v>1</x:v>
      </x:c>
    </x:row>
    <x:row r="1854">
      <x:c r="A1854" s="31">
        <x:v>39703</x:v>
      </x:c>
      <x:c r="B1854" s="32">
        <x:v>477.36</x:v>
      </x:c>
      <x:c r="C1854" s="32">
        <x:v>479.45</x:v>
      </x:c>
      <x:c r="D1854" s="32">
        <x:v>475.14</x:v>
      </x:c>
      <x:c r="E1854" s="32">
        <x:v>476</x:v>
      </x:c>
      <x:c r="F1854" s="33">
        <x:v>14209980</x:v>
      </x:c>
      <x:c r="G1854" s="32" t="n">
        <x:f t="shared" si="75">AVERAGE(E1655:E1854)</x:f>
        <x:v>615.1107</x:v>
      </x:c>
      <x:c r="H1854" s="37" t="n">
        <x:f t="shared" si="76">IFERROR(E1854/G1854-1,"")</x:f>
        <x:v>-0.22615555216321215</x:v>
      </x:c>
      <x:c r="I1854" s="38" t="b">
        <x:f t="shared" si="77">E1854&lt;G1854</x:f>
        <x:v>1</x:v>
      </x:c>
    </x:row>
    <x:row r="1855">
      <x:c r="A1855" s="31">
        <x:v>39706</x:v>
      </x:c>
      <x:c r="B1855" s="32">
        <x:v>470.38</x:v>
      </x:c>
      <x:c r="C1855" s="32">
        <x:v>493.16</x:v>
      </x:c>
      <x:c r="D1855" s="32">
        <x:v>470.38</x:v>
      </x:c>
      <x:c r="E1855" s="32">
        <x:v>476.76</x:v>
      </x:c>
      <x:c r="F1855" s="33">
        <x:v>28895380</x:v>
      </x:c>
      <x:c r="G1855" s="32" t="n">
        <x:f t="shared" si="75">AVERAGE(E1656:E1855)</x:f>
        <x:v>612.5007499999999</x:v>
      </x:c>
      <x:c r="H1855" s="37" t="n">
        <x:f t="shared" si="76">IFERROR(E1855/G1855-1,"")</x:f>
        <x:v>-0.2216172796523106</x:v>
      </x:c>
      <x:c r="I1855" s="38" t="b">
        <x:f t="shared" si="77">E1855&lt;G1855</x:f>
        <x:v>1</x:v>
      </x:c>
    </x:row>
    <x:row r="1856">
      <x:c r="A1856" s="31">
        <x:v>39707</x:v>
      </x:c>
      <x:c r="B1856" s="32">
        <x:v>466.16</x:v>
      </x:c>
      <x:c r="C1856" s="32">
        <x:v>466.16</x:v>
      </x:c>
      <x:c r="D1856" s="32">
        <x:v>455.95</x:v>
      </x:c>
      <x:c r="E1856" s="32">
        <x:v>455.95</x:v>
      </x:c>
      <x:c r="F1856" s="33">
        <x:v>15612530</x:v>
      </x:c>
      <x:c r="G1856" s="32" t="n">
        <x:f t="shared" si="75">AVERAGE(E1657:E1856)</x:f>
        <x:v>609.8629</x:v>
      </x:c>
      <x:c r="H1856" s="37" t="n">
        <x:f t="shared" si="76">IFERROR(E1856/G1856-1,"")</x:f>
        <x:v>-0.25237295136333093</x:v>
      </x:c>
      <x:c r="I1856" s="38" t="b">
        <x:f t="shared" si="77">E1856&lt;G1856</x:f>
        <x:v>1</x:v>
      </x:c>
    </x:row>
    <x:row r="1857">
      <x:c r="A1857" s="31">
        <x:v>39708</x:v>
      </x:c>
      <x:c r="B1857" s="32">
        <x:v>436.24</x:v>
      </x:c>
      <x:c r="C1857" s="32">
        <x:v>438.79</x:v>
      </x:c>
      <x:c r="D1857" s="32">
        <x:v>436.24</x:v>
      </x:c>
      <x:c r="E1857" s="32">
        <x:v>437.24</x:v>
      </x:c>
      <x:c r="F1857" s="33">
        <x:v>13520670</x:v>
      </x:c>
      <x:c r="G1857" s="32" t="n">
        <x:f t="shared" si="75">AVERAGE(E1658:E1857)</x:f>
        <x:v>607.19165</x:v>
      </x:c>
      <x:c r="H1857" s="37" t="n">
        <x:f t="shared" si="76">IFERROR(E1857/G1857-1,"")</x:f>
        <x:v>-0.27989787079581874</x:v>
      </x:c>
      <x:c r="I1857" s="38" t="b">
        <x:f t="shared" si="77">E1857&lt;G1857</x:f>
        <x:v>1</x:v>
      </x:c>
    </x:row>
    <x:row r="1858">
      <x:c r="A1858" s="31">
        <x:v>39709</x:v>
      </x:c>
      <x:c r="B1858" s="32">
        <x:v>417</x:v>
      </x:c>
      <x:c r="C1858" s="32">
        <x:v>419.28</x:v>
      </x:c>
      <x:c r="D1858" s="32">
        <x:v>416.88</x:v>
      </x:c>
      <x:c r="E1858" s="32">
        <x:v>419.28</x:v>
      </x:c>
      <x:c r="F1858" s="33">
        <x:v>9997780</x:v>
      </x:c>
      <x:c r="G1858" s="32" t="n">
        <x:f t="shared" si="75">AVERAGE(E1659:E1858)</x:f>
        <x:v>604.4022</x:v>
      </x:c>
      <x:c r="H1858" s="37" t="n">
        <x:f t="shared" si="76">IFERROR(E1858/G1858-1,"")</x:f>
        <x:v>-0.3062897520889236</x:v>
      </x:c>
      <x:c r="I1858" s="38" t="b">
        <x:f t="shared" si="77">E1858&lt;G1858</x:f>
        <x:v>1</x:v>
      </x:c>
    </x:row>
    <x:row r="1859">
      <x:c r="A1859" s="31">
        <x:v>39710</x:v>
      </x:c>
      <x:c r="B1859" s="32">
        <x:v>434.14</x:v>
      </x:c>
      <x:c r="C1859" s="32">
        <x:v>439.15</x:v>
      </x:c>
      <x:c r="D1859" s="32">
        <x:v>434.14</x:v>
      </x:c>
      <x:c r="E1859" s="32">
        <x:v>439.06</x:v>
      </x:c>
      <x:c r="F1859" s="33">
        <x:v>23006060</x:v>
      </x:c>
      <x:c r="G1859" s="32" t="n">
        <x:f t="shared" si="75">AVERAGE(E1660:E1859)</x:f>
        <x:v>601.7179</x:v>
      </x:c>
      <x:c r="H1859" s="37" t="n">
        <x:f t="shared" si="76">IFERROR(E1859/G1859-1,"")</x:f>
        <x:v>-0.2703225215670001</x:v>
      </x:c>
      <x:c r="I1859" s="38" t="b">
        <x:f t="shared" si="77">E1859&lt;G1859</x:f>
        <x:v>1</x:v>
      </x:c>
    </x:row>
    <x:row r="1860">
      <x:c r="A1860" s="31">
        <x:v>39713</x:v>
      </x:c>
      <x:c r="B1860" s="32">
        <x:v>459.64</x:v>
      </x:c>
      <x:c r="C1860" s="32">
        <x:v>459.87</x:v>
      </x:c>
      <x:c r="D1860" s="32">
        <x:v>459.57</x:v>
      </x:c>
      <x:c r="E1860" s="32">
        <x:v>459.86</x:v>
      </x:c>
      <x:c r="F1860" s="33">
        <x:v>7469270</x:v>
      </x:c>
      <x:c r="G1860" s="32" t="n">
        <x:f t="shared" si="75">AVERAGE(E1661:E1860)</x:f>
        <x:v>599.0602999999999</x:v>
      </x:c>
      <x:c r="H1860" s="37" t="n">
        <x:f t="shared" si="76">IFERROR(E1860/G1860-1,"")</x:f>
        <x:v>-0.2323644214113335</x:v>
      </x:c>
      <x:c r="I1860" s="38" t="b">
        <x:f t="shared" si="77">E1860&lt;G1860</x:f>
        <x:v>1</x:v>
      </x:c>
    </x:row>
    <x:row r="1861">
      <x:c r="A1861" s="31">
        <x:v>39714</x:v>
      </x:c>
      <x:c r="B1861" s="32">
        <x:v>455.62</x:v>
      </x:c>
      <x:c r="C1861" s="32">
        <x:v>474.63</x:v>
      </x:c>
      <x:c r="D1861" s="32">
        <x:v>452.76</x:v>
      </x:c>
      <x:c r="E1861" s="32">
        <x:v>465.87</x:v>
      </x:c>
      <x:c r="F1861" s="33">
        <x:v>37296700</x:v>
      </x:c>
      <x:c r="G1861" s="32" t="n">
        <x:f t="shared" si="75">AVERAGE(E1662:E1861)</x:f>
        <x:v>596.4492499999999</x:v>
      </x:c>
      <x:c r="H1861" s="37" t="n">
        <x:f t="shared" si="76">IFERROR(E1861/G1861-1,"")</x:f>
        <x:v>-0.2189276790942396</x:v>
      </x:c>
      <x:c r="I1861" s="38" t="b">
        <x:f t="shared" si="77">E1861&lt;G1861</x:f>
        <x:v>1</x:v>
      </x:c>
    </x:row>
    <x:row r="1862">
      <x:c r="A1862" s="31">
        <x:v>39715</x:v>
      </x:c>
      <x:c r="B1862" s="32">
        <x:v>461.19</x:v>
      </x:c>
      <x:c r="C1862" s="32">
        <x:v>465.62</x:v>
      </x:c>
      <x:c r="D1862" s="32">
        <x:v>454.55</x:v>
      </x:c>
      <x:c r="E1862" s="32">
        <x:v>455.05</x:v>
      </x:c>
      <x:c r="F1862" s="33">
        <x:v>12838380</x:v>
      </x:c>
      <x:c r="G1862" s="32" t="n">
        <x:f t="shared" si="75">AVERAGE(E1663:E1862)</x:f>
        <x:v>593.8016499999999</x:v>
      </x:c>
      <x:c r="H1862" s="37" t="n">
        <x:f t="shared" si="76">IFERROR(E1862/G1862-1,"")</x:f>
        <x:v>-0.2336666629336579</x:v>
      </x:c>
      <x:c r="I1862" s="38" t="b">
        <x:f t="shared" si="77">E1862&lt;G1862</x:f>
        <x:v>1</x:v>
      </x:c>
    </x:row>
    <x:row r="1863">
      <x:c r="A1863" s="31">
        <x:v>39716</x:v>
      </x:c>
      <x:c r="B1863" s="32">
        <x:v>459.06</x:v>
      </x:c>
      <x:c r="C1863" s="32">
        <x:v>470.43</x:v>
      </x:c>
      <x:c r="D1863" s="32">
        <x:v>459.06</x:v>
      </x:c>
      <x:c r="E1863" s="32">
        <x:v>470.43</x:v>
      </x:c>
      <x:c r="F1863" s="33">
        <x:v>17035000</x:v>
      </x:c>
      <x:c r="G1863" s="32" t="n">
        <x:f t="shared" si="75">AVERAGE(E1664:E1863)</x:f>
        <x:v>591.25335</x:v>
      </x:c>
      <x:c r="H1863" s="37" t="n">
        <x:f t="shared" si="76">IFERROR(E1863/G1863-1,"")</x:f>
        <x:v>-0.20435123116004328</x:v>
      </x:c>
      <x:c r="I1863" s="38" t="b">
        <x:f t="shared" si="77">E1863&lt;G1863</x:f>
        <x:v>1</x:v>
      </x:c>
    </x:row>
    <x:row r="1864">
      <x:c r="A1864" s="31">
        <x:v>39717</x:v>
      </x:c>
      <x:c r="B1864" s="32">
        <x:v>490.26</x:v>
      </x:c>
      <x:c r="C1864" s="32">
        <x:v>490.26</x:v>
      </x:c>
      <x:c r="D1864" s="32">
        <x:v>475.6</x:v>
      </x:c>
      <x:c r="E1864" s="32">
        <x:v>483.81</x:v>
      </x:c>
      <x:c r="F1864" s="33">
        <x:v>21646310</x:v>
      </x:c>
      <x:c r="G1864" s="32" t="n">
        <x:f t="shared" si="75">AVERAGE(E1665:E1864)</x:f>
        <x:v>588.8106499999999</x:v>
      </x:c>
      <x:c r="H1864" s="37" t="n">
        <x:f t="shared" si="76">IFERROR(E1864/G1864-1,"")</x:f>
        <x:v>-0.17832668277993935</x:v>
      </x:c>
      <x:c r="I1864" s="38" t="b">
        <x:f t="shared" si="77">E1864&lt;G1864</x:f>
        <x:v>1</x:v>
      </x:c>
    </x:row>
    <x:row r="1865">
      <x:c r="A1865" s="31">
        <x:v>39720</x:v>
      </x:c>
      <x:c r="B1865" s="32">
        <x:v>476.72</x:v>
      </x:c>
      <x:c r="C1865" s="32">
        <x:v>487.24</x:v>
      </x:c>
      <x:c r="D1865" s="32">
        <x:v>472.42</x:v>
      </x:c>
      <x:c r="E1865" s="32">
        <x:v>479</x:v>
      </x:c>
      <x:c r="F1865" s="33">
        <x:v>18211300</x:v>
      </x:c>
      <x:c r="G1865" s="32" t="n">
        <x:f t="shared" si="75">AVERAGE(E1666:E1865)</x:f>
        <x:v>586.2658499999999</x:v>
      </x:c>
      <x:c r="H1865" s="37" t="n">
        <x:f t="shared" si="76">IFERROR(E1865/G1865-1,"")</x:f>
        <x:v>-0.18296452027693566</x:v>
      </x:c>
      <x:c r="I1865" s="38" t="b">
        <x:f t="shared" si="77">E1865&lt;G1865</x:f>
        <x:v>1</x:v>
      </x:c>
    </x:row>
    <x:row r="1866">
      <x:c r="A1866" s="31">
        <x:v>39721</x:v>
      </x:c>
      <x:c r="B1866" s="32">
        <x:v>457.26</x:v>
      </x:c>
      <x:c r="C1866" s="32">
        <x:v>457.26</x:v>
      </x:c>
      <x:c r="D1866" s="32">
        <x:v>456.58</x:v>
      </x:c>
      <x:c r="E1866" s="32">
        <x:v>456.7</x:v>
      </x:c>
      <x:c r="F1866" s="33">
        <x:v>4028610</x:v>
      </x:c>
      <x:c r="G1866" s="32" t="n">
        <x:f t="shared" si="75">AVERAGE(E1667:E1866)</x:f>
        <x:v>583.6048</x:v>
      </x:c>
      <x:c r="H1866" s="37" t="n">
        <x:f t="shared" si="76">IFERROR(E1866/G1866-1,"")</x:f>
        <x:v>-0.2174498907479856</x:v>
      </x:c>
      <x:c r="I1866" s="38" t="b">
        <x:f t="shared" si="77">E1866&lt;G1866</x:f>
        <x:v>1</x:v>
      </x:c>
    </x:row>
    <x:row r="1867">
      <x:c r="A1867" s="31">
        <x:v>39722</x:v>
      </x:c>
      <x:c r="B1867" s="32">
        <x:v>463.26</x:v>
      </x:c>
      <x:c r="C1867" s="32">
        <x:v>464.2</x:v>
      </x:c>
      <x:c r="D1867" s="32">
        <x:v>448.03</x:v>
      </x:c>
      <x:c r="E1867" s="32">
        <x:v>454.41</x:v>
      </x:c>
      <x:c r="F1867" s="33">
        <x:v>18501690</x:v>
      </x:c>
      <x:c r="G1867" s="32" t="n">
        <x:f t="shared" si="75">AVERAGE(E1668:E1867)</x:f>
        <x:v>580.9958</x:v>
      </x:c>
      <x:c r="H1867" s="37" t="n">
        <x:f t="shared" si="76">IFERROR(E1867/G1867-1,"")</x:f>
        <x:v>-0.21787730651409187</x:v>
      </x:c>
      <x:c r="I1867" s="38" t="b">
        <x:f t="shared" si="77">E1867&lt;G1867</x:f>
        <x:v>1</x:v>
      </x:c>
    </x:row>
    <x:row r="1868">
      <x:c r="A1868" s="31">
        <x:v>39723</x:v>
      </x:c>
      <x:c r="B1868" s="32">
        <x:v>466.11</x:v>
      </x:c>
      <x:c r="C1868" s="32">
        <x:v>466.93</x:v>
      </x:c>
      <x:c r="D1868" s="32">
        <x:v>454.17</x:v>
      </x:c>
      <x:c r="E1868" s="32">
        <x:v>460.25</x:v>
      </x:c>
      <x:c r="F1868" s="33">
        <x:v>14125430</x:v>
      </x:c>
      <x:c r="G1868" s="32" t="n">
        <x:f t="shared" si="75">AVERAGE(E1669:E1868)</x:f>
        <x:v>578.42475</x:v>
      </x:c>
      <x:c r="H1868" s="37" t="n">
        <x:f t="shared" si="76">IFERROR(E1868/G1868-1,"")</x:f>
        <x:v>-0.20430444928229652</x:v>
      </x:c>
      <x:c r="I1868" s="38" t="b">
        <x:f t="shared" si="77">E1868&lt;G1868</x:f>
        <x:v>1</x:v>
      </x:c>
    </x:row>
    <x:row r="1869">
      <x:c r="A1869" s="31">
        <x:v>39724</x:v>
      </x:c>
      <x:c r="B1869" s="32">
        <x:v>449.44</x:v>
      </x:c>
      <x:c r="C1869" s="32">
        <x:v>456.56</x:v>
      </x:c>
      <x:c r="D1869" s="32">
        <x:v>449.44</x:v>
      </x:c>
      <x:c r="E1869" s="32">
        <x:v>452.14</x:v>
      </x:c>
      <x:c r="F1869" s="33">
        <x:v>10182880</x:v>
      </x:c>
      <x:c r="G1869" s="32" t="n">
        <x:f t="shared" ref="G1869:G1932" si="78">AVERAGE(E1670:E1869)</x:f>
        <x:v>575.8122999999999</x:v>
      </x:c>
      <x:c r="H1869" s="37" t="n">
        <x:f t="shared" ref="H1869:H1932" si="79">IFERROR(E1869/G1869-1,"")</x:f>
        <x:v>-0.21477884373084766</x:v>
      </x:c>
      <x:c r="I1869" s="38" t="b">
        <x:f t="shared" ref="I1869:I1932" si="80">E1869&lt;G1869</x:f>
        <x:v>1</x:v>
      </x:c>
    </x:row>
    <x:row r="1870">
      <x:c r="A1870" s="31">
        <x:v>39727</x:v>
      </x:c>
      <x:c r="B1870" s="32">
        <x:v>436.7</x:v>
      </x:c>
      <x:c r="C1870" s="32">
        <x:v>437.37</x:v>
      </x:c>
      <x:c r="D1870" s="32">
        <x:v>432.12</x:v>
      </x:c>
      <x:c r="E1870" s="32">
        <x:v>433.71</x:v>
      </x:c>
      <x:c r="F1870" s="33">
        <x:v>13695670</x:v>
      </x:c>
      <x:c r="G1870" s="32" t="n">
        <x:f t="shared" si="78">AVERAGE(E1671:E1870)</x:f>
        <x:v>573.18845</x:v>
      </x:c>
      <x:c r="H1870" s="37" t="n">
        <x:f t="shared" si="79">IFERROR(E1870/G1870-1,"")</x:f>
        <x:v>-0.24333785860479218</x:v>
      </x:c>
      <x:c r="I1870" s="38" t="b">
        <x:f t="shared" si="80">E1870&lt;G1870</x:f>
        <x:v>1</x:v>
      </x:c>
    </x:row>
    <x:row r="1871">
      <x:c r="A1871" s="31">
        <x:v>39728</x:v>
      </x:c>
      <x:c r="B1871" s="32">
        <x:v>413.63</x:v>
      </x:c>
      <x:c r="C1871" s="32">
        <x:v>415.12</x:v>
      </x:c>
      <x:c r="D1871" s="32">
        <x:v>413.63</x:v>
      </x:c>
      <x:c r="E1871" s="32">
        <x:v>414.24</x:v>
      </x:c>
      <x:c r="F1871" s="33">
        <x:v>9634280</x:v>
      </x:c>
      <x:c r="G1871" s="32" t="n">
        <x:f t="shared" si="78">AVERAGE(E1672:E1871)</x:f>
        <x:v>570.55445</x:v>
      </x:c>
      <x:c r="H1871" s="37" t="n">
        <x:f t="shared" si="79">IFERROR(E1871/G1871-1,"")</x:f>
        <x:v>-0.2739693818880914</x:v>
      </x:c>
      <x:c r="I1871" s="38" t="b">
        <x:f t="shared" si="80">E1871&lt;G1871</x:f>
        <x:v>1</x:v>
      </x:c>
    </x:row>
    <x:row r="1872">
      <x:c r="A1872" s="31">
        <x:v>39729</x:v>
      </x:c>
      <x:c r="B1872" s="32">
        <x:v>397.2</x:v>
      </x:c>
      <x:c r="C1872" s="32">
        <x:v>402.37</x:v>
      </x:c>
      <x:c r="D1872" s="32">
        <x:v>396.88</x:v>
      </x:c>
      <x:c r="E1872" s="32">
        <x:v>401.33</x:v>
      </x:c>
      <x:c r="F1872" s="33">
        <x:v>14252100</x:v>
      </x:c>
      <x:c r="G1872" s="32" t="n">
        <x:f t="shared" si="78">AVERAGE(E1673:E1872)</x:f>
        <x:v>567.8294999999999</x:v>
      </x:c>
      <x:c r="H1872" s="37" t="n">
        <x:f t="shared" si="79">IFERROR(E1872/G1872-1,"")</x:f>
        <x:v>-0.2932209404407484</x:v>
      </x:c>
      <x:c r="I1872" s="38" t="b">
        <x:f t="shared" si="80">E1872&lt;G1872</x:f>
        <x:v>1</x:v>
      </x:c>
    </x:row>
    <x:row r="1873">
      <x:c r="A1873" s="31">
        <x:v>39730</x:v>
      </x:c>
      <x:c r="B1873" s="32">
        <x:v>389.98</x:v>
      </x:c>
      <x:c r="C1873" s="32">
        <x:v>410.01</x:v>
      </x:c>
      <x:c r="D1873" s="32">
        <x:v>389.98</x:v>
      </x:c>
      <x:c r="E1873" s="32">
        <x:v>397.68</x:v>
      </x:c>
      <x:c r="F1873" s="33">
        <x:v>20550390</x:v>
      </x:c>
      <x:c r="G1873" s="32" t="n">
        <x:f t="shared" si="78">AVERAGE(E1674:E1873)</x:f>
        <x:v>565.1661</x:v>
      </x:c>
      <x:c r="H1873" s="37" t="n">
        <x:f t="shared" si="79">IFERROR(E1873/G1873-1,"")</x:f>
        <x:v>-0.2963484540208622</x:v>
      </x:c>
      <x:c r="I1873" s="38" t="b">
        <x:f t="shared" si="80">E1873&lt;G1873</x:f>
        <x:v>1</x:v>
      </x:c>
    </x:row>
    <x:row r="1874">
      <x:c r="A1874" s="31">
        <x:v>39731</x:v>
      </x:c>
      <x:c r="B1874" s="32">
        <x:v>379.1</x:v>
      </x:c>
      <x:c r="C1874" s="32">
        <x:v>381.9</x:v>
      </x:c>
      <x:c r="D1874" s="32">
        <x:v>378.66</x:v>
      </x:c>
      <x:c r="E1874" s="32">
        <x:v>379.06</x:v>
      </x:c>
      <x:c r="F1874" s="33">
        <x:v>15673590</x:v>
      </x:c>
      <x:c r="G1874" s="32" t="n">
        <x:f t="shared" si="78">AVERAGE(E1675:E1874)</x:f>
        <x:v>562.4509499999999</x:v>
      </x:c>
      <x:c r="H1874" s="37" t="n">
        <x:f t="shared" si="79">IFERROR(E1874/G1874-1,"")</x:f>
        <x:v>-0.3260567877074435</x:v>
      </x:c>
      <x:c r="I1874" s="38" t="b">
        <x:f t="shared" si="80">E1874&lt;G1874</x:f>
        <x:v>1</x:v>
      </x:c>
    </x:row>
    <x:row r="1875">
      <x:c r="A1875" s="31">
        <x:v>39734</x:v>
      </x:c>
      <x:c r="B1875" s="32">
        <x:v>377.77</x:v>
      </x:c>
      <x:c r="C1875" s="32">
        <x:v>381.07</x:v>
      </x:c>
      <x:c r="D1875" s="32">
        <x:v>371.4</x:v>
      </x:c>
      <x:c r="E1875" s="32">
        <x:v>371.67</x:v>
      </x:c>
      <x:c r="F1875" s="33">
        <x:v>12501440</x:v>
      </x:c>
      <x:c r="G1875" s="32" t="n">
        <x:f t="shared" si="78">AVERAGE(E1676:E1875)</x:f>
        <x:v>559.75355</x:v>
      </x:c>
      <x:c r="H1875" s="37" t="n">
        <x:f t="shared" si="79">IFERROR(E1875/G1875-1,"")</x:f>
        <x:v>-0.33601135714101327</x:v>
      </x:c>
      <x:c r="I1875" s="38" t="b">
        <x:f t="shared" si="80">E1875&lt;G1875</x:f>
        <x:v>1</x:v>
      </x:c>
    </x:row>
    <x:row r="1876">
      <x:c r="A1876" s="31">
        <x:v>39735</x:v>
      </x:c>
      <x:c r="B1876" s="32">
        <x:v>381.94</x:v>
      </x:c>
      <x:c r="C1876" s="32">
        <x:v>389.33</x:v>
      </x:c>
      <x:c r="D1876" s="32">
        <x:v>381.94</x:v>
      </x:c>
      <x:c r="E1876" s="32">
        <x:v>389.33</x:v>
      </x:c>
      <x:c r="F1876" s="33">
        <x:v>8214550</x:v>
      </x:c>
      <x:c r="G1876" s="32" t="n">
        <x:f t="shared" si="78">AVERAGE(E1677:E1876)</x:f>
        <x:v>557.1022</x:v>
      </x:c>
      <x:c r="H1876" s="37" t="n">
        <x:f t="shared" si="79">IFERROR(E1876/G1876-1,"")</x:f>
        <x:v>-0.30115156608607907</x:v>
      </x:c>
      <x:c r="I1876" s="38" t="b">
        <x:f t="shared" si="80">E1876&lt;G1876</x:f>
        <x:v>1</x:v>
      </x:c>
    </x:row>
    <x:row r="1877">
      <x:c r="A1877" s="31">
        <x:v>39736</x:v>
      </x:c>
      <x:c r="B1877" s="32">
        <x:v>399.86</x:v>
      </x:c>
      <x:c r="C1877" s="32">
        <x:v>399.86</x:v>
      </x:c>
      <x:c r="D1877" s="32">
        <x:v>388.29</x:v>
      </x:c>
      <x:c r="E1877" s="32">
        <x:v>397.15</x:v>
      </x:c>
      <x:c r="F1877" s="33">
        <x:v>23747270</x:v>
      </x:c>
      <x:c r="G1877" s="32" t="n">
        <x:f t="shared" si="78">AVERAGE(E1678:E1877)</x:f>
        <x:v>554.3540499999999</x:v>
      </x:c>
      <x:c r="H1877" s="37" t="n">
        <x:f t="shared" si="79">IFERROR(E1877/G1877-1,"")</x:f>
        <x:v>-0.28358059258338597</x:v>
      </x:c>
      <x:c r="I1877" s="38" t="b">
        <x:f t="shared" si="80">E1877&lt;G1877</x:f>
        <x:v>1</x:v>
      </x:c>
    </x:row>
    <x:row r="1878">
      <x:c r="A1878" s="31">
        <x:v>39737</x:v>
      </x:c>
      <x:c r="B1878" s="32">
        <x:v>380.44</x:v>
      </x:c>
      <x:c r="C1878" s="32">
        <x:v>388.42</x:v>
      </x:c>
      <x:c r="D1878" s="32">
        <x:v>380.44</x:v>
      </x:c>
      <x:c r="E1878" s="32">
        <x:v>384.61</x:v>
      </x:c>
      <x:c r="F1878" s="33">
        <x:v>12332640</x:v>
      </x:c>
      <x:c r="G1878" s="32" t="n">
        <x:f t="shared" si="78">AVERAGE(E1679:E1878)</x:f>
        <x:v>551.62485</x:v>
      </x:c>
      <x:c r="H1878" s="37" t="n">
        <x:f t="shared" si="79">IFERROR(E1878/G1878-1,"")</x:f>
        <x:v>-0.3027689017273243</x:v>
      </x:c>
      <x:c r="I1878" s="38" t="b">
        <x:f t="shared" si="80">E1878&lt;G1878</x:f>
        <x:v>1</x:v>
      </x:c>
    </x:row>
    <x:row r="1879">
      <x:c r="A1879" s="31">
        <x:v>39738</x:v>
      </x:c>
      <x:c r="B1879" s="32">
        <x:v>385.77</x:v>
      </x:c>
      <x:c r="C1879" s="32">
        <x:v>386.06</x:v>
      </x:c>
      <x:c r="D1879" s="32">
        <x:v>382.03</x:v>
      </x:c>
      <x:c r="E1879" s="32">
        <x:v>382.51</x:v>
      </x:c>
      <x:c r="F1879" s="33">
        <x:v>10877850</x:v>
      </x:c>
      <x:c r="G1879" s="32" t="n">
        <x:f t="shared" si="78">AVERAGE(E1680:E1879)</x:f>
        <x:v>548.8620500000001</x:v>
      </x:c>
      <x:c r="H1879" s="37" t="n">
        <x:f t="shared" si="79">IFERROR(E1879/G1879-1,"")</x:f>
        <x:v>-0.3030853563295186</x:v>
      </x:c>
      <x:c r="I1879" s="38" t="b">
        <x:f t="shared" si="80">E1879&lt;G1879</x:f>
        <x:v>1</x:v>
      </x:c>
    </x:row>
    <x:row r="1880">
      <x:c r="A1880" s="31">
        <x:v>39741</x:v>
      </x:c>
      <x:c r="B1880" s="32">
        <x:v>377.2</x:v>
      </x:c>
      <x:c r="C1880" s="32">
        <x:v>377.99</x:v>
      </x:c>
      <x:c r="D1880" s="32">
        <x:v>370.75</x:v>
      </x:c>
      <x:c r="E1880" s="32">
        <x:v>370.8</x:v>
      </x:c>
      <x:c r="F1880" s="33">
        <x:v>10296200</x:v>
      </x:c>
      <x:c r="G1880" s="32" t="n">
        <x:f t="shared" si="78">AVERAGE(E1681:E1880)</x:f>
        <x:v>546.0617500000001</x:v>
      </x:c>
      <x:c r="H1880" s="37" t="n">
        <x:f t="shared" si="79">IFERROR(E1880/G1880-1,"")</x:f>
        <x:v>-0.3209559175313049</x:v>
      </x:c>
      <x:c r="I1880" s="38" t="b">
        <x:f t="shared" si="80">E1880&lt;G1880</x:f>
        <x:v>1</x:v>
      </x:c>
    </x:row>
    <x:row r="1881">
      <x:c r="A1881" s="31">
        <x:v>39742</x:v>
      </x:c>
      <x:c r="B1881" s="32">
        <x:v>378.85</x:v>
      </x:c>
      <x:c r="C1881" s="32">
        <x:v>379.94</x:v>
      </x:c>
      <x:c r="D1881" s="32">
        <x:v>373.56</x:v>
      </x:c>
      <x:c r="E1881" s="32">
        <x:v>379.94</x:v>
      </x:c>
      <x:c r="F1881" s="33">
        <x:v>14945820</x:v>
      </x:c>
      <x:c r="G1881" s="32" t="n">
        <x:f t="shared" si="78">AVERAGE(E1682:E1881)</x:f>
        <x:v>543.3693</x:v>
      </x:c>
      <x:c r="H1881" s="37" t="n">
        <x:f t="shared" si="79">IFERROR(E1881/G1881-1,"")</x:f>
        <x:v>-0.30077021281842753</x:v>
      </x:c>
      <x:c r="I1881" s="38" t="b">
        <x:f t="shared" si="80">E1881&lt;G1881</x:f>
        <x:v>1</x:v>
      </x:c>
    </x:row>
    <x:row r="1882">
      <x:c r="A1882" s="31">
        <x:v>39743</x:v>
      </x:c>
      <x:c r="B1882" s="32">
        <x:v>370.48</x:v>
      </x:c>
      <x:c r="C1882" s="32">
        <x:v>374.91</x:v>
      </x:c>
      <x:c r="D1882" s="32">
        <x:v>370.48</x:v>
      </x:c>
      <x:c r="E1882" s="32">
        <x:v>374.91</x:v>
      </x:c>
      <x:c r="F1882" s="33">
        <x:v>9635690</x:v>
      </x:c>
      <x:c r="G1882" s="32" t="n">
        <x:f t="shared" si="78">AVERAGE(E1683:E1882)</x:f>
        <x:v>540.622</x:v>
      </x:c>
      <x:c r="H1882" s="37" t="n">
        <x:f t="shared" si="79">IFERROR(E1882/G1882-1,"")</x:f>
        <x:v>-0.3065210072842022</x:v>
      </x:c>
      <x:c r="I1882" s="38" t="b">
        <x:f t="shared" si="80">E1882&lt;G1882</x:f>
        <x:v>1</x:v>
      </x:c>
    </x:row>
    <x:row r="1883">
      <x:c r="A1883" s="31">
        <x:v>39744</x:v>
      </x:c>
      <x:c r="B1883" s="32">
        <x:v>361.21</x:v>
      </x:c>
      <x:c r="C1883" s="32">
        <x:v>363.17</x:v>
      </x:c>
      <x:c r="D1883" s="32">
        <x:v>359.49</x:v>
      </x:c>
      <x:c r="E1883" s="32">
        <x:v>360.43</x:v>
      </x:c>
      <x:c r="F1883" s="33">
        <x:v>12392000</x:v>
      </x:c>
      <x:c r="G1883" s="32" t="n">
        <x:f t="shared" si="78">AVERAGE(E1684:E1883)</x:f>
        <x:v>537.8154</x:v>
      </x:c>
      <x:c r="H1883" s="37" t="n">
        <x:f t="shared" si="79">IFERROR(E1883/G1883-1,"")</x:f>
        <x:v>-0.3298258101199779</x:v>
      </x:c>
      <x:c r="I1883" s="38" t="b">
        <x:f t="shared" si="80">E1883&lt;G1883</x:f>
        <x:v>1</x:v>
      </x:c>
    </x:row>
    <x:row r="1884">
      <x:c r="A1884" s="31">
        <x:v>39745</x:v>
      </x:c>
      <x:c r="B1884" s="32">
        <x:v>346.51</x:v>
      </x:c>
      <x:c r="C1884" s="32">
        <x:v>348.25</x:v>
      </x:c>
      <x:c r="D1884" s="32">
        <x:v>345.11</x:v>
      </x:c>
      <x:c r="E1884" s="32">
        <x:v>345.11</x:v>
      </x:c>
      <x:c r="F1884" s="33">
        <x:v>11515800</x:v>
      </x:c>
      <x:c r="G1884" s="32" t="n">
        <x:f t="shared" si="78">AVERAGE(E1685:E1884)</x:f>
        <x:v>534.9058500000001</x:v>
      </x:c>
      <x:c r="H1884" s="37" t="n">
        <x:f t="shared" si="79">IFERROR(E1884/G1884-1,"")</x:f>
        <x:v>-0.35482104000171255</x:v>
      </x:c>
      <x:c r="I1884" s="38" t="b">
        <x:f t="shared" si="80">E1884&lt;G1884</x:f>
        <x:v>1</x:v>
      </x:c>
    </x:row>
    <x:row r="1885">
      <x:c r="A1885" s="31">
        <x:v>39748</x:v>
      </x:c>
      <x:c r="B1885" s="32">
        <x:v>329.43</x:v>
      </x:c>
      <x:c r="C1885" s="32">
        <x:v>330.37</x:v>
      </x:c>
      <x:c r="D1885" s="32">
        <x:v>329.04</x:v>
      </x:c>
      <x:c r="E1885" s="32">
        <x:v>329.28</x:v>
      </x:c>
      <x:c r="F1885" s="33">
        <x:v>11916940</x:v>
      </x:c>
      <x:c r="G1885" s="32" t="n">
        <x:f t="shared" si="78">AVERAGE(E1686:E1885)</x:f>
        <x:v>531.9468999999999</x:v>
      </x:c>
      <x:c r="H1885" s="37" t="n">
        <x:f t="shared" si="79">IFERROR(E1885/G1885-1,"")</x:f>
        <x:v>-0.3809908470187532</x:v>
      </x:c>
      <x:c r="I1885" s="38" t="b">
        <x:f t="shared" si="80">E1885&lt;G1885</x:f>
        <x:v>1</x:v>
      </x:c>
    </x:row>
    <x:row r="1886">
      <x:c r="A1886" s="31">
        <x:v>39749</x:v>
      </x:c>
      <x:c r="B1886" s="32">
        <x:v>313.63</x:v>
      </x:c>
      <x:c r="C1886" s="32">
        <x:v>322.8</x:v>
      </x:c>
      <x:c r="D1886" s="32">
        <x:v>313.63</x:v>
      </x:c>
      <x:c r="E1886" s="32">
        <x:v>322.8</x:v>
      </x:c>
      <x:c r="F1886" s="33">
        <x:v>15414820</x:v>
      </x:c>
      <x:c r="G1886" s="32" t="n">
        <x:f t="shared" si="78">AVERAGE(E1687:E1886)</x:f>
        <x:v>529.0196499999998</x:v>
      </x:c>
      <x:c r="H1886" s="37" t="n">
        <x:f t="shared" si="79">IFERROR(E1886/G1886-1,"")</x:f>
        <x:v>-0.3898147261637632</x:v>
      </x:c>
      <x:c r="I1886" s="38" t="b">
        <x:f t="shared" si="80">E1886&lt;G1886</x:f>
        <x:v>1</x:v>
      </x:c>
    </x:row>
    <x:row r="1887">
      <x:c r="A1887" s="31">
        <x:v>39750</x:v>
      </x:c>
      <x:c r="B1887" s="32">
        <x:v>336.75</x:v>
      </x:c>
      <x:c r="C1887" s="32">
        <x:v>336.95</x:v>
      </x:c>
      <x:c r="D1887" s="32">
        <x:v>328.7</x:v>
      </x:c>
      <x:c r="E1887" s="32">
        <x:v>331.62</x:v>
      </x:c>
      <x:c r="F1887" s="33">
        <x:v>19438910</x:v>
      </x:c>
      <x:c r="G1887" s="32" t="n">
        <x:f t="shared" si="78">AVERAGE(E1688:E1887)</x:f>
        <x:v>526.1622999999998</x:v>
      </x:c>
      <x:c r="H1887" s="37" t="n">
        <x:f t="shared" si="79">IFERROR(E1887/G1887-1,"")</x:f>
        <x:v>-0.36973819675031805</x:v>
      </x:c>
      <x:c r="I1887" s="38" t="b">
        <x:f t="shared" si="80">E1887&lt;G1887</x:f>
        <x:v>1</x:v>
      </x:c>
    </x:row>
    <x:row r="1888">
      <x:c r="A1888" s="31">
        <x:v>39751</x:v>
      </x:c>
      <x:c r="B1888" s="32">
        <x:v>330.29</x:v>
      </x:c>
      <x:c r="C1888" s="32">
        <x:v>337.14</x:v>
      </x:c>
      <x:c r="D1888" s="32">
        <x:v>328.2</x:v>
      </x:c>
      <x:c r="E1888" s="32">
        <x:v>336.57</x:v>
      </x:c>
      <x:c r="F1888" s="33">
        <x:v>15482080</x:v>
      </x:c>
      <x:c r="G1888" s="32" t="n">
        <x:f t="shared" si="78">AVERAGE(E1689:E1888)</x:f>
        <x:v>523.40975</x:v>
      </x:c>
      <x:c r="H1888" s="37" t="n">
        <x:f t="shared" si="79">IFERROR(E1888/G1888-1,"")</x:f>
        <x:v>-0.3569665066422626</x:v>
      </x:c>
      <x:c r="I1888" s="38" t="b">
        <x:f t="shared" si="80">E1888&lt;G1888</x:f>
        <x:v>1</x:v>
      </x:c>
    </x:row>
    <x:row r="1889">
      <x:c r="A1889" s="31">
        <x:v>39752</x:v>
      </x:c>
      <x:c r="B1889" s="32">
        <x:v>343.22</x:v>
      </x:c>
      <x:c r="C1889" s="32">
        <x:v>347.05</x:v>
      </x:c>
      <x:c r="D1889" s="32">
        <x:v>342.66</x:v>
      </x:c>
      <x:c r="E1889" s="32">
        <x:v>347.05</x:v>
      </x:c>
      <x:c r="F1889" s="33">
        <x:v>11841670</x:v>
      </x:c>
      <x:c r="G1889" s="32" t="n">
        <x:f t="shared" si="78">AVERAGE(E1690:E1889)</x:f>
        <x:v>520.6763000000001</x:v>
      </x:c>
      <x:c r="H1889" s="37" t="n">
        <x:f t="shared" si="79">IFERROR(E1889/G1889-1,"")</x:f>
        <x:v>-0.3334630364393387</x:v>
      </x:c>
      <x:c r="I1889" s="38" t="b">
        <x:f t="shared" si="80">E1889&lt;G1889</x:f>
        <x:v>1</x:v>
      </x:c>
    </x:row>
    <x:row r="1890">
      <x:c r="A1890" s="31">
        <x:v>39755</x:v>
      </x:c>
      <x:c r="B1890" s="32">
        <x:v>347.73</x:v>
      </x:c>
      <x:c r="C1890" s="32">
        <x:v>351.1</x:v>
      </x:c>
      <x:c r="D1890" s="32">
        <x:v>343.74</x:v>
      </x:c>
      <x:c r="E1890" s="32">
        <x:v>348.64</x:v>
      </x:c>
      <x:c r="F1890" s="33">
        <x:v>15168130</x:v>
      </x:c>
      <x:c r="G1890" s="32" t="n">
        <x:f t="shared" si="78">AVERAGE(E1691:E1890)</x:f>
        <x:v>518.02745</x:v>
      </x:c>
      <x:c r="H1890" s="37" t="n">
        <x:f t="shared" si="79">IFERROR(E1890/G1890-1,"")</x:f>
        <x:v>-0.3269854715227929</x:v>
      </x:c>
      <x:c r="I1890" s="38" t="b">
        <x:f t="shared" si="80">E1890&lt;G1890</x:f>
        <x:v>1</x:v>
      </x:c>
    </x:row>
    <x:row r="1891">
      <x:c r="A1891" s="31">
        <x:v>39756</x:v>
      </x:c>
      <x:c r="B1891" s="32">
        <x:v>349.04</x:v>
      </x:c>
      <x:c r="C1891" s="32">
        <x:v>363.15</x:v>
      </x:c>
      <x:c r="D1891" s="32">
        <x:v>348.57</x:v>
      </x:c>
      <x:c r="E1891" s="32">
        <x:v>361.44</x:v>
      </x:c>
      <x:c r="F1891" s="33">
        <x:v>17931470</x:v>
      </x:c>
      <x:c r="G1891" s="32" t="n">
        <x:f t="shared" si="78">AVERAGE(E1692:E1891)</x:f>
        <x:v>515.5843000000001</x:v>
      </x:c>
      <x:c r="H1891" s="37" t="n">
        <x:f t="shared" si="79">IFERROR(E1891/G1891-1,"")</x:f>
        <x:v>-0.2989701199202537</x:v>
      </x:c>
      <x:c r="I1891" s="38" t="b">
        <x:f t="shared" si="80">E1891&lt;G1891</x:f>
        <x:v>1</x:v>
      </x:c>
    </x:row>
    <x:row r="1892">
      <x:c r="A1892" s="31">
        <x:v>39757</x:v>
      </x:c>
      <x:c r="B1892" s="32">
        <x:v>377.79</x:v>
      </x:c>
      <x:c r="C1892" s="32">
        <x:v>377.83</x:v>
      </x:c>
      <x:c r="D1892" s="32">
        <x:v>376.99</x:v>
      </x:c>
      <x:c r="E1892" s="32">
        <x:v>377.83</x:v>
      </x:c>
      <x:c r="F1892" s="33">
        <x:v>14597490</x:v>
      </x:c>
      <x:c r="G1892" s="32" t="n">
        <x:f t="shared" si="78">AVERAGE(E1693:E1892)</x:f>
        <x:v>513.1696000000001</x:v>
      </x:c>
      <x:c r="H1892" s="37" t="n">
        <x:f t="shared" si="79">IFERROR(E1892/G1892-1,"")</x:f>
        <x:v>-0.26373269188198223</x:v>
      </x:c>
      <x:c r="I1892" s="38" t="b">
        <x:f t="shared" si="80">E1892&lt;G1892</x:f>
        <x:v>1</x:v>
      </x:c>
    </x:row>
    <x:row r="1893">
      <x:c r="A1893" s="31">
        <x:v>39758</x:v>
      </x:c>
      <x:c r="B1893" s="32">
        <x:v>371.58</x:v>
      </x:c>
      <x:c r="C1893" s="32">
        <x:v>388.27</x:v>
      </x:c>
      <x:c r="D1893" s="32">
        <x:v>369.55</x:v>
      </x:c>
      <x:c r="E1893" s="32">
        <x:v>379.51</x:v>
      </x:c>
      <x:c r="F1893" s="33">
        <x:v>28978580</x:v>
      </x:c>
      <x:c r="G1893" s="32" t="n">
        <x:f t="shared" si="78">AVERAGE(E1694:E1893)</x:f>
        <x:v>510.86215</x:v>
      </x:c>
      <x:c r="H1893" s="37" t="n">
        <x:f t="shared" si="79">IFERROR(E1893/G1893-1,"")</x:f>
        <x:v>-0.2571185788573297</x:v>
      </x:c>
      <x:c r="I1893" s="38" t="b">
        <x:f t="shared" si="80">E1893&lt;G1893</x:f>
        <x:v>1</x:v>
      </x:c>
    </x:row>
    <x:row r="1894">
      <x:c r="A1894" s="31">
        <x:v>39759</x:v>
      </x:c>
      <x:c r="B1894" s="32">
        <x:v>366.25</x:v>
      </x:c>
      <x:c r="C1894" s="32">
        <x:v>371.65</x:v>
      </x:c>
      <x:c r="D1894" s="32">
        <x:v>364.99</x:v>
      </x:c>
      <x:c r="E1894" s="32">
        <x:v>365.97</x:v>
      </x:c>
      <x:c r="F1894" s="33">
        <x:v>16803770</x:v>
      </x:c>
      <x:c r="G1894" s="32" t="n">
        <x:f t="shared" si="78">AVERAGE(E1695:E1894)</x:f>
        <x:v>508.64785000000006</x:v>
      </x:c>
      <x:c r="H1894" s="37" t="n">
        <x:f t="shared" si="79">IFERROR(E1894/G1894-1,"")</x:f>
        <x:v>-0.2805041837884501</x:v>
      </x:c>
      <x:c r="I1894" s="38" t="b">
        <x:f t="shared" si="80">E1894&lt;G1894</x:f>
        <x:v>1</x:v>
      </x:c>
    </x:row>
    <x:row r="1895">
      <x:c r="A1895" s="31">
        <x:v>39762</x:v>
      </x:c>
      <x:c r="B1895" s="32">
        <x:v>368.38</x:v>
      </x:c>
      <x:c r="C1895" s="32">
        <x:v>372.27</x:v>
      </x:c>
      <x:c r="D1895" s="32">
        <x:v>365.73</x:v>
      </x:c>
      <x:c r="E1895" s="32">
        <x:v>366</x:v>
      </x:c>
      <x:c r="F1895" s="33">
        <x:v>14800470</x:v>
      </x:c>
      <x:c r="G1895" s="32" t="n">
        <x:f t="shared" si="78">AVERAGE(E1696:E1895)</x:f>
        <x:v>506.24750000000006</x:v>
      </x:c>
      <x:c r="H1895" s="37" t="n">
        <x:f t="shared" si="79">IFERROR(E1895/G1895-1,"")</x:f>
        <x:v>-0.2770334668319351</x:v>
      </x:c>
      <x:c r="I1895" s="38" t="b">
        <x:f t="shared" si="80">E1895&lt;G1895</x:f>
        <x:v>1</x:v>
      </x:c>
    </x:row>
    <x:row r="1896">
      <x:c r="A1896" s="31">
        <x:v>39763</x:v>
      </x:c>
      <x:c r="B1896" s="32">
        <x:v>355.5</x:v>
      </x:c>
      <x:c r="C1896" s="32">
        <x:v>356.54</x:v>
      </x:c>
      <x:c r="D1896" s="32">
        <x:v>351.36</x:v>
      </x:c>
      <x:c r="E1896" s="32">
        <x:v>351.71</x:v>
      </x:c>
      <x:c r="F1896" s="33">
        <x:v>13944010</x:v>
      </x:c>
      <x:c r="G1896" s="32" t="n">
        <x:f t="shared" si="78">AVERAGE(E1697:E1896)</x:f>
        <x:v>503.8370000000001</x:v>
      </x:c>
      <x:c r="H1896" s="37" t="n">
        <x:f t="shared" si="79">IFERROR(E1896/G1896-1,"")</x:f>
        <x:v>-0.301936935953493</x:v>
      </x:c>
      <x:c r="I1896" s="38" t="b">
        <x:f t="shared" si="80">E1896&lt;G1896</x:f>
        <x:v>1</x:v>
      </x:c>
    </x:row>
    <x:row r="1897">
      <x:c r="A1897" s="31">
        <x:v>39764</x:v>
      </x:c>
      <x:c r="B1897" s="32">
        <x:v>339.01</x:v>
      </x:c>
      <x:c r="C1897" s="32">
        <x:v>342.33</x:v>
      </x:c>
      <x:c r="D1897" s="32">
        <x:v>338.72</x:v>
      </x:c>
      <x:c r="E1897" s="32">
        <x:v>342.33</x:v>
      </x:c>
      <x:c r="F1897" s="33">
        <x:v>11596480</x:v>
      </x:c>
      <x:c r="G1897" s="32" t="n">
        <x:f t="shared" si="78">AVERAGE(E1698:E1897)</x:f>
        <x:v>501.31340000000006</x:v>
      </x:c>
      <x:c r="H1897" s="37" t="n">
        <x:f t="shared" si="79">IFERROR(E1897/G1897-1,"")</x:f>
        <x:v>-0.3171337530574687</x:v>
      </x:c>
      <x:c r="I1897" s="38" t="b">
        <x:f t="shared" si="80">E1897&lt;G1897</x:f>
        <x:v>1</x:v>
      </x:c>
    </x:row>
    <x:row r="1898">
      <x:c r="A1898" s="31">
        <x:v>39765</x:v>
      </x:c>
      <x:c r="B1898" s="32">
        <x:v>334.51</x:v>
      </x:c>
      <x:c r="C1898" s="32">
        <x:v>347.57</x:v>
      </x:c>
      <x:c r="D1898" s="32">
        <x:v>334.51</x:v>
      </x:c>
      <x:c r="E1898" s="32">
        <x:v>346.24</x:v>
      </x:c>
      <x:c r="F1898" s="33">
        <x:v>13113660</x:v>
      </x:c>
      <x:c r="G1898" s="32" t="n">
        <x:f t="shared" si="78">AVERAGE(E1699:E1898)</x:f>
        <x:v>498.8752000000001</x:v>
      </x:c>
      <x:c r="H1898" s="37" t="n">
        <x:f t="shared" si="79">IFERROR(E1898/G1898-1,"")</x:f>
        <x:v>-0.3059586846570046</x:v>
      </x:c>
      <x:c r="I1898" s="38" t="b">
        <x:f t="shared" si="80">E1898&lt;G1898</x:f>
        <x:v>1</x:v>
      </x:c>
    </x:row>
    <x:row r="1899">
      <x:c r="A1899" s="31">
        <x:v>39766</x:v>
      </x:c>
      <x:c r="B1899" s="32">
        <x:v>357.75</x:v>
      </x:c>
      <x:c r="C1899" s="32">
        <x:v>357.75</x:v>
      </x:c>
      <x:c r="D1899" s="32">
        <x:v>351.72</x:v>
      </x:c>
      <x:c r="E1899" s="32">
        <x:v>352.07</x:v>
      </x:c>
      <x:c r="F1899" s="33">
        <x:v>13090700</x:v>
      </x:c>
      <x:c r="G1899" s="32" t="n">
        <x:f t="shared" si="78">AVERAGE(E1700:E1899)</x:f>
        <x:v>496.59685000000013</x:v>
      </x:c>
      <x:c r="H1899" s="37" t="n">
        <x:f t="shared" si="79">IFERROR(E1899/G1899-1,"")</x:f>
        <x:v>-0.29103456858415455</x:v>
      </x:c>
      <x:c r="I1899" s="38" t="b">
        <x:f t="shared" si="80">E1899&lt;G1899</x:f>
        <x:v>1</x:v>
      </x:c>
    </x:row>
    <x:row r="1900">
      <x:c r="A1900" s="31">
        <x:v>39769</x:v>
      </x:c>
      <x:c r="B1900" s="32">
        <x:v>346.89</x:v>
      </x:c>
      <x:c r="C1900" s="32">
        <x:v>348.93</x:v>
      </x:c>
      <x:c r="D1900" s="32">
        <x:v>345.05</x:v>
      </x:c>
      <x:c r="E1900" s="32">
        <x:v>345.05</x:v>
      </x:c>
      <x:c r="F1900" s="33">
        <x:v>8717380</x:v>
      </x:c>
      <x:c r="G1900" s="32" t="n">
        <x:f t="shared" si="78">AVERAGE(E1701:E1900)</x:f>
        <x:v>494.4387000000001</x:v>
      </x:c>
      <x:c r="H1900" s="37" t="n">
        <x:f t="shared" si="79">IFERROR(E1900/G1900-1,"")</x:f>
        <x:v>-0.30213795967022816</x:v>
      </x:c>
      <x:c r="I1900" s="38" t="b">
        <x:f t="shared" si="80">E1900&lt;G1900</x:f>
        <x:v>1</x:v>
      </x:c>
    </x:row>
    <x:row r="1901">
      <x:c r="A1901" s="31">
        <x:v>39770</x:v>
      </x:c>
      <x:c r="B1901" s="32">
        <x:v>338.61</x:v>
      </x:c>
      <x:c r="C1901" s="32">
        <x:v>342</x:v>
      </x:c>
      <x:c r="D1901" s="32">
        <x:v>338.46</x:v>
      </x:c>
      <x:c r="E1901" s="32">
        <x:v>340.69</x:v>
      </x:c>
      <x:c r="F1901" s="33">
        <x:v>9797510</x:v>
      </x:c>
      <x:c r="G1901" s="32" t="n">
        <x:f t="shared" si="78">AVERAGE(E1702:E1901)</x:f>
        <x:v>492.32150000000007</x:v>
      </x:c>
      <x:c r="H1901" s="37" t="n">
        <x:f t="shared" si="79">IFERROR(E1901/G1901-1,"")</x:f>
        <x:v>-0.3079928461381436</x:v>
      </x:c>
      <x:c r="I1901" s="38" t="b">
        <x:f t="shared" si="80">E1901&lt;G1901</x:f>
        <x:v>1</x:v>
      </x:c>
    </x:row>
    <x:row r="1902">
      <x:c r="A1902" s="31">
        <x:v>39771</x:v>
      </x:c>
      <x:c r="B1902" s="32">
        <x:v>342.93</x:v>
      </x:c>
      <x:c r="C1902" s="32">
        <x:v>342.93</x:v>
      </x:c>
      <x:c r="D1902" s="32">
        <x:v>336.89</x:v>
      </x:c>
      <x:c r="E1902" s="32">
        <x:v>336.89</x:v>
      </x:c>
      <x:c r="F1902" s="33">
        <x:v>8850100</x:v>
      </x:c>
      <x:c r="G1902" s="32" t="n">
        <x:f t="shared" si="78">AVERAGE(E1703:E1902)</x:f>
        <x:v>490.1257500000001</x:v>
      </x:c>
      <x:c r="H1902" s="37" t="n">
        <x:f t="shared" si="79">IFERROR(E1902/G1902-1,"")</x:f>
        <x:v>-0.3126457852908159</x:v>
      </x:c>
      <x:c r="I1902" s="38" t="b">
        <x:f t="shared" si="80">E1902&lt;G1902</x:f>
        <x:v>1</x:v>
      </x:c>
    </x:row>
    <x:row r="1903">
      <x:c r="A1903" s="31">
        <x:v>39772</x:v>
      </x:c>
      <x:c r="B1903" s="32">
        <x:v>326.56</x:v>
      </x:c>
      <x:c r="C1903" s="32">
        <x:v>328.64</x:v>
      </x:c>
      <x:c r="D1903" s="32">
        <x:v>324.89999999999998</x:v>
      </x:c>
      <x:c r="E1903" s="32">
        <x:v>325.74</x:v>
      </x:c>
      <x:c r="F1903" s="33">
        <x:v>13949080</x:v>
      </x:c>
      <x:c r="G1903" s="32" t="n">
        <x:f t="shared" si="78">AVERAGE(E1704:E1903)</x:f>
        <x:v>487.82910000000015</x:v>
      </x:c>
      <x:c r="H1903" s="37" t="n">
        <x:f t="shared" si="79">IFERROR(E1903/G1903-1,"")</x:f>
        <x:v>-0.3322661563240079</x:v>
      </x:c>
      <x:c r="I1903" s="38" t="b">
        <x:f t="shared" si="80">E1903&lt;G1903</x:f>
        <x:v>1</x:v>
      </x:c>
    </x:row>
    <x:row r="1904">
      <x:c r="A1904" s="31">
        <x:v>39773</x:v>
      </x:c>
      <x:c r="B1904" s="32">
        <x:v>315.5</x:v>
      </x:c>
      <x:c r="C1904" s="32">
        <x:v>322.35000000000002</x:v>
      </x:c>
      <x:c r="D1904" s="32">
        <x:v>315.23</x:v>
      </x:c>
      <x:c r="E1904" s="32">
        <x:v>318.95999999999998</x:v>
      </x:c>
      <x:c r="F1904" s="33">
        <x:v>15586400</x:v>
      </x:c>
      <x:c r="G1904" s="32" t="n">
        <x:f t="shared" si="78">AVERAGE(E1705:E1904)</x:f>
        <x:v>485.3658500000002</x:v>
      </x:c>
      <x:c r="H1904" s="37" t="n">
        <x:f t="shared" si="79">IFERROR(E1904/G1904-1,"")</x:f>
        <x:v>-0.34284622620235883</x:v>
      </x:c>
      <x:c r="I1904" s="38" t="b">
        <x:f t="shared" si="80">E1904&lt;G1904</x:f>
        <x:v>1</x:v>
      </x:c>
    </x:row>
    <x:row r="1905">
      <x:c r="A1905" s="31">
        <x:v>39776</x:v>
      </x:c>
      <x:c r="B1905" s="32">
        <x:v>322.79000000000002</x:v>
      </x:c>
      <x:c r="C1905" s="32">
        <x:v>322.79000000000002</x:v>
      </x:c>
      <x:c r="D1905" s="32">
        <x:v>317.93</x:v>
      </x:c>
      <x:c r="E1905" s="32">
        <x:v>317.93</x:v>
      </x:c>
      <x:c r="F1905" s="33">
        <x:v>11031670</x:v>
      </x:c>
      <x:c r="G1905" s="32" t="n">
        <x:f t="shared" si="78">AVERAGE(E1706:E1905)</x:f>
        <x:v>482.7400000000001</x:v>
      </x:c>
      <x:c r="H1905" s="37" t="n">
        <x:f t="shared" si="79">IFERROR(E1905/G1905-1,"")</x:f>
        <x:v>-0.34140531134772356</x:v>
      </x:c>
      <x:c r="I1905" s="38" t="b">
        <x:f t="shared" si="80">E1905&lt;G1905</x:f>
        <x:v>1</x:v>
      </x:c>
    </x:row>
    <x:row r="1906">
      <x:c r="A1906" s="31">
        <x:v>39777</x:v>
      </x:c>
      <x:c r="B1906" s="32">
        <x:v>320.14</x:v>
      </x:c>
      <x:c r="C1906" s="32">
        <x:v>320.33</x:v>
      </x:c>
      <x:c r="D1906" s="32">
        <x:v>317.64</x:v>
      </x:c>
      <x:c r="E1906" s="32">
        <x:v>320.33</x:v>
      </x:c>
      <x:c r="F1906" s="33">
        <x:v>10384120</x:v>
      </x:c>
      <x:c r="G1906" s="32" t="n">
        <x:f t="shared" si="78">AVERAGE(E1707:E1906)</x:f>
        <x:v>480.12110000000024</x:v>
      </x:c>
      <x:c r="H1906" s="37" t="n">
        <x:f t="shared" si="79">IFERROR(E1906/G1906-1,"")</x:f>
        <x:v>-0.33281415876119624</x:v>
      </x:c>
      <x:c r="I1906" s="38" t="b">
        <x:f t="shared" si="80">E1906&lt;G1906</x:f>
        <x:v>1</x:v>
      </x:c>
    </x:row>
    <x:row r="1907">
      <x:c r="A1907" s="31">
        <x:v>39778</x:v>
      </x:c>
      <x:c r="B1907" s="32">
        <x:v>318.19</x:v>
      </x:c>
      <x:c r="C1907" s="32">
        <x:v>318.2</x:v>
      </x:c>
      <x:c r="D1907" s="32">
        <x:v>311.74</x:v>
      </x:c>
      <x:c r="E1907" s="32">
        <x:v>311.74</x:v>
      </x:c>
      <x:c r="F1907" s="33">
        <x:v>9566850</x:v>
      </x:c>
      <x:c r="G1907" s="32" t="n">
        <x:f t="shared" si="78">AVERAGE(E1708:E1907)</x:f>
        <x:v>477.3817000000002</x:v>
      </x:c>
      <x:c r="H1907" s="37" t="n">
        <x:f t="shared" si="79">IFERROR(E1907/G1907-1,"")</x:f>
        <x:v>-0.34697957630131215</x:v>
      </x:c>
      <x:c r="I1907" s="38" t="b">
        <x:f t="shared" si="80">E1907&lt;G1907</x:f>
        <x:v>1</x:v>
      </x:c>
    </x:row>
    <x:row r="1908">
      <x:c r="A1908" s="31">
        <x:v>39779</x:v>
      </x:c>
      <x:c r="B1908" s="32">
        <x:v>308.57</x:v>
      </x:c>
      <x:c r="C1908" s="32">
        <x:v>309.58999999999997</x:v>
      </x:c>
      <x:c r="D1908" s="32">
        <x:v>303.54000000000002</x:v>
      </x:c>
      <x:c r="E1908" s="32">
        <x:v>303.54000000000002</x:v>
      </x:c>
      <x:c r="F1908" s="33">
        <x:v>12054370</x:v>
      </x:c>
      <x:c r="G1908" s="32" t="n">
        <x:f t="shared" si="78">AVERAGE(E1709:E1908)</x:f>
        <x:v>474.69325000000026</x:v>
      </x:c>
      <x:c r="H1908" s="37" t="n">
        <x:f t="shared" si="79">IFERROR(E1908/G1908-1,"")</x:f>
        <x:v>-0.3605554745090649</x:v>
      </x:c>
      <x:c r="I1908" s="38" t="b">
        <x:f t="shared" si="80">E1908&lt;G1908</x:f>
        <x:v>1</x:v>
      </x:c>
    </x:row>
    <x:row r="1909">
      <x:c r="A1909" s="31">
        <x:v>39780</x:v>
      </x:c>
      <x:c r="B1909" s="32">
        <x:v>311.36</x:v>
      </x:c>
      <x:c r="C1909" s="32">
        <x:v>314.74</x:v>
      </x:c>
      <x:c r="D1909" s="32">
        <x:v>311.36</x:v>
      </x:c>
      <x:c r="E1909" s="32">
        <x:v>314.74</x:v>
      </x:c>
      <x:c r="F1909" s="33">
        <x:v>11575470</x:v>
      </x:c>
      <x:c r="G1909" s="32" t="n">
        <x:f t="shared" si="78">AVERAGE(E1710:E1909)</x:f>
        <x:v>472.1776500000002</x:v>
      </x:c>
      <x:c r="H1909" s="37" t="n">
        <x:f t="shared" si="79">IFERROR(E1909/G1909-1,"")</x:f>
        <x:v>-0.33342884823116914</x:v>
      </x:c>
      <x:c r="I1909" s="38" t="b">
        <x:f t="shared" si="80">E1909&lt;G1909</x:f>
        <x:v>1</x:v>
      </x:c>
    </x:row>
    <x:row r="1910">
      <x:c r="A1910" s="31">
        <x:v>39783</x:v>
      </x:c>
      <x:c r="B1910" s="32">
        <x:v>313.33</x:v>
      </x:c>
      <x:c r="C1910" s="32">
        <x:v>317.37</x:v>
      </x:c>
      <x:c r="D1910" s="32">
        <x:v>310.02999999999997</x:v>
      </x:c>
      <x:c r="E1910" s="32">
        <x:v>314.70999999999998</x:v>
      </x:c>
      <x:c r="F1910" s="33">
        <x:v>9996430</x:v>
      </x:c>
      <x:c r="G1910" s="32" t="n">
        <x:f t="shared" si="78">AVERAGE(E1711:E1910)</x:f>
        <x:v>469.6339000000004</x:v>
      </x:c>
      <x:c r="H1910" s="37" t="n">
        <x:f t="shared" si="79">IFERROR(E1910/G1910-1,"")</x:f>
        <x:v>-0.32988227638592593</x:v>
      </x:c>
      <x:c r="I1910" s="38" t="b">
        <x:f t="shared" si="80">E1910&lt;G1910</x:f>
        <x:v>1</x:v>
      </x:c>
    </x:row>
    <x:row r="1911">
      <x:c r="A1911" s="31">
        <x:v>39784</x:v>
      </x:c>
      <x:c r="B1911" s="32">
        <x:v>305.95</x:v>
      </x:c>
      <x:c r="C1911" s="32">
        <x:v>307.93</x:v>
      </x:c>
      <x:c r="D1911" s="32">
        <x:v>305.87</x:v>
      </x:c>
      <x:c r="E1911" s="32">
        <x:v>307.45</x:v>
      </x:c>
      <x:c r="F1911" s="33">
        <x:v>7442530</x:v>
      </x:c>
      <x:c r="G1911" s="32" t="n">
        <x:f t="shared" si="78">AVERAGE(E1712:E1911)</x:f>
        <x:v>467.09100000000035</x:v>
      </x:c>
      <x:c r="H1911" s="37" t="n">
        <x:f t="shared" si="79">IFERROR(E1911/G1911-1,"")</x:f>
        <x:v>-0.3417770841227946</x:v>
      </x:c>
      <x:c r="I1911" s="38" t="b">
        <x:f t="shared" si="80">E1911&lt;G1911</x:f>
        <x:v>1</x:v>
      </x:c>
    </x:row>
    <x:row r="1912">
      <x:c r="A1912" s="31">
        <x:v>39785</x:v>
      </x:c>
      <x:c r="B1912" s="32">
        <x:v>307.89999999999998</x:v>
      </x:c>
      <x:c r="C1912" s="32">
        <x:v>308.12</x:v>
      </x:c>
      <x:c r="D1912" s="32">
        <x:v>304.27999999999997</x:v>
      </x:c>
      <x:c r="E1912" s="32">
        <x:v>306.22000000000003</x:v>
      </x:c>
      <x:c r="F1912" s="33">
        <x:v>7526120</x:v>
      </x:c>
      <x:c r="G1912" s="32" t="n">
        <x:f t="shared" si="78">AVERAGE(E1713:E1912)</x:f>
        <x:v>464.70925000000034</x:v>
      </x:c>
      <x:c r="H1912" s="37" t="n">
        <x:f t="shared" si="79">IFERROR(E1912/G1912-1,"")</x:f>
        <x:v>-0.3410503449199692</x:v>
      </x:c>
      <x:c r="I1912" s="38" t="b">
        <x:f t="shared" si="80">E1912&lt;G1912</x:f>
        <x:v>1</x:v>
      </x:c>
    </x:row>
    <x:row r="1913">
      <x:c r="A1913" s="31">
        <x:v>39786</x:v>
      </x:c>
      <x:c r="B1913" s="32">
        <x:v>306.44</x:v>
      </x:c>
      <x:c r="C1913" s="32">
        <x:v>310.85000000000002</x:v>
      </x:c>
      <x:c r="D1913" s="32">
        <x:v>306.44</x:v>
      </x:c>
      <x:c r="E1913" s="32">
        <x:v>308.60000000000002</x:v>
      </x:c>
      <x:c r="F1913" s="33">
        <x:v>9529320</x:v>
      </x:c>
      <x:c r="G1913" s="32" t="n">
        <x:f t="shared" si="78">AVERAGE(E1714:E1913)</x:f>
        <x:v>462.3683000000003</x:v>
      </x:c>
      <x:c r="H1913" s="37" t="n">
        <x:f t="shared" si="79">IFERROR(E1913/G1913-1,"")</x:f>
        <x:v>-0.3325667006150729</x:v>
      </x:c>
      <x:c r="I1913" s="38" t="b">
        <x:f t="shared" si="80">E1913&lt;G1913</x:f>
        <x:v>1</x:v>
      </x:c>
    </x:row>
    <x:row r="1914">
      <x:c r="A1914" s="31">
        <x:v>39787</x:v>
      </x:c>
      <x:c r="B1914" s="32">
        <x:v>303.83</x:v>
      </x:c>
      <x:c r="C1914" s="32">
        <x:v>303.91000000000003</x:v>
      </x:c>
      <x:c r="D1914" s="32">
        <x:v>298.8</x:v>
      </x:c>
      <x:c r="E1914" s="32">
        <x:v>299.68</x:v>
      </x:c>
      <x:c r="F1914" s="33">
        <x:v>9960810</x:v>
      </x:c>
      <x:c r="G1914" s="32" t="n">
        <x:f t="shared" si="78">AVERAGE(E1715:E1914)</x:f>
        <x:v>460.14210000000026</x:v>
      </x:c>
      <x:c r="H1914" s="37" t="n">
        <x:f t="shared" si="79">IFERROR(E1914/G1914-1,"")</x:f>
        <x:v>-0.3487229271131682</x:v>
      </x:c>
      <x:c r="I1914" s="38" t="b">
        <x:f t="shared" si="80">E1914&lt;G1914</x:f>
        <x:v>1</x:v>
      </x:c>
    </x:row>
    <x:row r="1915">
      <x:c r="A1915" s="31">
        <x:v>39790</x:v>
      </x:c>
      <x:c r="B1915" s="32">
        <x:v>291.83</x:v>
      </x:c>
      <x:c r="C1915" s="32">
        <x:v>292.36</x:v>
      </x:c>
      <x:c r="D1915" s="32">
        <x:v>287.89999999999998</x:v>
      </x:c>
      <x:c r="E1915" s="32">
        <x:v>288.69</x:v>
      </x:c>
      <x:c r="F1915" s="33">
        <x:v>9817210</x:v>
      </x:c>
      <x:c r="G1915" s="32" t="n">
        <x:f t="shared" si="78">AVERAGE(E1716:E1915)</x:f>
        <x:v>458.0333000000003</x:v>
      </x:c>
      <x:c r="H1915" s="37" t="n">
        <x:f t="shared" si="79">IFERROR(E1915/G1915-1,"")</x:f>
        <x:v>-0.3697183152403989</x:v>
      </x:c>
      <x:c r="I1915" s="38" t="b">
        <x:f t="shared" si="80">E1915&lt;G1915</x:f>
        <x:v>1</x:v>
      </x:c>
    </x:row>
    <x:row r="1916">
      <x:c r="A1916" s="31">
        <x:v>39791</x:v>
      </x:c>
      <x:c r="B1916" s="32">
        <x:v>285.56</x:v>
      </x:c>
      <x:c r="C1916" s="32">
        <x:v>293.3</x:v>
      </x:c>
      <x:c r="D1916" s="32">
        <x:v>285.52999999999997</x:v>
      </x:c>
      <x:c r="E1916" s="32">
        <x:v>293.3</x:v>
      </x:c>
      <x:c r="F1916" s="33">
        <x:v>8266370</x:v>
      </x:c>
      <x:c r="G1916" s="32" t="n">
        <x:f t="shared" si="78">AVERAGE(E1717:E1916)</x:f>
        <x:v>456.0643000000003</x:v>
      </x:c>
      <x:c r="H1916" s="37" t="n">
        <x:f t="shared" si="79">IFERROR(E1916/G1916-1,"")</x:f>
        <x:v>-0.35688892991624244</x:v>
      </x:c>
      <x:c r="I1916" s="38" t="b">
        <x:f t="shared" si="80">E1916&lt;G1916</x:f>
        <x:v>1</x:v>
      </x:c>
    </x:row>
    <x:row r="1917">
      <x:c r="A1917" s="31">
        <x:v>39792</x:v>
      </x:c>
      <x:c r="B1917" s="32">
        <x:v>290.05</x:v>
      </x:c>
      <x:c r="C1917" s="32">
        <x:v>290.22000000000003</x:v>
      </x:c>
      <x:c r="D1917" s="32">
        <x:v>286.85000000000002</x:v>
      </x:c>
      <x:c r="E1917" s="32">
        <x:v>286.85000000000002</x:v>
      </x:c>
      <x:c r="F1917" s="33">
        <x:v>6999430</x:v>
      </x:c>
      <x:c r="G1917" s="32" t="n">
        <x:f t="shared" si="78">AVERAGE(E1718:E1917)</x:f>
        <x:v>453.9233500000002</x:v>
      </x:c>
      <x:c r="H1917" s="37" t="n">
        <x:f t="shared" si="79">IFERROR(E1917/G1917-1,"")</x:f>
        <x:v>-0.36806511495828553</x:v>
      </x:c>
      <x:c r="I1917" s="38" t="b">
        <x:f t="shared" si="80">E1917&lt;G1917</x:f>
        <x:v>1</x:v>
      </x:c>
    </x:row>
    <x:row r="1918">
      <x:c r="A1918" s="31">
        <x:v>39793</x:v>
      </x:c>
      <x:c r="B1918" s="32">
        <x:v>285.56</x:v>
      </x:c>
      <x:c r="C1918" s="32">
        <x:v>289.48</x:v>
      </x:c>
      <x:c r="D1918" s="32">
        <x:v>284.06</x:v>
      </x:c>
      <x:c r="E1918" s="32">
        <x:v>288.93</x:v>
      </x:c>
      <x:c r="F1918" s="33">
        <x:v>7254460</x:v>
      </x:c>
      <x:c r="G1918" s="32" t="n">
        <x:f t="shared" si="78">AVERAGE(E1719:E1918)</x:f>
        <x:v>451.90345000000013</x:v>
      </x:c>
      <x:c r="H1918" s="37" t="n">
        <x:f t="shared" si="79">IFERROR(E1918/G1918-1,"")</x:f>
        <x:v>-0.3606377645490427</x:v>
      </x:c>
      <x:c r="I1918" s="38" t="b">
        <x:f t="shared" si="80">E1918&lt;G1918</x:f>
        <x:v>1</x:v>
      </x:c>
    </x:row>
    <x:row r="1919">
      <x:c r="A1919" s="31">
        <x:v>39794</x:v>
      </x:c>
      <x:c r="B1919" s="32">
        <x:v>295.51</x:v>
      </x:c>
      <x:c r="C1919" s="32">
        <x:v>299.54000000000002</x:v>
      </x:c>
      <x:c r="D1919" s="32">
        <x:v>295.25</x:v>
      </x:c>
      <x:c r="E1919" s="32">
        <x:v>299.54000000000002</x:v>
      </x:c>
      <x:c r="F1919" s="33">
        <x:v>11186550</x:v>
      </x:c>
      <x:c r="G1919" s="32" t="n">
        <x:f t="shared" si="78">AVERAGE(E1720:E1919)</x:f>
        <x:v>449.9687000000001</x:v>
      </x:c>
      <x:c r="H1919" s="37" t="n">
        <x:f t="shared" si="79">IFERROR(E1919/G1919-1,"")</x:f>
        <x:v>-0.3343092530658245</x:v>
      </x:c>
      <x:c r="I1919" s="38" t="b">
        <x:f t="shared" si="80">E1919&lt;G1919</x:f>
        <x:v>1</x:v>
      </x:c>
    </x:row>
    <x:row r="1920">
      <x:c r="A1920" s="31">
        <x:v>39797</x:v>
      </x:c>
      <x:c r="B1920" s="32">
        <x:v>308.02</x:v>
      </x:c>
      <x:c r="C1920" s="32">
        <x:v>308.27999999999997</x:v>
      </x:c>
      <x:c r="D1920" s="32">
        <x:v>303.68</x:v>
      </x:c>
      <x:c r="E1920" s="32">
        <x:v>308.27999999999997</x:v>
      </x:c>
      <x:c r="F1920" s="33">
        <x:v>9362850</x:v>
      </x:c>
      <x:c r="G1920" s="32" t="n">
        <x:f t="shared" si="78">AVERAGE(E1721:E1920)</x:f>
        <x:v>448.11950000000013</x:v>
      </x:c>
      <x:c r="H1920" s="37" t="n">
        <x:f t="shared" si="79">IFERROR(E1920/G1920-1,"")</x:f>
        <x:v>-0.3120585022521897</x:v>
      </x:c>
      <x:c r="I1920" s="38" t="b">
        <x:f t="shared" si="80">E1920&lt;G1920</x:f>
        <x:v>1</x:v>
      </x:c>
    </x:row>
    <x:row r="1921">
      <x:c r="A1921" s="31">
        <x:v>39798</x:v>
      </x:c>
      <x:c r="B1921" s="32">
        <x:v>305.64999999999998</x:v>
      </x:c>
      <x:c r="C1921" s="32">
        <x:v>305.64999999999998</x:v>
      </x:c>
      <x:c r="D1921" s="32">
        <x:v>296.20999999999998</x:v>
      </x:c>
      <x:c r="E1921" s="32">
        <x:v>296.42</x:v>
      </x:c>
      <x:c r="F1921" s="33">
        <x:v>11430030</x:v>
      </x:c>
      <x:c r="G1921" s="32" t="n">
        <x:f t="shared" si="78">AVERAGE(E1722:E1921)</x:f>
        <x:v>446.2851000000001</x:v>
      </x:c>
      <x:c r="H1921" s="37" t="n">
        <x:f t="shared" si="79">IFERROR(E1921/G1921-1,"")</x:f>
        <x:v>-0.3358057439067539</x:v>
      </x:c>
      <x:c r="I1921" s="38" t="b">
        <x:f t="shared" si="80">E1921&lt;G1921</x:f>
        <x:v>1</x:v>
      </x:c>
    </x:row>
    <x:row r="1922">
      <x:c r="A1922" s="31">
        <x:v>39799</x:v>
      </x:c>
      <x:c r="B1922" s="32">
        <x:v>295.04000000000002</x:v>
      </x:c>
      <x:c r="C1922" s="32">
        <x:v>301.77</x:v>
      </x:c>
      <x:c r="D1922" s="32">
        <x:v>293.08999999999997</x:v>
      </x:c>
      <x:c r="E1922" s="32">
        <x:v>301.02</x:v>
      </x:c>
      <x:c r="F1922" s="33">
        <x:v>10509610</x:v>
      </x:c>
      <x:c r="G1922" s="32" t="n">
        <x:f t="shared" si="78">AVERAGE(E1723:E1922)</x:f>
        <x:v>444.61400000000015</x:v>
      </x:c>
      <x:c r="H1922" s="37" t="n">
        <x:f t="shared" si="79">IFERROR(E1922/G1922-1,"")</x:f>
        <x:v>-0.32296328950505404</x:v>
      </x:c>
      <x:c r="I1922" s="38" t="b">
        <x:f t="shared" si="80">E1922&lt;G1922</x:f>
        <x:v>1</x:v>
      </x:c>
    </x:row>
    <x:row r="1923">
      <x:c r="A1923" s="31">
        <x:v>39800</x:v>
      </x:c>
      <x:c r="B1923" s="32">
        <x:v>301.33999999999997</x:v>
      </x:c>
      <x:c r="C1923" s="32">
        <x:v>305.56</x:v>
      </x:c>
      <x:c r="D1923" s="32">
        <x:v>300.27999999999997</x:v>
      </x:c>
      <x:c r="E1923" s="32">
        <x:v>305.56</x:v>
      </x:c>
      <x:c r="F1923" s="33">
        <x:v>10140760</x:v>
      </x:c>
      <x:c r="G1923" s="32" t="n">
        <x:f t="shared" si="78">AVERAGE(E1724:E1923)</x:f>
        <x:v>443.09740000000005</x:v>
      </x:c>
      <x:c r="H1923" s="37" t="n">
        <x:f t="shared" si="79">IFERROR(E1923/G1923-1,"")</x:f>
        <x:v>-0.3103999256145489</x:v>
      </x:c>
      <x:c r="I1923" s="38" t="b">
        <x:f t="shared" si="80">E1923&lt;G1923</x:f>
        <x:v>1</x:v>
      </x:c>
    </x:row>
    <x:row r="1924">
      <x:c r="A1924" s="31">
        <x:v>39801</x:v>
      </x:c>
      <x:c r="B1924" s="32">
        <x:v>305.51</x:v>
      </x:c>
      <x:c r="C1924" s="32">
        <x:v>309.93</x:v>
      </x:c>
      <x:c r="D1924" s="32">
        <x:v>305.51</x:v>
      </x:c>
      <x:c r="E1924" s="32">
        <x:v>307.26</x:v>
      </x:c>
      <x:c r="F1924" s="33">
        <x:v>10763720</x:v>
      </x:c>
      <x:c r="G1924" s="32" t="n">
        <x:f t="shared" si="78">AVERAGE(E1725:E1924)</x:f>
        <x:v>441.71645000000007</x:v>
      </x:c>
      <x:c r="H1924" s="37" t="n">
        <x:f t="shared" si="79">IFERROR(E1924/G1924-1,"")</x:f>
        <x:v>-0.3043953875840487</x:v>
      </x:c>
      <x:c r="I1924" s="38" t="b">
        <x:f t="shared" si="80">E1924&lt;G1924</x:f>
        <x:v>1</x:v>
      </x:c>
    </x:row>
    <x:row r="1925">
      <x:c r="A1925" s="31">
        <x:v>39804</x:v>
      </x:c>
      <x:c r="B1925" s="32">
        <x:v>314.36</x:v>
      </x:c>
      <x:c r="C1925" s="32">
        <x:v>314.76</x:v>
      </x:c>
      <x:c r="D1925" s="32">
        <x:v>310.05</x:v>
      </x:c>
      <x:c r="E1925" s="32">
        <x:v>310.05</x:v>
      </x:c>
      <x:c r="F1925" s="33">
        <x:v>10463800</x:v>
      </x:c>
      <x:c r="G1925" s="32" t="n">
        <x:f t="shared" si="78">AVERAGE(E1726:E1925)</x:f>
        <x:v>440.21085000000005</x:v>
      </x:c>
      <x:c r="H1925" s="37" t="n">
        <x:f t="shared" si="79">IFERROR(E1925/G1925-1,"")</x:f>
        <x:v>-0.29567842319197724</x:v>
      </x:c>
      <x:c r="I1925" s="38" t="b">
        <x:f t="shared" si="80">E1925&lt;G1925</x:f>
        <x:v>1</x:v>
      </x:c>
    </x:row>
    <x:row r="1926">
      <x:c r="A1926" s="31">
        <x:v>39805</x:v>
      </x:c>
      <x:c r="B1926" s="32">
        <x:v>303.79000000000002</x:v>
      </x:c>
      <x:c r="C1926" s="32">
        <x:v>304.67</x:v>
      </x:c>
      <x:c r="D1926" s="32">
        <x:v>301.74</x:v>
      </x:c>
      <x:c r="E1926" s="32">
        <x:v>303.93</x:v>
      </x:c>
      <x:c r="F1926" s="33">
        <x:v>11540100</x:v>
      </x:c>
      <x:c r="G1926" s="32" t="n">
        <x:f t="shared" si="78">AVERAGE(E1727:E1926)</x:f>
        <x:v>438.5298000000002</x:v>
      </x:c>
      <x:c r="H1926" s="37" t="n">
        <x:f t="shared" si="79">IFERROR(E1926/G1926-1,"")</x:f>
        <x:v>-0.3069342151890251</x:v>
      </x:c>
      <x:c r="I1926" s="38" t="b">
        <x:f t="shared" si="80">E1926&lt;G1926</x:f>
        <x:v>1</x:v>
      </x:c>
    </x:row>
    <x:row r="1927">
      <x:c r="A1927" s="31">
        <x:v>39806</x:v>
      </x:c>
      <x:c r="B1927" s="32">
        <x:v>298.77999999999997</x:v>
      </x:c>
      <x:c r="C1927" s="32">
        <x:v>304.05</x:v>
      </x:c>
      <x:c r="D1927" s="32">
        <x:v>298.66000000000003</x:v>
      </x:c>
      <x:c r="E1927" s="32">
        <x:v>304.05</x:v>
      </x:c>
      <x:c r="F1927" s="33">
        <x:v>8447610</x:v>
      </x:c>
      <x:c r="G1927" s="32" t="n">
        <x:f t="shared" si="78">AVERAGE(E1728:E1927)</x:f>
        <x:v>436.7586000000002</x:v>
      </x:c>
      <x:c r="H1927" s="37" t="n">
        <x:f t="shared" si="79">IFERROR(E1927/G1927-1,"")</x:f>
        <x:v>-0.30384885380619886</x:v>
      </x:c>
      <x:c r="I1927" s="38" t="b">
        <x:f t="shared" si="80">E1927&lt;G1927</x:f>
        <x:v>1</x:v>
      </x:c>
    </x:row>
    <x:row r="1928">
      <x:c r="A1928" s="31">
        <x:v>39807</x:v>
      </x:c>
      <x:c r="B1928" s="32">
        <x:v>304.29000000000002</x:v>
      </x:c>
      <x:c r="C1928" s="32">
        <x:v>304.37</x:v>
      </x:c>
      <x:c r="D1928" s="32">
        <x:v>301.93</x:v>
      </x:c>
      <x:c r="E1928" s="32">
        <x:v>302.19</x:v>
      </x:c>
      <x:c r="F1928" s="33">
        <x:v>6584780</x:v>
      </x:c>
      <x:c r="G1928" s="32" t="n">
        <x:f t="shared" si="78">AVERAGE(E1729:E1928)</x:f>
        <x:v>435.0760000000002</x:v>
      </x:c>
      <x:c r="H1928" s="37" t="n">
        <x:f t="shared" si="79">IFERROR(E1928/G1928-1,"")</x:f>
        <x:v>-0.3054316946924218</x:v>
      </x:c>
      <x:c r="I1928" s="38" t="b">
        <x:f t="shared" si="80">E1928&lt;G1928</x:f>
        <x:v>1</x:v>
      </x:c>
    </x:row>
    <x:row r="1929">
      <x:c r="A1929" s="31">
        <x:v>39808</x:v>
      </x:c>
      <x:c r="B1929" s="32">
        <x:v>300.91000000000003</x:v>
      </x:c>
      <x:c r="C1929" s="32">
        <x:v>304.45999999999998</x:v>
      </x:c>
      <x:c r="D1929" s="32">
        <x:v>300.45999999999998</x:v>
      </x:c>
      <x:c r="E1929" s="32">
        <x:v>304.45999999999998</x:v>
      </x:c>
      <x:c r="F1929" s="33">
        <x:v>7639350</x:v>
      </x:c>
      <x:c r="G1929" s="32" t="n">
        <x:f t="shared" si="78">AVERAGE(E1730:E1929)</x:f>
        <x:v>433.3788000000002</x:v>
      </x:c>
      <x:c r="H1929" s="37" t="n">
        <x:f t="shared" si="79">IFERROR(E1929/G1929-1,"")</x:f>
        <x:v>-0.29747371121983845</x:v>
      </x:c>
      <x:c r="I1929" s="38" t="b">
        <x:f t="shared" si="80">E1929&lt;G1929</x:f>
        <x:v>1</x:v>
      </x:c>
    </x:row>
    <x:row r="1930">
      <x:c r="A1930" s="31">
        <x:v>39811</x:v>
      </x:c>
      <x:c r="B1930" s="32">
        <x:v>306.45</x:v>
      </x:c>
      <x:c r="C1930" s="32">
        <x:v>308.56</x:v>
      </x:c>
      <x:c r="D1930" s="32">
        <x:v>306.45</x:v>
      </x:c>
      <x:c r="E1930" s="32">
        <x:v>308.56</x:v>
      </x:c>
      <x:c r="F1930" s="33">
        <x:v>7568350</x:v>
      </x:c>
      <x:c r="G1930" s="32" t="n">
        <x:f t="shared" si="78">AVERAGE(E1731:E1930)</x:f>
        <x:v>431.68360000000024</x:v>
      </x:c>
      <x:c r="H1930" s="37" t="n">
        <x:f t="shared" si="79">IFERROR(E1930/G1930-1,"")</x:f>
        <x:v>-0.2852172285442397</x:v>
      </x:c>
      <x:c r="I1930" s="38" t="b">
        <x:f t="shared" si="80">E1930&lt;G1930</x:f>
        <x:v>1</x:v>
      </x:c>
    </x:row>
    <x:row r="1931">
      <x:c r="A1931" s="31">
        <x:v>39812</x:v>
      </x:c>
      <x:c r="B1931" s="32">
        <x:v>310.61</x:v>
      </x:c>
      <x:c r="C1931" s="32">
        <x:v>316.32</x:v>
      </x:c>
      <x:c r="D1931" s="32">
        <x:v>310.29000000000002</x:v>
      </x:c>
      <x:c r="E1931" s="32">
        <x:v>316.32</x:v>
      </x:c>
      <x:c r="F1931" s="33">
        <x:v>13054420</x:v>
      </x:c>
      <x:c r="G1931" s="32" t="n">
        <x:f t="shared" si="78">AVERAGE(E1732:E1931)</x:f>
        <x:v>430.04620000000017</x:v>
      </x:c>
      <x:c r="H1931" s="37" t="n">
        <x:f t="shared" si="79">IFERROR(E1931/G1931-1,"")</x:f>
        <x:v>-0.26445112176319696</x:v>
      </x:c>
      <x:c r="I1931" s="38" t="b">
        <x:f t="shared" si="80">E1931&lt;G1931</x:f>
        <x:v>1</x:v>
      </x:c>
    </x:row>
    <x:row r="1932">
      <x:c r="A1932" s="31">
        <x:v>39813</x:v>
      </x:c>
      <x:c r="B1932" s="32">
        <x:v>318.36</x:v>
      </x:c>
      <x:c r="C1932" s="32">
        <x:v>318.49</x:v>
      </x:c>
      <x:c r="D1932" s="32">
        <x:v>314.37</x:v>
      </x:c>
      <x:c r="E1932" s="32">
        <x:v>315.62</x:v>
      </x:c>
      <x:c r="F1932" s="33">
        <x:v>13692890</x:v>
      </x:c>
      <x:c r="G1932" s="32" t="n">
        <x:f t="shared" si="78">AVERAGE(E1733:E1932)</x:f>
        <x:v>428.5457500000001</x:v>
      </x:c>
      <x:c r="H1932" s="37" t="n">
        <x:f t="shared" si="79">IFERROR(E1932/G1932-1,"")</x:f>
        <x:v>-0.263509205259882</x:v>
      </x:c>
      <x:c r="I1932" s="38" t="b">
        <x:f t="shared" si="80">E1932&lt;G1932</x:f>
        <x:v>1</x:v>
      </x:c>
    </x:row>
    <x:row r="1933">
      <x:c r="A1933" s="31">
        <x:v>39815</x:v>
      </x:c>
      <x:c r="B1933" s="32">
        <x:v>312.49</x:v>
      </x:c>
      <x:c r="C1933" s="32">
        <x:v>313.33999999999997</x:v>
      </x:c>
      <x:c r="D1933" s="32">
        <x:v>312.18</x:v>
      </x:c>
      <x:c r="E1933" s="32">
        <x:v>313.33999999999997</x:v>
      </x:c>
      <x:c r="F1933" s="33">
        <x:v>5129640</x:v>
      </x:c>
      <x:c r="G1933" s="32" t="n">
        <x:f t="shared" ref="G1933:G1996" si="81">AVERAGE(E1734:E1933)</x:f>
        <x:v>427.1711500000002</x:v>
      </x:c>
      <x:c r="H1933" s="37" t="n">
        <x:f t="shared" ref="H1933:H1996" si="82">IFERROR(E1933/G1933-1,"")</x:f>
        <x:v>-0.26647668036570393</x:v>
      </x:c>
      <x:c r="I1933" s="38" t="b">
        <x:f t="shared" ref="I1933:I1996" si="83">E1933&lt;G1933</x:f>
        <x:v>1</x:v>
      </x:c>
    </x:row>
    <x:row r="1934">
      <x:c r="A1934" s="31">
        <x:v>39818</x:v>
      </x:c>
      <x:c r="B1934" s="32">
        <x:v>308.77</x:v>
      </x:c>
      <x:c r="C1934" s="32">
        <x:v>311.91000000000003</x:v>
      </x:c>
      <x:c r="D1934" s="32">
        <x:v>308.25</x:v>
      </x:c>
      <x:c r="E1934" s="32">
        <x:v>311.91000000000003</x:v>
      </x:c>
      <x:c r="F1934" s="33">
        <x:v>6944240</x:v>
      </x:c>
      <x:c r="G1934" s="32" t="n">
        <x:f t="shared" si="81">AVERAGE(E1735:E1934)</x:f>
        <x:v>425.8634500000002</x:v>
      </x:c>
      <x:c r="H1934" s="37" t="n">
        <x:f t="shared" si="82">IFERROR(E1934/G1934-1,"")</x:f>
        <x:v>-0.2675821322538954</x:v>
      </x:c>
      <x:c r="I1934" s="38" t="b">
        <x:f t="shared" si="83">E1934&lt;G1934</x:f>
        <x:v>1</x:v>
      </x:c>
    </x:row>
    <x:row r="1935">
      <x:c r="A1935" s="31">
        <x:v>39819</x:v>
      </x:c>
      <x:c r="B1935" s="32">
        <x:v>312.91000000000003</x:v>
      </x:c>
      <x:c r="C1935" s="32">
        <x:v>315.02</x:v>
      </x:c>
      <x:c r="D1935" s="32">
        <x:v>312.88</x:v>
      </x:c>
      <x:c r="E1935" s="32">
        <x:v>314.04000000000002</x:v>
      </x:c>
      <x:c r="F1935" s="33">
        <x:v>9782810</x:v>
      </x:c>
      <x:c r="G1935" s="32" t="n">
        <x:f t="shared" si="81">AVERAGE(E1736:E1935)</x:f>
        <x:v>424.60955000000024</x:v>
      </x:c>
      <x:c r="H1935" s="37" t="n">
        <x:f t="shared" si="82">IFERROR(E1935/G1935-1,"")</x:f>
        <x:v>-0.26040288071712037</x:v>
      </x:c>
      <x:c r="I1935" s="38" t="b">
        <x:f t="shared" si="83">E1935&lt;G1935</x:f>
        <x:v>1</x:v>
      </x:c>
    </x:row>
    <x:row r="1936">
      <x:c r="A1936" s="31">
        <x:v>39820</x:v>
      </x:c>
      <x:c r="B1936" s="32">
        <x:v>320.39999999999998</x:v>
      </x:c>
      <x:c r="C1936" s="32">
        <x:v>322.58999999999997</x:v>
      </x:c>
      <x:c r="D1936" s="32">
        <x:v>319.29000000000002</x:v>
      </x:c>
      <x:c r="E1936" s="32">
        <x:v>319.58</x:v>
      </x:c>
      <x:c r="F1936" s="33">
        <x:v>12999550</x:v>
      </x:c>
      <x:c r="G1936" s="32" t="n">
        <x:f t="shared" si="81">AVERAGE(E1737:E1936)</x:f>
        <x:v>423.4790500000002</x:v>
      </x:c>
      <x:c r="H1936" s="37" t="n">
        <x:f t="shared" si="82">IFERROR(E1936/G1936-1,"")</x:f>
        <x:v>-0.24534637545824323</x:v>
      </x:c>
      <x:c r="I1936" s="38" t="b">
        <x:f t="shared" si="83">E1936&lt;G1936</x:f>
        <x:v>1</x:v>
      </x:c>
    </x:row>
    <x:row r="1937">
      <x:c r="A1937" s="31">
        <x:v>39821</x:v>
      </x:c>
      <x:c r="B1937" s="32">
        <x:v>315.92</x:v>
      </x:c>
      <x:c r="C1937" s="32">
        <x:v>318.79000000000002</x:v>
      </x:c>
      <x:c r="D1937" s="32">
        <x:v>313.04000000000002</x:v>
      </x:c>
      <x:c r="E1937" s="32">
        <x:v>314.14999999999998</x:v>
      </x:c>
      <x:c r="F1937" s="33">
        <x:v>11567940</x:v>
      </x:c>
      <x:c r="G1937" s="32" t="n">
        <x:f t="shared" si="81">AVERAGE(E1738:E1937)</x:f>
        <x:v>422.4444500000002</x:v>
      </x:c>
      <x:c r="H1937" s="37" t="n">
        <x:f t="shared" si="82">IFERROR(E1937/G1937-1,"")</x:f>
        <x:v>-0.25635192982177935</x:v>
      </x:c>
      <x:c r="I1937" s="38" t="b">
        <x:f t="shared" si="83">E1937&lt;G1937</x:f>
        <x:v>1</x:v>
      </x:c>
    </x:row>
    <x:row r="1938">
      <x:c r="A1938" s="31">
        <x:v>39822</x:v>
      </x:c>
      <x:c r="B1938" s="32">
        <x:v>313.75</x:v>
      </x:c>
      <x:c r="C1938" s="32">
        <x:v>313.82</x:v>
      </x:c>
      <x:c r="D1938" s="32">
        <x:v>312.12</x:v>
      </x:c>
      <x:c r="E1938" s="32">
        <x:v>313.39999999999998</x:v>
      </x:c>
      <x:c r="F1938" s="33">
        <x:v>6674080</x:v>
      </x:c>
      <x:c r="G1938" s="32" t="n">
        <x:f t="shared" si="81">AVERAGE(E1739:E1938)</x:f>
        <x:v>421.5282500000002</x:v>
      </x:c>
      <x:c r="H1938" s="37" t="n">
        <x:f t="shared" si="82">IFERROR(E1938/G1938-1,"")</x:f>
        <x:v>-0.2565148361942531</x:v>
      </x:c>
      <x:c r="I1938" s="38" t="b">
        <x:f t="shared" si="83">E1938&lt;G1938</x:f>
        <x:v>1</x:v>
      </x:c>
    </x:row>
    <x:row r="1939">
      <x:c r="A1939" s="31">
        <x:v>39825</x:v>
      </x:c>
      <x:c r="B1939" s="32">
        <x:v>311.24</x:v>
      </x:c>
      <x:c r="C1939" s="32">
        <x:v>312.64999999999998</x:v>
      </x:c>
      <x:c r="D1939" s="32">
        <x:v>310.33</x:v>
      </x:c>
      <x:c r="E1939" s="32">
        <x:v>312.18</x:v>
      </x:c>
      <x:c r="F1939" s="33">
        <x:v>5236770</x:v>
      </x:c>
      <x:c r="G1939" s="32" t="n">
        <x:f t="shared" si="81">AVERAGE(E1740:E1939)</x:f>
        <x:v>420.56580000000014</x:v>
      </x:c>
      <x:c r="H1939" s="37" t="n">
        <x:f t="shared" si="82">IFERROR(E1939/G1939-1,"")</x:f>
        <x:v>-0.25771425065946896</x:v>
      </x:c>
      <x:c r="I1939" s="38" t="b">
        <x:f t="shared" si="83">E1939&lt;G1939</x:f>
        <x:v>1</x:v>
      </x:c>
    </x:row>
    <x:row r="1940">
      <x:c r="A1940" s="31">
        <x:v>39826</x:v>
      </x:c>
      <x:c r="B1940" s="32">
        <x:v>308.57</x:v>
      </x:c>
      <x:c r="C1940" s="32">
        <x:v>309.16000000000003</x:v>
      </x:c>
      <x:c r="D1940" s="32">
        <x:v>306.92</x:v>
      </x:c>
      <x:c r="E1940" s="32">
        <x:v>307.13</x:v>
      </x:c>
      <x:c r="F1940" s="33">
        <x:v>6597860</x:v>
      </x:c>
      <x:c r="G1940" s="32" t="n">
        <x:f t="shared" si="81">AVERAGE(E1741:E1940)</x:f>
        <x:v>419.5577000000002</x:v>
      </x:c>
      <x:c r="H1940" s="37" t="n">
        <x:f t="shared" si="82">IFERROR(E1940/G1940-1,"")</x:f>
        <x:v>-0.2679671949769964</x:v>
      </x:c>
      <x:c r="I1940" s="38" t="b">
        <x:f t="shared" si="83">E1940&lt;G1940</x:f>
        <x:v>1</x:v>
      </x:c>
    </x:row>
    <x:row r="1941">
      <x:c r="A1941" s="31">
        <x:v>39827</x:v>
      </x:c>
      <x:c r="B1941" s="32">
        <x:v>306.14</x:v>
      </x:c>
      <x:c r="C1941" s="32">
        <x:v>310.33</x:v>
      </x:c>
      <x:c r="D1941" s="32">
        <x:v>306.14</x:v>
      </x:c>
      <x:c r="E1941" s="32">
        <x:v>307.98</x:v>
      </x:c>
      <x:c r="F1941" s="33">
        <x:v>6200570</x:v>
      </x:c>
      <x:c r="G1941" s="32" t="n">
        <x:f t="shared" si="81">AVERAGE(E1742:E1941)</x:f>
        <x:v>418.5341000000002</x:v>
      </x:c>
      <x:c r="H1941" s="37" t="n">
        <x:f t="shared" si="82">IFERROR(E1941/G1941-1,"")</x:f>
        <x:v>-0.2641459799810819</x:v>
      </x:c>
      <x:c r="I1941" s="38" t="b">
        <x:f t="shared" si="83">E1941&lt;G1941</x:f>
        <x:v>1</x:v>
      </x:c>
    </x:row>
    <x:row r="1942">
      <x:c r="A1942" s="31">
        <x:v>39828</x:v>
      </x:c>
      <x:c r="B1942" s="32">
        <x:v>304.31</x:v>
      </x:c>
      <x:c r="C1942" s="32">
        <x:v>305.54000000000002</x:v>
      </x:c>
      <x:c r="D1942" s="32">
        <x:v>304.01</x:v>
      </x:c>
      <x:c r="E1942" s="32">
        <x:v>304.01</x:v>
      </x:c>
      <x:c r="F1942" s="33">
        <x:v>5432510</x:v>
      </x:c>
      <x:c r="G1942" s="32" t="n">
        <x:f t="shared" si="81">AVERAGE(E1743:E1942)</x:f>
        <x:v>417.4699000000001</x:v>
      </x:c>
      <x:c r="H1942" s="37" t="n">
        <x:f t="shared" si="82">IFERROR(E1942/G1942-1,"")</x:f>
        <x:v>-0.2717798337077717</x:v>
      </x:c>
      <x:c r="I1942" s="38" t="b">
        <x:f t="shared" si="83">E1942&lt;G1942</x:f>
        <x:v>1</x:v>
      </x:c>
    </x:row>
    <x:row r="1943">
      <x:c r="A1943" s="31">
        <x:v>39829</x:v>
      </x:c>
      <x:c r="B1943" s="32">
        <x:v>305.72000000000003</x:v>
      </x:c>
      <x:c r="C1943" s="32">
        <x:v>307.10000000000002</x:v>
      </x:c>
      <x:c r="D1943" s="32">
        <x:v>305.04000000000002</x:v>
      </x:c>
      <x:c r="E1943" s="32">
        <x:v>306.12</x:v>
      </x:c>
      <x:c r="F1943" s="33">
        <x:v>6549420</x:v>
      </x:c>
      <x:c r="G1943" s="32" t="n">
        <x:f t="shared" si="81">AVERAGE(E1744:E1943)</x:f>
        <x:v>416.3955500000001</x:v>
      </x:c>
      <x:c r="H1943" s="37" t="n">
        <x:f t="shared" si="82">IFERROR(E1943/G1943-1,"")</x:f>
        <x:v>-0.26483364195414694</x:v>
      </x:c>
      <x:c r="I1943" s="38" t="b">
        <x:f t="shared" si="83">E1943&lt;G1943</x:f>
        <x:v>1</x:v>
      </x:c>
    </x:row>
    <x:row r="1944">
      <x:c r="A1944" s="31">
        <x:v>39832</x:v>
      </x:c>
      <x:c r="B1944" s="32">
        <x:v>305.89</x:v>
      </x:c>
      <x:c r="C1944" s="32">
        <x:v>306.38</x:v>
      </x:c>
      <x:c r="D1944" s="32">
        <x:v>304.52999999999997</x:v>
      </x:c>
      <x:c r="E1944" s="32">
        <x:v>304.98</x:v>
      </x:c>
      <x:c r="F1944" s="33">
        <x:v>4311240</x:v>
      </x:c>
      <x:c r="G1944" s="32" t="n">
        <x:f t="shared" si="81">AVERAGE(E1745:E1944)</x:f>
        <x:v>415.2949000000001</x:v>
      </x:c>
      <x:c r="H1944" s="37" t="n">
        <x:f t="shared" si="82">IFERROR(E1944/G1944-1,"")</x:f>
        <x:v>-0.2656302786285121</x:v>
      </x:c>
      <x:c r="I1944" s="38" t="b">
        <x:f t="shared" si="83">E1944&lt;G1944</x:f>
        <x:v>1</x:v>
      </x:c>
    </x:row>
    <x:row r="1945">
      <x:c r="A1945" s="31">
        <x:v>39833</x:v>
      </x:c>
      <x:c r="B1945" s="32">
        <x:v>303.11</x:v>
      </x:c>
      <x:c r="C1945" s="32">
        <x:v>303.52999999999997</x:v>
      </x:c>
      <x:c r="D1945" s="32">
        <x:v>302.74</x:v>
      </x:c>
      <x:c r="E1945" s="32">
        <x:v>302.86</x:v>
      </x:c>
      <x:c r="F1945" s="33">
        <x:v>4939620</x:v>
      </x:c>
      <x:c r="G1945" s="32" t="n">
        <x:f t="shared" si="81">AVERAGE(E1746:E1945)</x:f>
        <x:v>414.16305000000006</x:v>
      </x:c>
      <x:c r="H1945" s="37" t="n">
        <x:f t="shared" si="82">IFERROR(E1945/G1945-1,"")</x:f>
        <x:v>-0.2687421053133543</x:v>
      </x:c>
      <x:c r="I1945" s="38" t="b">
        <x:f t="shared" si="83">E1945&lt;G1945</x:f>
        <x:v>1</x:v>
      </x:c>
    </x:row>
    <x:row r="1946">
      <x:c r="A1946" s="31">
        <x:v>39834</x:v>
      </x:c>
      <x:c r="B1946" s="32">
        <x:v>300.92</x:v>
      </x:c>
      <x:c r="C1946" s="32">
        <x:v>301.97000000000003</x:v>
      </x:c>
      <x:c r="D1946" s="32">
        <x:v>300.02</x:v>
      </x:c>
      <x:c r="E1946" s="32">
        <x:v>300.04000000000002</x:v>
      </x:c>
      <x:c r="F1946" s="33">
        <x:v>4674990</x:v>
      </x:c>
      <x:c r="G1946" s="32" t="n">
        <x:f t="shared" si="81">AVERAGE(E1747:E1946)</x:f>
        <x:v>412.9982500000001</x:v>
      </x:c>
      <x:c r="H1946" s="37" t="n">
        <x:f t="shared" si="82">IFERROR(E1946/G1946-1,"")</x:f>
        <x:v>-0.273507817527072</x:v>
      </x:c>
      <x:c r="I1946" s="38" t="b">
        <x:f t="shared" si="83">E1946&lt;G1946</x:f>
        <x:v>1</x:v>
      </x:c>
    </x:row>
    <x:row r="1947">
      <x:c r="A1947" s="31">
        <x:v>39835</x:v>
      </x:c>
      <x:c r="B1947" s="32">
        <x:v>300.68</x:v>
      </x:c>
      <x:c r="C1947" s="32">
        <x:v>302.29000000000002</x:v>
      </x:c>
      <x:c r="D1947" s="32">
        <x:v>300.68</x:v>
      </x:c>
      <x:c r="E1947" s="32">
        <x:v>301.12</x:v>
      </x:c>
      <x:c r="F1947" s="33">
        <x:v>4200270</x:v>
      </x:c>
      <x:c r="G1947" s="32" t="n">
        <x:f t="shared" si="81">AVERAGE(E1748:E1947)</x:f>
        <x:v>411.7922000000001</x:v>
      </x:c>
      <x:c r="H1947" s="37" t="n">
        <x:f t="shared" si="82">IFERROR(E1947/G1947-1,"")</x:f>
        <x:v>-0.26875739754176997</x:v>
      </x:c>
      <x:c r="I1947" s="38" t="b">
        <x:f t="shared" si="83">E1947&lt;G1947</x:f>
        <x:v>1</x:v>
      </x:c>
    </x:row>
    <x:row r="1948">
      <x:c r="A1948" s="31">
        <x:v>39836</x:v>
      </x:c>
      <x:c r="B1948" s="32">
        <x:v>300.38</x:v>
      </x:c>
      <x:c r="C1948" s="32">
        <x:v>303.20999999999998</x:v>
      </x:c>
      <x:c r="D1948" s="32">
        <x:v>300.38</x:v>
      </x:c>
      <x:c r="E1948" s="32">
        <x:v>303.20999999999998</x:v>
      </x:c>
      <x:c r="F1948" s="33">
        <x:v>3674610</x:v>
      </x:c>
      <x:c r="G1948" s="32" t="n">
        <x:f t="shared" si="81">AVERAGE(E1749:E1948)</x:f>
        <x:v>410.5654500000002</x:v>
      </x:c>
      <x:c r="H1948" s="37" t="n">
        <x:f t="shared" si="82">IFERROR(E1948/G1948-1,"")</x:f>
        <x:v>-0.26148193911591977</x:v>
      </x:c>
      <x:c r="I1948" s="38" t="b">
        <x:f t="shared" si="83">E1948&lt;G1948</x:f>
        <x:v>1</x:v>
      </x:c>
    </x:row>
    <x:row r="1949">
      <x:c r="A1949" s="31">
        <x:v>39846</x:v>
      </x:c>
      <x:c r="B1949" s="32">
        <x:v>301.12</x:v>
      </x:c>
      <x:c r="C1949" s="32">
        <x:v>301.29000000000002</x:v>
      </x:c>
      <x:c r="D1949" s="32">
        <x:v>297.52</x:v>
      </x:c>
      <x:c r="E1949" s="32">
        <x:v>297.52</x:v>
      </x:c>
      <x:c r="F1949" s="33">
        <x:v>4351040</x:v>
      </x:c>
      <x:c r="G1949" s="32" t="n">
        <x:f t="shared" si="81">AVERAGE(E1750:E1949)</x:f>
        <x:v>409.2928000000001</x:v>
      </x:c>
      <x:c r="H1949" s="37" t="n">
        <x:f t="shared" si="82">IFERROR(E1949/G1949-1,"")</x:f>
        <x:v>-0.27308762822116617</x:v>
      </x:c>
      <x:c r="I1949" s="38" t="b">
        <x:f t="shared" si="83">E1949&lt;G1949</x:f>
        <x:v>1</x:v>
      </x:c>
    </x:row>
    <x:row r="1950">
      <x:c r="A1950" s="31">
        <x:v>39847</x:v>
      </x:c>
      <x:c r="B1950" s="32">
        <x:v>291.60000000000002</x:v>
      </x:c>
      <x:c r="C1950" s="32">
        <x:v>292.18</x:v>
      </x:c>
      <x:c r="D1950" s="32">
        <x:v>288.69</x:v>
      </x:c>
      <x:c r="E1950" s="32">
        <x:v>288.69</x:v>
      </x:c>
      <x:c r="F1950" s="33">
        <x:v>8010140</x:v>
      </x:c>
      <x:c r="G1950" s="32" t="n">
        <x:f t="shared" si="81">AVERAGE(E1751:E1950)</x:f>
        <x:v>408.0076000000001</x:v>
      </x:c>
      <x:c r="H1950" s="37" t="n">
        <x:f t="shared" si="82">IFERROR(E1950/G1950-1,"")</x:f>
        <x:v>-0.29243965063395894</x:v>
      </x:c>
      <x:c r="I1950" s="38" t="b">
        <x:f t="shared" si="83">E1950&lt;G1950</x:f>
        <x:v>1</x:v>
      </x:c>
    </x:row>
    <x:row r="1951">
      <x:c r="A1951" s="31">
        <x:v>39848</x:v>
      </x:c>
      <x:c r="B1951" s="32">
        <x:v>286.83</x:v>
      </x:c>
      <x:c r="C1951" s="32">
        <x:v>290.99</x:v>
      </x:c>
      <x:c r="D1951" s="32">
        <x:v>286.11</x:v>
      </x:c>
      <x:c r="E1951" s="32">
        <x:v>286.11</x:v>
      </x:c>
      <x:c r="F1951" s="33">
        <x:v>5253240</x:v>
      </x:c>
      <x:c r="G1951" s="32" t="n">
        <x:f t="shared" si="81">AVERAGE(E1752:E1951)</x:f>
        <x:v>406.7431</x:v>
      </x:c>
      <x:c r="H1951" s="37" t="n">
        <x:f t="shared" si="82">IFERROR(E1951/G1951-1,"")</x:f>
        <x:v>-0.2965830274686897</x:v>
      </x:c>
      <x:c r="I1951" s="38" t="b">
        <x:f t="shared" si="83">E1951&lt;G1951</x:f>
        <x:v>1</x:v>
      </x:c>
    </x:row>
    <x:row r="1952">
      <x:c r="A1952" s="31">
        <x:v>39849</x:v>
      </x:c>
      <x:c r="B1952" s="32">
        <x:v>284.33999999999997</x:v>
      </x:c>
      <x:c r="C1952" s="32">
        <x:v>284.33999999999997</x:v>
      </x:c>
      <x:c r="D1952" s="32">
        <x:v>277.81</x:v>
      </x:c>
      <x:c r="E1952" s="32">
        <x:v>277.81</x:v>
      </x:c>
      <x:c r="F1952" s="33">
        <x:v>6769040</x:v>
      </x:c>
      <x:c r="G1952" s="32" t="n">
        <x:f t="shared" si="81">AVERAGE(E1753:E1952)</x:f>
        <x:v>405.4752500000001</x:v>
      </x:c>
      <x:c r="H1952" s="37" t="n">
        <x:f t="shared" si="82">IFERROR(E1952/G1952-1,"")</x:f>
        <x:v>-0.31485337267811053</x:v>
      </x:c>
      <x:c r="I1952" s="38" t="b">
        <x:f t="shared" si="83">E1952&lt;G1952</x:f>
        <x:v>1</x:v>
      </x:c>
    </x:row>
    <x:row r="1953">
      <x:c r="A1953" s="31">
        <x:v>39850</x:v>
      </x:c>
      <x:c r="B1953" s="32">
        <x:v>279.74</x:v>
      </x:c>
      <x:c r="C1953" s="32">
        <x:v>281.63</x:v>
      </x:c>
      <x:c r="D1953" s="32">
        <x:v>277.06</x:v>
      </x:c>
      <x:c r="E1953" s="32">
        <x:v>281.63</x:v>
      </x:c>
      <x:c r="F1953" s="33">
        <x:v>6920120</x:v>
      </x:c>
      <x:c r="G1953" s="32" t="n">
        <x:f t="shared" si="81">AVERAGE(E1754:E1953)</x:f>
        <x:v>404.1955000000001</x:v>
      </x:c>
      <x:c r="H1953" s="37" t="n">
        <x:f t="shared" si="82">IFERROR(E1953/G1953-1,"")</x:f>
        <x:v>-0.30323321264091285</x:v>
      </x:c>
      <x:c r="I1953" s="38" t="b">
        <x:f t="shared" si="83">E1953&lt;G1953</x:f>
        <x:v>1</x:v>
      </x:c>
    </x:row>
    <x:row r="1954">
      <x:c r="A1954" s="31">
        <x:v>39853</x:v>
      </x:c>
      <x:c r="B1954" s="32">
        <x:v>285.55</x:v>
      </x:c>
      <x:c r="C1954" s="32">
        <x:v>287.83</x:v>
      </x:c>
      <x:c r="D1954" s="32">
        <x:v>284.29000000000002</x:v>
      </x:c>
      <x:c r="E1954" s="32">
        <x:v>287.57</x:v>
      </x:c>
      <x:c r="F1954" s="33">
        <x:v>5345430</x:v>
      </x:c>
      <x:c r="G1954" s="32" t="n">
        <x:f t="shared" si="81">AVERAGE(E1755:E1954)</x:f>
        <x:v>402.94680000000005</x:v>
      </x:c>
      <x:c r="H1954" s="37" t="n">
        <x:f t="shared" si="82">IFERROR(E1954/G1954-1,"")</x:f>
        <x:v>-0.28633258782548976</x:v>
      </x:c>
      <x:c r="I1954" s="38" t="b">
        <x:f t="shared" si="83">E1954&lt;G1954</x:f>
        <x:v>1</x:v>
      </x:c>
    </x:row>
    <x:row r="1955">
      <x:c r="A1955" s="31">
        <x:v>39854</x:v>
      </x:c>
      <x:c r="B1955" s="32">
        <x:v>282.82</x:v>
      </x:c>
      <x:c r="C1955" s="32">
        <x:v>283.14999999999998</x:v>
      </x:c>
      <x:c r="D1955" s="32">
        <x:v>281.60000000000002</x:v>
      </x:c>
      <x:c r="E1955" s="32">
        <x:v>282.02</x:v>
      </x:c>
      <x:c r="F1955" s="33">
        <x:v>5072960</x:v>
      </x:c>
      <x:c r="G1955" s="32" t="n">
        <x:f t="shared" si="81">AVERAGE(E1756:E1955)</x:f>
        <x:v>401.6823000000001</x:v>
      </x:c>
      <x:c r="H1955" s="37" t="n">
        <x:f t="shared" si="82">IFERROR(E1955/G1955-1,"")</x:f>
        <x:v>-0.2979028451091823</x:v>
      </x:c>
      <x:c r="I1955" s="38" t="b">
        <x:f t="shared" si="83">E1955&lt;G1955</x:f>
        <x:v>1</x:v>
      </x:c>
    </x:row>
    <x:row r="1956">
      <x:c r="A1956" s="31">
        <x:v>39855</x:v>
      </x:c>
      <x:c r="B1956" s="32">
        <x:v>275.06</x:v>
      </x:c>
      <x:c r="C1956" s="32">
        <x:v>276.70999999999998</x:v>
      </x:c>
      <x:c r="D1956" s="32">
        <x:v>274.83</x:v>
      </x:c>
      <x:c r="E1956" s="32">
        <x:v>276.22000000000003</x:v>
      </x:c>
      <x:c r="F1956" s="33">
        <x:v>6686090</x:v>
      </x:c>
      <x:c r="G1956" s="32" t="n">
        <x:f t="shared" si="81">AVERAGE(E1757:E1956)</x:f>
        <x:v>400.4103000000001</x:v>
      </x:c>
      <x:c r="H1956" s="37" t="n">
        <x:f t="shared" si="82">IFERROR(E1956/G1956-1,"")</x:f>
        <x:v>-0.3101576058358141</x:v>
      </x:c>
      <x:c r="I1956" s="38" t="b">
        <x:f t="shared" si="83">E1956&lt;G1956</x:f>
        <x:v>1</x:v>
      </x:c>
    </x:row>
    <x:row r="1957">
      <x:c r="A1957" s="31">
        <x:v>39856</x:v>
      </x:c>
      <x:c r="B1957" s="32">
        <x:v>275.37</x:v>
      </x:c>
      <x:c r="C1957" s="32">
        <x:v>277.83</x:v>
      </x:c>
      <x:c r="D1957" s="32">
        <x:v>275.37</x:v>
      </x:c>
      <x:c r="E1957" s="32">
        <x:v>276.08999999999997</x:v>
      </x:c>
      <x:c r="F1957" s="33">
        <x:v>7636990</x:v>
      </x:c>
      <x:c r="G1957" s="32" t="n">
        <x:f t="shared" si="81">AVERAGE(E1758:E1957)</x:f>
        <x:v>399.18100000000004</x:v>
      </x:c>
      <x:c r="H1957" s="37" t="n">
        <x:f t="shared" si="82">IFERROR(E1957/G1957-1,"")</x:f>
        <x:v>-0.30835886477562824</x:v>
      </x:c>
      <x:c r="I1957" s="38" t="b">
        <x:f t="shared" si="83">E1957&lt;G1957</x:f>
        <x:v>1</x:v>
      </x:c>
    </x:row>
    <x:row r="1958">
      <x:c r="A1958" s="31">
        <x:v>39857</x:v>
      </x:c>
      <x:c r="B1958" s="32">
        <x:v>274.20999999999998</x:v>
      </x:c>
      <x:c r="C1958" s="32">
        <x:v>275.29000000000002</x:v>
      </x:c>
      <x:c r="D1958" s="32">
        <x:v>274.20999999999998</x:v>
      </x:c>
      <x:c r="E1958" s="32">
        <x:v>274.51</x:v>
      </x:c>
      <x:c r="F1958" s="33">
        <x:v>5284160</x:v>
      </x:c>
      <x:c r="G1958" s="32" t="n">
        <x:f t="shared" si="81">AVERAGE(E1759:E1958)</x:f>
        <x:v>397.96144999999996</x:v>
      </x:c>
      <x:c r="H1958" s="37" t="n">
        <x:f t="shared" si="82">IFERROR(E1958/G1958-1,"")</x:f>
        <x:v>-0.31020956929370913</x:v>
      </x:c>
      <x:c r="I1958" s="38" t="b">
        <x:f t="shared" si="83">E1958&lt;G1958</x:f>
        <x:v>1</x:v>
      </x:c>
    </x:row>
    <x:row r="1959">
      <x:c r="A1959" s="31">
        <x:v>39860</x:v>
      </x:c>
      <x:c r="B1959" s="32">
        <x:v>274.86</x:v>
      </x:c>
      <x:c r="C1959" s="32">
        <x:v>274.91000000000003</x:v>
      </x:c>
      <x:c r="D1959" s="32">
        <x:v>272.07</x:v>
      </x:c>
      <x:c r="E1959" s="32">
        <x:v>272.31</x:v>
      </x:c>
      <x:c r="F1959" s="33">
        <x:v>4947810</x:v>
      </x:c>
      <x:c r="G1959" s="32" t="n">
        <x:f t="shared" si="81">AVERAGE(E1760:E1959)</x:f>
        <x:v>396.74359999999996</x:v>
      </x:c>
      <x:c r="H1959" s="37" t="n">
        <x:f t="shared" si="82">IFERROR(E1959/G1959-1,"")</x:f>
        <x:v>-0.3136373214337924</x:v>
      </x:c>
      <x:c r="I1959" s="38" t="b">
        <x:f t="shared" si="83">E1959&lt;G1959</x:f>
        <x:v>1</x:v>
      </x:c>
    </x:row>
    <x:row r="1960">
      <x:c r="A1960" s="31">
        <x:v>39861</x:v>
      </x:c>
      <x:c r="B1960" s="32">
        <x:v>268.76</x:v>
      </x:c>
      <x:c r="C1960" s="32">
        <x:v>269.3</x:v>
      </x:c>
      <x:c r="D1960" s="32">
        <x:v>263.07</x:v>
      </x:c>
      <x:c r="E1960" s="32">
        <x:v>263.07</x:v>
      </x:c>
      <x:c r="F1960" s="33">
        <x:v>8842470</x:v>
      </x:c>
      <x:c r="G1960" s="32" t="n">
        <x:f t="shared" si="81">AVERAGE(E1761:E1960)</x:f>
        <x:v>395.46184999999997</x:v>
      </x:c>
      <x:c r="H1960" s="37" t="n">
        <x:f t="shared" si="82">IFERROR(E1960/G1960-1,"")</x:f>
        <x:v>-0.3347778047364113</x:v>
      </x:c>
      <x:c r="I1960" s="38" t="b">
        <x:f t="shared" si="83">E1960&lt;G1960</x:f>
        <x:v>1</x:v>
      </x:c>
    </x:row>
    <x:row r="1961">
      <x:c r="A1961" s="31">
        <x:v>39862</x:v>
      </x:c>
      <x:c r="B1961" s="32">
        <x:v>255.18</x:v>
      </x:c>
      <x:c r="C1961" s="32">
        <x:v>256.74</x:v>
      </x:c>
      <x:c r="D1961" s="32">
        <x:v>254.2</x:v>
      </x:c>
      <x:c r="E1961" s="32">
        <x:v>255.09</x:v>
      </x:c>
      <x:c r="F1961" s="33">
        <x:v>9792070</x:v>
      </x:c>
      <x:c r="G1961" s="32" t="n">
        <x:f t="shared" si="81">AVERAGE(E1762:E1961)</x:f>
        <x:v>394.12549999999993</x:v>
      </x:c>
      <x:c r="H1961" s="37" t="n">
        <x:f t="shared" si="82">IFERROR(E1961/G1961-1,"")</x:f>
        <x:v>-0.3527696127248806</x:v>
      </x:c>
      <x:c r="I1961" s="38" t="b">
        <x:f t="shared" si="83">E1961&lt;G1961</x:f>
        <x:v>1</x:v>
      </x:c>
    </x:row>
    <x:row r="1962">
      <x:c r="A1962" s="31">
        <x:v>39863</x:v>
      </x:c>
      <x:c r="B1962" s="32">
        <x:v>257.31</x:v>
      </x:c>
      <x:c r="C1962" s="32">
        <x:v>258.20999999999998</x:v>
      </x:c>
      <x:c r="D1962" s="32">
        <x:v>253.37</x:v>
      </x:c>
      <x:c r="E1962" s="32">
        <x:v>254.85</x:v>
      </x:c>
      <x:c r="F1962" s="33">
        <x:v>8459990</x:v>
      </x:c>
      <x:c r="G1962" s="32" t="n">
        <x:f t="shared" si="81">AVERAGE(E1763:E1962)</x:f>
        <x:v>392.79335</x:v>
      </x:c>
      <x:c r="H1962" s="37" t="n">
        <x:f t="shared" si="82">IFERROR(E1962/G1962-1,"")</x:f>
        <x:v>-0.351185553421411</x:v>
      </x:c>
      <x:c r="I1962" s="38" t="b">
        <x:f t="shared" si="83">E1962&lt;G1962</x:f>
        <x:v>1</x:v>
      </x:c>
    </x:row>
    <x:row r="1963">
      <x:c r="A1963" s="31">
        <x:v>39864</x:v>
      </x:c>
      <x:c r="B1963" s="32">
        <x:v>252.42</x:v>
      </x:c>
      <x:c r="C1963" s="32">
        <x:v>252.57</x:v>
      </x:c>
      <x:c r="D1963" s="32">
        <x:v>250.54</x:v>
      </x:c>
      <x:c r="E1963" s="32">
        <x:v>252.57</x:v>
      </x:c>
      <x:c r="F1963" s="33">
        <x:v>7047570</x:v>
      </x:c>
      <x:c r="G1963" s="32" t="n">
        <x:f t="shared" si="81">AVERAGE(E1764:E1963)</x:f>
        <x:v>391.46445000000006</x:v>
      </x:c>
      <x:c r="H1963" s="37" t="n">
        <x:f t="shared" si="82">IFERROR(E1963/G1963-1,"")</x:f>
        <x:v>-0.35480731392084275</x:v>
      </x:c>
      <x:c r="I1963" s="38" t="b">
        <x:f t="shared" si="83">E1963&lt;G1963</x:f>
        <x:v>1</x:v>
      </x:c>
    </x:row>
    <x:row r="1964">
      <x:c r="A1964" s="31">
        <x:v>39867</x:v>
      </x:c>
      <x:c r="B1964" s="32">
        <x:v>247.04</x:v>
      </x:c>
      <x:c r="C1964" s="32">
        <x:v>247.64</x:v>
      </x:c>
      <x:c r="D1964" s="32">
        <x:v>243.81</x:v>
      </x:c>
      <x:c r="E1964" s="32">
        <x:v>244.02</x:v>
      </x:c>
      <x:c r="F1964" s="33">
        <x:v>8743950</x:v>
      </x:c>
      <x:c r="G1964" s="32" t="n">
        <x:f t="shared" si="81">AVERAGE(E1765:E1964)</x:f>
        <x:v>390.10825000000006</x:v>
      </x:c>
      <x:c r="H1964" s="37" t="n">
        <x:f t="shared" si="82">IFERROR(E1964/G1964-1,"")</x:f>
        <x:v>-0.37448131384045336</x:v>
      </x:c>
      <x:c r="I1964" s="38" t="b">
        <x:f t="shared" si="83">E1964&lt;G1964</x:f>
        <x:v>1</x:v>
      </x:c>
    </x:row>
    <x:row r="1965">
      <x:c r="A1965" s="31">
        <x:v>39868</x:v>
      </x:c>
      <x:c r="B1965" s="32">
        <x:v>236.57</x:v>
      </x:c>
      <x:c r="C1965" s="32">
        <x:v>236.7</x:v>
      </x:c>
      <x:c r="D1965" s="32">
        <x:v>234.66</x:v>
      </x:c>
      <x:c r="E1965" s="32">
        <x:v>235.5</x:v>
      </x:c>
      <x:c r="F1965" s="33">
        <x:v>9100590</x:v>
      </x:c>
      <x:c r="G1965" s="32" t="n">
        <x:f t="shared" si="81">AVERAGE(E1766:E1965)</x:f>
        <x:v>388.74605</x:v>
      </x:c>
      <x:c r="H1965" s="37" t="n">
        <x:f t="shared" si="82">IFERROR(E1965/G1965-1,"")</x:f>
        <x:v>-0.39420606331562735</x:v>
      </x:c>
      <x:c r="I1965" s="38" t="b">
        <x:f t="shared" si="83">E1965&lt;G1965</x:f>
        <x:v>1</x:v>
      </x:c>
    </x:row>
    <x:row r="1966">
      <x:c r="A1966" s="31">
        <x:v>39869</x:v>
      </x:c>
      <x:c r="B1966" s="32">
        <x:v>241.9</x:v>
      </x:c>
      <x:c r="C1966" s="32">
        <x:v>244.46</x:v>
      </x:c>
      <x:c r="D1966" s="32">
        <x:v>241.45</x:v>
      </x:c>
      <x:c r="E1966" s="32">
        <x:v>244.33</x:v>
      </x:c>
      <x:c r="F1966" s="33">
        <x:v>8622740</x:v>
      </x:c>
      <x:c r="G1966" s="32" t="n">
        <x:f t="shared" si="81">AVERAGE(E1767:E1966)</x:f>
        <x:v>387.46604999999994</x:v>
      </x:c>
      <x:c r="H1966" s="37" t="n">
        <x:f t="shared" si="82">IFERROR(E1966/G1966-1,"")</x:f>
        <x:v>-0.36941572042247306</x:v>
      </x:c>
      <x:c r="I1966" s="38" t="b">
        <x:f t="shared" si="83">E1966&lt;G1966</x:f>
        <x:v>1</x:v>
      </x:c>
    </x:row>
    <x:row r="1967">
      <x:c r="A1967" s="31">
        <x:v>39870</x:v>
      </x:c>
      <x:c r="B1967" s="32">
        <x:v>241.78</x:v>
      </x:c>
      <x:c r="C1967" s="32">
        <x:v>242.76</x:v>
      </x:c>
      <x:c r="D1967" s="32">
        <x:v>237.88</x:v>
      </x:c>
      <x:c r="E1967" s="32">
        <x:v>242.53</x:v>
      </x:c>
      <x:c r="F1967" s="33">
        <x:v>12272610</x:v>
      </x:c>
      <x:c r="G1967" s="32" t="n">
        <x:f t="shared" si="81">AVERAGE(E1768:E1967)</x:f>
        <x:v>386.21850000000006</x:v>
      </x:c>
      <x:c r="H1967" s="37" t="n">
        <x:f t="shared" si="82">IFERROR(E1967/G1967-1,"")</x:f>
        <x:v>-0.3720394025661641</x:v>
      </x:c>
      <x:c r="I1967" s="38" t="b">
        <x:f t="shared" si="83">E1967&lt;G1967</x:f>
        <x:v>1</x:v>
      </x:c>
    </x:row>
    <x:row r="1968">
      <x:c r="A1968" s="31">
        <x:v>39871</x:v>
      </x:c>
      <x:c r="B1968" s="32">
        <x:v>239.75</x:v>
      </x:c>
      <x:c r="C1968" s="32">
        <x:v>246.06</x:v>
      </x:c>
      <x:c r="D1968" s="32">
        <x:v>239.69</x:v>
      </x:c>
      <x:c r="E1968" s="32">
        <x:v>245.74</x:v>
      </x:c>
      <x:c r="F1968" s="33">
        <x:v>8014390</x:v>
      </x:c>
      <x:c r="G1968" s="32" t="n">
        <x:f t="shared" si="81">AVERAGE(E1769:E1968)</x:f>
        <x:v>385.0276000000001</x:v>
      </x:c>
      <x:c r="H1968" s="37" t="n">
        <x:f t="shared" si="82">IFERROR(E1968/G1968-1,"")</x:f>
        <x:v>-0.36176004005946605</x:v>
      </x:c>
      <x:c r="I1968" s="38" t="b">
        <x:f t="shared" si="83">E1968&lt;G1968</x:f>
        <x:v>1</x:v>
      </x:c>
    </x:row>
    <x:row r="1969">
      <x:c r="A1969" s="31">
        <x:v>39874</x:v>
      </x:c>
      <x:c r="B1969" s="32">
        <x:v>244.23</x:v>
      </x:c>
      <x:c r="C1969" s="32">
        <x:v>247.74</x:v>
      </x:c>
      <x:c r="D1969" s="32">
        <x:v>244.23</x:v>
      </x:c>
      <x:c r="E1969" s="32">
        <x:v>247.66</x:v>
      </x:c>
      <x:c r="F1969" s="33">
        <x:v>6925360</x:v>
      </x:c>
      <x:c r="G1969" s="32" t="n">
        <x:f t="shared" si="81">AVERAGE(E1770:E1969)</x:f>
        <x:v>383.8884000000001</x:v>
      </x:c>
      <x:c r="H1969" s="37" t="n">
        <x:f t="shared" si="82">IFERROR(E1969/G1969-1,"")</x:f>
        <x:v>-0.35486459085505073</x:v>
      </x:c>
      <x:c r="I1969" s="38" t="b">
        <x:f t="shared" si="83">E1969&lt;G1969</x:f>
        <x:v>1</x:v>
      </x:c>
    </x:row>
    <x:row r="1970">
      <x:c r="A1970" s="31">
        <x:v>39875</x:v>
      </x:c>
      <x:c r="B1970" s="32">
        <x:v>241.79</x:v>
      </x:c>
      <x:c r="C1970" s="32">
        <x:v>242.51</x:v>
      </x:c>
      <x:c r="D1970" s="32">
        <x:v>240.96</x:v>
      </x:c>
      <x:c r="E1970" s="32">
        <x:v>241.46</x:v>
      </x:c>
      <x:c r="F1970" s="33">
        <x:v>8388490</x:v>
      </x:c>
      <x:c r="G1970" s="32" t="n">
        <x:f t="shared" si="81">AVERAGE(E1771:E1970)</x:f>
        <x:v>382.7623500000001</x:v>
      </x:c>
      <x:c r="H1970" s="37" t="n">
        <x:f t="shared" si="82">IFERROR(E1970/G1970-1,"")</x:f>
        <x:v>-0.36916470494028486</x:v>
      </x:c>
      <x:c r="I1970" s="38" t="b">
        <x:f t="shared" si="83">E1970&lt;G1970</x:f>
        <x:v>1</x:v>
      </x:c>
    </x:row>
    <x:row r="1971">
      <x:c r="A1971" s="31">
        <x:v>39876</x:v>
      </x:c>
      <x:c r="B1971" s="32">
        <x:v>243.07</x:v>
      </x:c>
      <x:c r="C1971" s="32">
        <x:v>245.37</x:v>
      </x:c>
      <x:c r="D1971" s="32">
        <x:v>242.92</x:v>
      </x:c>
      <x:c r="E1971" s="32">
        <x:v>244.36</x:v>
      </x:c>
      <x:c r="F1971" s="33">
        <x:v>7513550</x:v>
      </x:c>
      <x:c r="G1971" s="32" t="n">
        <x:f t="shared" si="81">AVERAGE(E1772:E1971)</x:f>
        <x:v>381.6839500000001</x:v>
      </x:c>
      <x:c r="H1971" s="37" t="n">
        <x:f t="shared" si="82">IFERROR(E1971/G1971-1,"")</x:f>
        <x:v>-0.3597844499356079</x:v>
      </x:c>
      <x:c r="I1971" s="38" t="b">
        <x:f t="shared" si="83">E1971&lt;G1971</x:f>
        <x:v>1</x:v>
      </x:c>
    </x:row>
    <x:row r="1972">
      <x:c r="A1972" s="31">
        <x:v>39877</x:v>
      </x:c>
      <x:c r="B1972" s="32">
        <x:v>249.69</x:v>
      </x:c>
      <x:c r="C1972" s="32">
        <x:v>249.69</x:v>
      </x:c>
      <x:c r="D1972" s="32">
        <x:v>246.68</x:v>
      </x:c>
      <x:c r="E1972" s="32">
        <x:v>246.68</x:v>
      </x:c>
      <x:c r="F1972" s="33">
        <x:v>8356440</x:v>
      </x:c>
      <x:c r="G1972" s="32" t="n">
        <x:f t="shared" si="81">AVERAGE(E1773:E1972)</x:f>
        <x:v>380.63900000000007</x:v>
      </x:c>
      <x:c r="H1972" s="37" t="n">
        <x:f t="shared" si="82">IFERROR(E1972/G1972-1,"")</x:f>
        <x:v>-0.3519318829652244</x:v>
      </x:c>
      <x:c r="I1972" s="38" t="b">
        <x:f t="shared" si="83">E1972&lt;G1972</x:f>
        <x:v>1</x:v>
      </x:c>
    </x:row>
    <x:row r="1973">
      <x:c r="A1973" s="31">
        <x:v>39878</x:v>
      </x:c>
      <x:c r="B1973" s="32">
        <x:v>244.6</x:v>
      </x:c>
      <x:c r="C1973" s="32">
        <x:v>245.7</x:v>
      </x:c>
      <x:c r="D1973" s="32">
        <x:v>243.76</x:v>
      </x:c>
      <x:c r="E1973" s="32">
        <x:v>245.7</x:v>
      </x:c>
      <x:c r="F1973" s="33">
        <x:v>7145930</x:v>
      </x:c>
      <x:c r="G1973" s="32" t="n">
        <x:f t="shared" si="81">AVERAGE(E1774:E1973)</x:f>
        <x:v>379.6213</x:v>
      </x:c>
      <x:c r="H1973" s="37" t="n">
        <x:f t="shared" si="82">IFERROR(E1973/G1973-1,"")</x:f>
        <x:v>-0.3527760428616624</x:v>
      </x:c>
      <x:c r="I1973" s="38" t="b">
        <x:f t="shared" si="83">E1973&lt;G1973</x:f>
        <x:v>1</x:v>
      </x:c>
    </x:row>
    <x:row r="1974">
      <x:c r="A1974" s="31">
        <x:v>39881</x:v>
      </x:c>
      <x:c r="B1974" s="32">
        <x:v>246.99</x:v>
      </x:c>
      <x:c r="C1974" s="32">
        <x:v>247.85</x:v>
      </x:c>
      <x:c r="D1974" s="32">
        <x:v>246.52</x:v>
      </x:c>
      <x:c r="E1974" s="32">
        <x:v>247.85</x:v>
      </x:c>
      <x:c r="F1974" s="33">
        <x:v>8642900</x:v>
      </x:c>
      <x:c r="G1974" s="32" t="n">
        <x:f t="shared" si="81">AVERAGE(E1775:E1974)</x:f>
        <x:v>378.65180000000015</x:v>
      </x:c>
      <x:c r="H1974" s="37" t="n">
        <x:f t="shared" si="82">IFERROR(E1974/G1974-1,"")</x:f>
        <x:v>-0.3454408509348169</x:v>
      </x:c>
      <x:c r="I1974" s="38" t="b">
        <x:f t="shared" si="83">E1974&lt;G1974</x:f>
        <x:v>1</x:v>
      </x:c>
    </x:row>
    <x:row r="1975">
      <x:c r="A1975" s="31">
        <x:v>39882</x:v>
      </x:c>
      <x:c r="B1975" s="32">
        <x:v>249.71</x:v>
      </x:c>
      <x:c r="C1975" s="32">
        <x:v>251.88</x:v>
      </x:c>
      <x:c r="D1975" s="32">
        <x:v>248</x:v>
      </x:c>
      <x:c r="E1975" s="32">
        <x:v>251.88</x:v>
      </x:c>
      <x:c r="F1975" s="33">
        <x:v>11692240</x:v>
      </x:c>
      <x:c r="G1975" s="32" t="n">
        <x:f t="shared" si="81">AVERAGE(E1776:E1975)</x:f>
        <x:v>377.73745000000025</x:v>
      </x:c>
      <x:c r="H1975" s="37" t="n">
        <x:f t="shared" si="82">IFERROR(E1975/G1975-1,"")</x:f>
        <x:v>-0.33318764131012213</x:v>
      </x:c>
      <x:c r="I1975" s="38" t="b">
        <x:f t="shared" si="83">E1975&lt;G1975</x:f>
        <x:v>1</x:v>
      </x:c>
    </x:row>
    <x:row r="1976">
      <x:c r="A1976" s="31">
        <x:v>39883</x:v>
      </x:c>
      <x:c r="B1976" s="32">
        <x:v>258.42</x:v>
      </x:c>
      <x:c r="C1976" s="32">
        <x:v>258.42</x:v>
      </x:c>
      <x:c r="D1976" s="32">
        <x:v>255.85</x:v>
      </x:c>
      <x:c r="E1976" s="32">
        <x:v>255.85</x:v>
      </x:c>
      <x:c r="F1976" s="33">
        <x:v>16640140</x:v>
      </x:c>
      <x:c r="G1976" s="32" t="n">
        <x:f t="shared" si="81">AVERAGE(E1777:E1976)</x:f>
        <x:v>376.87645000000026</x:v>
      </x:c>
      <x:c r="H1976" s="37" t="n">
        <x:f t="shared" si="82">IFERROR(E1976/G1976-1,"")</x:f>
        <x:v>-0.321130306762336</x:v>
      </x:c>
      <x:c r="I1976" s="38" t="b">
        <x:f t="shared" si="83">E1976&lt;G1976</x:f>
        <x:v>1</x:v>
      </x:c>
    </x:row>
    <x:row r="1977">
      <x:c r="A1977" s="31">
        <x:v>39884</x:v>
      </x:c>
      <x:c r="B1977" s="32">
        <x:v>251.87</x:v>
      </x:c>
      <x:c r="C1977" s="32">
        <x:v>254.42</x:v>
      </x:c>
      <x:c r="D1977" s="32">
        <x:v>249.76</x:v>
      </x:c>
      <x:c r="E1977" s="32">
        <x:v>251.01</x:v>
      </x:c>
      <x:c r="F1977" s="33">
        <x:v>19041180</x:v>
      </x:c>
      <x:c r="G1977" s="32" t="n">
        <x:f t="shared" si="81">AVERAGE(E1778:E1977)</x:f>
        <x:v>376.02895000000024</x:v>
      </x:c>
      <x:c r="H1977" s="37" t="n">
        <x:f t="shared" si="82">IFERROR(E1977/G1977-1,"")</x:f>
        <x:v>-0.3324716089013896</x:v>
      </x:c>
      <x:c r="I1977" s="38" t="b">
        <x:f t="shared" si="83">E1977&lt;G1977</x:f>
        <x:v>1</x:v>
      </x:c>
    </x:row>
    <x:row r="1978">
      <x:c r="A1978" s="31">
        <x:v>39885</x:v>
      </x:c>
      <x:c r="B1978" s="32">
        <x:v>252.55</x:v>
      </x:c>
      <x:c r="C1978" s="32">
        <x:v>253.23</x:v>
      </x:c>
      <x:c r="D1978" s="32">
        <x:v>251.44</x:v>
      </x:c>
      <x:c r="E1978" s="32">
        <x:v>251.44</x:v>
      </x:c>
      <x:c r="F1978" s="33">
        <x:v>11670510</x:v>
      </x:c>
      <x:c r="G1978" s="32" t="n">
        <x:f t="shared" si="81">AVERAGE(E1779:E1978)</x:f>
        <x:v>375.1836000000003</x:v>
      </x:c>
      <x:c r="H1978" s="37" t="n">
        <x:f t="shared" si="82">IFERROR(E1978/G1978-1,"")</x:f>
        <x:v>-0.32982145275006747</x:v>
      </x:c>
      <x:c r="I1978" s="38" t="b">
        <x:f t="shared" si="83">E1978&lt;G1978</x:f>
        <x:v>1</x:v>
      </x:c>
    </x:row>
    <x:row r="1979">
      <x:c r="A1979" s="31">
        <x:v>39888</x:v>
      </x:c>
      <x:c r="B1979" s="32">
        <x:v>252.68</x:v>
      </x:c>
      <x:c r="C1979" s="32">
        <x:v>254.56</x:v>
      </x:c>
      <x:c r="D1979" s="32">
        <x:v>252.45</x:v>
      </x:c>
      <x:c r="E1979" s="32">
        <x:v>254.56</x:v>
      </x:c>
      <x:c r="F1979" s="33">
        <x:v>10587310</x:v>
      </x:c>
      <x:c r="G1979" s="32" t="n">
        <x:f t="shared" si="81">AVERAGE(E1780:E1979)</x:f>
        <x:v>374.3538500000003</x:v>
      </x:c>
      <x:c r="H1979" s="37" t="n">
        <x:f t="shared" si="82">IFERROR(E1979/G1979-1,"")</x:f>
        <x:v>-0.3200016508445157</x:v>
      </x:c>
      <x:c r="I1979" s="38" t="b">
        <x:f t="shared" si="83">E1979&lt;G1979</x:f>
        <x:v>1</x:v>
      </x:c>
    </x:row>
    <x:row r="1980">
      <x:c r="A1980" s="31">
        <x:v>39889</x:v>
      </x:c>
      <x:c r="B1980" s="32">
        <x:v>257.60000000000002</x:v>
      </x:c>
      <x:c r="C1980" s="32">
        <x:v>263.2</x:v>
      </x:c>
      <x:c r="D1980" s="32">
        <x:v>257.60000000000002</x:v>
      </x:c>
      <x:c r="E1980" s="32">
        <x:v>263.2</x:v>
      </x:c>
      <x:c r="F1980" s="33">
        <x:v>19235540</x:v>
      </x:c>
      <x:c r="G1980" s="32" t="n">
        <x:f t="shared" si="81">AVERAGE(E1781:E1980)</x:f>
        <x:v>373.5673000000004</x:v>
      </x:c>
      <x:c r="H1980" s="37" t="n">
        <x:f t="shared" si="82">IFERROR(E1980/G1980-1,"")</x:f>
        <x:v>-0.2954415442679279</x:v>
      </x:c>
      <x:c r="I1980" s="38" t="b">
        <x:f t="shared" si="83">E1980&lt;G1980</x:f>
        <x:v>1</x:v>
      </x:c>
    </x:row>
    <x:row r="1981">
      <x:c r="A1981" s="31">
        <x:v>39890</x:v>
      </x:c>
      <x:c r="B1981" s="32">
        <x:v>273.29000000000002</x:v>
      </x:c>
      <x:c r="C1981" s="32">
        <x:v>273.39</x:v>
      </x:c>
      <x:c r="D1981" s="32">
        <x:v>272.42</x:v>
      </x:c>
      <x:c r="E1981" s="32">
        <x:v>273.39</x:v>
      </x:c>
      <x:c r="F1981" s="33">
        <x:v>22148850</x:v>
      </x:c>
      <x:c r="G1981" s="32" t="n">
        <x:f t="shared" si="81">AVERAGE(E1782:E1981)</x:f>
        <x:v>372.8637500000004</x:v>
      </x:c>
      <x:c r="H1981" s="37" t="n">
        <x:f t="shared" si="82">IFERROR(E1981/G1981-1,"")</x:f>
        <x:v>-0.26678310777060066</x:v>
      </x:c>
      <x:c r="I1981" s="38" t="b">
        <x:f t="shared" si="83">E1981&lt;G1981</x:f>
        <x:v>1</x:v>
      </x:c>
    </x:row>
    <x:row r="1982">
      <x:c r="A1982" s="31">
        <x:v>39891</x:v>
      </x:c>
      <x:c r="B1982" s="32">
        <x:v>272.81</x:v>
      </x:c>
      <x:c r="C1982" s="32">
        <x:v>276.81</x:v>
      </x:c>
      <x:c r="D1982" s="32">
        <x:v>267.04000000000002</x:v>
      </x:c>
      <x:c r="E1982" s="32">
        <x:v>267.04000000000002</x:v>
      </x:c>
      <x:c r="F1982" s="33">
        <x:v>30889150</x:v>
      </x:c>
      <x:c r="G1982" s="32" t="n">
        <x:f t="shared" si="81">AVERAGE(E1783:E1982)</x:f>
        <x:v>372.1592500000003</x:v>
      </x:c>
      <x:c r="H1982" s="37" t="n">
        <x:f t="shared" si="82">IFERROR(E1982/G1982-1,"")</x:f>
        <x:v>-0.2824577113157881</x:v>
      </x:c>
      <x:c r="I1982" s="38" t="b">
        <x:f t="shared" si="83">E1982&lt;G1982</x:f>
        <x:v>1</x:v>
      </x:c>
    </x:row>
    <x:row r="1983">
      <x:c r="A1983" s="31">
        <x:v>39892</x:v>
      </x:c>
      <x:c r="B1983" s="32">
        <x:v>264.76</x:v>
      </x:c>
      <x:c r="C1983" s="32">
        <x:v>269.89999999999998</x:v>
      </x:c>
      <x:c r="D1983" s="32">
        <x:v>264.76</x:v>
      </x:c>
      <x:c r="E1983" s="32">
        <x:v>266.62</x:v>
      </x:c>
      <x:c r="F1983" s="33">
        <x:v>16136560</x:v>
      </x:c>
      <x:c r="G1983" s="32" t="n">
        <x:f t="shared" si="81">AVERAGE(E1784:E1983)</x:f>
        <x:v>371.48635000000024</x:v>
      </x:c>
      <x:c r="H1983" s="37" t="n">
        <x:f t="shared" si="82">IFERROR(E1983/G1983-1,"")</x:f>
        <x:v>-0.2822885686109333</x:v>
      </x:c>
      <x:c r="I1983" s="38" t="b">
        <x:f t="shared" si="83">E1983&lt;G1983</x:f>
        <x:v>1</x:v>
      </x:c>
    </x:row>
    <x:row r="1984">
      <x:c r="A1984" s="31">
        <x:v>39895</x:v>
      </x:c>
      <x:c r="B1984" s="32">
        <x:v>264.86</x:v>
      </x:c>
      <x:c r="C1984" s="32">
        <x:v>265.11</x:v>
      </x:c>
      <x:c r="D1984" s="32">
        <x:v>260.16000000000003</x:v>
      </x:c>
      <x:c r="E1984" s="32">
        <x:v>260.16000000000003</x:v>
      </x:c>
      <x:c r="F1984" s="33">
        <x:v>14508690</x:v>
      </x:c>
      <x:c r="G1984" s="32" t="n">
        <x:f t="shared" si="81">AVERAGE(E1785:E1984)</x:f>
        <x:v>370.80885000000023</x:v>
      </x:c>
      <x:c r="H1984" s="37" t="n">
        <x:f t="shared" si="82">IFERROR(E1984/G1984-1,"")</x:f>
        <x:v>-0.298398622362978</x:v>
      </x:c>
      <x:c r="I1984" s="38" t="b">
        <x:f t="shared" si="83">E1984&lt;G1984</x:f>
        <x:v>1</x:v>
      </x:c>
    </x:row>
    <x:row r="1985">
      <x:c r="A1985" s="31">
        <x:v>39896</x:v>
      </x:c>
      <x:c r="B1985" s="32">
        <x:v>271.2</x:v>
      </x:c>
      <x:c r="C1985" s="32">
        <x:v>271.39999999999998</x:v>
      </x:c>
      <x:c r="D1985" s="32">
        <x:v>269.5</x:v>
      </x:c>
      <x:c r="E1985" s="32">
        <x:v>270.60000000000002</x:v>
      </x:c>
      <x:c r="F1985" s="33">
        <x:v>20298370</x:v>
      </x:c>
      <x:c r="G1985" s="32" t="n">
        <x:f t="shared" si="81">AVERAGE(E1786:E1985)</x:f>
        <x:v>370.21145000000035</x:v>
      </x:c>
      <x:c r="H1985" s="37" t="n">
        <x:f t="shared" si="82">IFERROR(E1985/G1985-1,"")</x:f>
        <x:v>-0.26906636734223166</x:v>
      </x:c>
      <x:c r="I1985" s="38" t="b">
        <x:f t="shared" si="83">E1985&lt;G1985</x:f>
        <x:v>1</x:v>
      </x:c>
    </x:row>
    <x:row r="1986">
      <x:c r="A1986" s="31">
        <x:v>39897</x:v>
      </x:c>
      <x:c r="B1986" s="32">
        <x:v>270</x:v>
      </x:c>
      <x:c r="C1986" s="32">
        <x:v>278.3</x:v>
      </x:c>
      <x:c r="D1986" s="32">
        <x:v>269.60000000000002</x:v>
      </x:c>
      <x:c r="E1986" s="32">
        <x:v>277.60000000000002</x:v>
      </x:c>
      <x:c r="F1986" s="33">
        <x:v>26740880</x:v>
      </x:c>
      <x:c r="G1986" s="32" t="n">
        <x:f t="shared" si="81">AVERAGE(E1787:E1986)</x:f>
        <x:v>369.67825000000033</x:v>
      </x:c>
      <x:c r="H1986" s="37" t="n">
        <x:f t="shared" si="82">IFERROR(E1986/G1986-1,"")</x:f>
        <x:v>-0.24907673091397786</x:v>
      </x:c>
      <x:c r="I1986" s="38" t="b">
        <x:f t="shared" si="83">E1986&lt;G1986</x:f>
        <x:v>1</x:v>
      </x:c>
    </x:row>
    <x:row r="1987">
      <x:c r="A1987" s="31">
        <x:v>39898</x:v>
      </x:c>
      <x:c r="B1987" s="32">
        <x:v>285.3</x:v>
      </x:c>
      <x:c r="C1987" s="32">
        <x:v>286.3</x:v>
      </x:c>
      <x:c r="D1987" s="32">
        <x:v>283.3</x:v>
      </x:c>
      <x:c r="E1987" s="32">
        <x:v>286.3</x:v>
      </x:c>
      <x:c r="F1987" s="33">
        <x:v>26188400</x:v>
      </x:c>
      <x:c r="G1987" s="32" t="n">
        <x:f t="shared" si="81">AVERAGE(E1788:E1987)</x:f>
        <x:v>369.2141500000003</x:v>
      </x:c>
      <x:c r="H1987" s="37" t="n">
        <x:f t="shared" si="82">IFERROR(E1987/G1987-1,"")</x:f>
        <x:v>-0.22456926420615309</x:v>
      </x:c>
      <x:c r="I1987" s="38" t="b">
        <x:f t="shared" si="83">E1987&lt;G1987</x:f>
        <x:v>1</x:v>
      </x:c>
    </x:row>
    <x:row r="1988">
      <x:c r="A1988" s="31">
        <x:v>39899</x:v>
      </x:c>
      <x:c r="B1988" s="32">
        <x:v>285.3</x:v>
      </x:c>
      <x:c r="C1988" s="32">
        <x:v>286.3</x:v>
      </x:c>
      <x:c r="D1988" s="32">
        <x:v>283.3</x:v>
      </x:c>
      <x:c r="E1988" s="32">
        <x:v>286.3</x:v>
      </x:c>
      <x:c r="F1988" s="33">
        <x:v>26188400</x:v>
      </x:c>
      <x:c r="G1988" s="32" t="n">
        <x:f t="shared" si="81">AVERAGE(E1789:E1988)</x:f>
        <x:v>368.7806500000003</x:v>
      </x:c>
      <x:c r="H1988" s="37" t="n">
        <x:f t="shared" si="82">IFERROR(E1988/G1988-1,"")</x:f>
        <x:v>-0.2236577488542315</x:v>
      </x:c>
      <x:c r="I1988" s="38" t="b">
        <x:f t="shared" si="83">E1988&lt;G1988</x:f>
        <x:v>1</x:v>
      </x:c>
    </x:row>
    <x:row r="1989">
      <x:c r="A1989" s="31">
        <x:v>39902</x:v>
      </x:c>
      <x:c r="B1989" s="32">
        <x:v>281.44</x:v>
      </x:c>
      <x:c r="C1989" s="32">
        <x:v>287.08999999999997</x:v>
      </x:c>
      <x:c r="D1989" s="32">
        <x:v>281.06</x:v>
      </x:c>
      <x:c r="E1989" s="32">
        <x:v>282.38</x:v>
      </x:c>
      <x:c r="F1989" s="33">
        <x:v>23929270</x:v>
      </x:c>
      <x:c r="G1989" s="32" t="n">
        <x:f t="shared" si="81">AVERAGE(E1790:E1989)</x:f>
        <x:v>368.34030000000035</x:v>
      </x:c>
      <x:c r="H1989" s="37" t="n">
        <x:f t="shared" si="82">IFERROR(E1989/G1989-1,"")</x:f>
        <x:v>-0.233371966086796</x:v>
      </x:c>
      <x:c r="I1989" s="38" t="b">
        <x:f t="shared" si="83">E1989&lt;G1989</x:f>
        <x:v>1</x:v>
      </x:c>
    </x:row>
    <x:row r="1990">
      <x:c r="A1990" s="31">
        <x:v>39903</x:v>
      </x:c>
      <x:c r="B1990" s="32">
        <x:v>278.5</x:v>
      </x:c>
      <x:c r="C1990" s="32">
        <x:v>280.7</x:v>
      </x:c>
      <x:c r="D1990" s="32">
        <x:v>276.60000000000002</x:v>
      </x:c>
      <x:c r="E1990" s="32">
        <x:v>280.7</x:v>
      </x:c>
      <x:c r="F1990" s="33">
        <x:v>22696930</x:v>
      </x:c>
      <x:c r="G1990" s="32" t="n">
        <x:f t="shared" si="81">AVERAGE(E1791:E1990)</x:f>
        <x:v>367.89105000000035</x:v>
      </x:c>
      <x:c r="H1990" s="37" t="n">
        <x:f t="shared" si="82">IFERROR(E1990/G1990-1,"")</x:f>
        <x:v>-0.2370023679564922</x:v>
      </x:c>
      <x:c r="I1990" s="38" t="b">
        <x:f t="shared" si="83">E1990&lt;G1990</x:f>
        <x:v>1</x:v>
      </x:c>
    </x:row>
    <x:row r="1991">
      <x:c r="A1991" s="31">
        <x:v>39904</x:v>
      </x:c>
      <x:c r="B1991" s="32">
        <x:v>282.10000000000002</x:v>
      </x:c>
      <x:c r="C1991" s="32">
        <x:v>289.5</x:v>
      </x:c>
      <x:c r="D1991" s="32">
        <x:v>282.10000000000002</x:v>
      </x:c>
      <x:c r="E1991" s="32">
        <x:v>289.5</x:v>
      </x:c>
      <x:c r="F1991" s="33">
        <x:v>20483880</x:v>
      </x:c>
      <x:c r="G1991" s="32" t="n">
        <x:f t="shared" si="81">AVERAGE(E1792:E1991)</x:f>
        <x:v>367.47515000000027</x:v>
      </x:c>
      <x:c r="H1991" s="37" t="n">
        <x:f t="shared" si="82">IFERROR(E1991/G1991-1,"")</x:f>
        <x:v>-0.21219162710730288</x:v>
      </x:c>
      <x:c r="I1991" s="38" t="b">
        <x:f t="shared" si="83">E1991&lt;G1991</x:f>
        <x:v>1</x:v>
      </x:c>
    </x:row>
    <x:row r="1992">
      <x:c r="A1992" s="31">
        <x:v>39905</x:v>
      </x:c>
      <x:c r="B1992" s="32">
        <x:v>294</x:v>
      </x:c>
      <x:c r="C1992" s="32">
        <x:v>297.3</x:v>
      </x:c>
      <x:c r="D1992" s="32">
        <x:v>292.39999999999998</x:v>
      </x:c>
      <x:c r="E1992" s="32">
        <x:v>297.3</x:v>
      </x:c>
      <x:c r="F1992" s="33">
        <x:v>28935590</x:v>
      </x:c>
      <x:c r="G1992" s="32" t="n">
        <x:f t="shared" si="81">AVERAGE(E1793:E1992)</x:f>
        <x:v>367.07065000000034</x:v>
      </x:c>
      <x:c r="H1992" s="37" t="n">
        <x:f t="shared" si="82">IFERROR(E1992/G1992-1,"")</x:f>
        <x:v>-0.1900741723698156</x:v>
      </x:c>
      <x:c r="I1992" s="38" t="b">
        <x:f t="shared" si="83">E1992&lt;G1992</x:f>
        <x:v>1</x:v>
      </x:c>
    </x:row>
    <x:row r="1993">
      <x:c r="A1993" s="31">
        <x:v>39906</x:v>
      </x:c>
      <x:c r="B1993" s="32">
        <x:v>306.60000000000002</x:v>
      </x:c>
      <x:c r="C1993" s="32">
        <x:v>310.3</x:v>
      </x:c>
      <x:c r="D1993" s="32">
        <x:v>306.60000000000002</x:v>
      </x:c>
      <x:c r="E1993" s="32">
        <x:v>310.3</x:v>
      </x:c>
      <x:c r="F1993" s="33">
        <x:v>38972210</x:v>
      </x:c>
      <x:c r="G1993" s="32" t="n">
        <x:f t="shared" si="81">AVERAGE(E1794:E1993)</x:f>
        <x:v>366.6986000000002</x:v>
      </x:c>
      <x:c r="H1993" s="37" t="n">
        <x:f t="shared" si="82">IFERROR(E1993/G1993-1,"")</x:f>
        <x:v>-0.1538009689701575</x:v>
      </x:c>
      <x:c r="I1993" s="38" t="b">
        <x:f t="shared" si="83">E1993&lt;G1993</x:f>
        <x:v>1</x:v>
      </x:c>
    </x:row>
    <x:row r="1994">
      <x:c r="A1994" s="31">
        <x:v>39910</x:v>
      </x:c>
      <x:c r="B1994" s="32">
        <x:v>313.7</x:v>
      </x:c>
      <x:c r="C1994" s="32">
        <x:v>322.39999999999998</x:v>
      </x:c>
      <x:c r="D1994" s="32">
        <x:v>309.8</x:v>
      </x:c>
      <x:c r="E1994" s="32">
        <x:v>322.39999999999998</x:v>
      </x:c>
      <x:c r="F1994" s="33">
        <x:v>42175410</x:v>
      </x:c>
      <x:c r="G1994" s="32" t="n">
        <x:f t="shared" si="81">AVERAGE(E1795:E1994)</x:f>
        <x:v>366.40025000000026</x:v>
      </x:c>
      <x:c r="H1994" s="37" t="n">
        <x:f t="shared" si="82">IFERROR(E1994/G1994-1,"")</x:f>
        <x:v>-0.12008793662122297</x:v>
      </x:c>
      <x:c r="I1994" s="38" t="b">
        <x:f t="shared" si="83">E1994&lt;G1994</x:f>
        <x:v>1</x:v>
      </x:c>
    </x:row>
    <x:row r="1995">
      <x:c r="A1995" s="31">
        <x:v>39911</x:v>
      </x:c>
      <x:c r="B1995" s="32">
        <x:v>316.7</x:v>
      </x:c>
      <x:c r="C1995" s="32">
        <x:v>328.5</x:v>
      </x:c>
      <x:c r="D1995" s="32">
        <x:v>313.39999999999998</x:v>
      </x:c>
      <x:c r="E1995" s="32">
        <x:v>313.8</x:v>
      </x:c>
      <x:c r="F1995" s="33">
        <x:v>55004150</x:v>
      </x:c>
      <x:c r="G1995" s="32" t="n">
        <x:f t="shared" si="81">AVERAGE(E1796:E1995)</x:f>
        <x:v>366.1029000000002</x:v>
      </x:c>
      <x:c r="H1995" s="37" t="n">
        <x:f t="shared" si="82">IFERROR(E1995/G1995-1,"")</x:f>
        <x:v>-0.14286393251733365</x:v>
      </x:c>
      <x:c r="I1995" s="38" t="b">
        <x:f t="shared" si="83">E1995&lt;G1995</x:f>
        <x:v>1</x:v>
      </x:c>
    </x:row>
    <x:row r="1996">
      <x:c r="A1996" s="31">
        <x:v>39912</x:v>
      </x:c>
      <x:c r="B1996" s="32">
        <x:v>316.7</x:v>
      </x:c>
      <x:c r="C1996" s="32">
        <x:v>316.7</x:v>
      </x:c>
      <x:c r="D1996" s="32">
        <x:v>310</x:v>
      </x:c>
      <x:c r="E1996" s="32">
        <x:v>311.7</x:v>
      </x:c>
      <x:c r="F1996" s="33">
        <x:v>34560160</x:v>
      </x:c>
      <x:c r="G1996" s="32" t="n">
        <x:f t="shared" si="81">AVERAGE(E1797:E1996)</x:f>
        <x:v>365.83130000000017</x:v>
      </x:c>
      <x:c r="H1996" s="37" t="n">
        <x:f t="shared" si="82">IFERROR(E1996/G1996-1,"")</x:f>
        <x:v>-0.1479679294800641</x:v>
      </x:c>
      <x:c r="I1996" s="38" t="b">
        <x:f t="shared" si="83">E1996&lt;G1996</x:f>
        <x:v>1</x:v>
      </x:c>
    </x:row>
    <x:row r="1997">
      <x:c r="A1997" s="31">
        <x:v>39913</x:v>
      </x:c>
      <x:c r="B1997" s="32">
        <x:v>323.7</x:v>
      </x:c>
      <x:c r="C1997" s="32">
        <x:v>325.89999999999998</x:v>
      </x:c>
      <x:c r="D1997" s="32">
        <x:v>323.7</x:v>
      </x:c>
      <x:c r="E1997" s="32">
        <x:v>325.10000000000002</x:v>
      </x:c>
      <x:c r="F1997" s="33">
        <x:v>26985470</x:v>
      </x:c>
      <x:c r="G1997" s="32" t="n">
        <x:f t="shared" ref="G1997:G2060" si="84">AVERAGE(E1798:E1997)</x:f>
        <x:v>365.6120500000002</x:v>
      </x:c>
      <x:c r="H1997" s="37" t="n">
        <x:f t="shared" ref="H1997:H2060" si="85">IFERROR(E1997/G1997-1,"")</x:f>
        <x:v>-0.11080611265411011</x:v>
      </x:c>
      <x:c r="I1997" s="38" t="b">
        <x:f t="shared" ref="I1997:I2060" si="86">E1997&lt;G1997</x:f>
        <x:v>1</x:v>
      </x:c>
    </x:row>
    <x:row r="1998">
      <x:c r="A1998" s="31">
        <x:v>39916</x:v>
      </x:c>
      <x:c r="B1998" s="32">
        <x:v>334.43</x:v>
      </x:c>
      <x:c r="C1998" s="32">
        <x:v>340.01</x:v>
      </x:c>
      <x:c r="D1998" s="32">
        <x:v>334.43</x:v>
      </x:c>
      <x:c r="E1998" s="32">
        <x:v>340.01</x:v>
      </x:c>
      <x:c r="F1998" s="33">
        <x:v>24279770</x:v>
      </x:c>
      <x:c r="G1998" s="32" t="n">
        <x:f t="shared" si="84">AVERAGE(E1799:E1998)</x:f>
        <x:v>365.4322500000001</x:v>
      </x:c>
      <x:c r="H1998" s="37" t="n">
        <x:f t="shared" si="85">IFERROR(E1998/G1998-1,"")</x:f>
        <x:v>-0.06956761479043005</x:v>
      </x:c>
      <x:c r="I1998" s="38" t="b">
        <x:f t="shared" si="86">E1998&lt;G1998</x:f>
        <x:v>1</x:v>
      </x:c>
    </x:row>
    <x:row r="1999">
      <x:c r="A1999" s="31">
        <x:v>39917</x:v>
      </x:c>
      <x:c r="B1999" s="32">
        <x:v>344.2</x:v>
      </x:c>
      <x:c r="C1999" s="32">
        <x:v>347.8</x:v>
      </x:c>
      <x:c r="D1999" s="32">
        <x:v>339.2</x:v>
      </x:c>
      <x:c r="E1999" s="32">
        <x:v>347.1</x:v>
      </x:c>
      <x:c r="F1999" s="33">
        <x:v>52768260</x:v>
      </x:c>
      <x:c r="G1999" s="32" t="n">
        <x:f t="shared" si="84">AVERAGE(E1800:E1999)</x:f>
        <x:v>365.24885000000023</x:v>
      </x:c>
      <x:c r="H1999" s="37" t="n">
        <x:f t="shared" si="85">IFERROR(E1999/G1999-1,"")</x:f>
        <x:v>-0.049688999705269965</x:v>
      </x:c>
      <x:c r="I1999" s="38" t="b">
        <x:f t="shared" si="86">E1999&lt;G1999</x:f>
        <x:v>1</x:v>
      </x:c>
    </x:row>
    <x:row r="2000">
      <x:c r="A2000" s="31">
        <x:v>39918</x:v>
      </x:c>
      <x:c r="B2000" s="32">
        <x:v>344.1</x:v>
      </x:c>
      <x:c r="C2000" s="32">
        <x:v>347.8</x:v>
      </x:c>
      <x:c r="D2000" s="32">
        <x:v>338.6</x:v>
      </x:c>
      <x:c r="E2000" s="32">
        <x:v>339.3</x:v>
      </x:c>
      <x:c r="F2000" s="33">
        <x:v>60739310</x:v>
      </x:c>
      <x:c r="G2000" s="32" t="n">
        <x:f t="shared" si="84">AVERAGE(E1801:E2000)</x:f>
        <x:v>365.0129500000002</x:v>
      </x:c>
      <x:c r="H2000" s="37" t="n">
        <x:f t="shared" si="85">IFERROR(E2000/G2000-1,"")</x:f>
        <x:v>-0.07044393904380708</x:v>
      </x:c>
      <x:c r="I2000" s="38" t="b">
        <x:f t="shared" si="86">E2000&lt;G2000</x:f>
        <x:v>1</x:v>
      </x:c>
    </x:row>
    <x:row r="2001">
      <x:c r="A2001" s="31">
        <x:v>39919</x:v>
      </x:c>
      <x:c r="B2001" s="32">
        <x:v>346.2</x:v>
      </x:c>
      <x:c r="C2001" s="32">
        <x:v>346.2</x:v>
      </x:c>
      <x:c r="D2001" s="32">
        <x:v>339.7</x:v>
      </x:c>
      <x:c r="E2001" s="32">
        <x:v>343.9</x:v>
      </x:c>
      <x:c r="F2001" s="33">
        <x:v>44240750</x:v>
      </x:c>
      <x:c r="G2001" s="32" t="n">
        <x:f t="shared" si="84">AVERAGE(E1802:E2001)</x:f>
        <x:v>364.7694000000001</x:v>
      </x:c>
      <x:c r="H2001" s="37" t="n">
        <x:f t="shared" si="85">IFERROR(E2001/G2001-1,"")</x:f>
        <x:v>-0.05721258416961539</x:v>
      </x:c>
      <x:c r="I2001" s="38" t="b">
        <x:f t="shared" si="86">E2001&lt;G2001</x:f>
        <x:v>1</x:v>
      </x:c>
    </x:row>
    <x:row r="2002">
      <x:c r="A2002" s="31">
        <x:v>39920</x:v>
      </x:c>
      <x:c r="B2002" s="32">
        <x:v>341.2</x:v>
      </x:c>
      <x:c r="C2002" s="32">
        <x:v>341.2</x:v>
      </x:c>
      <x:c r="D2002" s="32">
        <x:v>329.3</x:v>
      </x:c>
      <x:c r="E2002" s="32">
        <x:v>334.1</x:v>
      </x:c>
      <x:c r="F2002" s="33">
        <x:v>67198810</x:v>
      </x:c>
      <x:c r="G2002" s="32" t="n">
        <x:f t="shared" si="84">AVERAGE(E1803:E2002)</x:f>
        <x:v>364.4429000000002</x:v>
      </x:c>
      <x:c r="H2002" s="37" t="n">
        <x:f t="shared" si="85">IFERROR(E2002/G2002-1,"")</x:f>
        <x:v>-0.08325831014954643</x:v>
      </x:c>
      <x:c r="I2002" s="38" t="b">
        <x:f t="shared" si="86">E2002&lt;G2002</x:f>
        <x:v>1</x:v>
      </x:c>
    </x:row>
    <x:row r="2003">
      <x:c r="A2003" s="31">
        <x:v>39923</x:v>
      </x:c>
      <x:c r="B2003" s="32">
        <x:v>334.1</x:v>
      </x:c>
      <x:c r="C2003" s="32">
        <x:v>334.1</x:v>
      </x:c>
      <x:c r="D2003" s="32">
        <x:v>318.89999999999998</x:v>
      </x:c>
      <x:c r="E2003" s="32">
        <x:v>318.89999999999998</x:v>
      </x:c>
      <x:c r="F2003" s="33">
        <x:v>17925260</x:v>
      </x:c>
      <x:c r="G2003" s="32" t="n">
        <x:f t="shared" si="84">AVERAGE(E1804:E2003)</x:f>
        <x:v>363.9893500000002</x:v>
      </x:c>
      <x:c r="H2003" s="37" t="n">
        <x:f t="shared" si="85">IFERROR(E2003/G2003-1,"")</x:f>
        <x:v>-0.12387546503764513</x:v>
      </x:c>
      <x:c r="I2003" s="38" t="b">
        <x:f t="shared" si="86">E2003&lt;G2003</x:f>
        <x:v>1</x:v>
      </x:c>
    </x:row>
    <x:row r="2004">
      <x:c r="A2004" s="31">
        <x:v>39924</x:v>
      </x:c>
      <x:c r="B2004" s="32">
        <x:v>309.8</x:v>
      </x:c>
      <x:c r="C2004" s="32">
        <x:v>312.8</x:v>
      </x:c>
      <x:c r="D2004" s="32">
        <x:v>305</x:v>
      </x:c>
      <x:c r="E2004" s="32">
        <x:v>312.8</x:v>
      </x:c>
      <x:c r="F2004" s="33">
        <x:v>26867340</x:v>
      </x:c>
      <x:c r="G2004" s="32" t="n">
        <x:f t="shared" si="84">AVERAGE(E1805:E2004)</x:f>
        <x:v>363.4569000000002</x:v>
      </x:c>
      <x:c r="H2004" s="37" t="n">
        <x:f t="shared" si="85">IFERROR(E2004/G2004-1,"")</x:f>
        <x:v>-0.13937526017527846</x:v>
      </x:c>
      <x:c r="I2004" s="38" t="b">
        <x:f t="shared" si="86">E2004&lt;G2004</x:f>
        <x:v>1</x:v>
      </x:c>
    </x:row>
    <x:row r="2005">
      <x:c r="A2005" s="31">
        <x:v>39925</x:v>
      </x:c>
      <x:c r="B2005" s="32">
        <x:v>313.89999999999998</x:v>
      </x:c>
      <x:c r="C2005" s="32">
        <x:v>323.89999999999998</x:v>
      </x:c>
      <x:c r="D2005" s="32">
        <x:v>313.89999999999998</x:v>
      </x:c>
      <x:c r="E2005" s="32">
        <x:v>321.89999999999998</x:v>
      </x:c>
      <x:c r="F2005" s="33">
        <x:v>51173700</x:v>
      </x:c>
      <x:c r="G2005" s="32" t="n">
        <x:f t="shared" si="84">AVERAGE(E1806:E2005)</x:f>
        <x:v>362.9161500000002</x:v>
      </x:c>
      <x:c r="H2005" s="37" t="n">
        <x:f t="shared" si="85">IFERROR(E2005/G2005-1,"")</x:f>
        <x:v>-0.11301825504321095</x:v>
      </x:c>
      <x:c r="I2005" s="38" t="b">
        <x:f t="shared" si="86">E2005&lt;G2005</x:f>
        <x:v>1</x:v>
      </x:c>
    </x:row>
    <x:row r="2006">
      <x:c r="A2006" s="31">
        <x:v>39926</x:v>
      </x:c>
      <x:c r="B2006" s="32">
        <x:v>320.5</x:v>
      </x:c>
      <x:c r="C2006" s="32">
        <x:v>324.89999999999998</x:v>
      </x:c>
      <x:c r="D2006" s="32">
        <x:v>315.2</x:v>
      </x:c>
      <x:c r="E2006" s="32">
        <x:v>315.2</x:v>
      </x:c>
      <x:c r="F2006" s="33">
        <x:v>28996170</x:v>
      </x:c>
      <x:c r="G2006" s="32" t="n">
        <x:f t="shared" si="84">AVERAGE(E1807:E2006)</x:f>
        <x:v>362.29375000000016</x:v>
      </x:c>
      <x:c r="H2006" s="37" t="n">
        <x:f t="shared" si="85">IFERROR(E2006/G2006-1,"")</x:f>
        <x:v>-0.12998775165180232</x:v>
      </x:c>
      <x:c r="I2006" s="38" t="b">
        <x:f t="shared" si="86">E2006&lt;G2006</x:f>
        <x:v>1</x:v>
      </x:c>
    </x:row>
    <x:row r="2007">
      <x:c r="A2007" s="31">
        <x:v>39927</x:v>
      </x:c>
      <x:c r="B2007" s="32">
        <x:v>308.60000000000002</x:v>
      </x:c>
      <x:c r="C2007" s="32">
        <x:v>309.89999999999998</x:v>
      </x:c>
      <x:c r="D2007" s="32">
        <x:v>304.5</x:v>
      </x:c>
      <x:c r="E2007" s="32">
        <x:v>309.89999999999998</x:v>
      </x:c>
      <x:c r="F2007" s="33">
        <x:v>28344320</x:v>
      </x:c>
      <x:c r="G2007" s="32" t="n">
        <x:f t="shared" si="84">AVERAGE(E1808:E2007)</x:f>
        <x:v>361.6638000000001</x:v>
      </x:c>
      <x:c r="H2007" s="37" t="n">
        <x:f t="shared" si="85">IFERROR(E2007/G2007-1,"")</x:f>
        <x:v>-0.1431268487473728</x:v>
      </x:c>
      <x:c r="I2007" s="38" t="b">
        <x:f t="shared" si="86">E2007&lt;G2007</x:f>
        <x:v>1</x:v>
      </x:c>
    </x:row>
    <x:row r="2008">
      <x:c r="A2008" s="31">
        <x:v>39930</x:v>
      </x:c>
      <x:c r="B2008" s="32">
        <x:v>315.60000000000002</x:v>
      </x:c>
      <x:c r="C2008" s="32">
        <x:v>316.8</x:v>
      </x:c>
      <x:c r="D2008" s="32">
        <x:v>311.10000000000002</x:v>
      </x:c>
      <x:c r="E2008" s="32">
        <x:v>313.7</x:v>
      </x:c>
      <x:c r="F2008" s="33">
        <x:v>20740160</x:v>
      </x:c>
      <x:c r="G2008" s="32" t="n">
        <x:f t="shared" si="84">AVERAGE(E1809:E2008)</x:f>
        <x:v>361.0487500000001</x:v>
      </x:c>
      <x:c r="H2008" s="37" t="n">
        <x:f t="shared" si="85">IFERROR(E2008/G2008-1,"")</x:f>
        <x:v>-0.13114226264458773</x:v>
      </x:c>
      <x:c r="I2008" s="38" t="b">
        <x:f t="shared" si="86">E2008&lt;G2008</x:f>
        <x:v>1</x:v>
      </x:c>
    </x:row>
    <x:row r="2009">
      <x:c r="A2009" s="31">
        <x:v>39931</x:v>
      </x:c>
      <x:c r="B2009" s="32">
        <x:v>310.39999999999998</x:v>
      </x:c>
      <x:c r="C2009" s="32">
        <x:v>315.7</x:v>
      </x:c>
      <x:c r="D2009" s="32">
        <x:v>310.39999999999998</x:v>
      </x:c>
      <x:c r="E2009" s="32">
        <x:v>315.7</x:v>
      </x:c>
      <x:c r="F2009" s="33">
        <x:v>21319030</x:v>
      </x:c>
      <x:c r="G2009" s="32" t="n">
        <x:f t="shared" si="84">AVERAGE(E1810:E2009)</x:f>
        <x:v>360.4295</x:v>
      </x:c>
      <x:c r="H2009" s="37" t="n">
        <x:f t="shared" si="85">IFERROR(E2009/G2009-1,"")</x:f>
        <x:v>-0.12410055225779248</x:v>
      </x:c>
      <x:c r="I2009" s="38" t="b">
        <x:f t="shared" si="86">E2009&lt;G2009</x:f>
        <x:v>1</x:v>
      </x:c>
    </x:row>
    <x:row r="2010">
      <x:c r="A2010" s="31">
        <x:v>39932</x:v>
      </x:c>
      <x:c r="B2010" s="32">
        <x:v>315.7</x:v>
      </x:c>
      <x:c r="C2010" s="32">
        <x:v>321.60000000000002</x:v>
      </x:c>
      <x:c r="D2010" s="32">
        <x:v>315.39999999999998</x:v>
      </x:c>
      <x:c r="E2010" s="32">
        <x:v>321.60000000000002</x:v>
      </x:c>
      <x:c r="F2010" s="33">
        <x:v>25687530</x:v>
      </x:c>
      <x:c r="G2010" s="32" t="n">
        <x:f t="shared" si="84">AVERAGE(E1811:E2010)</x:f>
        <x:v>359.8045</x:v>
      </x:c>
      <x:c r="H2010" s="37" t="n">
        <x:f t="shared" si="85">IFERROR(E2010/G2010-1,"")</x:f>
        <x:v>-0.10618127344154948</x:v>
      </x:c>
      <x:c r="I2010" s="38" t="b">
        <x:f t="shared" si="86">E2010&lt;G2010</x:f>
        <x:v>1</x:v>
      </x:c>
    </x:row>
    <x:row r="2011">
      <x:c r="A2011" s="31">
        <x:v>39937</x:v>
      </x:c>
      <x:c r="B2011" s="32">
        <x:v>336.3</x:v>
      </x:c>
      <x:c r="C2011" s="32">
        <x:v>336.6</x:v>
      </x:c>
      <x:c r="D2011" s="32">
        <x:v>336.3</x:v>
      </x:c>
      <x:c r="E2011" s="32">
        <x:v>336.6</x:v>
      </x:c>
      <x:c r="F2011" s="33">
        <x:v>12881390</x:v>
      </x:c>
      <x:c r="G2011" s="32" t="n">
        <x:f t="shared" si="84">AVERAGE(E1812:E2011)</x:f>
        <x:v>359.2043000000001</x:v>
      </x:c>
      <x:c r="H2011" s="37" t="n">
        <x:f t="shared" si="85">IFERROR(E2011/G2011-1,"")</x:f>
        <x:v>-0.06292881237780301</x:v>
      </x:c>
      <x:c r="I2011" s="38" t="b">
        <x:f t="shared" si="86">E2011&lt;G2011</x:f>
        <x:v>1</x:v>
      </x:c>
    </x:row>
    <x:row r="2012">
      <x:c r="A2012" s="31">
        <x:v>39938</x:v>
      </x:c>
      <x:c r="B2012" s="32">
        <x:v>352.5</x:v>
      </x:c>
      <x:c r="C2012" s="32">
        <x:v>352.6</x:v>
      </x:c>
      <x:c r="D2012" s="32">
        <x:v>351.1</x:v>
      </x:c>
      <x:c r="E2012" s="32">
        <x:v>351.3</x:v>
      </x:c>
      <x:c r="F2012" s="33">
        <x:v>25756950</x:v>
      </x:c>
      <x:c r="G2012" s="32" t="n">
        <x:f t="shared" si="84">AVERAGE(E1813:E2012)</x:f>
        <x:v>358.62110000000007</x:v>
      </x:c>
      <x:c r="H2012" s="37" t="n">
        <x:f t="shared" si="85">IFERROR(E2012/G2012-1,"")</x:f>
        <x:v>-0.020414582410237636</x:v>
      </x:c>
      <x:c r="I2012" s="38" t="b">
        <x:f t="shared" si="86">E2012&lt;G2012</x:f>
        <x:v>1</x:v>
      </x:c>
    </x:row>
    <x:row r="2013">
      <x:c r="A2013" s="31">
        <x:v>39939</x:v>
      </x:c>
      <x:c r="B2013" s="32">
        <x:v>355.2</x:v>
      </x:c>
      <x:c r="C2013" s="32">
        <x:v>357.5</x:v>
      </x:c>
      <x:c r="D2013" s="32">
        <x:v>348.8</x:v>
      </x:c>
      <x:c r="E2013" s="32">
        <x:v>350.1</x:v>
      </x:c>
      <x:c r="F2013" s="33">
        <x:v>78347820</x:v>
      </x:c>
      <x:c r="G2013" s="32" t="n">
        <x:f t="shared" si="84">AVERAGE(E1814:E2013)</x:f>
        <x:v>357.9726000000001</x:v>
      </x:c>
      <x:c r="H2013" s="37" t="n">
        <x:f t="shared" si="85">IFERROR(E2013/G2013-1,"")</x:f>
        <x:v>-0.02199218599412378</x:v>
      </x:c>
      <x:c r="I2013" s="38" t="b">
        <x:f t="shared" si="86">E2013&lt;G2013</x:f>
        <x:v>1</x:v>
      </x:c>
    </x:row>
    <x:row r="2014">
      <x:c r="A2014" s="31">
        <x:v>39940</x:v>
      </x:c>
      <x:c r="B2014" s="32">
        <x:v>358</x:v>
      </x:c>
      <x:c r="C2014" s="32">
        <x:v>364.5</x:v>
      </x:c>
      <x:c r="D2014" s="32">
        <x:v>358</x:v>
      </x:c>
      <x:c r="E2014" s="32">
        <x:v>363.9</x:v>
      </x:c>
      <x:c r="F2014" s="33">
        <x:v>41414270</x:v>
      </x:c>
      <x:c r="G2014" s="32" t="n">
        <x:f t="shared" si="84">AVERAGE(E1815:E2014)</x:f>
        <x:v>357.3594500000001</x:v>
      </x:c>
      <x:c r="H2014" s="37" t="n">
        <x:f t="shared" si="85">IFERROR(E2014/G2014-1,"")</x:f>
        <x:v>0.01830244030205419</x:v>
      </x:c>
      <x:c r="I2014" s="38" t="b">
        <x:f t="shared" si="86">E2014&lt;G2014</x:f>
        <x:v>0</x:v>
      </x:c>
    </x:row>
    <x:row r="2015">
      <x:c r="A2015" s="31">
        <x:v>39941</x:v>
      </x:c>
      <x:c r="B2015" s="32">
        <x:v>363.9</x:v>
      </x:c>
      <x:c r="C2015" s="32">
        <x:v>370.7</x:v>
      </x:c>
      <x:c r="D2015" s="32">
        <x:v>363.9</x:v>
      </x:c>
      <x:c r="E2015" s="32">
        <x:v>366.2</x:v>
      </x:c>
      <x:c r="F2015" s="33">
        <x:v>48143060</x:v>
      </x:c>
      <x:c r="G2015" s="32" t="n">
        <x:f t="shared" si="84">AVERAGE(E1816:E2015)</x:f>
        <x:v>356.7413</x:v>
      </x:c>
      <x:c r="H2015" s="37" t="n">
        <x:f t="shared" si="85">IFERROR(E2015/G2015-1,"")</x:f>
        <x:v>0.026514171473838166</x:v>
      </x:c>
      <x:c r="I2015" s="38" t="b">
        <x:f t="shared" si="86">E2015&lt;G2015</x:f>
        <x:v>0</x:v>
      </x:c>
    </x:row>
    <x:row r="2016">
      <x:c r="A2016" s="31">
        <x:v>39944</x:v>
      </x:c>
      <x:c r="B2016" s="32">
        <x:v>371.3</x:v>
      </x:c>
      <x:c r="C2016" s="32">
        <x:v>376.9</x:v>
      </x:c>
      <x:c r="D2016" s="32">
        <x:v>370.4</x:v>
      </x:c>
      <x:c r="E2016" s="32">
        <x:v>373</x:v>
      </x:c>
      <x:c r="F2016" s="33">
        <x:v>43358540</x:v>
      </x:c>
      <x:c r="G2016" s="32" t="n">
        <x:f t="shared" si="84">AVERAGE(E1817:E2016)</x:f>
        <x:v>356.19105</x:v>
      </x:c>
      <x:c r="H2016" s="37" t="n">
        <x:f t="shared" si="85">IFERROR(E2016/G2016-1,"")</x:f>
        <x:v>0.04719082638376215</x:v>
      </x:c>
      <x:c r="I2016" s="38" t="b">
        <x:f t="shared" si="86">E2016&lt;G2016</x:f>
        <x:v>0</x:v>
      </x:c>
    </x:row>
    <x:row r="2017">
      <x:c r="A2017" s="31">
        <x:v>39945</x:v>
      </x:c>
      <x:c r="B2017" s="32">
        <x:v>374.1</x:v>
      </x:c>
      <x:c r="C2017" s="32">
        <x:v>382.1</x:v>
      </x:c>
      <x:c r="D2017" s="32">
        <x:v>371.1</x:v>
      </x:c>
      <x:c r="E2017" s="32">
        <x:v>382</x:v>
      </x:c>
      <x:c r="F2017" s="33">
        <x:v>44258860</x:v>
      </x:c>
      <x:c r="G2017" s="32" t="n">
        <x:f t="shared" si="84">AVERAGE(E1818:E2017)</x:f>
        <x:v>355.74694999999997</x:v>
      </x:c>
      <x:c r="H2017" s="37" t="n">
        <x:f t="shared" si="85">IFERROR(E2017/G2017-1,"")</x:f>
        <x:v>0.07379697844212019</x:v>
      </x:c>
      <x:c r="I2017" s="38" t="b">
        <x:f t="shared" si="86">E2017&lt;G2017</x:f>
        <x:v>0</x:v>
      </x:c>
    </x:row>
    <x:row r="2018">
      <x:c r="A2018" s="31">
        <x:v>39946</x:v>
      </x:c>
      <x:c r="B2018" s="32">
        <x:v>381.6</x:v>
      </x:c>
      <x:c r="C2018" s="32">
        <x:v>386.3</x:v>
      </x:c>
      <x:c r="D2018" s="32">
        <x:v>378.3</x:v>
      </x:c>
      <x:c r="E2018" s="32">
        <x:v>378.3</x:v>
      </x:c>
      <x:c r="F2018" s="33">
        <x:v>51163820</x:v>
      </x:c>
      <x:c r="G2018" s="32" t="n">
        <x:f t="shared" si="84">AVERAGE(E1819:E2018)</x:f>
        <x:v>355.34905</x:v>
      </x:c>
      <x:c r="H2018" s="37" t="n">
        <x:f t="shared" si="85">IFERROR(E2018/G2018-1,"")</x:f>
        <x:v>0.06458705883693794</x:v>
      </x:c>
      <x:c r="I2018" s="38" t="b">
        <x:f t="shared" si="86">E2018&lt;G2018</x:f>
        <x:v>0</x:v>
      </x:c>
    </x:row>
    <x:row r="2019">
      <x:c r="A2019" s="31">
        <x:v>39947</x:v>
      </x:c>
      <x:c r="B2019" s="32">
        <x:v>373.4</x:v>
      </x:c>
      <x:c r="C2019" s="32">
        <x:v>376.8</x:v>
      </x:c>
      <x:c r="D2019" s="32">
        <x:v>368.1</x:v>
      </x:c>
      <x:c r="E2019" s="32">
        <x:v>376.8</x:v>
      </x:c>
      <x:c r="F2019" s="33">
        <x:v>52474040</x:v>
      </x:c>
      <x:c r="G2019" s="32" t="n">
        <x:f t="shared" si="84">AVERAGE(E1820:E2019)</x:f>
        <x:v>355.0051</x:v>
      </x:c>
      <x:c r="H2019" s="37" t="n">
        <x:f t="shared" si="85">IFERROR(E2019/G2019-1,"")</x:f>
        <x:v>0.061393202520189094</x:v>
      </x:c>
      <x:c r="I2019" s="38" t="b">
        <x:f t="shared" si="86">E2019&lt;G2019</x:f>
        <x:v>0</x:v>
      </x:c>
    </x:row>
    <x:row r="2020">
      <x:c r="A2020" s="31">
        <x:v>39948</x:v>
      </x:c>
      <x:c r="B2020" s="32">
        <x:v>379.4</x:v>
      </x:c>
      <x:c r="C2020" s="32">
        <x:v>390.2</x:v>
      </x:c>
      <x:c r="D2020" s="32">
        <x:v>379.4</x:v>
      </x:c>
      <x:c r="E2020" s="32">
        <x:v>390.2</x:v>
      </x:c>
      <x:c r="F2020" s="33">
        <x:v>50338940</x:v>
      </x:c>
      <x:c r="G2020" s="32" t="n">
        <x:f t="shared" si="84">AVERAGE(E1821:E2020)</x:f>
        <x:v>354.77715000000006</x:v>
      </x:c>
      <x:c r="H2020" s="37" t="n">
        <x:f t="shared" si="85">IFERROR(E2020/G2020-1,"")</x:f>
        <x:v>0.09984535362550817</x:v>
      </x:c>
      <x:c r="I2020" s="38" t="b">
        <x:f t="shared" si="86">E2020&lt;G2020</x:f>
        <x:v>0</x:v>
      </x:c>
    </x:row>
    <x:row r="2021">
      <x:c r="A2021" s="31">
        <x:v>39951</x:v>
      </x:c>
      <x:c r="B2021" s="32">
        <x:v>390.4</x:v>
      </x:c>
      <x:c r="C2021" s="32">
        <x:v>395.4</x:v>
      </x:c>
      <x:c r="D2021" s="32">
        <x:v>390.4</x:v>
      </x:c>
      <x:c r="E2021" s="32">
        <x:v>390.9</x:v>
      </x:c>
      <x:c r="F2021" s="33">
        <x:v>49763890</x:v>
      </x:c>
      <x:c r="G2021" s="32" t="n">
        <x:f t="shared" si="84">AVERAGE(E1822:E2021)</x:f>
        <x:v>354.58435000000003</x:v>
      </x:c>
      <x:c r="H2021" s="37" t="n">
        <x:f t="shared" si="85">IFERROR(E2021/G2021-1,"")</x:f>
        <x:v>0.10241752068301935</x:v>
      </x:c>
      <x:c r="I2021" s="38" t="b">
        <x:f t="shared" si="86">E2021&lt;G2021</x:f>
        <x:v>0</x:v>
      </x:c>
    </x:row>
    <x:row r="2022">
      <x:c r="A2022" s="31">
        <x:v>39952</x:v>
      </x:c>
      <x:c r="B2022" s="32">
        <x:v>399.6</x:v>
      </x:c>
      <x:c r="C2022" s="32">
        <x:v>404.4</x:v>
      </x:c>
      <x:c r="D2022" s="32">
        <x:v>399.3</x:v>
      </x:c>
      <x:c r="E2022" s="32">
        <x:v>400.9</x:v>
      </x:c>
      <x:c r="F2022" s="33">
        <x:v>50409340</x:v>
      </x:c>
      <x:c r="G2022" s="32" t="n">
        <x:f t="shared" si="84">AVERAGE(E1823:E2022)</x:f>
        <x:v>354.41565</x:v>
      </x:c>
      <x:c r="H2022" s="37" t="n">
        <x:f t="shared" si="85">IFERROR(E2022/G2022-1,"")</x:f>
        <x:v>0.13115772398876846</x:v>
      </x:c>
      <x:c r="I2022" s="38" t="b">
        <x:f t="shared" si="86">E2022&lt;G2022</x:f>
        <x:v>0</x:v>
      </x:c>
    </x:row>
    <x:row r="2023">
      <x:c r="A2023" s="31">
        <x:v>39953</x:v>
      </x:c>
      <x:c r="B2023" s="32">
        <x:v>402.4</x:v>
      </x:c>
      <x:c r="C2023" s="32">
        <x:v>412.2</x:v>
      </x:c>
      <x:c r="D2023" s="32">
        <x:v>402.4</x:v>
      </x:c>
      <x:c r="E2023" s="32">
        <x:v>410.4</x:v>
      </x:c>
      <x:c r="F2023" s="33">
        <x:v>58060990</x:v>
      </x:c>
      <x:c r="G2023" s="32" t="n">
        <x:f t="shared" si="84">AVERAGE(E1824:E2023)</x:f>
        <x:v>354.24565</x:v>
      </x:c>
      <x:c r="H2023" s="37" t="n">
        <x:f t="shared" si="85">IFERROR(E2023/G2023-1,"")</x:f>
        <x:v>0.15851810742065564</x:v>
      </x:c>
      <x:c r="I2023" s="38" t="b">
        <x:f t="shared" si="86">E2023&lt;G2023</x:f>
        <x:v>0</x:v>
      </x:c>
    </x:row>
    <x:row r="2024">
      <x:c r="A2024" s="31">
        <x:v>39954</x:v>
      </x:c>
      <x:c r="B2024" s="32">
        <x:v>410.9</x:v>
      </x:c>
      <x:c r="C2024" s="32">
        <x:v>416.9</x:v>
      </x:c>
      <x:c r="D2024" s="32">
        <x:v>410.9</x:v>
      </x:c>
      <x:c r="E2024" s="32">
        <x:v>412.5</x:v>
      </x:c>
      <x:c r="F2024" s="33">
        <x:v>59927550</x:v>
      </x:c>
      <x:c r="G2024" s="32" t="n">
        <x:f t="shared" si="84">AVERAGE(E1825:E2024)</x:f>
        <x:v>354.0668</x:v>
      </x:c>
      <x:c r="H2024" s="37" t="n">
        <x:f t="shared" si="85">IFERROR(E2024/G2024-1,"")</x:f>
        <x:v>0.16503439463965552</x:v>
      </x:c>
      <x:c r="I2024" s="38" t="b">
        <x:f t="shared" si="86">E2024&lt;G2024</x:f>
        <x:v>0</x:v>
      </x:c>
    </x:row>
    <x:row r="2025">
      <x:c r="A2025" s="31">
        <x:v>39955</x:v>
      </x:c>
      <x:c r="B2025" s="32">
        <x:v>408.3</x:v>
      </x:c>
      <x:c r="C2025" s="32">
        <x:v>410.3</x:v>
      </x:c>
      <x:c r="D2025" s="32">
        <x:v>400.9</x:v>
      </x:c>
      <x:c r="E2025" s="32">
        <x:v>404.6</x:v>
      </x:c>
      <x:c r="F2025" s="33">
        <x:v>70469740</x:v>
      </x:c>
      <x:c r="G2025" s="32" t="n">
        <x:f t="shared" si="84">AVERAGE(E1826:E2025)</x:f>
        <x:v>353.83299999999997</x:v>
      </x:c>
      <x:c r="H2025" s="37" t="n">
        <x:f t="shared" si="85">IFERROR(E2025/G2025-1,"")</x:f>
        <x:v>0.14347729013404642</x:v>
      </x:c>
      <x:c r="I2025" s="38" t="b">
        <x:f t="shared" si="86">E2025&lt;G2025</x:f>
        <x:v>0</x:v>
      </x:c>
    </x:row>
    <x:row r="2026">
      <x:c r="A2026" s="31">
        <x:v>39958</x:v>
      </x:c>
      <x:c r="B2026" s="32">
        <x:v>409.5</x:v>
      </x:c>
      <x:c r="C2026" s="32">
        <x:v>422.1</x:v>
      </x:c>
      <x:c r="D2026" s="32">
        <x:v>409.5</x:v>
      </x:c>
      <x:c r="E2026" s="32">
        <x:v>421.8</x:v>
      </x:c>
      <x:c r="F2026" s="33">
        <x:v>44101830</x:v>
      </x:c>
      <x:c r="G2026" s="32" t="n">
        <x:f t="shared" si="84">AVERAGE(E1827:E2026)</x:f>
        <x:v>353.70644999999996</x:v>
      </x:c>
      <x:c r="H2026" s="37" t="n">
        <x:f t="shared" si="85">IFERROR(E2026/G2026-1,"")</x:f>
        <x:v>0.19251430105388256</x:v>
      </x:c>
      <x:c r="I2026" s="38" t="b">
        <x:f t="shared" si="86">E2026&lt;G2026</x:f>
        <x:v>0</x:v>
      </x:c>
    </x:row>
    <x:row r="2027">
      <x:c r="A2027" s="31">
        <x:v>39959</x:v>
      </x:c>
      <x:c r="B2027" s="32">
        <x:v>425.1</x:v>
      </x:c>
      <x:c r="C2027" s="32">
        <x:v>429.9</x:v>
      </x:c>
      <x:c r="D2027" s="32">
        <x:v>424</x:v>
      </x:c>
      <x:c r="E2027" s="32">
        <x:v>425</x:v>
      </x:c>
      <x:c r="F2027" s="33">
        <x:v>54123120</x:v>
      </x:c>
      <x:c r="G2027" s="32" t="n">
        <x:f t="shared" si="84">AVERAGE(E1828:E2027)</x:f>
        <x:v>353.63439999999997</x:v>
      </x:c>
      <x:c r="H2027" s="37" t="n">
        <x:f t="shared" si="85">IFERROR(E2027/G2027-1,"")</x:f>
        <x:v>0.20180615912931565</x:v>
      </x:c>
      <x:c r="I2027" s="38" t="b">
        <x:f t="shared" si="86">E2027&lt;G2027</x:f>
        <x:v>0</x:v>
      </x:c>
    </x:row>
    <x:row r="2028">
      <x:c r="A2028" s="31">
        <x:v>39960</x:v>
      </x:c>
      <x:c r="B2028" s="32">
        <x:v>426.5</x:v>
      </x:c>
      <x:c r="C2028" s="32">
        <x:v>431.4</x:v>
      </x:c>
      <x:c r="D2028" s="32">
        <x:v>423.2</x:v>
      </x:c>
      <x:c r="E2028" s="32">
        <x:v>425.2</x:v>
      </x:c>
      <x:c r="F2028" s="33">
        <x:v>57655160</x:v>
      </x:c>
      <x:c r="G2028" s="32" t="n">
        <x:f t="shared" si="84">AVERAGE(E1829:E2028)</x:f>
        <x:v>353.60909999999996</x:v>
      </x:c>
      <x:c r="H2028" s="37" t="n">
        <x:f t="shared" si="85">IFERROR(E2028/G2028-1,"")</x:f>
        <x:v>0.20245774217914647</x:v>
      </x:c>
      <x:c r="I2028" s="38" t="b">
        <x:f t="shared" si="86">E2028&lt;G2028</x:f>
        <x:v>0</x:v>
      </x:c>
    </x:row>
    <x:row r="2029">
      <x:c r="A2029" s="31">
        <x:v>39961</x:v>
      </x:c>
      <x:c r="B2029" s="32">
        <x:v>421.9</x:v>
      </x:c>
      <x:c r="C2029" s="32">
        <x:v>421.9</x:v>
      </x:c>
      <x:c r="D2029" s="32">
        <x:v>414.7</x:v>
      </x:c>
      <x:c r="E2029" s="32">
        <x:v>415.5</x:v>
      </x:c>
      <x:c r="F2029" s="33">
        <x:v>47365130</x:v>
      </x:c>
      <x:c r="G2029" s="32" t="n">
        <x:f t="shared" si="84">AVERAGE(E1830:E2029)</x:f>
        <x:v>353.4993499999999</x:v>
      </x:c>
      <x:c r="H2029" s="37" t="n">
        <x:f t="shared" si="85">IFERROR(E2029/G2029-1,"")</x:f>
        <x:v>0.1753911287248482</x:v>
      </x:c>
      <x:c r="I2029" s="38" t="b">
        <x:f t="shared" si="86">E2029&lt;G2029</x:f>
        <x:v>0</x:v>
      </x:c>
    </x:row>
    <x:row r="2030">
      <x:c r="A2030" s="31">
        <x:v>39962</x:v>
      </x:c>
      <x:c r="B2030" s="32">
        <x:v>419.4</x:v>
      </x:c>
      <x:c r="C2030" s="32">
        <x:v>420.3</x:v>
      </x:c>
      <x:c r="D2030" s="32">
        <x:v>409</x:v>
      </x:c>
      <x:c r="E2030" s="32">
        <x:v>411.6</x:v>
      </x:c>
      <x:c r="F2030" s="33">
        <x:v>47795230</x:v>
      </x:c>
      <x:c r="G2030" s="32" t="n">
        <x:f t="shared" si="84">AVERAGE(E1831:E2030)</x:f>
        <x:v>353.3632</x:v>
      </x:c>
      <x:c r="H2030" s="37" t="n">
        <x:f t="shared" si="85">IFERROR(E2030/G2030-1,"")</x:f>
        <x:v>0.16480720120261538</x:v>
      </x:c>
      <x:c r="I2030" s="38" t="b">
        <x:f t="shared" si="86">E2030&lt;G2030</x:f>
        <x:v>0</x:v>
      </x:c>
    </x:row>
    <x:row r="2031">
      <x:c r="A2031" s="31">
        <x:v>39965</x:v>
      </x:c>
      <x:c r="B2031" s="32">
        <x:v>418.8</x:v>
      </x:c>
      <x:c r="C2031" s="32">
        <x:v>427.6</x:v>
      </x:c>
      <x:c r="D2031" s="32">
        <x:v>418.4</x:v>
      </x:c>
      <x:c r="E2031" s="32">
        <x:v>426.4</x:v>
      </x:c>
      <x:c r="F2031" s="33">
        <x:v>40684090</x:v>
      </x:c>
      <x:c r="G2031" s="32" t="n">
        <x:f t="shared" si="84">AVERAGE(E1832:E2031)</x:f>
        <x:v>353.2738</x:v>
      </x:c>
      <x:c r="H2031" s="37" t="n">
        <x:f t="shared" si="85">IFERROR(E2031/G2031-1,"")</x:f>
        <x:v>0.20699582023914598</x:v>
      </x:c>
      <x:c r="I2031" s="38" t="b">
        <x:f t="shared" si="86">E2031&lt;G2031</x:f>
        <x:v>0</x:v>
      </x:c>
    </x:row>
    <x:row r="2032">
      <x:c r="A2032" s="31">
        <x:v>39966</x:v>
      </x:c>
      <x:c r="B2032" s="32">
        <x:v>436</x:v>
      </x:c>
      <x:c r="C2032" s="32">
        <x:v>446.1</x:v>
      </x:c>
      <x:c r="D2032" s="32">
        <x:v>436</x:v>
      </x:c>
      <x:c r="E2032" s="32">
        <x:v>440.6</x:v>
      </x:c>
      <x:c r="F2032" s="33">
        <x:v>50479460</x:v>
      </x:c>
      <x:c r="G2032" s="32" t="n">
        <x:f t="shared" si="84">AVERAGE(E1833:E2032)</x:f>
        <x:v>353.2028000000001</x:v>
      </x:c>
      <x:c r="H2032" s="37" t="n">
        <x:f t="shared" si="85">IFERROR(E2032/G2032-1,"")</x:f>
        <x:v>0.24744197950865598</x:v>
      </x:c>
      <x:c r="I2032" s="38" t="b">
        <x:f t="shared" si="86">E2032&lt;G2032</x:f>
        <x:v>0</x:v>
      </x:c>
    </x:row>
    <x:row r="2033">
      <x:c r="A2033" s="31">
        <x:v>39967</x:v>
      </x:c>
      <x:c r="B2033" s="32">
        <x:v>443.2</x:v>
      </x:c>
      <x:c r="C2033" s="32">
        <x:v>447.3</x:v>
      </x:c>
      <x:c r="D2033" s="32">
        <x:v>442.6</x:v>
      </x:c>
      <x:c r="E2033" s="32">
        <x:v>444.8</x:v>
      </x:c>
      <x:c r="F2033" s="33">
        <x:v>55809030</x:v>
      </x:c>
      <x:c r="G2033" s="32" t="n">
        <x:f t="shared" si="84">AVERAGE(E1834:E2033)</x:f>
        <x:v>353.1273500000001</x:v>
      </x:c>
      <x:c r="H2033" s="37" t="n">
        <x:f t="shared" si="85">IFERROR(E2033/G2033-1,"")</x:f>
        <x:v>0.25960223698334306</x:v>
      </x:c>
      <x:c r="I2033" s="38" t="b">
        <x:f t="shared" si="86">E2033&lt;G2033</x:f>
        <x:v>0</x:v>
      </x:c>
    </x:row>
    <x:row r="2034">
      <x:c r="A2034" s="31">
        <x:v>39968</x:v>
      </x:c>
      <x:c r="B2034" s="32">
        <x:v>446.2</x:v>
      </x:c>
      <x:c r="C2034" s="32">
        <x:v>458.4</x:v>
      </x:c>
      <x:c r="D2034" s="32">
        <x:v>446.2</x:v>
      </x:c>
      <x:c r="E2034" s="32">
        <x:v>458.2</x:v>
      </x:c>
      <x:c r="F2034" s="33">
        <x:v>58362730</x:v>
      </x:c>
      <x:c r="G2034" s="32" t="n">
        <x:f t="shared" si="84">AVERAGE(E1835:E2034)</x:f>
        <x:v>353.09830000000017</x:v>
      </x:c>
      <x:c r="H2034" s="37" t="n">
        <x:f t="shared" si="85">IFERROR(E2034/G2034-1,"")</x:f>
        <x:v>0.2976556386705904</x:v>
      </x:c>
      <x:c r="I2034" s="38" t="b">
        <x:f t="shared" si="86">E2034&lt;G2034</x:f>
        <x:v>0</x:v>
      </x:c>
    </x:row>
    <x:row r="2035">
      <x:c r="A2035" s="31">
        <x:v>39969</x:v>
      </x:c>
      <x:c r="B2035" s="32">
        <x:v>464.7</x:v>
      </x:c>
      <x:c r="C2035" s="32">
        <x:v>479.2</x:v>
      </x:c>
      <x:c r="D2035" s="32">
        <x:v>464.7</x:v>
      </x:c>
      <x:c r="E2035" s="32">
        <x:v>478.7</x:v>
      </x:c>
      <x:c r="F2035" s="33">
        <x:v>44219710</x:v>
      </x:c>
      <x:c r="G2035" s="32" t="n">
        <x:f t="shared" si="84">AVERAGE(E1836:E2035)</x:f>
        <x:v>353.10930000000013</x:v>
      </x:c>
      <x:c r="H2035" s="37" t="n">
        <x:f t="shared" si="85">IFERROR(E2035/G2035-1,"")</x:f>
        <x:v>0.35567089283686326</x:v>
      </x:c>
      <x:c r="I2035" s="38" t="b">
        <x:f t="shared" si="86">E2035&lt;G2035</x:f>
        <x:v>0</x:v>
      </x:c>
    </x:row>
    <x:row r="2036">
      <x:c r="A2036" s="31">
        <x:v>39972</x:v>
      </x:c>
      <x:c r="B2036" s="32">
        <x:v>489</x:v>
      </x:c>
      <x:c r="C2036" s="32">
        <x:v>501.5</x:v>
      </x:c>
      <x:c r="D2036" s="32">
        <x:v>489</x:v>
      </x:c>
      <x:c r="E2036" s="32">
        <x:v>501.5</x:v>
      </x:c>
      <x:c r="F2036" s="33">
        <x:v>28006030</x:v>
      </x:c>
      <x:c r="G2036" s="32" t="n">
        <x:f t="shared" si="84">AVERAGE(E1837:E2036)</x:f>
        <x:v>353.17210000000006</x:v>
      </x:c>
      <x:c r="H2036" s="37" t="n">
        <x:f t="shared" si="85">IFERROR(E2036/G2036-1,"")</x:f>
        <x:v>0.4199875924513854</x:v>
      </x:c>
      <x:c r="I2036" s="38" t="b">
        <x:f t="shared" si="86">E2036&lt;G2036</x:f>
        <x:v>0</x:v>
      </x:c>
    </x:row>
    <x:row r="2037">
      <x:c r="A2037" s="31">
        <x:v>39973</x:v>
      </x:c>
      <x:c r="B2037" s="32">
        <x:v>503.7</x:v>
      </x:c>
      <x:c r="C2037" s="32">
        <x:v>514.70000000000005</x:v>
      </x:c>
      <x:c r="D2037" s="32">
        <x:v>503.7</x:v>
      </x:c>
      <x:c r="E2037" s="32">
        <x:v>512.5</x:v>
      </x:c>
      <x:c r="F2037" s="33">
        <x:v>75914880</x:v>
      </x:c>
      <x:c r="G2037" s="32" t="n">
        <x:f t="shared" si="84">AVERAGE(E1838:E2037)</x:f>
        <x:v>353.19435000000004</x:v>
      </x:c>
      <x:c r="H2037" s="37" t="n">
        <x:f t="shared" si="85">IFERROR(E2037/G2037-1,"")</x:f>
        <x:v>0.45104246429763095</x:v>
      </x:c>
      <x:c r="I2037" s="38" t="b">
        <x:f t="shared" si="86">E2037&lt;G2037</x:f>
        <x:v>0</x:v>
      </x:c>
    </x:row>
    <x:row r="2038">
      <x:c r="A2038" s="31">
        <x:v>39974</x:v>
      </x:c>
      <x:c r="B2038" s="32">
        <x:v>509.1</x:v>
      </x:c>
      <x:c r="C2038" s="32">
        <x:v>510.3</x:v>
      </x:c>
      <x:c r="D2038" s="32">
        <x:v>494.6</x:v>
      </x:c>
      <x:c r="E2038" s="32">
        <x:v>497.5</x:v>
      </x:c>
      <x:c r="F2038" s="33">
        <x:v>100573920</x:v>
      </x:c>
      <x:c r="G2038" s="32" t="n">
        <x:f t="shared" si="84">AVERAGE(E1839:E2038)</x:f>
        <x:v>353.12420000000003</x:v>
      </x:c>
      <x:c r="H2038" s="37" t="n">
        <x:f t="shared" si="85">IFERROR(E2038/G2038-1,"")</x:f>
        <x:v>0.4088527492593257</x:v>
      </x:c>
      <x:c r="I2038" s="38" t="b">
        <x:f t="shared" si="86">E2038&lt;G2038</x:f>
        <x:v>0</x:v>
      </x:c>
    </x:row>
    <x:row r="2039">
      <x:c r="A2039" s="31">
        <x:v>39975</x:v>
      </x:c>
      <x:c r="B2039" s="32">
        <x:v>499.7</x:v>
      </x:c>
      <x:c r="C2039" s="32">
        <x:v>514.4</x:v>
      </x:c>
      <x:c r="D2039" s="32">
        <x:v>499.7</x:v>
      </x:c>
      <x:c r="E2039" s="32">
        <x:v>511.3</x:v>
      </x:c>
      <x:c r="F2039" s="33">
        <x:v>62954130</x:v>
      </x:c>
      <x:c r="G2039" s="32" t="n">
        <x:f t="shared" si="84">AVERAGE(E1840:E2039)</x:f>
        <x:v>353.13835000000006</x:v>
      </x:c>
      <x:c r="H2039" s="37" t="n">
        <x:f t="shared" si="85">IFERROR(E2039/G2039-1,"")</x:f>
        <x:v>0.4478744661971714</x:v>
      </x:c>
      <x:c r="I2039" s="38" t="b">
        <x:f t="shared" si="86">E2039&lt;G2039</x:f>
        <x:v>0</x:v>
      </x:c>
    </x:row>
    <x:row r="2040">
      <x:c r="A2040" s="31">
        <x:v>39976</x:v>
      </x:c>
      <x:c r="B2040" s="32">
        <x:v>520.29999999999995</x:v>
      </x:c>
      <x:c r="C2040" s="32">
        <x:v>525.20000000000005</x:v>
      </x:c>
      <x:c r="D2040" s="32">
        <x:v>509.1</x:v>
      </x:c>
      <x:c r="E2040" s="32">
        <x:v>509.6</x:v>
      </x:c>
      <x:c r="F2040" s="33">
        <x:v>64516980</x:v>
      </x:c>
      <x:c r="G2040" s="32" t="n">
        <x:f t="shared" si="84">AVERAGE(E1841:E2040)</x:f>
        <x:v>353.0564500000001</x:v>
      </x:c>
      <x:c r="H2040" s="37" t="n">
        <x:f t="shared" si="85">IFERROR(E2040/G2040-1,"")</x:f>
        <x:v>0.4433952417524163</x:v>
      </x:c>
      <x:c r="I2040" s="38" t="b">
        <x:f t="shared" si="86">E2040&lt;G2040</x:f>
        <x:v>0</x:v>
      </x:c>
    </x:row>
    <x:row r="2041">
      <x:c r="A2041" s="31">
        <x:v>39979</x:v>
      </x:c>
      <x:c r="B2041" s="32">
        <x:v>506</x:v>
      </x:c>
      <x:c r="C2041" s="32">
        <x:v>506</x:v>
      </x:c>
      <x:c r="D2041" s="32">
        <x:v>487.3</x:v>
      </x:c>
      <x:c r="E2041" s="32">
        <x:v>493.5</x:v>
      </x:c>
      <x:c r="F2041" s="33">
        <x:v>73282510</x:v>
      </x:c>
      <x:c r="G2041" s="32" t="n">
        <x:f t="shared" si="84">AVERAGE(E1842:E2041)</x:f>
        <x:v>352.88905000000005</x:v>
      </x:c>
      <x:c r="H2041" s="37" t="n">
        <x:f t="shared" si="85">IFERROR(E2041/G2041-1,"")</x:f>
        <x:v>0.3984565403772089</x:v>
      </x:c>
      <x:c r="I2041" s="38" t="b">
        <x:f t="shared" si="86">E2041&lt;G2041</x:f>
        <x:v>0</x:v>
      </x:c>
    </x:row>
    <x:row r="2042">
      <x:c r="A2042" s="31">
        <x:v>39980</x:v>
      </x:c>
      <x:c r="B2042" s="32">
        <x:v>477.5</x:v>
      </x:c>
      <x:c r="C2042" s="32">
        <x:v>477.5</x:v>
      </x:c>
      <x:c r="D2042" s="32">
        <x:v>471.1</x:v>
      </x:c>
      <x:c r="E2042" s="32">
        <x:v>472</x:v>
      </x:c>
      <x:c r="F2042" s="33">
        <x:v>45168190</x:v>
      </x:c>
      <x:c r="G2042" s="32" t="n">
        <x:f t="shared" si="84">AVERAGE(E1843:E2042)</x:f>
        <x:v>352.5078000000001</x:v>
      </x:c>
      <x:c r="H2042" s="37" t="n">
        <x:f t="shared" si="85">IFERROR(E2042/G2042-1,"")</x:f>
        <x:v>0.3389774637610852</x:v>
      </x:c>
      <x:c r="I2042" s="38" t="b">
        <x:f t="shared" si="86">E2042&lt;G2042</x:f>
        <x:v>0</x:v>
      </x:c>
    </x:row>
    <x:row r="2043">
      <x:c r="A2043" s="31">
        <x:v>39981</x:v>
      </x:c>
      <x:c r="B2043" s="32">
        <x:v>465.3</x:v>
      </x:c>
      <x:c r="C2043" s="32">
        <x:v>472.5</x:v>
      </x:c>
      <x:c r="D2043" s="32">
        <x:v>455.8</x:v>
      </x:c>
      <x:c r="E2043" s="32">
        <x:v>472.5</x:v>
      </x:c>
      <x:c r="F2043" s="33">
        <x:v>67277510</x:v>
      </x:c>
      <x:c r="G2043" s="32" t="n">
        <x:f t="shared" si="84">AVERAGE(E1844:E2043)</x:f>
        <x:v>352.06195</x:v>
      </x:c>
      <x:c r="H2043" s="37" t="n">
        <x:f t="shared" si="85">IFERROR(E2043/G2043-1,"")</x:f>
        <x:v>0.34209334465141716</x:v>
      </x:c>
      <x:c r="I2043" s="38" t="b">
        <x:f t="shared" si="86">E2043&lt;G2043</x:f>
        <x:v>0</x:v>
      </x:c>
    </x:row>
    <x:row r="2044">
      <x:c r="A2044" s="31">
        <x:v>39982</x:v>
      </x:c>
      <x:c r="B2044" s="32">
        <x:v>476.6</x:v>
      </x:c>
      <x:c r="C2044" s="32">
        <x:v>487.6</x:v>
      </x:c>
      <x:c r="D2044" s="32">
        <x:v>474.7</x:v>
      </x:c>
      <x:c r="E2044" s="32">
        <x:v>479.3</x:v>
      </x:c>
      <x:c r="F2044" s="33">
        <x:v>55975390</x:v>
      </x:c>
      <x:c r="G2044" s="32" t="n">
        <x:f t="shared" si="84">AVERAGE(E1845:E2044)</x:f>
        <x:v>351.64920000000006</x:v>
      </x:c>
      <x:c r="H2044" s="37" t="n">
        <x:f t="shared" si="85">IFERROR(E2044/G2044-1,"")</x:f>
        <x:v>0.36300608674781554</x:v>
      </x:c>
      <x:c r="I2044" s="38" t="b">
        <x:f t="shared" si="86">E2044&lt;G2044</x:f>
        <x:v>0</x:v>
      </x:c>
    </x:row>
    <x:row r="2045">
      <x:c r="A2045" s="31">
        <x:v>39983</x:v>
      </x:c>
      <x:c r="B2045" s="32">
        <x:v>485.8</x:v>
      </x:c>
      <x:c r="C2045" s="32">
        <x:v>486.9</x:v>
      </x:c>
      <x:c r="D2045" s="32">
        <x:v>472.1</x:v>
      </x:c>
      <x:c r="E2045" s="32">
        <x:v>475.2</x:v>
      </x:c>
      <x:c r="F2045" s="33">
        <x:v>48899610</x:v>
      </x:c>
      <x:c r="G2045" s="32" t="n">
        <x:f t="shared" si="84">AVERAGE(E1846:E2045)</x:f>
        <x:v>351.28675000000004</x:v>
      </x:c>
      <x:c r="H2045" s="37" t="n">
        <x:f t="shared" si="85">IFERROR(E2045/G2045-1,"")</x:f>
        <x:v>0.3527410299420628</x:v>
      </x:c>
      <x:c r="I2045" s="38" t="b">
        <x:f t="shared" si="86">E2045&lt;G2045</x:f>
        <x:v>0</x:v>
      </x:c>
    </x:row>
    <x:row r="2046">
      <x:c r="A2046" s="31">
        <x:v>39986</x:v>
      </x:c>
      <x:c r="B2046" s="32">
        <x:v>462</x:v>
      </x:c>
      <x:c r="C2046" s="32">
        <x:v>464</x:v>
      </x:c>
      <x:c r="D2046" s="32">
        <x:v>456.4</x:v>
      </x:c>
      <x:c r="E2046" s="32">
        <x:v>458.1</x:v>
      </x:c>
      <x:c r="F2046" s="33">
        <x:v>40295260</x:v>
      </x:c>
      <x:c r="G2046" s="32" t="n">
        <x:f t="shared" si="84">AVERAGE(E1847:E2046)</x:f>
        <x:v>350.88175</x:v>
      </x:c>
      <x:c r="H2046" s="37" t="n">
        <x:f t="shared" si="85">IFERROR(E2046/G2046-1,"")</x:f>
        <x:v>0.30556804393502945</x:v>
      </x:c>
      <x:c r="I2046" s="38" t="b">
        <x:f t="shared" si="86">E2046&lt;G2046</x:f>
        <x:v>0</x:v>
      </x:c>
    </x:row>
    <x:row r="2047">
      <x:c r="A2047" s="31">
        <x:v>39987</x:v>
      </x:c>
      <x:c r="B2047" s="32">
        <x:v>442.5</x:v>
      </x:c>
      <x:c r="C2047" s="32">
        <x:v>442.5</x:v>
      </x:c>
      <x:c r="D2047" s="32">
        <x:v>437.5</x:v>
      </x:c>
      <x:c r="E2047" s="32">
        <x:v>438.6</x:v>
      </x:c>
      <x:c r="F2047" s="33">
        <x:v>29795680</x:v>
      </x:c>
      <x:c r="G2047" s="32" t="n">
        <x:f t="shared" si="84">AVERAGE(E1848:E2047)</x:f>
        <x:v>350.2990500000001</x:v>
      </x:c>
      <x:c r="H2047" s="37" t="n">
        <x:f t="shared" si="85">IFERROR(E2047/G2047-1,"")</x:f>
        <x:v>0.2520730501552886</x:v>
      </x:c>
      <x:c r="I2047" s="38" t="b">
        <x:f t="shared" si="86">E2047&lt;G2047</x:f>
        <x:v>0</x:v>
      </x:c>
    </x:row>
    <x:row r="2048">
      <x:c r="A2048" s="31">
        <x:v>39988</x:v>
      </x:c>
      <x:c r="B2048" s="32">
        <x:v>440.7</x:v>
      </x:c>
      <x:c r="C2048" s="32">
        <x:v>457.5</x:v>
      </x:c>
      <x:c r="D2048" s="32">
        <x:v>440.7</x:v>
      </x:c>
      <x:c r="E2048" s="32">
        <x:v>456.2</x:v>
      </x:c>
      <x:c r="F2048" s="33">
        <x:v>50442110</x:v>
      </x:c>
      <x:c r="G2048" s="32" t="n">
        <x:f t="shared" si="84">AVERAGE(E1849:E2048)</x:f>
        <x:v>349.7872500000001</x:v>
      </x:c>
      <x:c r="H2048" s="37" t="n">
        <x:f t="shared" si="85">IFERROR(E2048/G2048-1,"")</x:f>
        <x:v>0.3042213516930645</x:v>
      </x:c>
      <x:c r="I2048" s="38" t="b">
        <x:f t="shared" si="86">E2048&lt;G2048</x:f>
        <x:v>0</x:v>
      </x:c>
    </x:row>
    <x:row r="2049">
      <x:c r="A2049" s="31">
        <x:v>39989</x:v>
      </x:c>
      <x:c r="B2049" s="32">
        <x:v>471.4</x:v>
      </x:c>
      <x:c r="C2049" s="32">
        <x:v>471.4</x:v>
      </x:c>
      <x:c r="D2049" s="32">
        <x:v>453.3</x:v>
      </x:c>
      <x:c r="E2049" s="32">
        <x:v>453.8</x:v>
      </x:c>
      <x:c r="F2049" s="33">
        <x:v>52093210</x:v>
      </x:c>
      <x:c r="G2049" s="32" t="n">
        <x:f t="shared" si="84">AVERAGE(E1850:E2049)</x:f>
        <x:v>349.32295000000005</x:v>
      </x:c>
      <x:c r="H2049" s="37" t="n">
        <x:f t="shared" si="85">IFERROR(E2049/G2049-1,"")</x:f>
        <x:v>0.29908441457968893</x:v>
      </x:c>
      <x:c r="I2049" s="38" t="b">
        <x:f t="shared" si="86">E2049&lt;G2049</x:f>
        <x:v>0</x:v>
      </x:c>
    </x:row>
    <x:row r="2050">
      <x:c r="A2050" s="31">
        <x:v>39990</x:v>
      </x:c>
      <x:c r="B2050" s="32">
        <x:v>453.5</x:v>
      </x:c>
      <x:c r="C2050" s="32">
        <x:v>461.4</x:v>
      </x:c>
      <x:c r="D2050" s="32">
        <x:v>453.5</x:v>
      </x:c>
      <x:c r="E2050" s="32">
        <x:v>461.4</x:v>
      </x:c>
      <x:c r="F2050" s="33">
        <x:v>36659060</x:v>
      </x:c>
      <x:c r="G2050" s="32" t="n">
        <x:f t="shared" si="84">AVERAGE(E1851:E2050)</x:f>
        <x:v>348.9664</x:v>
      </x:c>
      <x:c r="H2050" s="37" t="n">
        <x:f t="shared" si="85">IFERROR(E2050/G2050-1,"")</x:f>
        <x:v>0.32219033121813423</x:v>
      </x:c>
      <x:c r="I2050" s="38" t="b">
        <x:f t="shared" si="86">E2050&lt;G2050</x:f>
        <x:v>0</x:v>
      </x:c>
    </x:row>
    <x:row r="2051">
      <x:c r="A2051" s="31">
        <x:v>39993</x:v>
      </x:c>
      <x:c r="B2051" s="32">
        <x:v>462</x:v>
      </x:c>
      <x:c r="C2051" s="32">
        <x:v>466</x:v>
      </x:c>
      <x:c r="D2051" s="32">
        <x:v>459.7</x:v>
      </x:c>
      <x:c r="E2051" s="32">
        <x:v>460.4</x:v>
      </x:c>
      <x:c r="F2051" s="33">
        <x:v>27163740</x:v>
      </x:c>
      <x:c r="G2051" s="32" t="n">
        <x:f t="shared" si="84">AVERAGE(E1852:E2051)</x:f>
        <x:v>348.64095000000003</x:v>
      </x:c>
      <x:c r="H2051" s="37" t="n">
        <x:f t="shared" si="85">IFERROR(E2051/G2051-1,"")</x:f>
        <x:v>0.32055629150849874</x:v>
      </x:c>
      <x:c r="I2051" s="38" t="b">
        <x:f t="shared" si="86">E2051&lt;G2051</x:f>
        <x:v>0</x:v>
      </x:c>
    </x:row>
    <x:row r="2052">
      <x:c r="A2052" s="31">
        <x:v>39994</x:v>
      </x:c>
      <x:c r="B2052" s="32">
        <x:v>462.5</x:v>
      </x:c>
      <x:c r="C2052" s="32">
        <x:v>462.5</x:v>
      </x:c>
      <x:c r="D2052" s="32">
        <x:v>447.7</x:v>
      </x:c>
      <x:c r="E2052" s="32">
        <x:v>448.3</x:v>
      </x:c>
      <x:c r="F2052" s="33">
        <x:v>37832680</x:v>
      </x:c>
      <x:c r="G2052" s="32" t="n">
        <x:f t="shared" si="84">AVERAGE(E1853:E2052)</x:f>
        <x:v>348.31019999999995</x:v>
      </x:c>
      <x:c r="H2052" s="37" t="n">
        <x:f t="shared" si="85">IFERROR(E2052/G2052-1,"")</x:f>
        <x:v>0.2870711222352951</x:v>
      </x:c>
      <x:c r="I2052" s="38" t="b">
        <x:f t="shared" si="86">E2052&lt;G2052</x:f>
        <x:v>0</x:v>
      </x:c>
    </x:row>
    <x:row r="2053">
      <x:c r="A2053" s="31">
        <x:v>39995</x:v>
      </x:c>
      <x:c r="B2053" s="32">
        <x:v>439.6</x:v>
      </x:c>
      <x:c r="C2053" s="32">
        <x:v>439.6</x:v>
      </x:c>
      <x:c r="D2053" s="32">
        <x:v>429.5</x:v>
      </x:c>
      <x:c r="E2053" s="32">
        <x:v>430</x:v>
      </x:c>
      <x:c r="F2053" s="33">
        <x:v>41250810</x:v>
      </x:c>
      <x:c r="G2053" s="32" t="n">
        <x:f t="shared" si="84">AVERAGE(E1854:E2053)</x:f>
        <x:v>347.97515</x:v>
      </x:c>
      <x:c r="H2053" s="37" t="n">
        <x:f t="shared" si="85">IFERROR(E2053/G2053-1,"")</x:f>
        <x:v>0.23572042428891837</x:v>
      </x:c>
      <x:c r="I2053" s="38" t="b">
        <x:f t="shared" si="86">E2053&lt;G2053</x:f>
        <x:v>0</x:v>
      </x:c>
    </x:row>
    <x:row r="2054">
      <x:c r="A2054" s="31">
        <x:v>39996</x:v>
      </x:c>
      <x:c r="B2054" s="32">
        <x:v>427.9</x:v>
      </x:c>
      <x:c r="C2054" s="32">
        <x:v>436.9</x:v>
      </x:c>
      <x:c r="D2054" s="32">
        <x:v>422.4</x:v>
      </x:c>
      <x:c r="E2054" s="32">
        <x:v>433.8</x:v>
      </x:c>
      <x:c r="F2054" s="33">
        <x:v>40096190</x:v>
      </x:c>
      <x:c r="G2054" s="32" t="n">
        <x:f t="shared" si="84">AVERAGE(E1855:E2054)</x:f>
        <x:v>347.7641499999999</x:v>
      </x:c>
      <x:c r="H2054" s="37" t="n">
        <x:f t="shared" si="85">IFERROR(E2054/G2054-1,"")</x:f>
        <x:v>0.24739712244634804</x:v>
      </x:c>
      <x:c r="I2054" s="38" t="b">
        <x:f t="shared" si="86">E2054&lt;G2054</x:f>
        <x:v>0</x:v>
      </x:c>
    </x:row>
    <x:row r="2055">
      <x:c r="A2055" s="31">
        <x:v>39997</x:v>
      </x:c>
      <x:c r="B2055" s="32">
        <x:v>425.1</x:v>
      </x:c>
      <x:c r="C2055" s="32">
        <x:v>435.4</x:v>
      </x:c>
      <x:c r="D2055" s="32">
        <x:v>425.1</x:v>
      </x:c>
      <x:c r="E2055" s="32">
        <x:v>435.4</x:v>
      </x:c>
      <x:c r="F2055" s="33">
        <x:v>26085390</x:v>
      </x:c>
      <x:c r="G2055" s="32" t="n">
        <x:f t="shared" si="84">AVERAGE(E1856:E2055)</x:f>
        <x:v>347.5573499999999</x:v>
      </x:c>
      <x:c r="H2055" s="37" t="n">
        <x:f t="shared" si="85">IFERROR(E2055/G2055-1,"")</x:f>
        <x:v>0.25274289264778926</x:v>
      </x:c>
      <x:c r="I2055" s="38" t="b">
        <x:f t="shared" si="86">E2055&lt;G2055</x:f>
        <x:v>0</x:v>
      </x:c>
    </x:row>
    <x:row r="2056">
      <x:c r="A2056" s="31">
        <x:v>40000</x:v>
      </x:c>
      <x:c r="B2056" s="32">
        <x:v>442.4</x:v>
      </x:c>
      <x:c r="C2056" s="32">
        <x:v>454.3</x:v>
      </x:c>
      <x:c r="D2056" s="32">
        <x:v>442.4</x:v>
      </x:c>
      <x:c r="E2056" s="32">
        <x:v>454.3</x:v>
      </x:c>
      <x:c r="F2056" s="33">
        <x:v>30191430</x:v>
      </x:c>
      <x:c r="G2056" s="32" t="n">
        <x:f t="shared" si="84">AVERAGE(E1857:E2056)</x:f>
        <x:v>347.5490999999999</x:v>
      </x:c>
      <x:c r="H2056" s="37" t="n">
        <x:f t="shared" si="85">IFERROR(E2056/G2056-1,"")</x:f>
        <x:v>0.3071534352987826</x:v>
      </x:c>
      <x:c r="I2056" s="38" t="b">
        <x:f t="shared" si="86">E2056&lt;G2056</x:f>
        <x:v>0</x:v>
      </x:c>
    </x:row>
    <x:row r="2057">
      <x:c r="A2057" s="31">
        <x:v>40001</x:v>
      </x:c>
      <x:c r="B2057" s="32">
        <x:v>450.5</x:v>
      </x:c>
      <x:c r="C2057" s="32">
        <x:v>455.4</x:v>
      </x:c>
      <x:c r="D2057" s="32">
        <x:v>447.2</x:v>
      </x:c>
      <x:c r="E2057" s="32">
        <x:v>447.6</x:v>
      </x:c>
      <x:c r="F2057" s="33">
        <x:v>34229630</x:v>
      </x:c>
      <x:c r="G2057" s="32" t="n">
        <x:f t="shared" si="84">AVERAGE(E1858:E2057)</x:f>
        <x:v>347.6008999999999</x:v>
      </x:c>
      <x:c r="H2057" s="37" t="n">
        <x:f t="shared" si="85">IFERROR(E2057/G2057-1,"")</x:f>
        <x:v>0.2876836624991481</x:v>
      </x:c>
      <x:c r="I2057" s="38" t="b">
        <x:f t="shared" si="86">E2057&lt;G2057</x:f>
        <x:v>0</x:v>
      </x:c>
    </x:row>
    <x:row r="2058">
      <x:c r="A2058" s="31">
        <x:v>40002</x:v>
      </x:c>
      <x:c r="B2058" s="32">
        <x:v>443</x:v>
      </x:c>
      <x:c r="C2058" s="32">
        <x:v>449</x:v>
      </x:c>
      <x:c r="D2058" s="32">
        <x:v>440.4</x:v>
      </x:c>
      <x:c r="E2058" s="32">
        <x:v>446.8</x:v>
      </x:c>
      <x:c r="F2058" s="33">
        <x:v>31827110</x:v>
      </x:c>
      <x:c r="G2058" s="32" t="n">
        <x:f t="shared" si="84">AVERAGE(E1859:E2058)</x:f>
        <x:v>347.7385</x:v>
      </x:c>
      <x:c r="H2058" s="37" t="n">
        <x:f t="shared" si="85">IFERROR(E2058/G2058-1,"")</x:f>
        <x:v>0.2848735472201094</x:v>
      </x:c>
      <x:c r="I2058" s="38" t="b">
        <x:f t="shared" si="86">E2058&lt;G2058</x:f>
        <x:v>0</x:v>
      </x:c>
    </x:row>
    <x:row r="2059">
      <x:c r="A2059" s="31">
        <x:v>40003</x:v>
      </x:c>
      <x:c r="B2059" s="32">
        <x:v>450.1</x:v>
      </x:c>
      <x:c r="C2059" s="32">
        <x:v>452.1</x:v>
      </x:c>
      <x:c r="D2059" s="32">
        <x:v>445.4</x:v>
      </x:c>
      <x:c r="E2059" s="32">
        <x:v>446.4</x:v>
      </x:c>
      <x:c r="F2059" s="33">
        <x:v>26835160</x:v>
      </x:c>
      <x:c r="G2059" s="32" t="n">
        <x:f t="shared" si="84">AVERAGE(E1860:E2059)</x:f>
        <x:v>347.7752</x:v>
      </x:c>
      <x:c r="H2059" s="37" t="n">
        <x:f t="shared" si="85">IFERROR(E2059/G2059-1,"")</x:f>
        <x:v>0.2835877888935152</x:v>
      </x:c>
      <x:c r="I2059" s="38" t="b">
        <x:f t="shared" si="86">E2059&lt;G2059</x:f>
        <x:v>0</x:v>
      </x:c>
    </x:row>
    <x:row r="2060">
      <x:c r="A2060" s="31">
        <x:v>40004</x:v>
      </x:c>
      <x:c r="B2060" s="32">
        <x:v>445.8</x:v>
      </x:c>
      <x:c r="C2060" s="32">
        <x:v>446</x:v>
      </x:c>
      <x:c r="D2060" s="32">
        <x:v>437.3</x:v>
      </x:c>
      <x:c r="E2060" s="32">
        <x:v>438.8</x:v>
      </x:c>
      <x:c r="F2060" s="33">
        <x:v>33900250</x:v>
      </x:c>
      <x:c r="G2060" s="32" t="n">
        <x:f t="shared" si="84">AVERAGE(E1861:E2060)</x:f>
        <x:v>347.6699</x:v>
      </x:c>
      <x:c r="H2060" s="37" t="n">
        <x:f t="shared" si="85">IFERROR(E2060/G2060-1,"")</x:f>
        <x:v>0.2621167377446252</x:v>
      </x:c>
      <x:c r="I2060" s="38" t="b">
        <x:f t="shared" si="86">E2060&lt;G2060</x:f>
        <x:v>0</x:v>
      </x:c>
    </x:row>
    <x:row r="2061">
      <x:c r="A2061" s="31">
        <x:v>40007</x:v>
      </x:c>
      <x:c r="B2061" s="32">
        <x:v>435.8</x:v>
      </x:c>
      <x:c r="C2061" s="32">
        <x:v>435.8</x:v>
      </x:c>
      <x:c r="D2061" s="32">
        <x:v>426.7</x:v>
      </x:c>
      <x:c r="E2061" s="32">
        <x:v>426.7</x:v>
      </x:c>
      <x:c r="F2061" s="33">
        <x:v>29414350</x:v>
      </x:c>
      <x:c r="G2061" s="32" t="n">
        <x:f t="shared" ref="G2061:G2124" si="87">AVERAGE(E1862:E2061)</x:f>
        <x:v>347.47405</x:v>
      </x:c>
      <x:c r="H2061" s="37" t="n">
        <x:f t="shared" ref="H2061:H2124" si="88">IFERROR(E2061/G2061-1,"")</x:f>
        <x:v>0.2280053719119457</x:v>
      </x:c>
      <x:c r="I2061" s="38" t="b">
        <x:f t="shared" ref="I2061:I2124" si="89">E2061&lt;G2061</x:f>
        <x:v>0</x:v>
      </x:c>
    </x:row>
    <x:row r="2062">
      <x:c r="A2062" s="31">
        <x:v>40008</x:v>
      </x:c>
      <x:c r="B2062" s="32">
        <x:v>425.1</x:v>
      </x:c>
      <x:c r="C2062" s="32">
        <x:v>425.5</x:v>
      </x:c>
      <x:c r="D2062" s="32">
        <x:v>415.8</x:v>
      </x:c>
      <x:c r="E2062" s="32">
        <x:v>418.6</x:v>
      </x:c>
      <x:c r="F2062" s="33">
        <x:v>31807970</x:v>
      </x:c>
      <x:c r="G2062" s="32" t="n">
        <x:f t="shared" si="87">AVERAGE(E1863:E2062)</x:f>
        <x:v>347.2918</x:v>
      </x:c>
      <x:c r="H2062" s="37" t="n">
        <x:f t="shared" si="88">IFERROR(E2062/G2062-1,"")</x:f>
        <x:v>0.20532647186026276</x:v>
      </x:c>
      <x:c r="I2062" s="38" t="b">
        <x:f t="shared" si="89">E2062&lt;G2062</x:f>
        <x:v>0</x:v>
      </x:c>
    </x:row>
    <x:row r="2063">
      <x:c r="A2063" s="31">
        <x:v>40009</x:v>
      </x:c>
      <x:c r="B2063" s="32">
        <x:v>424.1</x:v>
      </x:c>
      <x:c r="C2063" s="32">
        <x:v>430.8</x:v>
      </x:c>
      <x:c r="D2063" s="32">
        <x:v>424.1</x:v>
      </x:c>
      <x:c r="E2063" s="32">
        <x:v>427.1</x:v>
      </x:c>
      <x:c r="F2063" s="33">
        <x:v>22034910</x:v>
      </x:c>
      <x:c r="G2063" s="32" t="n">
        <x:f t="shared" si="87">AVERAGE(E1864:E2063)</x:f>
        <x:v>347.07515000000006</x:v>
      </x:c>
      <x:c r="H2063" s="37" t="n">
        <x:f t="shared" si="88">IFERROR(E2063/G2063-1,"")</x:f>
        <x:v>0.2305692297475055</x:v>
      </x:c>
      <x:c r="I2063" s="38" t="b">
        <x:f t="shared" si="89">E2063&lt;G2063</x:f>
        <x:v>0</x:v>
      </x:c>
    </x:row>
    <x:row r="2064">
      <x:c r="A2064" s="31">
        <x:v>40010</x:v>
      </x:c>
      <x:c r="B2064" s="32">
        <x:v>438.1</x:v>
      </x:c>
      <x:c r="C2064" s="32">
        <x:v>440.4</x:v>
      </x:c>
      <x:c r="D2064" s="32">
        <x:v>432.2</x:v>
      </x:c>
      <x:c r="E2064" s="32">
        <x:v>433.5</x:v>
      </x:c>
      <x:c r="F2064" s="33">
        <x:v>29243080</x:v>
      </x:c>
      <x:c r="G2064" s="32" t="n">
        <x:f t="shared" si="87">AVERAGE(E1865:E2064)</x:f>
        <x:v>346.82360000000006</x:v>
      </x:c>
      <x:c r="H2064" s="37" t="n">
        <x:f t="shared" si="88">IFERROR(E2064/G2064-1,"")</x:f>
        <x:v>0.2499149423510969</x:v>
      </x:c>
      <x:c r="I2064" s="38" t="b">
        <x:f t="shared" si="89">E2064&lt;G2064</x:f>
        <x:v>0</x:v>
      </x:c>
    </x:row>
    <x:row r="2065">
      <x:c r="A2065" s="31">
        <x:v>40011</x:v>
      </x:c>
      <x:c r="B2065" s="32">
        <x:v>431.9</x:v>
      </x:c>
      <x:c r="C2065" s="32">
        <x:v>431.9</x:v>
      </x:c>
      <x:c r="D2065" s="32">
        <x:v>427.8</x:v>
      </x:c>
      <x:c r="E2065" s="32">
        <x:v>428.7</x:v>
      </x:c>
      <x:c r="F2065" s="33">
        <x:v>23423030</x:v>
      </x:c>
      <x:c r="G2065" s="32" t="n">
        <x:f t="shared" si="87">AVERAGE(E1866:E2065)</x:f>
        <x:v>346.5721000000001</x:v>
      </x:c>
      <x:c r="H2065" s="37" t="n">
        <x:f t="shared" si="88">IFERROR(E2065/G2065-1,"")</x:f>
        <x:v>0.2369720470863057</x:v>
      </x:c>
      <x:c r="I2065" s="38" t="b">
        <x:f t="shared" si="89">E2065&lt;G2065</x:f>
        <x:v>0</x:v>
      </x:c>
    </x:row>
    <x:row r="2066">
      <x:c r="A2066" s="31">
        <x:v>40014</x:v>
      </x:c>
      <x:c r="B2066" s="32">
        <x:v>413.8</x:v>
      </x:c>
      <x:c r="C2066" s="32">
        <x:v>413.8</x:v>
      </x:c>
      <x:c r="D2066" s="32">
        <x:v>411.4</x:v>
      </x:c>
      <x:c r="E2066" s="32">
        <x:v>412.9</x:v>
      </x:c>
      <x:c r="F2066" s="33">
        <x:v>28422960</x:v>
      </x:c>
      <x:c r="G2066" s="32" t="n">
        <x:f t="shared" si="87">AVERAGE(E1867:E2066)</x:f>
        <x:v>346.3531</x:v>
      </x:c>
      <x:c r="H2066" s="37" t="n">
        <x:f t="shared" si="88">IFERROR(E2066/G2066-1,"")</x:f>
        <x:v>0.19213600224741745</x:v>
      </x:c>
      <x:c r="I2066" s="38" t="b">
        <x:f t="shared" si="89">E2066&lt;G2066</x:f>
        <x:v>0</x:v>
      </x:c>
    </x:row>
    <x:row r="2067">
      <x:c r="A2067" s="31">
        <x:v>40015</x:v>
      </x:c>
      <x:c r="B2067" s="32">
        <x:v>413</x:v>
      </x:c>
      <x:c r="C2067" s="32">
        <x:v>418.2</x:v>
      </x:c>
      <x:c r="D2067" s="32">
        <x:v>412.2</x:v>
      </x:c>
      <x:c r="E2067" s="32">
        <x:v>416.4</x:v>
      </x:c>
      <x:c r="F2067" s="33">
        <x:v>25452050</x:v>
      </x:c>
      <x:c r="G2067" s="32" t="n">
        <x:f t="shared" si="87">AVERAGE(E1868:E2067)</x:f>
        <x:v>346.16305</x:v>
      </x:c>
      <x:c r="H2067" s="37" t="n">
        <x:f t="shared" si="88">IFERROR(E2067/G2067-1,"")</x:f>
        <x:v>0.20290134952300654</x:v>
      </x:c>
      <x:c r="I2067" s="38" t="b">
        <x:f t="shared" si="89">E2067&lt;G2067</x:f>
        <x:v>0</x:v>
      </x:c>
    </x:row>
    <x:row r="2068">
      <x:c r="A2068" s="31">
        <x:v>40016</x:v>
      </x:c>
      <x:c r="B2068" s="32">
        <x:v>423.4</x:v>
      </x:c>
      <x:c r="C2068" s="32">
        <x:v>423.4</x:v>
      </x:c>
      <x:c r="D2068" s="32">
        <x:v>419.1</x:v>
      </x:c>
      <x:c r="E2068" s="32">
        <x:v>419.5</x:v>
      </x:c>
      <x:c r="F2068" s="33">
        <x:v>19832810</x:v>
      </x:c>
      <x:c r="G2068" s="32" t="n">
        <x:f t="shared" si="87">AVERAGE(E1869:E2068)</x:f>
        <x:v>345.9593</x:v>
      </x:c>
      <x:c r="H2068" s="37" t="n">
        <x:f t="shared" si="88">IFERROR(E2068/G2068-1,"")</x:f>
        <x:v>0.21257038038867582</x:v>
      </x:c>
      <x:c r="I2068" s="38" t="b">
        <x:f t="shared" si="89">E2068&lt;G2068</x:f>
        <x:v>0</x:v>
      </x:c>
    </x:row>
    <x:row r="2069">
      <x:c r="A2069" s="31">
        <x:v>40017</x:v>
      </x:c>
      <x:c r="B2069" s="32">
        <x:v>417.7</x:v>
      </x:c>
      <x:c r="C2069" s="32">
        <x:v>434.2</x:v>
      </x:c>
      <x:c r="D2069" s="32">
        <x:v>417.2</x:v>
      </x:c>
      <x:c r="E2069" s="32">
        <x:v>434.2</x:v>
      </x:c>
      <x:c r="F2069" s="33">
        <x:v>24900050</x:v>
      </x:c>
      <x:c r="G2069" s="32" t="n">
        <x:f t="shared" si="87">AVERAGE(E1870:E2069)</x:f>
        <x:v>345.86960000000005</x:v>
      </x:c>
      <x:c r="H2069" s="37" t="n">
        <x:f t="shared" si="88">IFERROR(E2069/G2069-1,"")</x:f>
        <x:v>0.2553864230912457</x:v>
      </x:c>
      <x:c r="I2069" s="38" t="b">
        <x:f t="shared" si="89">E2069&lt;G2069</x:f>
        <x:v>0</x:v>
      </x:c>
    </x:row>
    <x:row r="2070">
      <x:c r="A2070" s="31">
        <x:v>40018</x:v>
      </x:c>
      <x:c r="B2070" s="32">
        <x:v>445</x:v>
      </x:c>
      <x:c r="C2070" s="32">
        <x:v>454.7</x:v>
      </x:c>
      <x:c r="D2070" s="32">
        <x:v>445</x:v>
      </x:c>
      <x:c r="E2070" s="32">
        <x:v>454.7</x:v>
      </x:c>
      <x:c r="F2070" s="33">
        <x:v>26118290</x:v>
      </x:c>
      <x:c r="G2070" s="32" t="n">
        <x:f t="shared" si="87">AVERAGE(E1871:E2070)</x:f>
        <x:v>345.97455</x:v>
      </x:c>
      <x:c r="H2070" s="37" t="n">
        <x:f t="shared" si="88">IFERROR(E2070/G2070-1,"")</x:f>
        <x:v>0.31425851988245945</x:v>
      </x:c>
      <x:c r="I2070" s="38" t="b">
        <x:f t="shared" si="89">E2070&lt;G2070</x:f>
        <x:v>0</x:v>
      </x:c>
    </x:row>
    <x:row r="2071">
      <x:c r="A2071" s="31">
        <x:v>40021</x:v>
      </x:c>
      <x:c r="B2071" s="32">
        <x:v>462.3</x:v>
      </x:c>
      <x:c r="C2071" s="32">
        <x:v>470.2</x:v>
      </x:c>
      <x:c r="D2071" s="32">
        <x:v>460.2</x:v>
      </x:c>
      <x:c r="E2071" s="32">
        <x:v>469.7</x:v>
      </x:c>
      <x:c r="F2071" s="33">
        <x:v>60803470</x:v>
      </x:c>
      <x:c r="G2071" s="32" t="n">
        <x:f t="shared" si="87">AVERAGE(E1872:E2071)</x:f>
        <x:v>346.25185</x:v>
      </x:c>
      <x:c r="H2071" s="37" t="n">
        <x:f t="shared" si="88">IFERROR(E2071/G2071-1,"")</x:f>
        <x:v>0.35652704815873193</x:v>
      </x:c>
      <x:c r="I2071" s="38" t="b">
        <x:f t="shared" si="89">E2071&lt;G2071</x:f>
        <x:v>0</x:v>
      </x:c>
    </x:row>
    <x:row r="2072">
      <x:c r="A2072" s="31">
        <x:v>40022</x:v>
      </x:c>
      <x:c r="B2072" s="32">
        <x:v>467.3</x:v>
      </x:c>
      <x:c r="C2072" s="32">
        <x:v>472.6</x:v>
      </x:c>
      <x:c r="D2072" s="32">
        <x:v>462.7</x:v>
      </x:c>
      <x:c r="E2072" s="32">
        <x:v>463</x:v>
      </x:c>
      <x:c r="F2072" s="33">
        <x:v>60977440</x:v>
      </x:c>
      <x:c r="G2072" s="32" t="n">
        <x:f t="shared" si="87">AVERAGE(E1873:E2072)</x:f>
        <x:v>346.56019999999995</x:v>
      </x:c>
      <x:c r="H2072" s="37" t="n">
        <x:f t="shared" si="88">IFERROR(E2072/G2072-1,"")</x:f>
        <x:v>0.3359872253074647</x:v>
      </x:c>
      <x:c r="I2072" s="38" t="b">
        <x:f t="shared" si="89">E2072&lt;G2072</x:f>
        <x:v>0</x:v>
      </x:c>
    </x:row>
    <x:row r="2073">
      <x:c r="A2073" s="31">
        <x:v>40023</x:v>
      </x:c>
      <x:c r="B2073" s="32">
        <x:v>464.4</x:v>
      </x:c>
      <x:c r="C2073" s="32">
        <x:v>470.2</x:v>
      </x:c>
      <x:c r="D2073" s="32">
        <x:v>458</x:v>
      </x:c>
      <x:c r="E2073" s="32">
        <x:v>458</x:v>
      </x:c>
      <x:c r="F2073" s="33">
        <x:v>35239060</x:v>
      </x:c>
      <x:c r="G2073" s="32" t="n">
        <x:f t="shared" si="87">AVERAGE(E1874:E2073)</x:f>
        <x:v>346.8618</x:v>
      </x:c>
      <x:c r="H2073" s="37" t="n">
        <x:f t="shared" si="88">IFERROR(E2073/G2073-1,"")</x:f>
        <x:v>0.32041060733698545</x:v>
      </x:c>
      <x:c r="I2073" s="38" t="b">
        <x:f t="shared" si="89">E2073&lt;G2073</x:f>
        <x:v>0</x:v>
      </x:c>
    </x:row>
    <x:row r="2074">
      <x:c r="A2074" s="31">
        <x:v>40024</x:v>
      </x:c>
      <x:c r="B2074" s="32">
        <x:v>451.8</x:v>
      </x:c>
      <x:c r="C2074" s="32">
        <x:v>455.2</x:v>
      </x:c>
      <x:c r="D2074" s="32">
        <x:v>445</x:v>
      </x:c>
      <x:c r="E2074" s="32">
        <x:v>451.9</x:v>
      </x:c>
      <x:c r="F2074" s="33">
        <x:v>31316060</x:v>
      </x:c>
      <x:c r="G2074" s="32" t="n">
        <x:f t="shared" si="87">AVERAGE(E1875:E2074)</x:f>
        <x:v>347.226</x:v>
      </x:c>
      <x:c r="H2074" s="37" t="n">
        <x:f t="shared" si="88">IFERROR(E2074/G2074-1,"")</x:f>
        <x:v>0.30145784013869914</x:v>
      </x:c>
      <x:c r="I2074" s="38" t="b">
        <x:f t="shared" si="89">E2074&lt;G2074</x:f>
        <x:v>0</x:v>
      </x:c>
    </x:row>
    <x:row r="2075">
      <x:c r="A2075" s="31">
        <x:v>40025</x:v>
      </x:c>
      <x:c r="B2075" s="32">
        <x:v>457.6</x:v>
      </x:c>
      <x:c r="C2075" s="32">
        <x:v>466.8</x:v>
      </x:c>
      <x:c r="D2075" s="32">
        <x:v>457.6</x:v>
      </x:c>
      <x:c r="E2075" s="32">
        <x:v>466.8</x:v>
      </x:c>
      <x:c r="F2075" s="33">
        <x:v>38149980</x:v>
      </x:c>
      <x:c r="G2075" s="32" t="n">
        <x:f t="shared" si="87">AVERAGE(E1876:E2075)</x:f>
        <x:v>347.70165000000003</x:v>
      </x:c>
      <x:c r="H2075" s="37" t="n">
        <x:f t="shared" si="88">IFERROR(E2075/G2075-1,"")</x:f>
        <x:v>0.34253029860514017</x:v>
      </x:c>
      <x:c r="I2075" s="38" t="b">
        <x:f t="shared" si="89">E2075&lt;G2075</x:f>
        <x:v>0</x:v>
      </x:c>
    </x:row>
    <x:row r="2076">
      <x:c r="A2076" s="31">
        <x:v>40028</x:v>
      </x:c>
      <x:c r="B2076" s="32">
        <x:v>466.8</x:v>
      </x:c>
      <x:c r="C2076" s="32">
        <x:v>473.3</x:v>
      </x:c>
      <x:c r="D2076" s="32">
        <x:v>465.4</x:v>
      </x:c>
      <x:c r="E2076" s="32">
        <x:v>467.9</x:v>
      </x:c>
      <x:c r="F2076" s="33">
        <x:v>34165190</x:v>
      </x:c>
      <x:c r="G2076" s="32" t="n">
        <x:f t="shared" si="87">AVERAGE(E1877:E2076)</x:f>
        <x:v>348.0945</x:v>
      </x:c>
      <x:c r="H2076" s="37" t="n">
        <x:f t="shared" si="88">IFERROR(E2076/G2076-1,"")</x:f>
        <x:v>0.3441752167873955</x:v>
      </x:c>
      <x:c r="I2076" s="38" t="b">
        <x:f t="shared" si="89">E2076&lt;G2076</x:f>
        <x:v>0</x:v>
      </x:c>
    </x:row>
    <x:row r="2077">
      <x:c r="A2077" s="31">
        <x:v>40029</x:v>
      </x:c>
      <x:c r="B2077" s="32">
        <x:v>475.1</x:v>
      </x:c>
      <x:c r="C2077" s="32">
        <x:v>477.6</x:v>
      </x:c>
      <x:c r="D2077" s="32">
        <x:v>472.6</x:v>
      </x:c>
      <x:c r="E2077" s="32">
        <x:v>476.6</x:v>
      </x:c>
      <x:c r="F2077" s="33">
        <x:v>45312630</x:v>
      </x:c>
      <x:c r="G2077" s="32" t="n">
        <x:f t="shared" si="87">AVERAGE(E1878:E2077)</x:f>
        <x:v>348.49175</x:v>
      </x:c>
      <x:c r="H2077" s="37" t="n">
        <x:f t="shared" si="88">IFERROR(E2077/G2077-1,"")</x:f>
        <x:v>0.36760769803015414</x:v>
      </x:c>
      <x:c r="I2077" s="38" t="b">
        <x:f t="shared" si="89">E2077&lt;G2077</x:f>
        <x:v>0</x:v>
      </x:c>
    </x:row>
    <x:row r="2078">
      <x:c r="A2078" s="31">
        <x:v>40030</x:v>
      </x:c>
      <x:c r="B2078" s="32">
        <x:v>474.4</x:v>
      </x:c>
      <x:c r="C2078" s="32">
        <x:v>481.3</x:v>
      </x:c>
      <x:c r="D2078" s="32">
        <x:v>472.3</x:v>
      </x:c>
      <x:c r="E2078" s="32">
        <x:v>481.3</x:v>
      </x:c>
      <x:c r="F2078" s="33">
        <x:v>40595390</x:v>
      </x:c>
      <x:c r="G2078" s="32" t="n">
        <x:f t="shared" si="87">AVERAGE(E1879:E2078)</x:f>
        <x:v>348.97520000000003</x:v>
      </x:c>
      <x:c r="H2078" s="37" t="n">
        <x:f t="shared" si="88">IFERROR(E2078/G2078-1,"")</x:f>
        <x:v>0.3791810994019058</x:v>
      </x:c>
      <x:c r="I2078" s="38" t="b">
        <x:f t="shared" si="89">E2078&lt;G2078</x:f>
        <x:v>0</x:v>
      </x:c>
    </x:row>
    <x:row r="2079">
      <x:c r="A2079" s="31">
        <x:v>40031</x:v>
      </x:c>
      <x:c r="B2079" s="32">
        <x:v>481.6</x:v>
      </x:c>
      <x:c r="C2079" s="32">
        <x:v>491</x:v>
      </x:c>
      <x:c r="D2079" s="32">
        <x:v>481.3</x:v>
      </x:c>
      <x:c r="E2079" s="32">
        <x:v>481.4</x:v>
      </x:c>
      <x:c r="F2079" s="33">
        <x:v>59927750</x:v>
      </x:c>
      <x:c r="G2079" s="32" t="n">
        <x:f t="shared" si="87">AVERAGE(E1880:E2079)</x:f>
        <x:v>349.46965000000006</x:v>
      </x:c>
      <x:c r="H2079" s="37" t="n">
        <x:f t="shared" si="88">IFERROR(E2079/G2079-1,"")</x:f>
        <x:v>0.3775159015954601</x:v>
      </x:c>
      <x:c r="I2079" s="38" t="b">
        <x:f t="shared" si="89">E2079&lt;G2079</x:f>
        <x:v>0</x:v>
      </x:c>
    </x:row>
    <x:row r="2080">
      <x:c r="A2080" s="31">
        <x:v>40032</x:v>
      </x:c>
      <x:c r="B2080" s="32">
        <x:v>480.4</x:v>
      </x:c>
      <x:c r="C2080" s="32">
        <x:v>483.5</x:v>
      </x:c>
      <x:c r="D2080" s="32">
        <x:v>478.6</x:v>
      </x:c>
      <x:c r="E2080" s="32">
        <x:v>480.7</x:v>
      </x:c>
      <x:c r="F2080" s="33">
        <x:v>41578610</x:v>
      </x:c>
      <x:c r="G2080" s="32" t="n">
        <x:f t="shared" si="87">AVERAGE(E1881:E2080)</x:f>
        <x:v>350.01915</x:v>
      </x:c>
      <x:c r="H2080" s="37" t="n">
        <x:f t="shared" si="88">IFERROR(E2080/G2080-1,"")</x:f>
        <x:v>0.3733534293766496</x:v>
      </x:c>
      <x:c r="I2080" s="38" t="b">
        <x:f t="shared" si="89">E2080&lt;G2080</x:f>
        <x:v>0</x:v>
      </x:c>
    </x:row>
    <x:row r="2081">
      <x:c r="A2081" s="31">
        <x:v>40035</x:v>
      </x:c>
      <x:c r="B2081" s="32">
        <x:v>485.9</x:v>
      </x:c>
      <x:c r="C2081" s="32">
        <x:v>492.3</x:v>
      </x:c>
      <x:c r="D2081" s="32">
        <x:v>483.7</x:v>
      </x:c>
      <x:c r="E2081" s="32">
        <x:v>491.2</x:v>
      </x:c>
      <x:c r="F2081" s="33">
        <x:v>46840640</x:v>
      </x:c>
      <x:c r="G2081" s="32" t="n">
        <x:f t="shared" si="87">AVERAGE(E1882:E2081)</x:f>
        <x:v>350.57545</x:v>
      </x:c>
      <x:c r="H2081" s="37" t="n">
        <x:f t="shared" si="88">IFERROR(E2081/G2081-1,"")</x:f>
        <x:v>0.4011249218962709</x:v>
      </x:c>
      <x:c r="I2081" s="38" t="b">
        <x:f t="shared" si="89">E2081&lt;G2081</x:f>
        <x:v>0</x:v>
      </x:c>
    </x:row>
    <x:row r="2082">
      <x:c r="A2082" s="31">
        <x:v>40036</x:v>
      </x:c>
      <x:c r="B2082" s="32">
        <x:v>491</x:v>
      </x:c>
      <x:c r="C2082" s="32">
        <x:v>494.7</x:v>
      </x:c>
      <x:c r="D2082" s="32">
        <x:v>490.5</x:v>
      </x:c>
      <x:c r="E2082" s="32">
        <x:v>494.2</x:v>
      </x:c>
      <x:c r="F2082" s="33">
        <x:v>49879730</x:v>
      </x:c>
      <x:c r="G2082" s="32" t="n">
        <x:f t="shared" si="87">AVERAGE(E1883:E2082)</x:f>
        <x:v>351.17189999999994</x:v>
      </x:c>
      <x:c r="H2082" s="37" t="n">
        <x:f t="shared" si="88">IFERROR(E2082/G2082-1,"")</x:f>
        <x:v>0.4072879977014108</x:v>
      </x:c>
      <x:c r="I2082" s="38" t="b">
        <x:f t="shared" si="89">E2082&lt;G2082</x:f>
        <x:v>0</x:v>
      </x:c>
    </x:row>
    <x:row r="2083">
      <x:c r="A2083" s="31">
        <x:v>40037</x:v>
      </x:c>
      <x:c r="B2083" s="32">
        <x:v>498.8</x:v>
      </x:c>
      <x:c r="C2083" s="32">
        <x:v>501.6</x:v>
      </x:c>
      <x:c r="D2083" s="32">
        <x:v>496.8</x:v>
      </x:c>
      <x:c r="E2083" s="32">
        <x:v>497.2</x:v>
      </x:c>
      <x:c r="F2083" s="33">
        <x:v>63934680</x:v>
      </x:c>
      <x:c r="G2083" s="32" t="n">
        <x:f t="shared" si="87">AVERAGE(E1884:E2083)</x:f>
        <x:v>351.85574999999994</x:v>
      </x:c>
      <x:c r="H2083" s="37" t="n">
        <x:f t="shared" si="88">IFERROR(E2083/G2083-1,"")</x:f>
        <x:v>0.41307908141333516</x:v>
      </x:c>
      <x:c r="I2083" s="38" t="b">
        <x:f t="shared" si="89">E2083&lt;G2083</x:f>
        <x:v>0</x:v>
      </x:c>
    </x:row>
    <x:row r="2084">
      <x:c r="A2084" s="31">
        <x:v>40038</x:v>
      </x:c>
      <x:c r="B2084" s="32">
        <x:v>502</x:v>
      </x:c>
      <x:c r="C2084" s="32">
        <x:v>506.6</x:v>
      </x:c>
      <x:c r="D2084" s="32">
        <x:v>502</x:v>
      </x:c>
      <x:c r="E2084" s="32">
        <x:v>503.6</x:v>
      </x:c>
      <x:c r="F2084" s="33">
        <x:v>69285930</x:v>
      </x:c>
      <x:c r="G2084" s="32" t="n">
        <x:f t="shared" si="87">AVERAGE(E1885:E2084)</x:f>
        <x:v>352.6482</x:v>
      </x:c>
      <x:c r="H2084" s="37" t="n">
        <x:f t="shared" si="88">IFERROR(E2084/G2084-1,"")</x:f>
        <x:v>0.4280520927088245</x:v>
      </x:c>
      <x:c r="I2084" s="38" t="b">
        <x:f t="shared" si="89">E2084&lt;G2084</x:f>
        <x:v>0</x:v>
      </x:c>
    </x:row>
    <x:row r="2085">
      <x:c r="A2085" s="31">
        <x:v>40039</x:v>
      </x:c>
      <x:c r="B2085" s="32">
        <x:v>503.7</x:v>
      </x:c>
      <x:c r="C2085" s="32">
        <x:v>509.3</x:v>
      </x:c>
      <x:c r="D2085" s="32">
        <x:v>502.7</x:v>
      </x:c>
      <x:c r="E2085" s="32">
        <x:v>507</x:v>
      </x:c>
      <x:c r="F2085" s="33">
        <x:v>55223430</x:v>
      </x:c>
      <x:c r="G2085" s="32" t="n">
        <x:f t="shared" si="87">AVERAGE(E1886:E2085)</x:f>
        <x:v>353.5367999999999</x:v>
      </x:c>
      <x:c r="H2085" s="37" t="n">
        <x:f t="shared" si="88">IFERROR(E2085/G2085-1,"")</x:f>
        <x:v>0.4340798468504554</x:v>
      </x:c>
      <x:c r="I2085" s="38" t="b">
        <x:f t="shared" si="89">E2085&lt;G2085</x:f>
        <x:v>0</x:v>
      </x:c>
    </x:row>
    <x:row r="2086">
      <x:c r="A2086" s="31">
        <x:v>40042</x:v>
      </x:c>
      <x:c r="B2086" s="32">
        <x:v>505.5</x:v>
      </x:c>
      <x:c r="C2086" s="32">
        <x:v>508.5</x:v>
      </x:c>
      <x:c r="D2086" s="32">
        <x:v>500.1</x:v>
      </x:c>
      <x:c r="E2086" s="32">
        <x:v>500.1</x:v>
      </x:c>
      <x:c r="F2086" s="33">
        <x:v>43957070</x:v>
      </x:c>
      <x:c r="G2086" s="32" t="n">
        <x:f t="shared" si="87">AVERAGE(E1887:E2086)</x:f>
        <x:v>354.42330000000004</x:v>
      </x:c>
      <x:c r="H2086" s="37" t="n">
        <x:f t="shared" si="88">IFERROR(E2086/G2086-1,"")</x:f>
        <x:v>0.41102461378808886</x:v>
      </x:c>
      <x:c r="I2086" s="38" t="b">
        <x:f t="shared" si="89">E2086&lt;G2086</x:f>
        <x:v>0</x:v>
      </x:c>
    </x:row>
    <x:row r="2087">
      <x:c r="A2087" s="31">
        <x:v>40043</x:v>
      </x:c>
      <x:c r="B2087" s="32">
        <x:v>496.8</x:v>
      </x:c>
      <x:c r="C2087" s="32">
        <x:v>501.6</x:v>
      </x:c>
      <x:c r="D2087" s="32">
        <x:v>495.5</x:v>
      </x:c>
      <x:c r="E2087" s="32">
        <x:v>499.7</x:v>
      </x:c>
      <x:c r="F2087" s="33">
        <x:v>47360260</x:v>
      </x:c>
      <x:c r="G2087" s="32" t="n">
        <x:f t="shared" si="87">AVERAGE(E1888:E2087)</x:f>
        <x:v>355.2637</x:v>
      </x:c>
      <x:c r="H2087" s="37" t="n">
        <x:f t="shared" si="88">IFERROR(E2087/G2087-1,"")</x:f>
        <x:v>0.4065608166553465</x:v>
      </x:c>
      <x:c r="I2087" s="38" t="b">
        <x:f t="shared" si="89">E2087&lt;G2087</x:f>
        <x:v>0</x:v>
      </x:c>
    </x:row>
    <x:row r="2088">
      <x:c r="A2088" s="31">
        <x:v>40044</x:v>
      </x:c>
      <x:c r="B2088" s="32">
        <x:v>505</x:v>
      </x:c>
      <x:c r="C2088" s="32">
        <x:v>508.5</x:v>
      </x:c>
      <x:c r="D2088" s="32">
        <x:v>503.4</x:v>
      </x:c>
      <x:c r="E2088" s="32">
        <x:v>508.5</x:v>
      </x:c>
      <x:c r="F2088" s="33">
        <x:v>44448020</x:v>
      </x:c>
      <x:c r="G2088" s="32" t="n">
        <x:f t="shared" si="87">AVERAGE(E1889:E2088)</x:f>
        <x:v>356.12335</x:v>
      </x:c>
      <x:c r="H2088" s="37" t="n">
        <x:f t="shared" si="88">IFERROR(E2088/G2088-1,"")</x:f>
        <x:v>0.42787604351132824</x:v>
      </x:c>
      <x:c r="I2088" s="38" t="b">
        <x:f t="shared" si="89">E2088&lt;G2088</x:f>
        <x:v>0</x:v>
      </x:c>
    </x:row>
    <x:row r="2089">
      <x:c r="A2089" s="31">
        <x:v>40045</x:v>
      </x:c>
      <x:c r="B2089" s="32">
        <x:v>513.79999999999995</x:v>
      </x:c>
      <x:c r="C2089" s="32">
        <x:v>515.20000000000005</x:v>
      </x:c>
      <x:c r="D2089" s="32">
        <x:v>510.4</x:v>
      </x:c>
      <x:c r="E2089" s="32">
        <x:v>513.9</x:v>
      </x:c>
      <x:c r="F2089" s="33">
        <x:v>59584130</x:v>
      </x:c>
      <x:c r="G2089" s="32" t="n">
        <x:f t="shared" si="87">AVERAGE(E1890:E2089)</x:f>
        <x:v>356.9575999999999</x:v>
      </x:c>
      <x:c r="H2089" s="37" t="n">
        <x:f t="shared" si="88">IFERROR(E2089/G2089-1,"")</x:f>
        <x:v>0.439666783954173</x:v>
      </x:c>
      <x:c r="I2089" s="38" t="b">
        <x:f t="shared" si="89">E2089&lt;G2089</x:f>
        <x:v>0</x:v>
      </x:c>
    </x:row>
    <x:row r="2090">
      <x:c r="A2090" s="31">
        <x:v>40046</x:v>
      </x:c>
      <x:c r="B2090" s="32">
        <x:v>522.1</x:v>
      </x:c>
      <x:c r="C2090" s="32">
        <x:v>530.5</x:v>
      </x:c>
      <x:c r="D2090" s="32">
        <x:v>519.20000000000005</x:v>
      </x:c>
      <x:c r="E2090" s="32">
        <x:v>519.20000000000005</x:v>
      </x:c>
      <x:c r="F2090" s="33">
        <x:v>82431500</x:v>
      </x:c>
      <x:c r="G2090" s="32" t="n">
        <x:f t="shared" si="87">AVERAGE(E1891:E2090)</x:f>
        <x:v>357.81039999999985</x:v>
      </x:c>
      <x:c r="H2090" s="37" t="n">
        <x:f t="shared" si="88">IFERROR(E2090/G2090-1,"")</x:f>
        <x:v>0.451047817503349</x:v>
      </x:c>
      <x:c r="I2090" s="38" t="b">
        <x:f t="shared" si="89">E2090&lt;G2090</x:f>
        <x:v>0</x:v>
      </x:c>
    </x:row>
    <x:row r="2091">
      <x:c r="A2091" s="31">
        <x:v>40049</x:v>
      </x:c>
      <x:c r="B2091" s="32">
        <x:v>522.20000000000005</x:v>
      </x:c>
      <x:c r="C2091" s="32">
        <x:v>528.79999999999995</x:v>
      </x:c>
      <x:c r="D2091" s="32">
        <x:v>522.20000000000005</x:v>
      </x:c>
      <x:c r="E2091" s="32">
        <x:v>528.20000000000005</x:v>
      </x:c>
      <x:c r="F2091" s="33">
        <x:v>56972710</x:v>
      </x:c>
      <x:c r="G2091" s="32" t="n">
        <x:f t="shared" si="87">AVERAGE(E1892:E2091)</x:f>
        <x:v>358.6441999999999</x:v>
      </x:c>
      <x:c r="H2091" s="37" t="n">
        <x:f t="shared" si="88">IFERROR(E2091/G2091-1,"")</x:f>
        <x:v>0.472768833289372</x:v>
      </x:c>
      <x:c r="I2091" s="38" t="b">
        <x:f t="shared" si="89">E2091&lt;G2091</x:f>
        <x:v>0</x:v>
      </x:c>
    </x:row>
    <x:row r="2092">
      <x:c r="A2092" s="31">
        <x:v>40050</x:v>
      </x:c>
      <x:c r="B2092" s="32">
        <x:v>532</x:v>
      </x:c>
      <x:c r="C2092" s="32">
        <x:v>532.9</x:v>
      </x:c>
      <x:c r="D2092" s="32">
        <x:v>527.1</x:v>
      </x:c>
      <x:c r="E2092" s="32">
        <x:v>528.9</x:v>
      </x:c>
      <x:c r="F2092" s="33">
        <x:v>61889640</x:v>
      </x:c>
      <x:c r="G2092" s="32" t="n">
        <x:f t="shared" si="87">AVERAGE(E1893:E2092)</x:f>
        <x:v>359.3995499999999</x:v>
      </x:c>
      <x:c r="H2092" s="37" t="n">
        <x:f t="shared" si="88">IFERROR(E2092/G2092-1,"")</x:f>
        <x:v>0.4716212082068554</x:v>
      </x:c>
      <x:c r="I2092" s="38" t="b">
        <x:f t="shared" si="89">E2092&lt;G2092</x:f>
        <x:v>0</x:v>
      </x:c>
    </x:row>
    <x:row r="2093">
      <x:c r="A2093" s="31">
        <x:v>40051</x:v>
      </x:c>
      <x:c r="B2093" s="32">
        <x:v>530</x:v>
      </x:c>
      <x:c r="C2093" s="32">
        <x:v>532.70000000000005</x:v>
      </x:c>
      <x:c r="D2093" s="32">
        <x:v>526</x:v>
      </x:c>
      <x:c r="E2093" s="32">
        <x:v>526</x:v>
      </x:c>
      <x:c r="F2093" s="33">
        <x:v>51786910</x:v>
      </x:c>
      <x:c r="G2093" s="32" t="n">
        <x:f t="shared" si="87">AVERAGE(E1894:E2093)</x:f>
        <x:v>360.1319999999999</x:v>
      </x:c>
      <x:c r="H2093" s="37" t="n">
        <x:f t="shared" si="88">IFERROR(E2093/G2093-1,"")</x:f>
        <x:v>0.46057556673664135</x:v>
      </x:c>
      <x:c r="I2093" s="38" t="b">
        <x:f t="shared" si="89">E2093&lt;G2093</x:f>
        <x:v>0</x:v>
      </x:c>
    </x:row>
    <x:row r="2094">
      <x:c r="A2094" s="31">
        <x:v>40052</x:v>
      </x:c>
      <x:c r="B2094" s="32">
        <x:v>527.1</x:v>
      </x:c>
      <x:c r="C2094" s="32">
        <x:v>529.70000000000005</x:v>
      </x:c>
      <x:c r="D2094" s="32">
        <x:v>523.20000000000005</x:v>
      </x:c>
      <x:c r="E2094" s="32">
        <x:v>527</x:v>
      </x:c>
      <x:c r="F2094" s="33">
        <x:v>48938390</x:v>
      </x:c>
      <x:c r="G2094" s="32" t="n">
        <x:f t="shared" si="87">AVERAGE(E1895:E2094)</x:f>
        <x:v>360.9371499999999</x:v>
      </x:c>
      <x:c r="H2094" s="37" t="n">
        <x:f t="shared" si="88">IFERROR(E2094/G2094-1,"")</x:f>
        <x:v>0.46008799592948546</x:v>
      </x:c>
      <x:c r="I2094" s="38" t="b">
        <x:f t="shared" si="89">E2094&lt;G2094</x:f>
        <x:v>0</x:v>
      </x:c>
    </x:row>
    <x:row r="2095">
      <x:c r="A2095" s="31">
        <x:v>40053</x:v>
      </x:c>
      <x:c r="B2095" s="32">
        <x:v>533.6</x:v>
      </x:c>
      <x:c r="C2095" s="32">
        <x:v>536.5</x:v>
      </x:c>
      <x:c r="D2095" s="32">
        <x:v>530.70000000000005</x:v>
      </x:c>
      <x:c r="E2095" s="32">
        <x:v>536.5</x:v>
      </x:c>
      <x:c r="F2095" s="33">
        <x:v>55848930</x:v>
      </x:c>
      <x:c r="G2095" s="32" t="n">
        <x:f t="shared" si="87">AVERAGE(E1896:E2095)</x:f>
        <x:v>361.7896499999999</x:v>
      </x:c>
      <x:c r="H2095" s="37" t="n">
        <x:f t="shared" si="88">IFERROR(E2095/G2095-1,"")</x:f>
        <x:v>0.48290588191232153</x:v>
      </x:c>
      <x:c r="I2095" s="38" t="b">
        <x:f t="shared" si="89">E2095&lt;G2095</x:f>
        <x:v>0</x:v>
      </x:c>
    </x:row>
    <x:row r="2096">
      <x:c r="A2096" s="31">
        <x:v>40056</x:v>
      </x:c>
      <x:c r="B2096" s="32">
        <x:v>541.9</x:v>
      </x:c>
      <x:c r="C2096" s="32">
        <x:v>547.4</x:v>
      </x:c>
      <x:c r="D2096" s="32">
        <x:v>541.9</x:v>
      </x:c>
      <x:c r="E2096" s="32">
        <x:v>546.79999999999995</x:v>
      </x:c>
      <x:c r="F2096" s="33">
        <x:v>70635730</x:v>
      </x:c>
      <x:c r="G2096" s="32" t="n">
        <x:f t="shared" si="87">AVERAGE(E1897:E2096)</x:f>
        <x:v>362.76509999999996</x:v>
      </x:c>
      <x:c r="H2096" s="37" t="n">
        <x:f t="shared" si="88">IFERROR(E2096/G2096-1,"")</x:f>
        <x:v>0.50731148062479</x:v>
      </x:c>
      <x:c r="I2096" s="38" t="b">
        <x:f t="shared" si="89">E2096&lt;G2096</x:f>
        <x:v>0</x:v>
      </x:c>
    </x:row>
    <x:row r="2097">
      <x:c r="A2097" s="31">
        <x:v>40057</x:v>
      </x:c>
      <x:c r="B2097" s="32">
        <x:v>545.1</x:v>
      </x:c>
      <x:c r="C2097" s="32">
        <x:v>549.6</x:v>
      </x:c>
      <x:c r="D2097" s="32">
        <x:v>542.4</x:v>
      </x:c>
      <x:c r="E2097" s="32">
        <x:v>547.70000000000005</x:v>
      </x:c>
      <x:c r="F2097" s="33">
        <x:v>71880110</x:v>
      </x:c>
      <x:c r="G2097" s="32" t="n">
        <x:f t="shared" si="87">AVERAGE(E1898:E2097)</x:f>
        <x:v>363.79194999999993</x:v>
      </x:c>
      <x:c r="H2097" s="37" t="n">
        <x:f t="shared" si="88">IFERROR(E2097/G2097-1,"")</x:f>
        <x:v>0.5055308398110518</x:v>
      </x:c>
      <x:c r="I2097" s="38" t="b">
        <x:f t="shared" si="89">E2097&lt;G2097</x:f>
        <x:v>0</x:v>
      </x:c>
    </x:row>
    <x:row r="2098">
      <x:c r="A2098" s="31">
        <x:v>40059</x:v>
      </x:c>
      <x:c r="B2098" s="32">
        <x:v>541</x:v>
      </x:c>
      <x:c r="C2098" s="32">
        <x:v>548.4</x:v>
      </x:c>
      <x:c r="D2098" s="32">
        <x:v>539.5</x:v>
      </x:c>
      <x:c r="E2098" s="32">
        <x:v>540.79999999999995</x:v>
      </x:c>
      <x:c r="F2098" s="33">
        <x:v>67416480</x:v>
      </x:c>
      <x:c r="G2098" s="32" t="n">
        <x:f t="shared" si="87">AVERAGE(E1899:E2098)</x:f>
        <x:v>364.76475</x:v>
      </x:c>
      <x:c r="H2098" s="37" t="n">
        <x:f t="shared" si="88">IFERROR(E2098/G2098-1,"")</x:f>
        <x:v>0.48259940139500856</x:v>
      </x:c>
      <x:c r="I2098" s="38" t="b">
        <x:f t="shared" si="89">E2098&lt;G2098</x:f>
        <x:v>0</x:v>
      </x:c>
    </x:row>
    <x:row r="2099">
      <x:c r="A2099" s="31">
        <x:v>40060</x:v>
      </x:c>
      <x:c r="B2099" s="32">
        <x:v>543</x:v>
      </x:c>
      <x:c r="C2099" s="32">
        <x:v>544.29999999999995</x:v>
      </x:c>
      <x:c r="D2099" s="32">
        <x:v>528.5</x:v>
      </x:c>
      <x:c r="E2099" s="32">
        <x:v>528.5</x:v>
      </x:c>
      <x:c r="F2099" s="33">
        <x:v>78337380</x:v>
      </x:c>
      <x:c r="G2099" s="32" t="n">
        <x:f t="shared" si="87">AVERAGE(E1900:E2099)</x:f>
        <x:v>365.64689999999996</x:v>
      </x:c>
      <x:c r="H2099" s="37" t="n">
        <x:f t="shared" si="88">IFERROR(E2099/G2099-1,"")</x:f>
        <x:v>0.44538351070390614</x:v>
      </x:c>
      <x:c r="I2099" s="38" t="b">
        <x:f t="shared" si="89">E2099&lt;G2099</x:f>
        <x:v>0</x:v>
      </x:c>
    </x:row>
    <x:row r="2100">
      <x:c r="A2100" s="31">
        <x:v>40063</x:v>
      </x:c>
      <x:c r="B2100" s="32">
        <x:v>528.20000000000005</x:v>
      </x:c>
      <x:c r="C2100" s="32">
        <x:v>528.20000000000005</x:v>
      </x:c>
      <x:c r="D2100" s="32">
        <x:v>513.5</x:v>
      </x:c>
      <x:c r="E2100" s="32">
        <x:v>524.5</x:v>
      </x:c>
      <x:c r="F2100" s="33">
        <x:v>59664470</x:v>
      </x:c>
      <x:c r="G2100" s="32" t="n">
        <x:f t="shared" si="87">AVERAGE(E1901:E2100)</x:f>
        <x:v>366.5441499999999</x:v>
      </x:c>
      <x:c r="H2100" s="37" t="n">
        <x:f t="shared" si="88">IFERROR(E2100/G2100-1,"")</x:f>
        <x:v>0.43093267209420794</x:v>
      </x:c>
      <x:c r="I2100" s="38" t="b">
        <x:f t="shared" si="89">E2100&lt;G2100</x:f>
        <x:v>0</x:v>
      </x:c>
    </x:row>
    <x:row r="2101">
      <x:c r="A2101" s="31">
        <x:v>40064</x:v>
      </x:c>
      <x:c r="B2101" s="32">
        <x:v>530</x:v>
      </x:c>
      <x:c r="C2101" s="32">
        <x:v>538.6</x:v>
      </x:c>
      <x:c r="D2101" s="32">
        <x:v>529.79999999999995</x:v>
      </x:c>
      <x:c r="E2101" s="32">
        <x:v>537.79999999999995</x:v>
      </x:c>
      <x:c r="F2101" s="33">
        <x:v>47488670</x:v>
      </x:c>
      <x:c r="G2101" s="32" t="n">
        <x:f t="shared" si="87">AVERAGE(E1902:E2101)</x:f>
        <x:v>367.5296999999999</x:v>
      </x:c>
      <x:c r="H2101" s="37" t="n">
        <x:f t="shared" si="88">IFERROR(E2101/G2101-1,"")</x:f>
        <x:v>0.4632831033791287</x:v>
      </x:c>
      <x:c r="I2101" s="38" t="b">
        <x:f t="shared" si="89">E2101&lt;G2101</x:f>
        <x:v>0</x:v>
      </x:c>
    </x:row>
    <x:row r="2102">
      <x:c r="A2102" s="31">
        <x:v>40065</x:v>
      </x:c>
      <x:c r="B2102" s="32">
        <x:v>539.9</x:v>
      </x:c>
      <x:c r="C2102" s="32">
        <x:v>542</x:v>
      </x:c>
      <x:c r="D2102" s="32">
        <x:v>536.1</x:v>
      </x:c>
      <x:c r="E2102" s="32">
        <x:v>536.1</x:v>
      </x:c>
      <x:c r="F2102" s="33">
        <x:v>54590860</x:v>
      </x:c>
      <x:c r="G2102" s="32" t="n">
        <x:f t="shared" si="87">AVERAGE(E1903:E2102)</x:f>
        <x:v>368.5257499999999</x:v>
      </x:c>
      <x:c r="H2102" s="37" t="n">
        <x:f t="shared" si="88">IFERROR(E2102/G2102-1,"")</x:f>
        <x:v>0.4547151725490015</x:v>
      </x:c>
      <x:c r="I2102" s="38" t="b">
        <x:f t="shared" si="89">E2102&lt;G2102</x:f>
        <x:v>0</x:v>
      </x:c>
    </x:row>
    <x:row r="2103">
      <x:c r="A2103" s="31">
        <x:v>40066</x:v>
      </x:c>
      <x:c r="B2103" s="32">
        <x:v>535.5</x:v>
      </x:c>
      <x:c r="C2103" s="32">
        <x:v>541.9</x:v>
      </x:c>
      <x:c r="D2103" s="32">
        <x:v>535.4</x:v>
      </x:c>
      <x:c r="E2103" s="32">
        <x:v>540.20000000000005</x:v>
      </x:c>
      <x:c r="F2103" s="33">
        <x:v>52636860</x:v>
      </x:c>
      <x:c r="G2103" s="32" t="n">
        <x:f t="shared" si="87">AVERAGE(E1904:E2103)</x:f>
        <x:v>369.59804999999983</x:v>
      </x:c>
      <x:c r="H2103" s="37" t="n">
        <x:f t="shared" si="88">IFERROR(E2103/G2103-1,"")</x:f>
        <x:v>0.4615877978793457</x:v>
      </x:c>
      <x:c r="I2103" s="38" t="b">
        <x:f t="shared" si="89">E2103&lt;G2103</x:f>
        <x:v>0</x:v>
      </x:c>
    </x:row>
    <x:row r="2104">
      <x:c r="A2104" s="31">
        <x:v>40067</x:v>
      </x:c>
      <x:c r="B2104" s="32">
        <x:v>549</x:v>
      </x:c>
      <x:c r="C2104" s="32">
        <x:v>549.6</x:v>
      </x:c>
      <x:c r="D2104" s="32">
        <x:v>547.79999999999995</x:v>
      </x:c>
      <x:c r="E2104" s="32">
        <x:v>548</x:v>
      </x:c>
      <x:c r="F2104" s="33">
        <x:v>62115320</x:v>
      </x:c>
      <x:c r="G2104" s="32" t="n">
        <x:f t="shared" si="87">AVERAGE(E1905:E2104)</x:f>
        <x:v>370.7432499999999</x:v>
      </x:c>
      <x:c r="H2104" s="37" t="n">
        <x:f t="shared" si="88">IFERROR(E2104/G2104-1,"")</x:f>
        <x:v>0.4781118739181365</x:v>
      </x:c>
      <x:c r="I2104" s="38" t="b">
        <x:f t="shared" si="89">E2104&lt;G2104</x:f>
        <x:v>0</x:v>
      </x:c>
    </x:row>
    <x:row r="2105">
      <x:c r="A2105" s="31">
        <x:v>40070</x:v>
      </x:c>
      <x:c r="B2105" s="32">
        <x:v>551.70000000000005</x:v>
      </x:c>
      <x:c r="C2105" s="32">
        <x:v>559.70000000000005</x:v>
      </x:c>
      <x:c r="D2105" s="32">
        <x:v>551.70000000000005</x:v>
      </x:c>
      <x:c r="E2105" s="32">
        <x:v>556.6</x:v>
      </x:c>
      <x:c r="F2105" s="33">
        <x:v>63958520</x:v>
      </x:c>
      <x:c r="G2105" s="32" t="n">
        <x:f t="shared" si="87">AVERAGE(E1906:E2105)</x:f>
        <x:v>371.93659999999994</x:v>
      </x:c>
      <x:c r="H2105" s="37" t="n">
        <x:f t="shared" si="88">IFERROR(E2105/G2105-1,"")</x:f>
        <x:v>0.4964916063651712</x:v>
      </x:c>
      <x:c r="I2105" s="38" t="b">
        <x:f t="shared" si="89">E2105&lt;G2105</x:f>
        <x:v>0</x:v>
      </x:c>
    </x:row>
    <x:row r="2106">
      <x:c r="A2106" s="31">
        <x:v>40071</x:v>
      </x:c>
      <x:c r="B2106" s="32">
        <x:v>558.4</x:v>
      </x:c>
      <x:c r="C2106" s="32">
        <x:v>562.20000000000005</x:v>
      </x:c>
      <x:c r="D2106" s="32">
        <x:v>553.29999999999995</x:v>
      </x:c>
      <x:c r="E2106" s="32">
        <x:v>556.79999999999995</x:v>
      </x:c>
      <x:c r="F2106" s="33">
        <x:v>70711910</x:v>
      </x:c>
      <x:c r="G2106" s="32" t="n">
        <x:f t="shared" si="87">AVERAGE(E1907:E2106)</x:f>
        <x:v>373.11895</x:v>
      </x:c>
      <x:c r="H2106" s="37" t="n">
        <x:f t="shared" si="88">IFERROR(E2106/G2106-1,"")</x:f>
        <x:v>0.49228550305472285</x:v>
      </x:c>
      <x:c r="I2106" s="38" t="b">
        <x:f t="shared" si="89">E2106&lt;G2106</x:f>
        <x:v>0</x:v>
      </x:c>
    </x:row>
    <x:row r="2107">
      <x:c r="A2107" s="31">
        <x:v>40072</x:v>
      </x:c>
      <x:c r="B2107" s="32">
        <x:v>560.5</x:v>
      </x:c>
      <x:c r="C2107" s="32">
        <x:v>562.5</x:v>
      </x:c>
      <x:c r="D2107" s="32">
        <x:v>557</x:v>
      </x:c>
      <x:c r="E2107" s="32">
        <x:v>557</x:v>
      </x:c>
      <x:c r="F2107" s="33">
        <x:v>67324740</x:v>
      </x:c>
      <x:c r="G2107" s="32" t="n">
        <x:f t="shared" si="87">AVERAGE(E1908:E2107)</x:f>
        <x:v>374.34525</x:v>
      </x:c>
      <x:c r="H2107" s="37" t="n">
        <x:f t="shared" si="88">IFERROR(E2107/G2107-1,"")</x:f>
        <x:v>0.48793126131559017</x:v>
      </x:c>
      <x:c r="I2107" s="38" t="b">
        <x:f t="shared" si="89">E2107&lt;G2107</x:f>
        <x:v>0</x:v>
      </x:c>
    </x:row>
    <x:row r="2108">
      <x:c r="A2108" s="31">
        <x:v>40073</x:v>
      </x:c>
      <x:c r="B2108" s="32">
        <x:v>559.4</x:v>
      </x:c>
      <x:c r="C2108" s="32">
        <x:v>564.20000000000005</x:v>
      </x:c>
      <x:c r="D2108" s="32">
        <x:v>553.20000000000005</x:v>
      </x:c>
      <x:c r="E2108" s="32">
        <x:v>561.20000000000005</x:v>
      </x:c>
      <x:c r="F2108" s="33">
        <x:v>73338450</x:v>
      </x:c>
      <x:c r="G2108" s="32" t="n">
        <x:f t="shared" si="87">AVERAGE(E1909:E2108)</x:f>
        <x:v>375.63354999999996</x:v>
      </x:c>
      <x:c r="H2108" s="37" t="n">
        <x:f t="shared" si="88">IFERROR(E2108/G2108-1,"")</x:f>
        <x:v>0.49400925449816735</x:v>
      </x:c>
      <x:c r="I2108" s="38" t="b">
        <x:f t="shared" si="89">E2108&lt;G2108</x:f>
        <x:v>0</x:v>
      </x:c>
    </x:row>
    <x:row r="2109">
      <x:c r="A2109" s="31">
        <x:v>40074</x:v>
      </x:c>
      <x:c r="B2109" s="32">
        <x:v>561.70000000000005</x:v>
      </x:c>
      <x:c r="C2109" s="32">
        <x:v>571</x:v>
      </x:c>
      <x:c r="D2109" s="32">
        <x:v>561.70000000000005</x:v>
      </x:c>
      <x:c r="E2109" s="32">
        <x:v>571</x:v>
      </x:c>
      <x:c r="F2109" s="33">
        <x:v>64307160</x:v>
      </x:c>
      <x:c r="G2109" s="32" t="n">
        <x:f t="shared" si="87">AVERAGE(E1910:E2109)</x:f>
        <x:v>376.91484999999994</x:v>
      </x:c>
      <x:c r="H2109" s="37" t="n">
        <x:f t="shared" si="88">IFERROR(E2109/G2109-1,"")</x:f>
        <x:v>0.5149310248720635</x:v>
      </x:c>
      <x:c r="I2109" s="38" t="b">
        <x:f t="shared" si="89">E2109&lt;G2109</x:f>
        <x:v>0</x:v>
      </x:c>
    </x:row>
    <x:row r="2110">
      <x:c r="A2110" s="31">
        <x:v>40077</x:v>
      </x:c>
      <x:c r="B2110" s="32">
        <x:v>578.29999999999995</x:v>
      </x:c>
      <x:c r="C2110" s="32">
        <x:v>581</x:v>
      </x:c>
      <x:c r="D2110" s="32">
        <x:v>578</x:v>
      </x:c>
      <x:c r="E2110" s="32">
        <x:v>578</x:v>
      </x:c>
      <x:c r="F2110" s="33">
        <x:v>66689050</x:v>
      </x:c>
      <x:c r="G2110" s="32" t="n">
        <x:f t="shared" si="87">AVERAGE(E1911:E2110)</x:f>
        <x:v>378.2313</x:v>
      </x:c>
      <x:c r="H2110" s="37" t="n">
        <x:f t="shared" si="88">IFERROR(E2110/G2110-1,"")</x:f>
        <x:v>0.5281654373924105</x:v>
      </x:c>
      <x:c r="I2110" s="38" t="b">
        <x:f t="shared" si="89">E2110&lt;G2110</x:f>
        <x:v>0</x:v>
      </x:c>
    </x:row>
    <x:row r="2111">
      <x:c r="A2111" s="31">
        <x:v>40078</x:v>
      </x:c>
      <x:c r="B2111" s="32">
        <x:v>578.6</x:v>
      </x:c>
      <x:c r="C2111" s="32">
        <x:v>585.5</x:v>
      </x:c>
      <x:c r="D2111" s="32">
        <x:v>577.9</x:v>
      </x:c>
      <x:c r="E2111" s="32">
        <x:v>582.9</x:v>
      </x:c>
      <x:c r="F2111" s="33">
        <x:v>74191000</x:v>
      </x:c>
      <x:c r="G2111" s="32" t="n">
        <x:f t="shared" si="87">AVERAGE(E1912:E2111)</x:f>
        <x:v>379.60855</x:v>
      </x:c>
      <x:c r="H2111" s="37" t="n">
        <x:f t="shared" si="88">IFERROR(E2111/G2111-1,"")</x:f>
        <x:v>0.535529165504834</x:v>
      </x:c>
      <x:c r="I2111" s="38" t="b">
        <x:f t="shared" si="89">E2111&lt;G2111</x:f>
        <x:v>0</x:v>
      </x:c>
    </x:row>
    <x:row r="2112">
      <x:c r="A2112" s="31">
        <x:v>40079</x:v>
      </x:c>
      <x:c r="B2112" s="32">
        <x:v>587.4</x:v>
      </x:c>
      <x:c r="C2112" s="32">
        <x:v>594.29999999999995</x:v>
      </x:c>
      <x:c r="D2112" s="32">
        <x:v>582.1</x:v>
      </x:c>
      <x:c r="E2112" s="32">
        <x:v>582.1</x:v>
      </x:c>
      <x:c r="F2112" s="33">
        <x:v>90385330</x:v>
      </x:c>
      <x:c r="G2112" s="32" t="n">
        <x:f t="shared" si="87">AVERAGE(E1913:E2112)</x:f>
        <x:v>380.98794999999996</x:v>
      </x:c>
      <x:c r="H2112" s="37" t="n">
        <x:f t="shared" si="88">IFERROR(E2112/G2112-1,"")</x:f>
        <x:v>0.5278698447024377</x:v>
      </x:c>
      <x:c r="I2112" s="38" t="b">
        <x:f t="shared" si="89">E2112&lt;G2112</x:f>
        <x:v>0</x:v>
      </x:c>
    </x:row>
    <x:row r="2113">
      <x:c r="A2113" s="31">
        <x:v>40080</x:v>
      </x:c>
      <x:c r="B2113" s="32">
        <x:v>576.79999999999995</x:v>
      </x:c>
      <x:c r="C2113" s="32">
        <x:v>583.6</x:v>
      </x:c>
      <x:c r="D2113" s="32">
        <x:v>572.20000000000005</x:v>
      </x:c>
      <x:c r="E2113" s="32">
        <x:v>574.79999999999995</x:v>
      </x:c>
      <x:c r="F2113" s="33">
        <x:v>71702020</x:v>
      </x:c>
      <x:c r="G2113" s="32" t="n">
        <x:f t="shared" si="87">AVERAGE(E1914:E2113)</x:f>
        <x:v>382.31895000000003</x:v>
      </x:c>
      <x:c r="H2113" s="37" t="n">
        <x:f t="shared" si="88">IFERROR(E2113/G2113-1,"")</x:f>
        <x:v>0.5034567342267495</x:v>
      </x:c>
      <x:c r="I2113" s="38" t="b">
        <x:f t="shared" si="89">E2113&lt;G2113</x:f>
        <x:v>0</x:v>
      </x:c>
    </x:row>
    <x:row r="2114">
      <x:c r="A2114" s="31">
        <x:v>40081</x:v>
      </x:c>
      <x:c r="B2114" s="32">
        <x:v>574.1</x:v>
      </x:c>
      <x:c r="C2114" s="32">
        <x:v>582.79999999999995</x:v>
      </x:c>
      <x:c r="D2114" s="32">
        <x:v>574.1</x:v>
      </x:c>
      <x:c r="E2114" s="32">
        <x:v>582.79999999999995</x:v>
      </x:c>
      <x:c r="F2114" s="33">
        <x:v>75929880</x:v>
      </x:c>
      <x:c r="G2114" s="32" t="n">
        <x:f t="shared" si="87">AVERAGE(E1915:E2114)</x:f>
        <x:v>383.73455</x:v>
      </x:c>
      <x:c r="H2114" s="37" t="n">
        <x:f t="shared" si="88">IFERROR(E2114/G2114-1,"")</x:f>
        <x:v>0.5187582145001015</x:v>
      </x:c>
      <x:c r="I2114" s="38" t="b">
        <x:f t="shared" si="89">E2114&lt;G2114</x:f>
        <x:v>0</x:v>
      </x:c>
    </x:row>
    <x:row r="2115">
      <x:c r="A2115" s="31">
        <x:v>40084</x:v>
      </x:c>
      <x:c r="B2115" s="32">
        <x:v>585.79999999999995</x:v>
      </x:c>
      <x:c r="C2115" s="32">
        <x:v>590.9</x:v>
      </x:c>
      <x:c r="D2115" s="32">
        <x:v>582</x:v>
      </x:c>
      <x:c r="E2115" s="32">
        <x:v>582</x:v>
      </x:c>
      <x:c r="F2115" s="33">
        <x:v>74550020</x:v>
      </x:c>
      <x:c r="G2115" s="32" t="n">
        <x:f t="shared" si="87">AVERAGE(E1916:E2115)</x:f>
        <x:v>385.2011</x:v>
      </x:c>
      <x:c r="H2115" s="37" t="n">
        <x:f t="shared" si="88">IFERROR(E2115/G2115-1,"")</x:f>
        <x:v>0.5108991121780286</x:v>
      </x:c>
      <x:c r="I2115" s="38" t="b">
        <x:f t="shared" si="89">E2115&lt;G2115</x:f>
        <x:v>0</x:v>
      </x:c>
    </x:row>
    <x:row r="2116">
      <x:c r="A2116" s="31">
        <x:v>40085</x:v>
      </x:c>
      <x:c r="B2116" s="32">
        <x:v>582.1</x:v>
      </x:c>
      <x:c r="C2116" s="32">
        <x:v>587.9</x:v>
      </x:c>
      <x:c r="D2116" s="32">
        <x:v>581.20000000000005</x:v>
      </x:c>
      <x:c r="E2116" s="32">
        <x:v>582.6</x:v>
      </x:c>
      <x:c r="F2116" s="33">
        <x:v>83817360</x:v>
      </x:c>
      <x:c r="G2116" s="32" t="n">
        <x:f t="shared" si="87">AVERAGE(E1917:E2116)</x:f>
        <x:v>386.6476</x:v>
      </x:c>
      <x:c r="H2116" s="37" t="n">
        <x:f t="shared" si="88">IFERROR(E2116/G2116-1,"")</x:f>
        <x:v>0.5067984386816315</x:v>
      </x:c>
      <x:c r="I2116" s="38" t="b">
        <x:f t="shared" si="89">E2116&lt;G2116</x:f>
        <x:v>0</x:v>
      </x:c>
    </x:row>
    <x:row r="2117">
      <x:c r="A2117" s="31">
        <x:v>40086</x:v>
      </x:c>
      <x:c r="B2117" s="32">
        <x:v>583.20000000000005</x:v>
      </x:c>
      <x:c r="C2117" s="32">
        <x:v>586.29999999999995</x:v>
      </x:c>
      <x:c r="D2117" s="32">
        <x:v>578.29999999999995</x:v>
      </x:c>
      <x:c r="E2117" s="32">
        <x:v>580.9</x:v>
      </x:c>
      <x:c r="F2117" s="33">
        <x:v>73172960</x:v>
      </x:c>
      <x:c r="G2117" s="32" t="n">
        <x:f t="shared" si="87">AVERAGE(E1918:E2117)</x:f>
        <x:v>388.11785</x:v>
      </x:c>
      <x:c r="H2117" s="37" t="n">
        <x:f t="shared" si="88">IFERROR(E2117/G2117-1,"")</x:f>
        <x:v>0.49671034197473785</x:v>
      </x:c>
      <x:c r="I2117" s="38" t="b">
        <x:f t="shared" si="89">E2117&lt;G2117</x:f>
        <x:v>0</x:v>
      </x:c>
    </x:row>
    <x:row r="2118">
      <x:c r="A2118" s="31">
        <x:v>40087</x:v>
      </x:c>
      <x:c r="B2118" s="32">
        <x:v>581.79999999999995</x:v>
      </x:c>
      <x:c r="C2118" s="32">
        <x:v>581.79999999999995</x:v>
      </x:c>
      <x:c r="D2118" s="32">
        <x:v>569</x:v>
      </x:c>
      <x:c r="E2118" s="32">
        <x:v>569</x:v>
      </x:c>
      <x:c r="F2118" s="33">
        <x:v>63144690</x:v>
      </x:c>
      <x:c r="G2118" s="32" t="n">
        <x:f t="shared" si="87">AVERAGE(E1919:E2118)</x:f>
        <x:v>389.5182</x:v>
      </x:c>
      <x:c r="H2118" s="37" t="n">
        <x:f t="shared" si="88">IFERROR(E2118/G2118-1,"")</x:f>
        <x:v>0.46077898285625696</x:v>
      </x:c>
      <x:c r="I2118" s="38" t="b">
        <x:f t="shared" si="89">E2118&lt;G2118</x:f>
        <x:v>0</x:v>
      </x:c>
    </x:row>
    <x:row r="2119">
      <x:c r="A2119" s="31">
        <x:v>40088</x:v>
      </x:c>
      <x:c r="B2119" s="32">
        <x:v>553</x:v>
      </x:c>
      <x:c r="C2119" s="32">
        <x:v>556.20000000000005</x:v>
      </x:c>
      <x:c r="D2119" s="32">
        <x:v>544.29999999999995</x:v>
      </x:c>
      <x:c r="E2119" s="32">
        <x:v>549.70000000000005</x:v>
      </x:c>
      <x:c r="F2119" s="33">
        <x:v>75711190</x:v>
      </x:c>
      <x:c r="G2119" s="32" t="n">
        <x:f t="shared" si="87">AVERAGE(E1920:E2119)</x:f>
        <x:v>390.769</x:v>
      </x:c>
      <x:c r="H2119" s="37" t="n">
        <x:f t="shared" si="88">IFERROR(E2119/G2119-1,"")</x:f>
        <x:v>0.406713429161474</x:v>
      </x:c>
      <x:c r="I2119" s="38" t="b">
        <x:f t="shared" si="89">E2119&lt;G2119</x:f>
        <x:v>0</x:v>
      </x:c>
    </x:row>
    <x:row r="2120">
      <x:c r="A2120" s="31">
        <x:v>40091</x:v>
      </x:c>
      <x:c r="B2120" s="32">
        <x:v>553.20000000000005</x:v>
      </x:c>
      <x:c r="C2120" s="32">
        <x:v>556.6</x:v>
      </x:c>
      <x:c r="D2120" s="32">
        <x:v>543.20000000000005</x:v>
      </x:c>
      <x:c r="E2120" s="32">
        <x:v>549</x:v>
      </x:c>
      <x:c r="F2120" s="33">
        <x:v>45614480</x:v>
      </x:c>
      <x:c r="G2120" s="32" t="n">
        <x:f t="shared" si="87">AVERAGE(E1921:E2120)</x:f>
        <x:v>391.9726</x:v>
      </x:c>
      <x:c r="H2120" s="37" t="n">
        <x:f t="shared" si="88">IFERROR(E2120/G2120-1,"")</x:f>
        <x:v>0.40060810372969957</x:v>
      </x:c>
      <x:c r="I2120" s="38" t="b">
        <x:f t="shared" si="89">E2120&lt;G2120</x:f>
        <x:v>0</x:v>
      </x:c>
    </x:row>
    <x:row r="2121">
      <x:c r="A2121" s="31">
        <x:v>40092</x:v>
      </x:c>
      <x:c r="B2121" s="32">
        <x:v>554.1</x:v>
      </x:c>
      <x:c r="C2121" s="32">
        <x:v>557.1</x:v>
      </x:c>
      <x:c r="D2121" s="32">
        <x:v>550.5</x:v>
      </x:c>
      <x:c r="E2121" s="32">
        <x:v>552</x:v>
      </x:c>
      <x:c r="F2121" s="33">
        <x:v>42699920</x:v>
      </x:c>
      <x:c r="G2121" s="32" t="n">
        <x:f t="shared" si="87">AVERAGE(E1922:E2121)</x:f>
        <x:v>393.25049999999993</x:v>
      </x:c>
      <x:c r="H2121" s="37" t="n">
        <x:f t="shared" si="88">IFERROR(E2121/G2121-1,"")</x:f>
        <x:v>0.403685437145026</x:v>
      </x:c>
      <x:c r="I2121" s="38" t="b">
        <x:f t="shared" si="89">E2121&lt;G2121</x:f>
        <x:v>0</x:v>
      </x:c>
    </x:row>
    <x:row r="2122">
      <x:c r="A2122" s="31">
        <x:v>40093</x:v>
      </x:c>
      <x:c r="B2122" s="32">
        <x:v>560.79999999999995</x:v>
      </x:c>
      <x:c r="C2122" s="32">
        <x:v>569.6</x:v>
      </x:c>
      <x:c r="D2122" s="32">
        <x:v>560.20000000000005</x:v>
      </x:c>
      <x:c r="E2122" s="32">
        <x:v>566.4</x:v>
      </x:c>
      <x:c r="F2122" s="33">
        <x:v>42699920</x:v>
      </x:c>
      <x:c r="G2122" s="32" t="n">
        <x:f t="shared" si="87">AVERAGE(E1923:E2122)</x:f>
        <x:v>394.57739999999995</x:v>
      </x:c>
      <x:c r="H2122" s="37" t="n">
        <x:f t="shared" si="88">IFERROR(E2122/G2122-1,"")</x:f>
        <x:v>0.4354598109268297</x:v>
      </x:c>
      <x:c r="I2122" s="38" t="b">
        <x:f t="shared" si="89">E2122&lt;G2122</x:f>
        <x:v>0</x:v>
      </x:c>
    </x:row>
    <x:row r="2123">
      <x:c r="A2123" s="31">
        <x:v>40094</x:v>
      </x:c>
      <x:c r="B2123" s="32">
        <x:v>570.5</x:v>
      </x:c>
      <x:c r="C2123" s="32">
        <x:v>571.79999999999995</x:v>
      </x:c>
      <x:c r="D2123" s="32">
        <x:v>566</x:v>
      </x:c>
      <x:c r="E2123" s="32">
        <x:v>571.79999999999995</x:v>
      </x:c>
      <x:c r="F2123" s="33">
        <x:v>50712940</x:v>
      </x:c>
      <x:c r="G2123" s="32" t="n">
        <x:f t="shared" si="87">AVERAGE(E1924:E2123)</x:f>
        <x:v>395.9086</x:v>
      </x:c>
      <x:c r="H2123" s="37" t="n">
        <x:f t="shared" si="88">IFERROR(E2123/G2123-1,"")</x:f>
        <x:v>0.4442727437595444</x:v>
      </x:c>
      <x:c r="I2123" s="38" t="b">
        <x:f t="shared" si="89">E2123&lt;G2123</x:f>
        <x:v>0</x:v>
      </x:c>
    </x:row>
    <x:row r="2124">
      <x:c r="A2124" s="31">
        <x:v>40095</x:v>
      </x:c>
      <x:c r="B2124" s="32">
        <x:v>575.4</x:v>
      </x:c>
      <x:c r="C2124" s="32">
        <x:v>582.5</x:v>
      </x:c>
      <x:c r="D2124" s="32">
        <x:v>575.4</x:v>
      </x:c>
      <x:c r="E2124" s="32">
        <x:v>582</x:v>
      </x:c>
      <x:c r="F2124" s="33">
        <x:v>68313940</x:v>
      </x:c>
      <x:c r="G2124" s="32" t="n">
        <x:f t="shared" si="87">AVERAGE(E1925:E2124)</x:f>
        <x:v>397.28229999999996</x:v>
      </x:c>
      <x:c r="H2124" s="37" t="n">
        <x:f t="shared" si="88">IFERROR(E2124/G2124-1,"")</x:f>
        <x:v>0.4649532586777716</x:v>
      </x:c>
      <x:c r="I2124" s="38" t="b">
        <x:f t="shared" si="89">E2124&lt;G2124</x:f>
        <x:v>0</x:v>
      </x:c>
    </x:row>
    <x:row r="2125">
      <x:c r="A2125" s="31">
        <x:v>40098</x:v>
      </x:c>
      <x:c r="B2125" s="32">
        <x:v>588.70000000000005</x:v>
      </x:c>
      <x:c r="C2125" s="32">
        <x:v>595.70000000000005</x:v>
      </x:c>
      <x:c r="D2125" s="32">
        <x:v>587.1</x:v>
      </x:c>
      <x:c r="E2125" s="32">
        <x:v>594.29999999999995</x:v>
      </x:c>
      <x:c r="F2125" s="33">
        <x:v>73708620</x:v>
      </x:c>
      <x:c r="G2125" s="32" t="n">
        <x:f t="shared" ref="G2125:G2188" si="90">AVERAGE(E1926:E2125)</x:f>
        <x:v>398.70355</x:v>
      </x:c>
      <x:c r="H2125" s="37" t="n">
        <x:f t="shared" ref="H2125:H2188" si="91">IFERROR(E2125/G2125-1,"")</x:f>
        <x:v>0.4905811598617569</x:v>
      </x:c>
      <x:c r="I2125" s="38" t="b">
        <x:f t="shared" ref="I2125:I2188" si="92">E2125&lt;G2125</x:f>
        <x:v>0</x:v>
      </x:c>
    </x:row>
    <x:row r="2126">
      <x:c r="A2126" s="31">
        <x:v>40099</x:v>
      </x:c>
      <x:c r="B2126" s="32">
        <x:v>594.20000000000005</x:v>
      </x:c>
      <x:c r="C2126" s="32">
        <x:v>597.4</x:v>
      </x:c>
      <x:c r="D2126" s="32">
        <x:v>589.5</x:v>
      </x:c>
      <x:c r="E2126" s="32">
        <x:v>589.9</x:v>
      </x:c>
      <x:c r="F2126" s="33">
        <x:v>83932250</x:v>
      </x:c>
      <x:c r="G2126" s="32" t="n">
        <x:f t="shared" si="90">AVERAGE(E1927:E2126)</x:f>
        <x:v>400.13339999999994</x:v>
      </x:c>
      <x:c r="H2126" s="37" t="n">
        <x:f t="shared" si="91">IFERROR(E2126/G2126-1,"")</x:f>
        <x:v>0.4742583348453293</x:v>
      </x:c>
      <x:c r="I2126" s="38" t="b">
        <x:f t="shared" si="92">E2126&lt;G2126</x:f>
        <x:v>0</x:v>
      </x:c>
    </x:row>
    <x:row r="2127">
      <x:c r="A2127" s="31">
        <x:v>40100</x:v>
      </x:c>
      <x:c r="B2127" s="32">
        <x:v>590.79999999999995</x:v>
      </x:c>
      <x:c r="C2127" s="32">
        <x:v>605.70000000000005</x:v>
      </x:c>
      <x:c r="D2127" s="32">
        <x:v>590.79999999999995</x:v>
      </x:c>
      <x:c r="E2127" s="32">
        <x:v>605.70000000000005</x:v>
      </x:c>
      <x:c r="F2127" s="33">
        <x:v>83282640</x:v>
      </x:c>
      <x:c r="G2127" s="32" t="n">
        <x:f t="shared" si="90">AVERAGE(E1928:E2127)</x:f>
        <x:v>401.6416499999999</x:v>
      </x:c>
      <x:c r="H2127" s="37" t="n">
        <x:f t="shared" si="91">IFERROR(E2127/G2127-1,"")</x:f>
        <x:v>0.5080607302554407</x:v>
      </x:c>
      <x:c r="I2127" s="38" t="b">
        <x:f t="shared" si="92">E2127&lt;G2127</x:f>
        <x:v>0</x:v>
      </x:c>
    </x:row>
    <x:row r="2128">
      <x:c r="A2128" s="31">
        <x:v>40101</x:v>
      </x:c>
      <x:c r="B2128" s="32">
        <x:v>612</x:v>
      </x:c>
      <x:c r="C2128" s="32">
        <x:v>626.1</x:v>
      </x:c>
      <x:c r="D2128" s="32">
        <x:v>612</x:v>
      </x:c>
      <x:c r="E2128" s="32">
        <x:v>617.4</x:v>
      </x:c>
      <x:c r="F2128" s="33">
        <x:v>104458070</x:v>
      </x:c>
      <x:c r="G2128" s="32" t="n">
        <x:f t="shared" si="90">AVERAGE(E1929:E2128)</x:f>
        <x:v>403.2177</x:v>
      </x:c>
      <x:c r="H2128" s="37" t="n">
        <x:f t="shared" si="91">IFERROR(E2128/G2128-1,"")</x:f>
        <x:v>0.5311827828986675</x:v>
      </x:c>
      <x:c r="I2128" s="38" t="b">
        <x:f t="shared" si="92">E2128&lt;G2128</x:f>
        <x:v>0</x:v>
      </x:c>
    </x:row>
    <x:row r="2129">
      <x:c r="A2129" s="31">
        <x:v>40102</x:v>
      </x:c>
      <x:c r="B2129" s="32">
        <x:v>616.4</x:v>
      </x:c>
      <x:c r="C2129" s="32">
        <x:v>619.5</x:v>
      </x:c>
      <x:c r="D2129" s="32">
        <x:v>609.5</x:v>
      </x:c>
      <x:c r="E2129" s="32">
        <x:v>609.5</x:v>
      </x:c>
      <x:c r="F2129" s="33">
        <x:v>120718600</x:v>
      </x:c>
      <x:c r="G2129" s="32" t="n">
        <x:f t="shared" si="90">AVERAGE(E1930:E2129)</x:f>
        <x:v>404.74289999999996</x:v>
      </x:c>
      <x:c r="H2129" s="37" t="n">
        <x:f t="shared" si="91">IFERROR(E2129/G2129-1,"")</x:f>
        <x:v>0.5058942355752258</x:v>
      </x:c>
      <x:c r="I2129" s="38" t="b">
        <x:f t="shared" si="92">E2129&lt;G2129</x:f>
        <x:v>0</x:v>
      </x:c>
    </x:row>
    <x:row r="2130">
      <x:c r="A2130" s="31">
        <x:v>40105</x:v>
      </x:c>
      <x:c r="B2130" s="32">
        <x:v>609</x:v>
      </x:c>
      <x:c r="C2130" s="32">
        <x:v>612</x:v>
      </x:c>
      <x:c r="D2130" s="32">
        <x:v>605.79999999999995</x:v>
      </x:c>
      <x:c r="E2130" s="32">
        <x:v>607.1</x:v>
      </x:c>
      <x:c r="F2130" s="33">
        <x:v>85307350</x:v>
      </x:c>
      <x:c r="G2130" s="32" t="n">
        <x:f t="shared" si="90">AVERAGE(E1931:E2130)</x:f>
        <x:v>406.2356</x:v>
      </x:c>
      <x:c r="H2130" s="37" t="n">
        <x:f t="shared" si="91">IFERROR(E2130/G2130-1,"")</x:f>
        <x:v>0.4944529726099831</x:v>
      </x:c>
      <x:c r="I2130" s="38" t="b">
        <x:f t="shared" si="92">E2130&lt;G2130</x:f>
        <x:v>0</x:v>
      </x:c>
    </x:row>
    <x:row r="2131">
      <x:c r="A2131" s="31">
        <x:v>40106</x:v>
      </x:c>
      <x:c r="B2131" s="32">
        <x:v>615.29999999999995</x:v>
      </x:c>
      <x:c r="C2131" s="32">
        <x:v>617.1</x:v>
      </x:c>
      <x:c r="D2131" s="32">
        <x:v>613.6</x:v>
      </x:c>
      <x:c r="E2131" s="32">
        <x:v>616.6</x:v>
      </x:c>
      <x:c r="F2131" s="33">
        <x:v>84116430</x:v>
      </x:c>
      <x:c r="G2131" s="32" t="n">
        <x:f t="shared" si="90">AVERAGE(E1932:E2131)</x:f>
        <x:v>407.73699999999997</x:v>
      </x:c>
      <x:c r="H2131" s="37" t="n">
        <x:f t="shared" si="91">IFERROR(E2131/G2131-1,"")</x:f>
        <x:v>0.5122493175748095</x:v>
      </x:c>
      <x:c r="I2131" s="38" t="b">
        <x:f t="shared" si="92">E2131&lt;G2131</x:f>
        <x:v>0</x:v>
      </x:c>
    </x:row>
    <x:row r="2132">
      <x:c r="A2132" s="31">
        <x:v>40107</x:v>
      </x:c>
      <x:c r="B2132" s="32">
        <x:v>617.1</x:v>
      </x:c>
      <x:c r="C2132" s="32">
        <x:v>622.29999999999995</x:v>
      </x:c>
      <x:c r="D2132" s="32">
        <x:v>614.70000000000005</x:v>
      </x:c>
      <x:c r="E2132" s="32">
        <x:v>618.5</x:v>
      </x:c>
      <x:c r="F2132" s="33">
        <x:v>89778370</x:v>
      </x:c>
      <x:c r="G2132" s="32" t="n">
        <x:f t="shared" si="90">AVERAGE(E1933:E2132)</x:f>
        <x:v>409.2514</x:v>
      </x:c>
      <x:c r="H2132" s="37" t="n">
        <x:f t="shared" si="91">IFERROR(E2132/G2132-1,"")</x:f>
        <x:v>0.5112959906795678</x:v>
      </x:c>
      <x:c r="I2132" s="38" t="b">
        <x:f t="shared" si="92">E2132&lt;G2132</x:f>
        <x:v>0</x:v>
      </x:c>
    </x:row>
    <x:row r="2133">
      <x:c r="A2133" s="31">
        <x:v>40108</x:v>
      </x:c>
      <x:c r="B2133" s="32">
        <x:v>619.5</x:v>
      </x:c>
      <x:c r="C2133" s="32">
        <x:v>625</x:v>
      </x:c>
      <x:c r="D2133" s="32">
        <x:v>619.1</x:v>
      </x:c>
      <x:c r="E2133" s="32">
        <x:v>624.1</x:v>
      </x:c>
      <x:c r="F2133" s="33">
        <x:v>91618620</x:v>
      </x:c>
      <x:c r="G2133" s="32" t="n">
        <x:f t="shared" si="90">AVERAGE(E1934:E2133)</x:f>
        <x:v>410.8052</x:v>
      </x:c>
      <x:c r="H2133" s="37" t="n">
        <x:f t="shared" si="91">IFERROR(E2133/G2133-1,"")</x:f>
        <x:v>0.519211538704963</x:v>
      </x:c>
      <x:c r="I2133" s="38" t="b">
        <x:f t="shared" si="92">E2133&lt;G2133</x:f>
        <x:v>0</x:v>
      </x:c>
    </x:row>
    <x:row r="2134">
      <x:c r="A2134" s="31">
        <x:v>40109</x:v>
      </x:c>
      <x:c r="B2134" s="32">
        <x:v>626.1</x:v>
      </x:c>
      <x:c r="C2134" s="32">
        <x:v>633.20000000000005</x:v>
      </x:c>
      <x:c r="D2134" s="32">
        <x:v>615.70000000000005</x:v>
      </x:c>
      <x:c r="E2134" s="32">
        <x:v>615.20000000000005</x:v>
      </x:c>
      <x:c r="F2134" s="33">
        <x:v>133489890</x:v>
      </x:c>
      <x:c r="G2134" s="32" t="n">
        <x:f t="shared" si="90">AVERAGE(E1935:E2134)</x:f>
        <x:v>412.3216499999999</x:v>
      </x:c>
      <x:c r="H2134" s="37" t="n">
        <x:f t="shared" si="91">IFERROR(E2134/G2134-1,"")</x:f>
        <x:v>0.49203904282009003</x:v>
      </x:c>
      <x:c r="I2134" s="38" t="b">
        <x:f t="shared" si="92">E2134&lt;G2134</x:f>
        <x:v>0</x:v>
      </x:c>
    </x:row>
    <x:row r="2135">
      <x:c r="A2135" s="31">
        <x:v>40112</x:v>
      </x:c>
      <x:c r="B2135" s="32">
        <x:v>615.6</x:v>
      </x:c>
      <x:c r="C2135" s="32">
        <x:v>623.70000000000005</x:v>
      </x:c>
      <x:c r="D2135" s="32">
        <x:v>608.29999999999995</x:v>
      </x:c>
      <x:c r="E2135" s="32">
        <x:v>609.29999999999995</x:v>
      </x:c>
      <x:c r="F2135" s="33">
        <x:v>83782320</x:v>
      </x:c>
      <x:c r="G2135" s="32" t="n">
        <x:f t="shared" si="90">AVERAGE(E1936:E2135)</x:f>
        <x:v>413.79794999999996</x:v>
      </x:c>
      <x:c r="H2135" s="37" t="n">
        <x:f t="shared" si="91">IFERROR(E2135/G2135-1,"")</x:f>
        <x:v>0.47245775383855815</x:v>
      </x:c>
      <x:c r="I2135" s="38" t="b">
        <x:f t="shared" si="92">E2135&lt;G2135</x:f>
        <x:v>0</x:v>
      </x:c>
    </x:row>
    <x:row r="2136">
      <x:c r="A2136" s="31">
        <x:v>40113</x:v>
      </x:c>
      <x:c r="B2136" s="32">
        <x:v>602.6</x:v>
      </x:c>
      <x:c r="C2136" s="32">
        <x:v>602.6</x:v>
      </x:c>
      <x:c r="D2136" s="32">
        <x:v>590.70000000000005</x:v>
      </x:c>
      <x:c r="E2136" s="32">
        <x:v>596.79999999999995</x:v>
      </x:c>
      <x:c r="F2136" s="33">
        <x:v>91495010</x:v>
      </x:c>
      <x:c r="G2136" s="32" t="n">
        <x:f t="shared" si="90">AVERAGE(E1937:E2136)</x:f>
        <x:v>415.18405</x:v>
      </x:c>
      <x:c r="H2136" s="37" t="n">
        <x:f t="shared" si="91">IFERROR(E2136/G2136-1,"")</x:f>
        <x:v>0.43743479548407493</x:v>
      </x:c>
      <x:c r="I2136" s="38" t="b">
        <x:f t="shared" si="92">E2136&lt;G2136</x:f>
        <x:v>0</x:v>
      </x:c>
    </x:row>
    <x:row r="2137">
      <x:c r="A2137" s="31">
        <x:v>40114</x:v>
      </x:c>
      <x:c r="B2137" s="32">
        <x:v>603</x:v>
      </x:c>
      <x:c r="C2137" s="32">
        <x:v>604.79999999999995</x:v>
      </x:c>
      <x:c r="D2137" s="32">
        <x:v>596.4</x:v>
      </x:c>
      <x:c r="E2137" s="32">
        <x:v>599.9</x:v>
      </x:c>
      <x:c r="F2137" s="33">
        <x:v>65903890</x:v>
      </x:c>
      <x:c r="G2137" s="32" t="n">
        <x:f t="shared" si="90">AVERAGE(E1938:E2137)</x:f>
        <x:v>416.6128</x:v>
      </x:c>
      <x:c r="H2137" s="37" t="n">
        <x:f t="shared" si="91">IFERROR(E2137/G2137-1,"")</x:f>
        <x:v>0.4399461562390785</x:v>
      </x:c>
      <x:c r="I2137" s="38" t="b">
        <x:f t="shared" si="92">E2137&lt;G2137</x:f>
        <x:v>0</x:v>
      </x:c>
    </x:row>
    <x:row r="2138">
      <x:c r="A2138" s="31">
        <x:v>40115</x:v>
      </x:c>
      <x:c r="B2138" s="32">
        <x:v>584.6</x:v>
      </x:c>
      <x:c r="C2138" s="32">
        <x:v>585.6</x:v>
      </x:c>
      <x:c r="D2138" s="32">
        <x:v>575.70000000000005</x:v>
      </x:c>
      <x:c r="E2138" s="32">
        <x:v>581.5</x:v>
      </x:c>
      <x:c r="F2138" s="33">
        <x:v>82058650</x:v>
      </x:c>
      <x:c r="G2138" s="32" t="n">
        <x:f t="shared" si="90">AVERAGE(E1939:E2138)</x:f>
        <x:v>417.9533</x:v>
      </x:c>
      <x:c r="H2138" s="37" t="n">
        <x:f t="shared" si="91">IFERROR(E2138/G2138-1,"")</x:f>
        <x:v>0.3913037652771254</x:v>
      </x:c>
      <x:c r="I2138" s="38" t="b">
        <x:f t="shared" si="92">E2138&lt;G2138</x:f>
        <x:v>0</x:v>
      </x:c>
    </x:row>
    <x:row r="2139">
      <x:c r="A2139" s="31">
        <x:v>40116</x:v>
      </x:c>
      <x:c r="B2139" s="32">
        <x:v>590.9</x:v>
      </x:c>
      <x:c r="C2139" s="32">
        <x:v>594.70000000000005</x:v>
      </x:c>
      <x:c r="D2139" s="32">
        <x:v>583.79999999999995</x:v>
      </x:c>
      <x:c r="E2139" s="32">
        <x:v>587.1</x:v>
      </x:c>
      <x:c r="F2139" s="33">
        <x:v>65149450</x:v>
      </x:c>
      <x:c r="G2139" s="32" t="n">
        <x:f t="shared" si="90">AVERAGE(E1940:E2139)</x:f>
        <x:v>419.3279</x:v>
      </x:c>
      <x:c r="H2139" s="37" t="n">
        <x:f t="shared" si="91">IFERROR(E2139/G2139-1,"")</x:f>
        <x:v>0.4000976324256029</x:v>
      </x:c>
      <x:c r="I2139" s="38" t="b">
        <x:f t="shared" si="92">E2139&lt;G2139</x:f>
        <x:v>0</x:v>
      </x:c>
    </x:row>
    <x:row r="2140">
      <x:c r="A2140" s="31">
        <x:v>40119</x:v>
      </x:c>
      <x:c r="B2140" s="32">
        <x:v>565.9</x:v>
      </x:c>
      <x:c r="C2140" s="32">
        <x:v>565.9</x:v>
      </x:c>
      <x:c r="D2140" s="32">
        <x:v>560</x:v>
      </x:c>
      <x:c r="E2140" s="32">
        <x:v>561.70000000000005</x:v>
      </x:c>
      <x:c r="F2140" s="33">
        <x:v>59148870</x:v>
      </x:c>
      <x:c r="G2140" s="32" t="n">
        <x:f t="shared" si="90">AVERAGE(E1941:E2140)</x:f>
        <x:v>420.60074999999995</x:v>
      </x:c>
      <x:c r="H2140" s="37" t="n">
        <x:f t="shared" si="91">IFERROR(E2140/G2140-1,"")</x:f>
        <x:v>0.3354707522513931</x:v>
      </x:c>
      <x:c r="I2140" s="38" t="b">
        <x:f t="shared" si="92">E2140&lt;G2140</x:f>
        <x:v>0</x:v>
      </x:c>
    </x:row>
    <x:row r="2141">
      <x:c r="A2141" s="31">
        <x:v>40120</x:v>
      </x:c>
      <x:c r="B2141" s="32">
        <x:v>557.1</x:v>
      </x:c>
      <x:c r="C2141" s="32">
        <x:v>557.1</x:v>
      </x:c>
      <x:c r="D2141" s="32">
        <x:v>539.5</x:v>
      </x:c>
      <x:c r="E2141" s="32">
        <x:v>539.70000000000005</x:v>
      </x:c>
      <x:c r="F2141" s="33">
        <x:v>60926320</x:v>
      </x:c>
      <x:c r="G2141" s="32" t="n">
        <x:f t="shared" si="90">AVERAGE(E1942:E2141)</x:f>
        <x:v>421.75935000000004</x:v>
      </x:c>
      <x:c r="H2141" s="37" t="n">
        <x:f t="shared" si="91">IFERROR(E2141/G2141-1,"")</x:f>
        <x:v>0.27963968078004675</x:v>
      </x:c>
      <x:c r="I2141" s="38" t="b">
        <x:f t="shared" si="92">E2141&lt;G2141</x:f>
        <x:v>0</x:v>
      </x:c>
    </x:row>
    <x:row r="2142">
      <x:c r="A2142" s="31">
        <x:v>40121</x:v>
      </x:c>
      <x:c r="B2142" s="32">
        <x:v>537.79999999999995</x:v>
      </x:c>
      <x:c r="C2142" s="32">
        <x:v>550.29999999999995</x:v>
      </x:c>
      <x:c r="D2142" s="32">
        <x:v>533.20000000000005</x:v>
      </x:c>
      <x:c r="E2142" s="32">
        <x:v>537.5</x:v>
      </x:c>
      <x:c r="F2142" s="33">
        <x:v>57302720</x:v>
      </x:c>
      <x:c r="G2142" s="32" t="n">
        <x:f t="shared" si="90">AVERAGE(E1943:E2142)</x:f>
        <x:v>422.9268</x:v>
      </x:c>
      <x:c r="H2142" s="37" t="n">
        <x:f t="shared" si="91">IFERROR(E2142/G2142-1,"")</x:f>
        <x:v>0.27090550894386456</x:v>
      </x:c>
      <x:c r="I2142" s="38" t="b">
        <x:f t="shared" si="92">E2142&lt;G2142</x:f>
        <x:v>0</x:v>
      </x:c>
    </x:row>
    <x:row r="2143">
      <x:c r="A2143" s="31">
        <x:v>40122</x:v>
      </x:c>
      <x:c r="B2143" s="32">
        <x:v>545.6</x:v>
      </x:c>
      <x:c r="C2143" s="32">
        <x:v>556.6</x:v>
      </x:c>
      <x:c r="D2143" s="32">
        <x:v>542.29999999999995</x:v>
      </x:c>
      <x:c r="E2143" s="32">
        <x:v>555.5</x:v>
      </x:c>
      <x:c r="F2143" s="33">
        <x:v>54135990</x:v>
      </x:c>
      <x:c r="G2143" s="32" t="n">
        <x:f t="shared" si="90">AVERAGE(E1944:E2143)</x:f>
        <x:v>424.17370000000005</x:v>
      </x:c>
      <x:c r="H2143" s="37" t="n">
        <x:f t="shared" si="91">IFERROR(E2143/G2143-1,"")</x:f>
        <x:v>0.3096050037991509</x:v>
      </x:c>
      <x:c r="I2143" s="38" t="b">
        <x:f t="shared" si="92">E2143&lt;G2143</x:f>
        <x:v>0</x:v>
      </x:c>
    </x:row>
    <x:row r="2144">
      <x:c r="A2144" s="31">
        <x:v>40123</x:v>
      </x:c>
      <x:c r="B2144" s="32">
        <x:v>565.70000000000005</x:v>
      </x:c>
      <x:c r="C2144" s="32">
        <x:v>569.70000000000005</x:v>
      </x:c>
      <x:c r="D2144" s="32">
        <x:v>554.9</x:v>
      </x:c>
      <x:c r="E2144" s="32">
        <x:v>554.9</x:v>
      </x:c>
      <x:c r="F2144" s="33">
        <x:v>56782300</x:v>
      </x:c>
      <x:c r="G2144" s="32" t="n">
        <x:f t="shared" si="90">AVERAGE(E1945:E2144)</x:f>
        <x:v>425.4232999999999</x:v>
      </x:c>
      <x:c r="H2144" s="37" t="n">
        <x:f t="shared" si="91">IFERROR(E2144/G2144-1,"")</x:f>
        <x:v>0.30434792828695567</x:v>
      </x:c>
      <x:c r="I2144" s="38" t="b">
        <x:f t="shared" si="92">E2144&lt;G2144</x:f>
        <x:v>0</x:v>
      </x:c>
    </x:row>
    <x:row r="2145">
      <x:c r="A2145" s="31">
        <x:v>40126</x:v>
      </x:c>
      <x:c r="B2145" s="32">
        <x:v>544.9</x:v>
      </x:c>
      <x:c r="C2145" s="32">
        <x:v>547.29999999999995</x:v>
      </x:c>
      <x:c r="D2145" s="32">
        <x:v>534.1</x:v>
      </x:c>
      <x:c r="E2145" s="32">
        <x:v>534.1</x:v>
      </x:c>
      <x:c r="F2145" s="33">
        <x:v>45707730</x:v>
      </x:c>
      <x:c r="G2145" s="32" t="n">
        <x:f t="shared" si="90">AVERAGE(E1946:E2145)</x:f>
        <x:v>426.5795</x:v>
      </x:c>
      <x:c r="H2145" s="37" t="n">
        <x:f t="shared" si="91">IFERROR(E2145/G2145-1,"")</x:f>
        <x:v>0.2520526654468862</x:v>
      </x:c>
      <x:c r="I2145" s="38" t="b">
        <x:f t="shared" si="92">E2145&lt;G2145</x:f>
        <x:v>0</x:v>
      </x:c>
    </x:row>
    <x:row r="2146">
      <x:c r="A2146" s="31">
        <x:v>40127</x:v>
      </x:c>
      <x:c r="B2146" s="32">
        <x:v>534.79999999999995</x:v>
      </x:c>
      <x:c r="C2146" s="32">
        <x:v>535.70000000000005</x:v>
      </x:c>
      <x:c r="D2146" s="32">
        <x:v>520</x:v>
      </x:c>
      <x:c r="E2146" s="32">
        <x:v>524.4</x:v>
      </x:c>
      <x:c r="F2146" s="33">
        <x:v>49702880</x:v>
      </x:c>
      <x:c r="G2146" s="32" t="n">
        <x:f t="shared" si="90">AVERAGE(E1947:E2146)</x:f>
        <x:v>427.70129999999995</x:v>
      </x:c>
      <x:c r="H2146" s="37" t="n">
        <x:f t="shared" si="91">IFERROR(E2146/G2146-1,"")</x:f>
        <x:v>0.2260893291650039</x:v>
      </x:c>
      <x:c r="I2146" s="38" t="b">
        <x:f t="shared" si="92">E2146&lt;G2146</x:f>
        <x:v>0</x:v>
      </x:c>
    </x:row>
    <x:row r="2147">
      <x:c r="A2147" s="31">
        <x:v>40128</x:v>
      </x:c>
      <x:c r="B2147" s="32">
        <x:v>526.29999999999995</x:v>
      </x:c>
      <x:c r="C2147" s="32">
        <x:v>537.6</x:v>
      </x:c>
      <x:c r="D2147" s="32">
        <x:v>523.1</x:v>
      </x:c>
      <x:c r="E2147" s="32">
        <x:v>537.6</x:v>
      </x:c>
      <x:c r="F2147" s="33">
        <x:v>41961870</x:v>
      </x:c>
      <x:c r="G2147" s="32" t="n">
        <x:f t="shared" si="90">AVERAGE(E1948:E2147)</x:f>
        <x:v>428.8837</x:v>
      </x:c>
      <x:c r="H2147" s="37" t="n">
        <x:f t="shared" si="91">IFERROR(E2147/G2147-1,"")</x:f>
        <x:v>0.25348666783092955</x:v>
      </x:c>
      <x:c r="I2147" s="38" t="b">
        <x:f t="shared" si="92">E2147&lt;G2147</x:f>
        <x:v>0</x:v>
      </x:c>
    </x:row>
    <x:row r="2148">
      <x:c r="A2148" s="31">
        <x:v>40129</x:v>
      </x:c>
      <x:c r="B2148" s="32">
        <x:v>541.4</x:v>
      </x:c>
      <x:c r="C2148" s="32">
        <x:v>550.79999999999995</x:v>
      </x:c>
      <x:c r="D2148" s="32">
        <x:v>540.6</x:v>
      </x:c>
      <x:c r="E2148" s="32">
        <x:v>546</x:v>
      </x:c>
      <x:c r="F2148" s="33">
        <x:v>48113300</x:v>
      </x:c>
      <x:c r="G2148" s="32" t="n">
        <x:f t="shared" si="90">AVERAGE(E1949:E2148)</x:f>
        <x:v>430.09764999999993</x:v>
      </x:c>
      <x:c r="H2148" s="37" t="n">
        <x:f t="shared" si="91">IFERROR(E2148/G2148-1,"")</x:f>
        <x:v>0.2694791520018769</x:v>
      </x:c>
      <x:c r="I2148" s="38" t="b">
        <x:f t="shared" si="92">E2148&lt;G2148</x:f>
        <x:v>0</x:v>
      </x:c>
    </x:row>
    <x:row r="2149">
      <x:c r="A2149" s="31">
        <x:v>40130</x:v>
      </x:c>
      <x:c r="B2149" s="32">
        <x:v>540.6</x:v>
      </x:c>
      <x:c r="C2149" s="32">
        <x:v>549.20000000000005</x:v>
      </x:c>
      <x:c r="D2149" s="32">
        <x:v>536.9</x:v>
      </x:c>
      <x:c r="E2149" s="32">
        <x:v>548.20000000000005</x:v>
      </x:c>
      <x:c r="F2149" s="33">
        <x:v>45722410</x:v>
      </x:c>
      <x:c r="G2149" s="32" t="n">
        <x:f t="shared" si="90">AVERAGE(E1950:E2149)</x:f>
        <x:v>431.3510499999999</x:v>
      </x:c>
      <x:c r="H2149" s="37" t="n">
        <x:f t="shared" si="91">IFERROR(E2149/G2149-1,"")</x:f>
        <x:v>0.2708906121823518</x:v>
      </x:c>
      <x:c r="I2149" s="38" t="b">
        <x:f t="shared" si="92">E2149&lt;G2149</x:f>
        <x:v>0</x:v>
      </x:c>
    </x:row>
    <x:row r="2150">
      <x:c r="A2150" s="31">
        <x:v>40133</x:v>
      </x:c>
      <x:c r="B2150" s="32">
        <x:v>551</x:v>
      </x:c>
      <x:c r="C2150" s="32">
        <x:v>554.5</x:v>
      </x:c>
      <x:c r="D2150" s="32">
        <x:v>545.70000000000005</x:v>
      </x:c>
      <x:c r="E2150" s="32">
        <x:v>545.70000000000005</x:v>
      </x:c>
      <x:c r="F2150" s="33">
        <x:v>45924770</x:v>
      </x:c>
      <x:c r="G2150" s="32" t="n">
        <x:f t="shared" si="90">AVERAGE(E1951:E2150)</x:f>
        <x:v>432.63609999999994</x:v>
      </x:c>
      <x:c r="H2150" s="37" t="n">
        <x:f t="shared" si="91">IFERROR(E2150/G2150-1,"")</x:f>
        <x:v>0.2613371838364855</x:v>
      </x:c>
      <x:c r="I2150" s="38" t="b">
        <x:f t="shared" si="92">E2150&lt;G2150</x:f>
        <x:v>0</x:v>
      </x:c>
    </x:row>
    <x:row r="2151">
      <x:c r="A2151" s="31">
        <x:v>40134</x:v>
      </x:c>
      <x:c r="B2151" s="32">
        <x:v>549.20000000000005</x:v>
      </x:c>
      <x:c r="C2151" s="32">
        <x:v>550.1</x:v>
      </x:c>
      <x:c r="D2151" s="32">
        <x:v>543.6</x:v>
      </x:c>
      <x:c r="E2151" s="32">
        <x:v>547.1</x:v>
      </x:c>
      <x:c r="F2151" s="33">
        <x:v>49241080</x:v>
      </x:c>
      <x:c r="G2151" s="32" t="n">
        <x:f t="shared" si="90">AVERAGE(E1952:E2151)</x:f>
        <x:v>433.94104999999996</x:v>
      </x:c>
      <x:c r="H2151" s="37" t="n">
        <x:f t="shared" si="91">IFERROR(E2151/G2151-1,"")</x:f>
        <x:v>0.26077032813558443</x:v>
      </x:c>
      <x:c r="I2151" s="38" t="b">
        <x:f t="shared" si="92">E2151&lt;G2151</x:f>
        <x:v>0</x:v>
      </x:c>
    </x:row>
    <x:row r="2152">
      <x:c r="A2152" s="31">
        <x:v>40135</x:v>
      </x:c>
      <x:c r="B2152" s="32">
        <x:v>547.20000000000005</x:v>
      </x:c>
      <x:c r="C2152" s="32">
        <x:v>553.79999999999995</x:v>
      </x:c>
      <x:c r="D2152" s="32">
        <x:v>544</x:v>
      </x:c>
      <x:c r="E2152" s="32">
        <x:v>553.79999999999995</x:v>
      </x:c>
      <x:c r="F2152" s="33">
        <x:v>49872840</x:v>
      </x:c>
      <x:c r="G2152" s="32" t="n">
        <x:f t="shared" si="90">AVERAGE(E1953:E2152)</x:f>
        <x:v>435.32099999999997</x:v>
      </x:c>
      <x:c r="H2152" s="37" t="n">
        <x:f t="shared" si="91">IFERROR(E2152/G2152-1,"")</x:f>
        <x:v>0.2721646784786398</x:v>
      </x:c>
      <x:c r="I2152" s="38" t="b">
        <x:f t="shared" si="92">E2152&lt;G2152</x:f>
        <x:v>0</x:v>
      </x:c>
    </x:row>
    <x:row r="2153">
      <x:c r="A2153" s="31">
        <x:v>40136</x:v>
      </x:c>
      <x:c r="B2153" s="32">
        <x:v>547.20000000000005</x:v>
      </x:c>
      <x:c r="C2153" s="32">
        <x:v>553.79999999999995</x:v>
      </x:c>
      <x:c r="D2153" s="32">
        <x:v>544</x:v>
      </x:c>
      <x:c r="E2153" s="32">
        <x:v>560.1</x:v>
      </x:c>
      <x:c r="F2153" s="33">
        <x:v>60752330</x:v>
      </x:c>
      <x:c r="G2153" s="32" t="n">
        <x:f t="shared" si="90">AVERAGE(E1954:E2153)</x:f>
        <x:v>436.71335</x:v>
      </x:c>
      <x:c r="H2153" s="37" t="n">
        <x:f t="shared" si="91">IFERROR(E2153/G2153-1,"")</x:f>
        <x:v>0.28253464200258604</x:v>
      </x:c>
      <x:c r="I2153" s="38" t="b">
        <x:f t="shared" si="92">E2153&lt;G2153</x:f>
        <x:v>0</x:v>
      </x:c>
    </x:row>
    <x:row r="2154">
      <x:c r="A2154" s="31">
        <x:v>40137</x:v>
      </x:c>
      <x:c r="B2154" s="32">
        <x:v>558.5</x:v>
      </x:c>
      <x:c r="C2154" s="32">
        <x:v>562.29999999999995</x:v>
      </x:c>
      <x:c r="D2154" s="32">
        <x:v>554.20000000000005</x:v>
      </x:c>
      <x:c r="E2154" s="32">
        <x:v>555.79999999999995</x:v>
      </x:c>
      <x:c r="F2154" s="33">
        <x:v>50624350</x:v>
      </x:c>
      <x:c r="G2154" s="32" t="n">
        <x:f t="shared" si="90">AVERAGE(E1955:E2154)</x:f>
        <x:v>438.05449999999996</x:v>
      </x:c>
      <x:c r="H2154" s="37" t="n">
        <x:f t="shared" si="91">IFERROR(E2154/G2154-1,"")</x:f>
        <x:v>0.26879189689867355</x:v>
      </x:c>
      <x:c r="I2154" s="38" t="b">
        <x:f t="shared" si="92">E2154&lt;G2154</x:f>
        <x:v>0</x:v>
      </x:c>
    </x:row>
    <x:row r="2155">
      <x:c r="A2155" s="31">
        <x:v>40140</x:v>
      </x:c>
      <x:c r="B2155" s="32">
        <x:v>552</x:v>
      </x:c>
      <x:c r="C2155" s="32">
        <x:v>553</x:v>
      </x:c>
      <x:c r="D2155" s="32">
        <x:v>537</x:v>
      </x:c>
      <x:c r="E2155" s="32">
        <x:v>537</x:v>
      </x:c>
      <x:c r="F2155" s="33">
        <x:v>47413320</x:v>
      </x:c>
      <x:c r="G2155" s="32" t="n">
        <x:f t="shared" si="90">AVERAGE(E1956:E2155)</x:f>
        <x:v>439.3294</x:v>
      </x:c>
      <x:c r="H2155" s="37" t="n">
        <x:f t="shared" si="91">IFERROR(E2155/G2155-1,"")</x:f>
        <x:v>0.22231746839615107</x:v>
      </x:c>
      <x:c r="I2155" s="38" t="b">
        <x:f t="shared" si="92">E2155&lt;G2155</x:f>
        <x:v>0</x:v>
      </x:c>
    </x:row>
    <x:row r="2156">
      <x:c r="A2156" s="31">
        <x:v>40141</x:v>
      </x:c>
      <x:c r="B2156" s="32">
        <x:v>535.6</x:v>
      </x:c>
      <x:c r="C2156" s="32">
        <x:v>538.79999999999995</x:v>
      </x:c>
      <x:c r="D2156" s="32">
        <x:v>526.9</x:v>
      </x:c>
      <x:c r="E2156" s="32">
        <x:v>527.1</x:v>
      </x:c>
      <x:c r="F2156" s="33">
        <x:v>42175420</x:v>
      </x:c>
      <x:c r="G2156" s="32" t="n">
        <x:f t="shared" si="90">AVERAGE(E1957:E2156)</x:f>
        <x:v>440.58380000000005</x:v>
      </x:c>
      <x:c r="H2156" s="37" t="n">
        <x:f t="shared" si="91">IFERROR(E2156/G2156-1,"")</x:f>
        <x:v>0.19636718372305095</x:v>
      </x:c>
      <x:c r="I2156" s="38" t="b">
        <x:f t="shared" si="92">E2156&lt;G2156</x:f>
        <x:v>0</x:v>
      </x:c>
    </x:row>
    <x:row r="2157">
      <x:c r="A2157" s="31">
        <x:v>40142</x:v>
      </x:c>
      <x:c r="B2157" s="32">
        <x:v>519.70000000000005</x:v>
      </x:c>
      <x:c r="C2157" s="32">
        <x:v>519.70000000000005</x:v>
      </x:c>
      <x:c r="D2157" s="32">
        <x:v>503.2</x:v>
      </x:c>
      <x:c r="E2157" s="32">
        <x:v>503.4</x:v>
      </x:c>
      <x:c r="F2157" s="33">
        <x:v>60888830</x:v>
      </x:c>
      <x:c r="G2157" s="32" t="n">
        <x:f t="shared" si="90">AVERAGE(E1958:E2157)</x:f>
        <x:v>441.72034999999994</x:v>
      </x:c>
      <x:c r="H2157" s="37" t="n">
        <x:f t="shared" si="91">IFERROR(E2157/G2157-1,"")</x:f>
        <x:v>0.13963506548883253</x:v>
      </x:c>
      <x:c r="I2157" s="38" t="b">
        <x:f t="shared" si="92">E2157&lt;G2157</x:f>
        <x:v>0</x:v>
      </x:c>
    </x:row>
    <x:row r="2158">
      <x:c r="A2158" s="31">
        <x:v>40143</x:v>
      </x:c>
      <x:c r="B2158" s="32">
        <x:v>495.6</x:v>
      </x:c>
      <x:c r="C2158" s="32">
        <x:v>495.6</x:v>
      </x:c>
      <x:c r="D2158" s="32">
        <x:v>479.4</x:v>
      </x:c>
      <x:c r="E2158" s="32">
        <x:v>482.6</x:v>
      </x:c>
      <x:c r="F2158" s="33">
        <x:v>36476390</x:v>
      </x:c>
      <x:c r="G2158" s="32" t="n">
        <x:f t="shared" si="90">AVERAGE(E1959:E2158)</x:f>
        <x:v>442.7608000000001</x:v>
      </x:c>
      <x:c r="H2158" s="37" t="n">
        <x:f t="shared" si="91">IFERROR(E2158/G2158-1,"")</x:f>
        <x:v>0.08997905867005374</x:v>
      </x:c>
      <x:c r="I2158" s="38" t="b">
        <x:f t="shared" si="92">E2158&lt;G2158</x:f>
        <x:v>0</x:v>
      </x:c>
    </x:row>
    <x:row r="2159">
      <x:c r="A2159" s="31">
        <x:v>40144</x:v>
      </x:c>
      <x:c r="B2159" s="32">
        <x:v>464.7</x:v>
      </x:c>
      <x:c r="C2159" s="32">
        <x:v>503.1</x:v>
      </x:c>
      <x:c r="D2159" s="32">
        <x:v>461.5</x:v>
      </x:c>
      <x:c r="E2159" s="32">
        <x:v>490.6</x:v>
      </x:c>
      <x:c r="F2159" s="33">
        <x:v>65489880</x:v>
      </x:c>
      <x:c r="G2159" s="32" t="n">
        <x:f t="shared" si="90">AVERAGE(E1960:E2159)</x:f>
        <x:v>443.8522500000001</x:v>
      </x:c>
      <x:c r="H2159" s="37" t="n">
        <x:f t="shared" si="91">IFERROR(E2159/G2159-1,"")</x:f>
        <x:v>0.10532277351303265</x:v>
      </x:c>
      <x:c r="I2159" s="38" t="b">
        <x:f t="shared" si="92">E2159&lt;G2159</x:f>
        <x:v>0</x:v>
      </x:c>
    </x:row>
    <x:row r="2160">
      <x:c r="A2160" s="31">
        <x:v>40147</x:v>
      </x:c>
      <x:c r="B2160" s="32">
        <x:v>494.1</x:v>
      </x:c>
      <x:c r="C2160" s="32">
        <x:v>506.7</x:v>
      </x:c>
      <x:c r="D2160" s="32">
        <x:v>494.1</x:v>
      </x:c>
      <x:c r="E2160" s="32">
        <x:v>504.1</x:v>
      </x:c>
      <x:c r="F2160" s="33">
        <x:v>34837890</x:v>
      </x:c>
      <x:c r="G2160" s="32" t="n">
        <x:f t="shared" si="90">AVERAGE(E1961:E2160)</x:f>
        <x:v>445.05740000000014</x:v>
      </x:c>
      <x:c r="H2160" s="37" t="n">
        <x:f t="shared" si="91">IFERROR(E2160/G2160-1,"")</x:f>
        <x:v>0.1326628879780447</x:v>
      </x:c>
      <x:c r="I2160" s="38" t="b">
        <x:f t="shared" si="92">E2160&lt;G2160</x:f>
        <x:v>0</x:v>
      </x:c>
    </x:row>
    <x:row r="2161">
      <x:c r="A2161" s="31">
        <x:v>40148</x:v>
      </x:c>
      <x:c r="B2161" s="32">
        <x:v>513.4</x:v>
      </x:c>
      <x:c r="C2161" s="32">
        <x:v>518.29999999999995</x:v>
      </x:c>
      <x:c r="D2161" s="32">
        <x:v>512.20000000000005</x:v>
      </x:c>
      <x:c r="E2161" s="32">
        <x:v>514.9</x:v>
      </x:c>
      <x:c r="F2161" s="33">
        <x:v>39310310</x:v>
      </x:c>
      <x:c r="G2161" s="32" t="n">
        <x:f t="shared" si="90">AVERAGE(E1962:E2161)</x:f>
        <x:v>446.3564500000001</x:v>
      </x:c>
      <x:c r="H2161" s="37" t="n">
        <x:f t="shared" si="91">IFERROR(E2161/G2161-1,"")</x:f>
        <x:v>0.153562360306432</x:v>
      </x:c>
      <x:c r="I2161" s="38" t="b">
        <x:f t="shared" si="92">E2161&lt;G2161</x:f>
        <x:v>0</x:v>
      </x:c>
    </x:row>
    <x:row r="2162">
      <x:c r="A2162" s="31">
        <x:v>40149</x:v>
      </x:c>
      <x:c r="B2162" s="32">
        <x:v>507.5</x:v>
      </x:c>
      <x:c r="C2162" s="32">
        <x:v>514.79999999999995</x:v>
      </x:c>
      <x:c r="D2162" s="32">
        <x:v>499.1</x:v>
      </x:c>
      <x:c r="E2162" s="32">
        <x:v>499.1</x:v>
      </x:c>
      <x:c r="F2162" s="33">
        <x:v>51597720</x:v>
      </x:c>
      <x:c r="G2162" s="32" t="n">
        <x:f t="shared" si="90">AVERAGE(E1963:E2162)</x:f>
        <x:v>447.57770000000005</x:v>
      </x:c>
      <x:c r="H2162" s="37" t="n">
        <x:f t="shared" si="91">IFERROR(E2162/G2162-1,"")</x:f>
        <x:v>0.1151136439550049</x:v>
      </x:c>
      <x:c r="I2162" s="38" t="b">
        <x:f t="shared" si="92">E2162&lt;G2162</x:f>
        <x:v>0</x:v>
      </x:c>
    </x:row>
    <x:row r="2163">
      <x:c r="A2163" s="31">
        <x:v>40150</x:v>
      </x:c>
      <x:c r="B2163" s="32">
        <x:v>494.6</x:v>
      </x:c>
      <x:c r="C2163" s="32">
        <x:v>502.1</x:v>
      </x:c>
      <x:c r="D2163" s="32">
        <x:v>485.6</x:v>
      </x:c>
      <x:c r="E2163" s="32">
        <x:v>494.8</x:v>
      </x:c>
      <x:c r="F2163" s="33">
        <x:v>40262920</x:v>
      </x:c>
      <x:c r="G2163" s="32" t="n">
        <x:f t="shared" si="90">AVERAGE(E1964:E2163)</x:f>
        <x:v>448.7888500000001</x:v>
      </x:c>
      <x:c r="H2163" s="37" t="n">
        <x:f t="shared" si="91">IFERROR(E2163/G2163-1,"")</x:f>
        <x:v>0.10252293478325036</x:v>
      </x:c>
      <x:c r="I2163" s="38" t="b">
        <x:f t="shared" si="92">E2163&lt;G2163</x:f>
        <x:v>0</x:v>
      </x:c>
    </x:row>
    <x:row r="2164">
      <x:c r="A2164" s="31">
        <x:v>40151</x:v>
      </x:c>
      <x:c r="B2164" s="32">
        <x:v>499.9</x:v>
      </x:c>
      <x:c r="C2164" s="32">
        <x:v>500</x:v>
      </x:c>
      <x:c r="D2164" s="32">
        <x:v>493.4</x:v>
      </x:c>
      <x:c r="E2164" s="32">
        <x:v>495</x:v>
      </x:c>
      <x:c r="F2164" s="33">
        <x:v>32572630</x:v>
      </x:c>
      <x:c r="G2164" s="32" t="n">
        <x:f t="shared" si="90">AVERAGE(E1965:E2164)</x:f>
        <x:v>450.04375000000005</x:v>
      </x:c>
      <x:c r="H2164" s="37" t="n">
        <x:f t="shared" si="91">IFERROR(E2164/G2164-1,"")</x:f>
        <x:v>0.09989306595192127</x:v>
      </x:c>
      <x:c r="I2164" s="38" t="b">
        <x:f t="shared" si="92">E2164&lt;G2164</x:f>
        <x:v>0</x:v>
      </x:c>
    </x:row>
    <x:row r="2165">
      <x:c r="A2165" s="31">
        <x:v>40154</x:v>
      </x:c>
      <x:c r="B2165" s="32">
        <x:v>495.4</x:v>
      </x:c>
      <x:c r="C2165" s="32">
        <x:v>498.6</x:v>
      </x:c>
      <x:c r="D2165" s="32">
        <x:v>491.6</x:v>
      </x:c>
      <x:c r="E2165" s="32">
        <x:v>498.6</x:v>
      </x:c>
      <x:c r="F2165" s="33">
        <x:v>25273370</x:v>
      </x:c>
      <x:c r="G2165" s="32" t="n">
        <x:f t="shared" si="90">AVERAGE(E1966:E2165)</x:f>
        <x:v>451.3592500000001</x:v>
      </x:c>
      <x:c r="H2165" s="37" t="n">
        <x:f t="shared" si="91">IFERROR(E2165/G2165-1,"")</x:f>
        <x:v>0.1046633031227342</x:v>
      </x:c>
      <x:c r="I2165" s="38" t="b">
        <x:f t="shared" si="92">E2165&lt;G2165</x:f>
        <x:v>0</x:v>
      </x:c>
    </x:row>
    <x:row r="2166">
      <x:c r="A2166" s="31">
        <x:v>40155</x:v>
      </x:c>
      <x:c r="B2166" s="32">
        <x:v>494.6</x:v>
      </x:c>
      <x:c r="C2166" s="32">
        <x:v>496</x:v>
      </x:c>
      <x:c r="D2166" s="32">
        <x:v>485.6</x:v>
      </x:c>
      <x:c r="E2166" s="32">
        <x:v>488.5</x:v>
      </x:c>
      <x:c r="F2166" s="33">
        <x:v>30949330</x:v>
      </x:c>
      <x:c r="G2166" s="32" t="n">
        <x:f t="shared" si="90">AVERAGE(E1967:E2166)</x:f>
        <x:v>452.5801000000001</x:v>
      </x:c>
      <x:c r="H2166" s="37" t="n">
        <x:f t="shared" si="91">IFERROR(E2166/G2166-1,"")</x:f>
        <x:v>0.07936694521036158</x:v>
      </x:c>
      <x:c r="I2166" s="38" t="b">
        <x:f t="shared" si="92">E2166&lt;G2166</x:f>
        <x:v>0</x:v>
      </x:c>
    </x:row>
    <x:row r="2167">
      <x:c r="A2167" s="31">
        <x:v>40156</x:v>
      </x:c>
      <x:c r="B2167" s="32">
        <x:v>473.3</x:v>
      </x:c>
      <x:c r="C2167" s="32">
        <x:v>474.6</x:v>
      </x:c>
      <x:c r="D2167" s="32">
        <x:v>468.4</x:v>
      </x:c>
      <x:c r="E2167" s="32">
        <x:v>470.6</x:v>
      </x:c>
      <x:c r="F2167" s="33">
        <x:v>44520850</x:v>
      </x:c>
      <x:c r="G2167" s="32" t="n">
        <x:f t="shared" si="90">AVERAGE(E1968:E2167)</x:f>
        <x:v>453.72045000000014</x:v>
      </x:c>
      <x:c r="H2167" s="37" t="n">
        <x:f t="shared" si="91">IFERROR(E2167/G2167-1,"")</x:f>
        <x:v>0.03720253296936438</x:v>
      </x:c>
      <x:c r="I2167" s="38" t="b">
        <x:f t="shared" si="92">E2167&lt;G2167</x:f>
        <x:v>0</x:v>
      </x:c>
    </x:row>
    <x:row r="2168">
      <x:c r="A2168" s="31">
        <x:v>40157</x:v>
      </x:c>
      <x:c r="B2168" s="32">
        <x:v>474.6</x:v>
      </x:c>
      <x:c r="C2168" s="32">
        <x:v>474.6</x:v>
      </x:c>
      <x:c r="D2168" s="32">
        <x:v>458.7</x:v>
      </x:c>
      <x:c r="E2168" s="32">
        <x:v>458.7</x:v>
      </x:c>
      <x:c r="F2168" s="33">
        <x:v>36542380</x:v>
      </x:c>
      <x:c r="G2168" s="32" t="n">
        <x:f t="shared" si="90">AVERAGE(E1969:E2168)</x:f>
        <x:v>454.7852500000001</x:v>
      </x:c>
      <x:c r="H2168" s="37" t="n">
        <x:f t="shared" si="91">IFERROR(E2168/G2168-1,"")</x:f>
        <x:v>0.008607908897660943</x:v>
      </x:c>
      <x:c r="I2168" s="38" t="b">
        <x:f t="shared" si="92">E2168&lt;G2168</x:f>
        <x:v>0</x:v>
      </x:c>
    </x:row>
    <x:row r="2169">
      <x:c r="A2169" s="31">
        <x:v>40158</x:v>
      </x:c>
      <x:c r="B2169" s="32">
        <x:v>450.6</x:v>
      </x:c>
      <x:c r="C2169" s="32">
        <x:v>452.5</x:v>
      </x:c>
      <x:c r="D2169" s="32">
        <x:v>442.6</x:v>
      </x:c>
      <x:c r="E2169" s="32">
        <x:v>444.2</x:v>
      </x:c>
      <x:c r="F2169" s="33">
        <x:v>37863990</x:v>
      </x:c>
      <x:c r="G2169" s="32" t="n">
        <x:f t="shared" si="90">AVERAGE(E1970:E2169)</x:f>
        <x:v>455.76795000000004</x:v>
      </x:c>
      <x:c r="H2169" s="37" t="n">
        <x:f t="shared" si="91">IFERROR(E2169/G2169-1,"")</x:f>
        <x:v>-0.025381227442605514</x:v>
      </x:c>
      <x:c r="I2169" s="38" t="b">
        <x:f t="shared" si="92">E2169&lt;G2169</x:f>
        <x:v>1</x:v>
      </x:c>
    </x:row>
    <x:row r="2170">
      <x:c r="A2170" s="31">
        <x:v>40161</x:v>
      </x:c>
      <x:c r="B2170" s="32">
        <x:v>449.3</x:v>
      </x:c>
      <x:c r="C2170" s="32">
        <x:v>460.8</x:v>
      </x:c>
      <x:c r="D2170" s="32">
        <x:v>447.9</x:v>
      </x:c>
      <x:c r="E2170" s="32">
        <x:v>458.4</x:v>
      </x:c>
      <x:c r="F2170" s="33">
        <x:v>39727730</x:v>
      </x:c>
      <x:c r="G2170" s="32" t="n">
        <x:f t="shared" si="90">AVERAGE(E1971:E2170)</x:f>
        <x:v>456.85265000000004</x:v>
      </x:c>
      <x:c r="H2170" s="37" t="n">
        <x:f t="shared" si="91">IFERROR(E2170/G2170-1,"")</x:f>
        <x:v>0.0033869782740669763</x:v>
      </x:c>
      <x:c r="I2170" s="38" t="b">
        <x:f t="shared" si="92">E2170&lt;G2170</x:f>
        <x:v>0</x:v>
      </x:c>
    </x:row>
    <x:row r="2171">
      <x:c r="A2171" s="31">
        <x:v>40162</x:v>
      </x:c>
      <x:c r="B2171" s="32">
        <x:v>458.4</x:v>
      </x:c>
      <x:c r="C2171" s="32">
        <x:v>463.4</x:v>
      </x:c>
      <x:c r="D2171" s="32">
        <x:v>454.8</x:v>
      </x:c>
      <x:c r="E2171" s="32">
        <x:v>459.4</x:v>
      </x:c>
      <x:c r="F2171" s="33">
        <x:v>28438100</x:v>
      </x:c>
      <x:c r="G2171" s="32" t="n">
        <x:f t="shared" si="90">AVERAGE(E1972:E2171)</x:f>
        <x:v>457.92785000000003</x:v>
      </x:c>
      <x:c r="H2171" s="37" t="n">
        <x:f t="shared" si="91">IFERROR(E2171/G2171-1,"")</x:f>
        <x:v>0.0032148077475522285</x:v>
      </x:c>
      <x:c r="I2171" s="38" t="b">
        <x:f t="shared" si="92">E2171&lt;G2171</x:f>
        <x:v>0</x:v>
      </x:c>
    </x:row>
    <x:row r="2172">
      <x:c r="A2172" s="31">
        <x:v>40163</x:v>
      </x:c>
      <x:c r="B2172" s="32">
        <x:v>452.2</x:v>
      </x:c>
      <x:c r="C2172" s="32">
        <x:v>452.2</x:v>
      </x:c>
      <x:c r="D2172" s="32">
        <x:v>440.2</x:v>
      </x:c>
      <x:c r="E2172" s="32">
        <x:v>442.1</x:v>
      </x:c>
      <x:c r="F2172" s="33">
        <x:v>33072030</x:v>
      </x:c>
      <x:c r="G2172" s="32" t="n">
        <x:f t="shared" si="90">AVERAGE(E1973:E2172)</x:f>
        <x:v>458.9049500000001</x:v>
      </x:c>
      <x:c r="H2172" s="37" t="n">
        <x:f t="shared" si="91">IFERROR(E2172/G2172-1,"")</x:f>
        <x:v>-0.03661967472784955</x:v>
      </x:c>
      <x:c r="I2172" s="38" t="b">
        <x:f t="shared" si="92">E2172&lt;G2172</x:f>
        <x:v>1</x:v>
      </x:c>
    </x:row>
    <x:row r="2173">
      <x:c r="A2173" s="31">
        <x:v>40164</x:v>
      </x:c>
      <x:c r="B2173" s="32">
        <x:v>432.4</x:v>
      </x:c>
      <x:c r="C2173" s="32">
        <x:v>436.4</x:v>
      </x:c>
      <x:c r="D2173" s="32">
        <x:v>427.1</x:v>
      </x:c>
      <x:c r="E2173" s="32">
        <x:v>434.9</x:v>
      </x:c>
      <x:c r="F2173" s="33">
        <x:v>34979020</x:v>
      </x:c>
      <x:c r="G2173" s="32" t="n">
        <x:f t="shared" si="90">AVERAGE(E1974:E2173)</x:f>
        <x:v>459.85095</x:v>
      </x:c>
      <x:c r="H2173" s="37" t="n">
        <x:f t="shared" si="91">IFERROR(E2173/G2173-1,"")</x:f>
        <x:v>-0.05425877667535539</x:v>
      </x:c>
      <x:c r="I2173" s="38" t="b">
        <x:f t="shared" si="92">E2173&lt;G2173</x:f>
        <x:v>1</x:v>
      </x:c>
    </x:row>
    <x:row r="2174">
      <x:c r="A2174" s="31">
        <x:v>40165</x:v>
      </x:c>
      <x:c r="B2174" s="32">
        <x:v>440.9</x:v>
      </x:c>
      <x:c r="C2174" s="32">
        <x:v>449.6</x:v>
      </x:c>
      <x:c r="D2174" s="32">
        <x:v>440.9</x:v>
      </x:c>
      <x:c r="E2174" s="32">
        <x:v>443.3</x:v>
      </x:c>
      <x:c r="F2174" s="33">
        <x:v>49009480</x:v>
      </x:c>
      <x:c r="G2174" s="32" t="n">
        <x:f t="shared" si="90">AVERAGE(E1975:E2174)</x:f>
        <x:v>460.8282000000001</x:v>
      </x:c>
      <x:c r="H2174" s="37" t="n">
        <x:f t="shared" si="91">IFERROR(E2174/G2174-1,"")</x:f>
        <x:v>-0.03803630072985997</x:v>
      </x:c>
      <x:c r="I2174" s="38" t="b">
        <x:f t="shared" si="92">E2174&lt;G2174</x:f>
        <x:v>1</x:v>
      </x:c>
    </x:row>
    <x:row r="2175">
      <x:c r="A2175" s="31">
        <x:v>40168</x:v>
      </x:c>
      <x:c r="B2175" s="32">
        <x:v>457.1</x:v>
      </x:c>
      <x:c r="C2175" s="32">
        <x:v>461</x:v>
      </x:c>
      <x:c r="D2175" s="32">
        <x:v>452.6</x:v>
      </x:c>
      <x:c r="E2175" s="32">
        <x:v>461</x:v>
      </x:c>
      <x:c r="F2175" s="33">
        <x:v>31566040</x:v>
      </x:c>
      <x:c r="G2175" s="32" t="n">
        <x:f t="shared" si="90">AVERAGE(E1976:E2175)</x:f>
        <x:v>461.8738000000001</x:v>
      </x:c>
      <x:c r="H2175" s="37" t="n">
        <x:f t="shared" si="91">IFERROR(E2175/G2175-1,"")</x:f>
        <x:v>-0.0018918587718118607</x:v>
      </x:c>
      <x:c r="I2175" s="38" t="b">
        <x:f t="shared" si="92">E2175&lt;G2175</x:f>
        <x:v>1</x:v>
      </x:c>
    </x:row>
    <x:row r="2176">
      <x:c r="A2176" s="31">
        <x:v>40169</x:v>
      </x:c>
      <x:c r="B2176" s="32">
        <x:v>468</x:v>
      </x:c>
      <x:c r="C2176" s="32">
        <x:v>470.9</x:v>
      </x:c>
      <x:c r="D2176" s="32">
        <x:v>462.9</x:v>
      </x:c>
      <x:c r="E2176" s="32">
        <x:v>465.2</x:v>
      </x:c>
      <x:c r="F2176" s="33">
        <x:v>42902680</x:v>
      </x:c>
      <x:c r="G2176" s="32" t="n">
        <x:f t="shared" si="90">AVERAGE(E1977:E2176)</x:f>
        <x:v>462.92055000000005</x:v>
      </x:c>
      <x:c r="H2176" s="37" t="n">
        <x:f t="shared" si="91">IFERROR(E2176/G2176-1,"")</x:f>
        <x:v>0.004924063103268983</x:v>
      </x:c>
      <x:c r="I2176" s="38" t="b">
        <x:f t="shared" si="92">E2176&lt;G2176</x:f>
        <x:v>0</x:v>
      </x:c>
    </x:row>
    <x:row r="2177">
      <x:c r="A2177" s="31">
        <x:v>40170</x:v>
      </x:c>
      <x:c r="B2177" s="32">
        <x:v>464.1</x:v>
      </x:c>
      <x:c r="C2177" s="32">
        <x:v>471.4</x:v>
      </x:c>
      <x:c r="D2177" s="32">
        <x:v>463.3</x:v>
      </x:c>
      <x:c r="E2177" s="32">
        <x:v>470.8</x:v>
      </x:c>
      <x:c r="F2177" s="33">
        <x:v>34993630</x:v>
      </x:c>
      <x:c r="G2177" s="32" t="n">
        <x:f t="shared" si="90">AVERAGE(E1978:E2177)</x:f>
        <x:v>464.0195000000001</x:v>
      </x:c>
      <x:c r="H2177" s="37" t="n">
        <x:f t="shared" si="91">IFERROR(E2177/G2177-1,"")</x:f>
        <x:v>0.014612532447450866</x:v>
      </x:c>
      <x:c r="I2177" s="38" t="b">
        <x:f t="shared" si="92">E2177&lt;G2177</x:f>
        <x:v>0</x:v>
      </x:c>
    </x:row>
    <x:row r="2178">
      <x:c r="A2178" s="31">
        <x:v>40171</x:v>
      </x:c>
      <x:c r="B2178" s="32">
        <x:v>469.2</x:v>
      </x:c>
      <x:c r="C2178" s="32">
        <x:v>479.1</x:v>
      </x:c>
      <x:c r="D2178" s="32">
        <x:v>464.4</x:v>
      </x:c>
      <x:c r="E2178" s="32">
        <x:v>479.1</x:v>
      </x:c>
      <x:c r="F2178" s="33">
        <x:v>43991040</x:v>
      </x:c>
      <x:c r="G2178" s="32" t="n">
        <x:f t="shared" si="90">AVERAGE(E1979:E2178)</x:f>
        <x:v>465.1578000000001</x:v>
      </x:c>
      <x:c r="H2178" s="37" t="n">
        <x:f t="shared" si="91">IFERROR(E2178/G2178-1,"")</x:f>
        <x:v>0.02997305430544195</x:v>
      </x:c>
      <x:c r="I2178" s="38" t="b">
        <x:f t="shared" si="92">E2178&lt;G2178</x:f>
        <x:v>0</x:v>
      </x:c>
    </x:row>
    <x:row r="2179">
      <x:c r="A2179" s="31">
        <x:v>40172</x:v>
      </x:c>
      <x:c r="B2179" s="32">
        <x:v>487.9</x:v>
      </x:c>
      <x:c r="C2179" s="32">
        <x:v>495.8</x:v>
      </x:c>
      <x:c r="D2179" s="32">
        <x:v>487.2</x:v>
      </x:c>
      <x:c r="E2179" s="32">
        <x:v>495.1</x:v>
      </x:c>
      <x:c r="F2179" s="33">
        <x:v>50175050</x:v>
      </x:c>
      <x:c r="G2179" s="32" t="n">
        <x:f t="shared" si="90">AVERAGE(E1980:E2179)</x:f>
        <x:v>466.3605000000002</x:v>
      </x:c>
      <x:c r="H2179" s="37" t="n">
        <x:f t="shared" si="91">IFERROR(E2179/G2179-1,"")</x:f>
        <x:v>0.06162507330702294</x:v>
      </x:c>
      <x:c r="I2179" s="38" t="b">
        <x:f t="shared" si="92">E2179&lt;G2179</x:f>
        <x:v>0</x:v>
      </x:c>
    </x:row>
    <x:row r="2180">
      <x:c r="A2180" s="31">
        <x:v>40175</x:v>
      </x:c>
      <x:c r="B2180" s="32">
        <x:v>490.7</x:v>
      </x:c>
      <x:c r="C2180" s="32">
        <x:v>499</x:v>
      </x:c>
      <x:c r="D2180" s="32">
        <x:v>485.8</x:v>
      </x:c>
      <x:c r="E2180" s="32">
        <x:v>492.6</x:v>
      </x:c>
      <x:c r="F2180" s="33">
        <x:v>44268610</x:v>
      </x:c>
      <x:c r="G2180" s="32" t="n">
        <x:f t="shared" si="90">AVERAGE(E1981:E2180)</x:f>
        <x:v>467.5075000000002</x:v>
      </x:c>
      <x:c r="H2180" s="37" t="n">
        <x:f t="shared" si="91">IFERROR(E2180/G2180-1,"")</x:f>
        <x:v>0.05367293572830345</x:v>
      </x:c>
      <x:c r="I2180" s="38" t="b">
        <x:f t="shared" si="92">E2180&lt;G2180</x:f>
        <x:v>0</x:v>
      </x:c>
    </x:row>
    <x:row r="2181">
      <x:c r="A2181" s="31">
        <x:v>40176</x:v>
      </x:c>
      <x:c r="B2181" s="32">
        <x:v>487.6</x:v>
      </x:c>
      <x:c r="C2181" s="32">
        <x:v>493.7</x:v>
      </x:c>
      <x:c r="D2181" s="32">
        <x:v>483.8</x:v>
      </x:c>
      <x:c r="E2181" s="32">
        <x:v>484.5</x:v>
      </x:c>
      <x:c r="F2181" s="33">
        <x:v>41765310</x:v>
      </x:c>
      <x:c r="G2181" s="32" t="n">
        <x:f t="shared" si="90">AVERAGE(E1982:E2181)</x:f>
        <x:v>468.5630500000002</x:v>
      </x:c>
      <x:c r="H2181" s="37" t="n">
        <x:f t="shared" si="91">IFERROR(E2181/G2181-1,"")</x:f>
        <x:v>0.03401239171547954</x:v>
      </x:c>
      <x:c r="I2181" s="38" t="b">
        <x:f t="shared" si="92">E2181&lt;G2181</x:f>
        <x:v>0</x:v>
      </x:c>
    </x:row>
    <x:row r="2182">
      <x:c r="A2182" s="31">
        <x:v>40177</x:v>
      </x:c>
      <x:c r="B2182" s="32">
        <x:v>483.1</x:v>
      </x:c>
      <x:c r="C2182" s="32">
        <x:v>495.4</x:v>
      </x:c>
      <x:c r="D2182" s="32">
        <x:v>483.1</x:v>
      </x:c>
      <x:c r="E2182" s="32">
        <x:v>495.4</x:v>
      </x:c>
      <x:c r="F2182" s="33">
        <x:v>50427540</x:v>
      </x:c>
      <x:c r="G2182" s="32" t="n">
        <x:f t="shared" si="90">AVERAGE(E1983:E2182)</x:f>
        <x:v>469.70485000000014</x:v>
      </x:c>
      <x:c r="H2182" s="37" t="n">
        <x:f t="shared" si="91">IFERROR(E2182/G2182-1,"")</x:f>
        <x:v>0.05470488541900265</x:v>
      </x:c>
      <x:c r="I2182" s="38" t="b">
        <x:f t="shared" si="92">E2182&lt;G2182</x:f>
        <x:v>0</x:v>
      </x:c>
    </x:row>
    <x:row r="2183">
      <x:c r="A2183" s="31">
        <x:v>40178</x:v>
      </x:c>
      <x:c r="B2183" s="32">
        <x:v>502.8</x:v>
      </x:c>
      <x:c r="C2183" s="32">
        <x:v>504.8</x:v>
      </x:c>
      <x:c r="D2183" s="32">
        <x:v>494.8</x:v>
      </x:c>
      <x:c r="E2183" s="32">
        <x:v>494.8</x:v>
      </x:c>
      <x:c r="F2183" s="33">
        <x:v>58858220</x:v>
      </x:c>
      <x:c r="G2183" s="32" t="n">
        <x:f t="shared" si="90">AVERAGE(E1984:E2183)</x:f>
        <x:v>470.84575000000024</x:v>
      </x:c>
      <x:c r="H2183" s="37" t="n">
        <x:f t="shared" si="91">IFERROR(E2183/G2183-1,"")</x:f>
        <x:v>0.050874941528090245</x:v>
      </x:c>
      <x:c r="I2183" s="38" t="b">
        <x:f t="shared" si="92">E2183&lt;G2183</x:f>
        <x:v>0</x:v>
      </x:c>
    </x:row>
    <x:row r="2184">
      <x:c r="A2184" s="31">
        <x:v>40182</x:v>
      </x:c>
      <x:c r="B2184" s="32">
        <x:v>501.7</x:v>
      </x:c>
      <x:c r="C2184" s="32">
        <x:v>517.1</x:v>
      </x:c>
      <x:c r="D2184" s="32">
        <x:v>501.7</x:v>
      </x:c>
      <x:c r="E2184" s="32">
        <x:v>517.1</x:v>
      </x:c>
      <x:c r="F2184" s="33">
        <x:v>42051600</x:v>
      </x:c>
      <x:c r="G2184" s="32" t="n">
        <x:f t="shared" si="90">AVERAGE(E1985:E2184)</x:f>
        <x:v>472.1304500000003</x:v>
      </x:c>
      <x:c r="H2184" s="37" t="n">
        <x:f t="shared" si="91">IFERROR(E2184/G2184-1,"")</x:f>
        <x:v>0.09524814593085384</x:v>
      </x:c>
      <x:c r="I2184" s="38" t="b">
        <x:f t="shared" si="92">E2184&lt;G2184</x:f>
        <x:v>0</x:v>
      </x:c>
    </x:row>
    <x:row r="2185">
      <x:c r="A2185" s="31">
        <x:v>40183</x:v>
      </x:c>
      <x:c r="B2185" s="32">
        <x:v>538.79999999999995</x:v>
      </x:c>
      <x:c r="C2185" s="32">
        <x:v>539.4</x:v>
      </x:c>
      <x:c r="D2185" s="32">
        <x:v>530.20000000000005</x:v>
      </x:c>
      <x:c r="E2185" s="32">
        <x:v>532.5</x:v>
      </x:c>
      <x:c r="F2185" s="33">
        <x:v>66619450</x:v>
      </x:c>
      <x:c r="G2185" s="32" t="n">
        <x:f t="shared" si="90">AVERAGE(E1986:E2185)</x:f>
        <x:v>473.43995000000024</x:v>
      </x:c>
      <x:c r="H2185" s="37" t="n">
        <x:f t="shared" si="91">IFERROR(E2185/G2185-1,"")</x:f>
        <x:v>0.12474665477638669</x:v>
      </x:c>
      <x:c r="I2185" s="38" t="b">
        <x:f t="shared" si="92">E2185&lt;G2185</x:f>
        <x:v>0</x:v>
      </x:c>
    </x:row>
    <x:row r="2186">
      <x:c r="A2186" s="31">
        <x:v>40184</x:v>
      </x:c>
      <x:c r="B2186" s="32">
        <x:v>527.4</x:v>
      </x:c>
      <x:c r="C2186" s="32">
        <x:v>538.79999999999995</x:v>
      </x:c>
      <x:c r="D2186" s="32">
        <x:v>526.4</x:v>
      </x:c>
      <x:c r="E2186" s="32">
        <x:v>534.5</x:v>
      </x:c>
      <x:c r="F2186" s="33">
        <x:v>64222280</x:v>
      </x:c>
      <x:c r="G2186" s="32" t="n">
        <x:f t="shared" si="90">AVERAGE(E1987:E2186)</x:f>
        <x:v>474.7244500000002</x:v>
      </x:c>
      <x:c r="H2186" s="37" t="n">
        <x:f t="shared" si="91">IFERROR(E2186/G2186-1,"")</x:f>
        <x:v>0.12591630787080743</x:v>
      </x:c>
      <x:c r="I2186" s="38" t="b">
        <x:f t="shared" si="92">E2186&lt;G2186</x:f>
        <x:v>0</x:v>
      </x:c>
    </x:row>
    <x:row r="2187">
      <x:c r="A2187" s="31">
        <x:v>40185</x:v>
      </x:c>
      <x:c r="B2187" s="32">
        <x:v>536.79999999999995</x:v>
      </x:c>
      <x:c r="C2187" s="32">
        <x:v>540.79999999999995</x:v>
      </x:c>
      <x:c r="D2187" s="32">
        <x:v>530.70000000000005</x:v>
      </x:c>
      <x:c r="E2187" s="32">
        <x:v>533.29999999999995</x:v>
      </x:c>
      <x:c r="F2187" s="33">
        <x:v>66287110</x:v>
      </x:c>
      <x:c r="G2187" s="32" t="n">
        <x:f t="shared" si="90">AVERAGE(E1988:E2187)</x:f>
        <x:v>475.95945000000023</x:v>
      </x:c>
      <x:c r="H2187" s="37" t="n">
        <x:f t="shared" si="91">IFERROR(E2187/G2187-1,"")</x:f>
        <x:v>0.12047360337104274</x:v>
      </x:c>
      <x:c r="I2187" s="38" t="b">
        <x:f t="shared" si="92">E2187&lt;G2187</x:f>
        <x:v>0</x:v>
      </x:c>
    </x:row>
    <x:row r="2188">
      <x:c r="A2188" s="31">
        <x:v>40186</x:v>
      </x:c>
      <x:c r="B2188" s="32">
        <x:v>541</x:v>
      </x:c>
      <x:c r="C2188" s="32">
        <x:v>544.5</x:v>
      </x:c>
      <x:c r="D2188" s="32">
        <x:v>520.9</x:v>
      </x:c>
      <x:c r="E2188" s="32">
        <x:v>520.9</x:v>
      </x:c>
      <x:c r="F2188" s="33">
        <x:v>76177100</x:v>
      </x:c>
      <x:c r="G2188" s="32" t="n">
        <x:f t="shared" si="90">AVERAGE(E1989:E2188)</x:f>
        <x:v>477.13245000000023</x:v>
      </x:c>
      <x:c r="H2188" s="37" t="n">
        <x:f t="shared" si="91">IFERROR(E2188/G2188-1,"")</x:f>
        <x:v>0.09173039896992896</x:v>
      </x:c>
      <x:c r="I2188" s="38" t="b">
        <x:f t="shared" si="92">E2188&lt;G2188</x:f>
        <x:v>0</x:v>
      </x:c>
    </x:row>
    <x:row r="2189">
      <x:c r="A2189" s="31">
        <x:v>40189</x:v>
      </x:c>
      <x:c r="B2189" s="32">
        <x:v>522.79999999999995</x:v>
      </x:c>
      <x:c r="C2189" s="32">
        <x:v>524.1</x:v>
      </x:c>
      <x:c r="D2189" s="32">
        <x:v>512.20000000000005</x:v>
      </x:c>
      <x:c r="E2189" s="32">
        <x:v>515.1</x:v>
      </x:c>
      <x:c r="F2189" s="33">
        <x:v>42904970</x:v>
      </x:c>
      <x:c r="G2189" s="32" t="n">
        <x:f t="shared" ref="G2189:G2252" si="93">AVERAGE(E1990:E2189)</x:f>
        <x:v>478.29605000000026</x:v>
      </x:c>
      <x:c r="H2189" s="37" t="n">
        <x:f t="shared" ref="H2189:H2252" si="94">IFERROR(E2189/G2189-1,"")</x:f>
        <x:v>0.0769480534075071</x:v>
      </x:c>
      <x:c r="I2189" s="38" t="b">
        <x:f t="shared" ref="I2189:I2252" si="95">E2189&lt;G2189</x:f>
        <x:v>0</x:v>
      </x:c>
    </x:row>
    <x:row r="2190">
      <x:c r="A2190" s="31">
        <x:v>40190</x:v>
      </x:c>
      <x:c r="B2190" s="32">
        <x:v>511.2</x:v>
      </x:c>
      <x:c r="C2190" s="32">
        <x:v>516.79999999999995</x:v>
      </x:c>
      <x:c r="D2190" s="32">
        <x:v>498.3</x:v>
      </x:c>
      <x:c r="E2190" s="32">
        <x:v>498.3</x:v>
      </x:c>
      <x:c r="F2190" s="33">
        <x:v>50751560</x:v>
      </x:c>
      <x:c r="G2190" s="32" t="n">
        <x:f t="shared" si="93">AVERAGE(E1991:E2190)</x:f>
        <x:v>479.3840500000003</x:v>
      </x:c>
      <x:c r="H2190" s="37" t="n">
        <x:f t="shared" si="94">IFERROR(E2190/G2190-1,"")</x:f>
        <x:v>0.0394588639317468</x:v>
      </x:c>
      <x:c r="I2190" s="38" t="b">
        <x:f t="shared" si="95">E2190&lt;G2190</x:f>
        <x:v>0</x:v>
      </x:c>
    </x:row>
    <x:row r="2191">
      <x:c r="A2191" s="31">
        <x:v>40191</x:v>
      </x:c>
      <x:c r="B2191" s="32">
        <x:v>495.7</x:v>
      </x:c>
      <x:c r="C2191" s="32">
        <x:v>508.6</x:v>
      </x:c>
      <x:c r="D2191" s="32">
        <x:v>485.8</x:v>
      </x:c>
      <x:c r="E2191" s="32">
        <x:v>508.6</x:v>
      </x:c>
      <x:c r="F2191" s="33">
        <x:v>52968720</x:v>
      </x:c>
      <x:c r="G2191" s="32" t="n">
        <x:f t="shared" si="93">AVERAGE(E1992:E2191)</x:f>
        <x:v>480.47955000000024</x:v>
      </x:c>
      <x:c r="H2191" s="37" t="n">
        <x:f t="shared" si="94">IFERROR(E2191/G2191-1,"")</x:f>
        <x:v>0.05852579990136886</x:v>
      </x:c>
      <x:c r="I2191" s="38" t="b">
        <x:f t="shared" si="95">E2191&lt;G2191</x:f>
        <x:v>0</x:v>
      </x:c>
    </x:row>
    <x:row r="2192">
      <x:c r="A2192" s="31">
        <x:v>40192</x:v>
      </x:c>
      <x:c r="B2192" s="32">
        <x:v>516.4</x:v>
      </x:c>
      <x:c r="C2192" s="32">
        <x:v>517.70000000000005</x:v>
      </x:c>
      <x:c r="D2192" s="32">
        <x:v>509.3</x:v>
      </x:c>
      <x:c r="E2192" s="32">
        <x:v>512.29999999999995</x:v>
      </x:c>
      <x:c r="F2192" s="33">
        <x:v>33851840</x:v>
      </x:c>
      <x:c r="G2192" s="32" t="n">
        <x:f t="shared" si="93">AVERAGE(E1993:E2192)</x:f>
        <x:v>481.5545500000003</x:v>
      </x:c>
      <x:c r="H2192" s="37" t="n">
        <x:f t="shared" si="94">IFERROR(E2192/G2192-1,"")</x:f>
        <x:v>0.06384624545651096</x:v>
      </x:c>
      <x:c r="I2192" s="38" t="b">
        <x:f t="shared" si="95">E2192&lt;G2192</x:f>
        <x:v>0</x:v>
      </x:c>
    </x:row>
    <x:row r="2193">
      <x:c r="A2193" s="31">
        <x:v>40193</x:v>
      </x:c>
      <x:c r="B2193" s="32">
        <x:v>509.2</x:v>
      </x:c>
      <x:c r="C2193" s="32">
        <x:v>512.6</x:v>
      </x:c>
      <x:c r="D2193" s="32">
        <x:v>503.3</x:v>
      </x:c>
      <x:c r="E2193" s="32">
        <x:v>505.4</x:v>
      </x:c>
      <x:c r="F2193" s="33">
        <x:v>36355610</x:v>
      </x:c>
      <x:c r="G2193" s="32" t="n">
        <x:f t="shared" si="93">AVERAGE(E1994:E2193)</x:f>
        <x:v>482.53005000000024</x:v>
      </x:c>
      <x:c r="H2193" s="37" t="n">
        <x:f t="shared" si="94">IFERROR(E2193/G2193-1,"")</x:f>
        <x:v>0.04739590829628071</x:v>
      </x:c>
      <x:c r="I2193" s="38" t="b">
        <x:f t="shared" si="95">E2193&lt;G2193</x:f>
        <x:v>0</x:v>
      </x:c>
    </x:row>
    <x:row r="2194">
      <x:c r="A2194" s="31">
        <x:v>40196</x:v>
      </x:c>
      <x:c r="B2194" s="32">
        <x:v>499.2</x:v>
      </x:c>
      <x:c r="C2194" s="32">
        <x:v>499.2</x:v>
      </x:c>
      <x:c r="D2194" s="32">
        <x:v>487.1</x:v>
      </x:c>
      <x:c r="E2194" s="32">
        <x:v>487.1</x:v>
      </x:c>
      <x:c r="F2194" s="33">
        <x:v>39253920</x:v>
      </x:c>
      <x:c r="G2194" s="32" t="n">
        <x:f t="shared" si="93">AVERAGE(E1995:E2194)</x:f>
        <x:v>483.35355000000027</x:v>
      </x:c>
      <x:c r="H2194" s="37" t="n">
        <x:f t="shared" si="94">IFERROR(E2194/G2194-1,"")</x:f>
        <x:v>0.007750951658469729</x:v>
      </x:c>
      <x:c r="I2194" s="38" t="b">
        <x:f t="shared" si="95">E2194&lt;G2194</x:f>
        <x:v>0</x:v>
      </x:c>
    </x:row>
    <x:row r="2195">
      <x:c r="A2195" s="31">
        <x:v>40197</x:v>
      </x:c>
      <x:c r="B2195" s="32">
        <x:v>489.8</x:v>
      </x:c>
      <x:c r="C2195" s="32">
        <x:v>498.1</x:v>
      </x:c>
      <x:c r="D2195" s="32">
        <x:v>489.8</x:v>
      </x:c>
      <x:c r="E2195" s="32">
        <x:v>495.5</x:v>
      </x:c>
      <x:c r="F2195" s="33">
        <x:v>32298020</x:v>
      </x:c>
      <x:c r="G2195" s="32" t="n">
        <x:f t="shared" si="93">AVERAGE(E1996:E2195)</x:f>
        <x:v>484.2620500000002</x:v>
      </x:c>
      <x:c r="H2195" s="37" t="n">
        <x:f t="shared" si="94">IFERROR(E2195/G2195-1,"")</x:f>
        <x:v>0.02320634045141423</x:v>
      </x:c>
      <x:c r="I2195" s="38" t="b">
        <x:f t="shared" si="95">E2195&lt;G2195</x:f>
        <x:v>0</x:v>
      </x:c>
    </x:row>
    <x:row r="2196">
      <x:c r="A2196" s="31">
        <x:v>40198</x:v>
      </x:c>
      <x:c r="B2196" s="32">
        <x:v>498.9</x:v>
      </x:c>
      <x:c r="C2196" s="32">
        <x:v>499.2</x:v>
      </x:c>
      <x:c r="D2196" s="32">
        <x:v>489.5</x:v>
      </x:c>
      <x:c r="E2196" s="32">
        <x:v>489.5</x:v>
      </x:c>
      <x:c r="F2196" s="33">
        <x:v>30775080</x:v>
      </x:c>
      <x:c r="G2196" s="32" t="n">
        <x:f t="shared" si="93">AVERAGE(E1997:E2196)</x:f>
        <x:v>485.1510500000002</x:v>
      </x:c>
      <x:c r="H2196" s="37" t="n">
        <x:f t="shared" si="94">IFERROR(E2196/G2196-1,"")</x:f>
        <x:v>0.008964115402821049</x:v>
      </x:c>
      <x:c r="I2196" s="38" t="b">
        <x:f t="shared" si="95">E2196&lt;G2196</x:f>
        <x:v>0</x:v>
      </x:c>
    </x:row>
    <x:row r="2197">
      <x:c r="A2197" s="31">
        <x:v>40199</x:v>
      </x:c>
      <x:c r="B2197" s="32">
        <x:v>482</x:v>
      </x:c>
      <x:c r="C2197" s="32">
        <x:v>489.5</x:v>
      </x:c>
      <x:c r="D2197" s="32">
        <x:v>477.8</x:v>
      </x:c>
      <x:c r="E2197" s="32">
        <x:v>478.4</x:v>
      </x:c>
      <x:c r="F2197" s="33">
        <x:v>38873460</x:v>
      </x:c>
      <x:c r="G2197" s="32" t="n">
        <x:f t="shared" si="93">AVERAGE(E1998:E2197)</x:f>
        <x:v>485.9175500000002</x:v>
      </x:c>
      <x:c r="H2197" s="37" t="n">
        <x:f t="shared" si="94">IFERROR(E2197/G2197-1,"")</x:f>
        <x:v>-0.015470834506800979</x:v>
      </x:c>
      <x:c r="I2197" s="38" t="b">
        <x:f t="shared" si="95">E2197&lt;G2197</x:f>
        <x:v>1</x:v>
      </x:c>
    </x:row>
    <x:row r="2198">
      <x:c r="A2198" s="31">
        <x:v>40200</x:v>
      </x:c>
      <x:c r="B2198" s="32">
        <x:v>474.1</x:v>
      </x:c>
      <x:c r="C2198" s="32">
        <x:v>481.7</x:v>
      </x:c>
      <x:c r="D2198" s="32">
        <x:v>471.9</x:v>
      </x:c>
      <x:c r="E2198" s="32">
        <x:v>477.6</x:v>
      </x:c>
      <x:c r="F2198" s="33">
        <x:v>27517620</x:v>
      </x:c>
      <x:c r="G2198" s="32" t="n">
        <x:f t="shared" si="93">AVERAGE(E1999:E2198)</x:f>
        <x:v>486.60550000000023</x:v>
      </x:c>
      <x:c r="H2198" s="37" t="n">
        <x:f t="shared" si="94">IFERROR(E2198/G2198-1,"")</x:f>
        <x:v>-0.01850677807793011</x:v>
      </x:c>
      <x:c r="I2198" s="38" t="b">
        <x:f t="shared" si="95">E2198&lt;G2198</x:f>
        <x:v>1</x:v>
      </x:c>
    </x:row>
    <x:row r="2199">
      <x:c r="A2199" s="31">
        <x:v>40203</x:v>
      </x:c>
      <x:c r="B2199" s="32">
        <x:v>476.8</x:v>
      </x:c>
      <x:c r="C2199" s="32">
        <x:v>481</x:v>
      </x:c>
      <x:c r="D2199" s="32">
        <x:v>476.8</x:v>
      </x:c>
      <x:c r="E2199" s="32">
        <x:v>480.9</x:v>
      </x:c>
      <x:c r="F2199" s="33">
        <x:v>19454520</x:v>
      </x:c>
      <x:c r="G2199" s="32" t="n">
        <x:f t="shared" si="93">AVERAGE(E2000:E2199)</x:f>
        <x:v>487.2745000000003</x:v>
      </x:c>
      <x:c r="H2199" s="37" t="n">
        <x:f t="shared" si="94">IFERROR(E2199/G2199-1,"")</x:f>
        <x:v>-0.013081948675746968</x:v>
      </x:c>
      <x:c r="I2199" s="38" t="b">
        <x:f t="shared" si="95">E2199&lt;G2199</x:f>
        <x:v>1</x:v>
      </x:c>
    </x:row>
    <x:row r="2200">
      <x:c r="A2200" s="31">
        <x:v>40204</x:v>
      </x:c>
      <x:c r="B2200" s="32">
        <x:v>490.1</x:v>
      </x:c>
      <x:c r="C2200" s="32">
        <x:v>497.9</x:v>
      </x:c>
      <x:c r="D2200" s="32">
        <x:v>490.1</x:v>
      </x:c>
      <x:c r="E2200" s="32">
        <x:v>497.9</x:v>
      </x:c>
      <x:c r="F2200" s="33">
        <x:v>32246580</x:v>
      </x:c>
      <x:c r="G2200" s="32" t="n">
        <x:f t="shared" si="93">AVERAGE(E2001:E2200)</x:f>
        <x:v>488.0675000000002</x:v>
      </x:c>
      <x:c r="H2200" s="37" t="n">
        <x:f t="shared" si="94">IFERROR(E2200/G2200-1,"")</x:f>
        <x:v>0.02014577901622161</x:v>
      </x:c>
      <x:c r="I2200" s="38" t="b">
        <x:f t="shared" si="95">E2200&lt;G2200</x:f>
        <x:v>0</x:v>
      </x:c>
    </x:row>
    <x:row r="2201">
      <x:c r="A2201" s="31">
        <x:v>40205</x:v>
      </x:c>
      <x:c r="B2201" s="32">
        <x:v>496.9</x:v>
      </x:c>
      <x:c r="C2201" s="32">
        <x:v>498.2</x:v>
      </x:c>
      <x:c r="D2201" s="32">
        <x:v>486.4</x:v>
      </x:c>
      <x:c r="E2201" s="32">
        <x:v>486.4</x:v>
      </x:c>
      <x:c r="F2201" s="33">
        <x:v>32131720</x:v>
      </x:c>
      <x:c r="G2201" s="32" t="n">
        <x:f t="shared" si="93">AVERAGE(E2002:E2201)</x:f>
        <x:v>488.78000000000014</x:v>
      </x:c>
      <x:c r="H2201" s="37" t="n">
        <x:f t="shared" si="94">IFERROR(E2201/G2201-1,"")</x:f>
        <x:v>-0.0048692663365934585</x:v>
      </x:c>
      <x:c r="I2201" s="38" t="b">
        <x:f t="shared" si="95">E2201&lt;G2201</x:f>
        <x:v>1</x:v>
      </x:c>
    </x:row>
    <x:row r="2202">
      <x:c r="A2202" s="31">
        <x:v>40206</x:v>
      </x:c>
      <x:c r="B2202" s="32">
        <x:v>484.7</x:v>
      </x:c>
      <x:c r="C2202" s="32">
        <x:v>487.8</x:v>
      </x:c>
      <x:c r="D2202" s="32">
        <x:v>481.5</x:v>
      </x:c>
      <x:c r="E2202" s="32">
        <x:v>481.8</x:v>
      </x:c>
      <x:c r="F2202" s="33">
        <x:v>20803730</x:v>
      </x:c>
      <x:c r="G2202" s="32" t="n">
        <x:f t="shared" si="93">AVERAGE(E2003:E2202)</x:f>
        <x:v>489.5185000000002</x:v>
      </x:c>
      <x:c r="H2202" s="37" t="n">
        <x:f t="shared" si="94">IFERROR(E2202/G2202-1,"")</x:f>
        <x:v>-0.015767534832698216</x:v>
      </x:c>
      <x:c r="I2202" s="38" t="b">
        <x:f t="shared" si="95">E2202&lt;G2202</x:f>
        <x:v>1</x:v>
      </x:c>
    </x:row>
    <x:row r="2203">
      <x:c r="A2203" s="31">
        <x:v>40207</x:v>
      </x:c>
      <x:c r="B2203" s="32">
        <x:v>481.5</x:v>
      </x:c>
      <x:c r="C2203" s="32">
        <x:v>484.2</x:v>
      </x:c>
      <x:c r="D2203" s="32">
        <x:v>477.1</x:v>
      </x:c>
      <x:c r="E2203" s="32">
        <x:v>482</x:v>
      </x:c>
      <x:c r="F2203" s="33">
        <x:v>24187770</x:v>
      </x:c>
      <x:c r="G2203" s="32" t="n">
        <x:f t="shared" si="93">AVERAGE(E2004:E2203)</x:f>
        <x:v>490.33400000000023</x:v>
      </x:c>
      <x:c r="H2203" s="37" t="n">
        <x:f t="shared" si="94">IFERROR(E2203/G2203-1,"")</x:f>
        <x:v>-0.016996577842858573</x:v>
      </x:c>
      <x:c r="I2203" s="38" t="b">
        <x:f t="shared" si="95">E2203&lt;G2203</x:f>
        <x:v>1</x:v>
      </x:c>
    </x:row>
    <x:row r="2204">
      <x:c r="A2204" s="31">
        <x:v>40210</x:v>
      </x:c>
      <x:c r="B2204" s="32">
        <x:v>482.9</x:v>
      </x:c>
      <x:c r="C2204" s="32">
        <x:v>487</x:v>
      </x:c>
      <x:c r="D2204" s="32">
        <x:v>481.8</x:v>
      </x:c>
      <x:c r="E2204" s="32">
        <x:v>487</x:v>
      </x:c>
      <x:c r="F2204" s="33">
        <x:v>20695680</x:v>
      </x:c>
      <x:c r="G2204" s="32" t="n">
        <x:f t="shared" si="93">AVERAGE(E2005:E2204)</x:f>
        <x:v>491.2050000000002</x:v>
      </x:c>
      <x:c r="H2204" s="37" t="n">
        <x:f t="shared" si="94">IFERROR(E2204/G2204-1,"")</x:f>
        <x:v>-0.008560580612982815</x:v>
      </x:c>
      <x:c r="I2204" s="38" t="b">
        <x:f t="shared" si="95">E2204&lt;G2204</x:f>
        <x:v>1</x:v>
      </x:c>
    </x:row>
    <x:row r="2205">
      <x:c r="A2205" s="31">
        <x:v>40211</x:v>
      </x:c>
      <x:c r="B2205" s="32">
        <x:v>489.6</x:v>
      </x:c>
      <x:c r="C2205" s="32">
        <x:v>490.9</x:v>
      </x:c>
      <x:c r="D2205" s="32">
        <x:v>486.2</x:v>
      </x:c>
      <x:c r="E2205" s="32">
        <x:v>487.9</x:v>
      </x:c>
      <x:c r="F2205" s="33">
        <x:v>24044320</x:v>
      </x:c>
      <x:c r="G2205" s="32" t="n">
        <x:f t="shared" si="93">AVERAGE(E2006:E2205)</x:f>
        <x:v>492.0350000000002</x:v>
      </x:c>
      <x:c r="H2205" s="37" t="n">
        <x:f t="shared" si="94">IFERROR(E2205/G2205-1,"")</x:f>
        <x:v>-0.008403873708171639</x:v>
      </x:c>
      <x:c r="I2205" s="38" t="b">
        <x:f t="shared" si="95">E2205&lt;G2205</x:f>
        <x:v>1</x:v>
      </x:c>
    </x:row>
    <x:row r="2206">
      <x:c r="A2206" s="31">
        <x:v>40212</x:v>
      </x:c>
      <x:c r="B2206" s="32">
        <x:v>490.3</x:v>
      </x:c>
      <x:c r="C2206" s="32">
        <x:v>495.9</x:v>
      </x:c>
      <x:c r="D2206" s="32">
        <x:v>490.1</x:v>
      </x:c>
      <x:c r="E2206" s="32">
        <x:v>495.5</x:v>
      </x:c>
      <x:c r="F2206" s="33">
        <x:v>24485310</x:v>
      </x:c>
      <x:c r="G2206" s="32" t="n">
        <x:f t="shared" si="93">AVERAGE(E2007:E2206)</x:f>
        <x:v>492.93650000000025</x:v>
      </x:c>
      <x:c r="H2206" s="37" t="n">
        <x:f t="shared" si="94">IFERROR(E2206/G2206-1,"")</x:f>
        <x:v>0.005200466997269837</x:v>
      </x:c>
      <x:c r="I2206" s="38" t="b">
        <x:f t="shared" si="95">E2206&lt;G2206</x:f>
        <x:v>0</x:v>
      </x:c>
    </x:row>
    <x:row r="2207">
      <x:c r="A2207" s="31">
        <x:v>40213</x:v>
      </x:c>
      <x:c r="B2207" s="32">
        <x:v>496.3</x:v>
      </x:c>
      <x:c r="C2207" s="32">
        <x:v>504.4</x:v>
      </x:c>
      <x:c r="D2207" s="32">
        <x:v>496</x:v>
      </x:c>
      <x:c r="E2207" s="32">
        <x:v>503.8</x:v>
      </x:c>
      <x:c r="F2207" s="33">
        <x:v>34272400</x:v>
      </x:c>
      <x:c r="G2207" s="32" t="n">
        <x:f t="shared" si="93">AVERAGE(E2008:E2207)</x:f>
        <x:v>493.9060000000003</x:v>
      </x:c>
      <x:c r="H2207" s="37" t="n">
        <x:f t="shared" si="94">IFERROR(E2207/G2207-1,"")</x:f>
        <x:v>0.02003215186695395</x:v>
      </x:c>
      <x:c r="I2207" s="38" t="b">
        <x:f t="shared" si="95">E2207&lt;G2207</x:f>
        <x:v>0</x:v>
      </x:c>
    </x:row>
    <x:row r="2208">
      <x:c r="A2208" s="31">
        <x:v>40214</x:v>
      </x:c>
      <x:c r="B2208" s="32">
        <x:v>495.7</x:v>
      </x:c>
      <x:c r="C2208" s="32">
        <x:v>501.1</x:v>
      </x:c>
      <x:c r="D2208" s="32">
        <x:v>491.1</x:v>
      </x:c>
      <x:c r="E2208" s="32">
        <x:v>493</x:v>
      </x:c>
      <x:c r="F2208" s="33">
        <x:v>31741600</x:v>
      </x:c>
      <x:c r="G2208" s="32" t="n">
        <x:f t="shared" si="93">AVERAGE(E2009:E2208)</x:f>
        <x:v>494.8025000000003</x:v>
      </x:c>
      <x:c r="H2208" s="37" t="n">
        <x:f t="shared" si="94">IFERROR(E2208/G2208-1,"")</x:f>
        <x:v>-0.0036428676087939538</x:v>
      </x:c>
      <x:c r="I2208" s="38" t="b">
        <x:f t="shared" si="95">E2208&lt;G2208</x:f>
        <x:v>1</x:v>
      </x:c>
    </x:row>
    <x:row r="2209">
      <x:c r="A2209" s="31">
        <x:v>40217</x:v>
      </x:c>
      <x:c r="B2209" s="32">
        <x:v>488.9</x:v>
      </x:c>
      <x:c r="C2209" s="32">
        <x:v>491.7</x:v>
      </x:c>
      <x:c r="D2209" s="32">
        <x:v>487.7</x:v>
      </x:c>
      <x:c r="E2209" s="32">
        <x:v>491.2</x:v>
      </x:c>
      <x:c r="F2209" s="33">
        <x:v>19118380</x:v>
      </x:c>
      <x:c r="G2209" s="32" t="n">
        <x:f t="shared" si="93">AVERAGE(E2010:E2209)</x:f>
        <x:v>495.68000000000023</x:v>
      </x:c>
      <x:c r="H2209" s="37" t="n">
        <x:f t="shared" si="94">IFERROR(E2209/G2209-1,"")</x:f>
        <x:v>-0.009038089089735801</x:v>
      </x:c>
      <x:c r="I2209" s="38" t="b">
        <x:f t="shared" si="95">E2209&lt;G2209</x:f>
        <x:v>1</x:v>
      </x:c>
    </x:row>
    <x:row r="2210">
      <x:c r="A2210" s="31">
        <x:v>40218</x:v>
      </x:c>
      <x:c r="B2210" s="32">
        <x:v>487</x:v>
      </x:c>
      <x:c r="C2210" s="32">
        <x:v>488.8</x:v>
      </x:c>
      <x:c r="D2210" s="32">
        <x:v>482.4</x:v>
      </x:c>
      <x:c r="E2210" s="32">
        <x:v>482.9</x:v>
      </x:c>
      <x:c r="F2210" s="33">
        <x:v>21152200</x:v>
      </x:c>
      <x:c r="G2210" s="32" t="n">
        <x:f t="shared" si="93">AVERAGE(E2011:E2210)</x:f>
        <x:v>496.48650000000015</x:v>
      </x:c>
      <x:c r="H2210" s="37" t="n">
        <x:f t="shared" si="94">IFERROR(E2210/G2210-1,"")</x:f>
        <x:v>-0.027365295934532297</x:v>
      </x:c>
      <x:c r="I2210" s="38" t="b">
        <x:f t="shared" si="95">E2210&lt;G2210</x:f>
        <x:v>1</x:v>
      </x:c>
    </x:row>
    <x:row r="2211">
      <x:c r="A2211" s="31">
        <x:v>40219</x:v>
      </x:c>
      <x:c r="B2211" s="32">
        <x:v>486.9</x:v>
      </x:c>
      <x:c r="C2211" s="32">
        <x:v>491.2</x:v>
      </x:c>
      <x:c r="D2211" s="32">
        <x:v>486.9</x:v>
      </x:c>
      <x:c r="E2211" s="32">
        <x:v>490.9</x:v>
      </x:c>
      <x:c r="F2211" s="33">
        <x:v>15468550</x:v>
      </x:c>
      <x:c r="G2211" s="32" t="n">
        <x:f t="shared" si="93">AVERAGE(E2012:E2211)</x:f>
        <x:v>497.25800000000027</x:v>
      </x:c>
      <x:c r="H2211" s="37" t="n">
        <x:f t="shared" si="94">IFERROR(E2211/G2211-1,"")</x:f>
        <x:v>-0.012786119077018987</x:v>
      </x:c>
      <x:c r="I2211" s="38" t="b">
        <x:f t="shared" si="95">E2211&lt;G2211</x:f>
        <x:v>1</x:v>
      </x:c>
    </x:row>
    <x:row r="2212">
      <x:c r="A2212" s="31">
        <x:v>40220</x:v>
      </x:c>
      <x:c r="B2212" s="32">
        <x:v>493</x:v>
      </x:c>
      <x:c r="C2212" s="32">
        <x:v>500</x:v>
      </x:c>
      <x:c r="D2212" s="32">
        <x:v>491.9</x:v>
      </x:c>
      <x:c r="E2212" s="32">
        <x:v>499.9</x:v>
      </x:c>
      <x:c r="F2212" s="33">
        <x:v>18570470</x:v>
      </x:c>
      <x:c r="G2212" s="32" t="n">
        <x:f t="shared" si="93">AVERAGE(E2013:E2212)</x:f>
        <x:v>498.0010000000002</x:v>
      </x:c>
      <x:c r="H2212" s="37" t="n">
        <x:f t="shared" si="94">IFERROR(E2212/G2212-1,"")</x:f>
        <x:v>0.0038132453549284406</x:v>
      </x:c>
      <x:c r="I2212" s="38" t="b">
        <x:f t="shared" si="95">E2212&lt;G2212</x:f>
        <x:v>0</x:v>
      </x:c>
    </x:row>
    <x:row r="2213">
      <x:c r="A2213" s="31">
        <x:v>40221</x:v>
      </x:c>
      <x:c r="B2213" s="32">
        <x:v>505.3</x:v>
      </x:c>
      <x:c r="C2213" s="32">
        <x:v>508.7</x:v>
      </x:c>
      <x:c r="D2213" s="32">
        <x:v>504.8</x:v>
      </x:c>
      <x:c r="E2213" s="32">
        <x:v>507</x:v>
      </x:c>
      <x:c r="F2213" s="33">
        <x:v>22150560</x:v>
      </x:c>
      <x:c r="G2213" s="32" t="n">
        <x:f t="shared" si="93">AVERAGE(E2014:E2213)</x:f>
        <x:v>498.7855000000002</x:v>
      </x:c>
      <x:c r="H2213" s="37" t="n">
        <x:f t="shared" si="94">IFERROR(E2213/G2213-1,"")</x:f>
        <x:v>0.016469003208793742</x:v>
      </x:c>
      <x:c r="I2213" s="38" t="b">
        <x:f t="shared" si="95">E2213&lt;G2213</x:f>
        <x:v>0</x:v>
      </x:c>
    </x:row>
    <x:row r="2214">
      <x:c r="A2214" s="31">
        <x:v>40231</x:v>
      </x:c>
      <x:c r="B2214" s="32">
        <x:v>513.20000000000005</x:v>
      </x:c>
      <x:c r="C2214" s="32">
        <x:v>513.20000000000005</x:v>
      </x:c>
      <x:c r="D2214" s="32">
        <x:v>507.9</x:v>
      </x:c>
      <x:c r="E2214" s="32">
        <x:v>510</x:v>
      </x:c>
      <x:c r="F2214" s="33">
        <x:v>19131920</x:v>
      </x:c>
      <x:c r="G2214" s="32" t="n">
        <x:f t="shared" si="93">AVERAGE(E2015:E2214)</x:f>
        <x:v>499.51600000000013</x:v>
      </x:c>
      <x:c r="H2214" s="37" t="n">
        <x:f t="shared" si="94">IFERROR(E2214/G2214-1,"")</x:f>
        <x:v>0.02098831669055623</x:v>
      </x:c>
      <x:c r="I2214" s="38" t="b">
        <x:f t="shared" si="95">E2214&lt;G2214</x:f>
        <x:v>0</x:v>
      </x:c>
    </x:row>
    <x:row r="2215">
      <x:c r="A2215" s="31">
        <x:v>40232</x:v>
      </x:c>
      <x:c r="B2215" s="32">
        <x:v>504.5</x:v>
      </x:c>
      <x:c r="C2215" s="32">
        <x:v>504.5</x:v>
      </x:c>
      <x:c r="D2215" s="32">
        <x:v>496.3</x:v>
      </x:c>
      <x:c r="E2215" s="32">
        <x:v>496.3</x:v>
      </x:c>
      <x:c r="F2215" s="33">
        <x:v>24352140</x:v>
      </x:c>
      <x:c r="G2215" s="32" t="n">
        <x:f t="shared" si="93">AVERAGE(E2016:E2215)</x:f>
        <x:v>500.16650000000016</x:v>
      </x:c>
      <x:c r="H2215" s="37" t="n">
        <x:f t="shared" si="94">IFERROR(E2215/G2215-1,"")</x:f>
        <x:v>-0.007730425768219473</x:v>
      </x:c>
      <x:c r="I2215" s="38" t="b">
        <x:f t="shared" si="95">E2215&lt;G2215</x:f>
        <x:v>1</x:v>
      </x:c>
    </x:row>
    <x:row r="2216">
      <x:c r="A2216" s="31">
        <x:v>40233</x:v>
      </x:c>
      <x:c r="B2216" s="32">
        <x:v>492.9</x:v>
      </x:c>
      <x:c r="C2216" s="32">
        <x:v>494.9</x:v>
      </x:c>
      <x:c r="D2216" s="32">
        <x:v>490.2</x:v>
      </x:c>
      <x:c r="E2216" s="32">
        <x:v>494.6</x:v>
      </x:c>
      <x:c r="F2216" s="33">
        <x:v>24796880</x:v>
      </x:c>
      <x:c r="G2216" s="32" t="n">
        <x:f t="shared" si="93">AVERAGE(E2017:E2216)</x:f>
        <x:v>500.7745000000002</x:v>
      </x:c>
      <x:c r="H2216" s="37" t="n">
        <x:f t="shared" si="94">IFERROR(E2216/G2216-1,"")</x:f>
        <x:v>-0.012329900983377162</x:v>
      </x:c>
      <x:c r="I2216" s="38" t="b">
        <x:f t="shared" si="95">E2216&lt;G2216</x:f>
        <x:v>1</x:v>
      </x:c>
    </x:row>
    <x:row r="2217">
      <x:c r="A2217" s="31">
        <x:v>40234</x:v>
      </x:c>
      <x:c r="B2217" s="32">
        <x:v>497.5</x:v>
      </x:c>
      <x:c r="C2217" s="32">
        <x:v>500.2</x:v>
      </x:c>
      <x:c r="D2217" s="32">
        <x:v>493.7</x:v>
      </x:c>
      <x:c r="E2217" s="32">
        <x:v>495</x:v>
      </x:c>
      <x:c r="F2217" s="33">
        <x:v>26741270</x:v>
      </x:c>
      <x:c r="G2217" s="32" t="n">
        <x:f t="shared" si="93">AVERAGE(E2018:E2217)</x:f>
        <x:v>501.33950000000027</x:v>
      </x:c>
      <x:c r="H2217" s="37" t="n">
        <x:f t="shared" si="94">IFERROR(E2217/G2217-1,"")</x:f>
        <x:v>-0.012645123713571849</x:v>
      </x:c>
      <x:c r="I2217" s="38" t="b">
        <x:f t="shared" si="95">E2217&lt;G2217</x:f>
        <x:v>1</x:v>
      </x:c>
    </x:row>
    <x:row r="2218">
      <x:c r="A2218" s="31">
        <x:v>40235</x:v>
      </x:c>
      <x:c r="B2218" s="32">
        <x:v>494.3</x:v>
      </x:c>
      <x:c r="C2218" s="32">
        <x:v>496.9</x:v>
      </x:c>
      <x:c r="D2218" s="32">
        <x:v>492</x:v>
      </x:c>
      <x:c r="E2218" s="32">
        <x:v>496.9</x:v>
      </x:c>
      <x:c r="F2218" s="33">
        <x:v>31102610</x:v>
      </x:c>
      <x:c r="G2218" s="32" t="n">
        <x:f t="shared" si="93">AVERAGE(E2019:E2218)</x:f>
        <x:v>501.9325000000001</x:v>
      </x:c>
      <x:c r="H2218" s="37" t="n">
        <x:f t="shared" si="94">IFERROR(E2218/G2218-1,"")</x:f>
        <x:v>-0.010026248549356964</x:v>
      </x:c>
      <x:c r="I2218" s="38" t="b">
        <x:f t="shared" si="95">E2218&lt;G2218</x:f>
        <x:v>1</x:v>
      </x:c>
    </x:row>
    <x:row r="2219">
      <x:c r="A2219" s="31">
        <x:v>40238</x:v>
      </x:c>
      <x:c r="B2219" s="32">
        <x:v>502.6</x:v>
      </x:c>
      <x:c r="C2219" s="32">
        <x:v>505.3</x:v>
      </x:c>
      <x:c r="D2219" s="32">
        <x:v>502.4</x:v>
      </x:c>
      <x:c r="E2219" s="32">
        <x:v>503</x:v>
      </x:c>
      <x:c r="F2219" s="33">
        <x:v>32389410</x:v>
      </x:c>
      <x:c r="G2219" s="32" t="n">
        <x:f t="shared" si="93">AVERAGE(E2020:E2219)</x:f>
        <x:v>502.5635000000002</x:v>
      </x:c>
      <x:c r="H2219" s="37" t="n">
        <x:f t="shared" si="94">IFERROR(E2219/G2219-1,"")</x:f>
        <x:v>0.0008685469597369266</x:v>
      </x:c>
      <x:c r="I2219" s="38" t="b">
        <x:f t="shared" si="95">E2219&lt;G2219</x:f>
        <x:v>0</x:v>
      </x:c>
    </x:row>
    <x:row r="2220">
      <x:c r="A2220" s="31">
        <x:v>40239</x:v>
      </x:c>
      <x:c r="B2220" s="32">
        <x:v>504</x:v>
      </x:c>
      <x:c r="C2220" s="32">
        <x:v>505.6</x:v>
      </x:c>
      <x:c r="D2220" s="32">
        <x:v>500.1</x:v>
      </x:c>
      <x:c r="E2220" s="32">
        <x:v>501</x:v>
      </x:c>
      <x:c r="F2220" s="33">
        <x:v>34862300</x:v>
      </x:c>
      <x:c r="G2220" s="32" t="n">
        <x:f t="shared" si="93">AVERAGE(E2021:E2220)</x:f>
        <x:v>503.11750000000023</x:v>
      </x:c>
      <x:c r="H2220" s="37" t="n">
        <x:f t="shared" si="94">IFERROR(E2220/G2220-1,"")</x:f>
        <x:v>-0.004208758391429868</x:v>
      </x:c>
      <x:c r="I2220" s="38" t="b">
        <x:f t="shared" si="95">E2220&lt;G2220</x:f>
        <x:v>1</x:v>
      </x:c>
    </x:row>
    <x:row r="2221">
      <x:c r="A2221" s="31">
        <x:v>40240</x:v>
      </x:c>
      <x:c r="B2221" s="32">
        <x:v>505</x:v>
      </x:c>
      <x:c r="C2221" s="32">
        <x:v>507.3</x:v>
      </x:c>
      <x:c r="D2221" s="32">
        <x:v>502</x:v>
      </x:c>
      <x:c r="E2221" s="32">
        <x:v>507.3</x:v>
      </x:c>
      <x:c r="F2221" s="33">
        <x:v>36152370</x:v>
      </x:c>
      <x:c r="G2221" s="32" t="n">
        <x:f t="shared" si="93">AVERAGE(E2022:E2221)</x:f>
        <x:v>503.6995000000003</x:v>
      </x:c>
      <x:c r="H2221" s="37" t="n">
        <x:f t="shared" si="94">IFERROR(E2221/G2221-1,"")</x:f>
        <x:v>0.0071481111257798435</x:v>
      </x:c>
      <x:c r="I2221" s="38" t="b">
        <x:f t="shared" si="95">E2221&lt;G2221</x:f>
        <x:v>0</x:v>
      </x:c>
    </x:row>
    <x:row r="2222">
      <x:c r="A2222" s="31">
        <x:v>40241</x:v>
      </x:c>
      <x:c r="B2222" s="32">
        <x:v>510.9</x:v>
      </x:c>
      <x:c r="C2222" s="32">
        <x:v>516.79999999999995</x:v>
      </x:c>
      <x:c r="D2222" s="32">
        <x:v>510.9</x:v>
      </x:c>
      <x:c r="E2222" s="32">
        <x:v>511.9</x:v>
      </x:c>
      <x:c r="F2222" s="33">
        <x:v>47852720</x:v>
      </x:c>
      <x:c r="G2222" s="32" t="n">
        <x:f t="shared" si="93">AVERAGE(E2023:E2222)</x:f>
        <x:v>504.2545000000002</x:v>
      </x:c>
      <x:c r="H2222" s="37" t="n">
        <x:f t="shared" si="94">IFERROR(E2222/G2222-1,"")</x:f>
        <x:v>0.015161986655547466</x:v>
      </x:c>
      <x:c r="I2222" s="38" t="b">
        <x:f t="shared" si="95">E2222&lt;G2222</x:f>
        <x:v>0</x:v>
      </x:c>
    </x:row>
    <x:row r="2223">
      <x:c r="A2223" s="31">
        <x:v>40242</x:v>
      </x:c>
      <x:c r="B2223" s="32">
        <x:v>512.70000000000005</x:v>
      </x:c>
      <x:c r="C2223" s="32">
        <x:v>514.5</x:v>
      </x:c>
      <x:c r="D2223" s="32">
        <x:v>509.6</x:v>
      </x:c>
      <x:c r="E2223" s="32">
        <x:v>513.4</x:v>
      </x:c>
      <x:c r="F2223" s="33">
        <x:v>44095840</x:v>
      </x:c>
      <x:c r="G2223" s="32" t="n">
        <x:f t="shared" si="93">AVERAGE(E2024:E2223)</x:f>
        <x:v>504.7695000000001</x:v>
      </x:c>
      <x:c r="H2223" s="37" t="n">
        <x:f t="shared" si="94">IFERROR(E2223/G2223-1,"")</x:f>
        <x:v>0.017097903102306855</x:v>
      </x:c>
      <x:c r="I2223" s="38" t="b">
        <x:f t="shared" si="95">E2223&lt;G2223</x:f>
        <x:v>0</x:v>
      </x:c>
    </x:row>
    <x:row r="2224">
      <x:c r="A2224" s="31">
        <x:v>40245</x:v>
      </x:c>
      <x:c r="B2224" s="32">
        <x:v>517</x:v>
      </x:c>
      <x:c r="C2224" s="32">
        <x:v>522.79999999999995</x:v>
      </x:c>
      <x:c r="D2224" s="32">
        <x:v>517</x:v>
      </x:c>
      <x:c r="E2224" s="32">
        <x:v>521.1</x:v>
      </x:c>
      <x:c r="F2224" s="33">
        <x:v>53071450</x:v>
      </x:c>
      <x:c r="G2224" s="32" t="n">
        <x:f t="shared" si="93">AVERAGE(E2025:E2224)</x:f>
        <x:v>505.31250000000017</x:v>
      </x:c>
      <x:c r="H2224" s="37" t="n">
        <x:f t="shared" si="94">IFERROR(E2224/G2224-1,"")</x:f>
        <x:v>0.031243042671613708</x:v>
      </x:c>
      <x:c r="I2224" s="38" t="b">
        <x:f t="shared" si="95">E2224&lt;G2224</x:f>
        <x:v>0</x:v>
      </x:c>
    </x:row>
    <x:row r="2225">
      <x:c r="A2225" s="31">
        <x:v>40246</x:v>
      </x:c>
      <x:c r="B2225" s="32">
        <x:v>520.9</x:v>
      </x:c>
      <x:c r="C2225" s="32">
        <x:v>527.29999999999995</x:v>
      </x:c>
      <x:c r="D2225" s="32">
        <x:v>520.1</x:v>
      </x:c>
      <x:c r="E2225" s="32">
        <x:v>527.29999999999995</x:v>
      </x:c>
      <x:c r="F2225" s="33">
        <x:v>60441560</x:v>
      </x:c>
      <x:c r="G2225" s="32" t="n">
        <x:f t="shared" si="93">AVERAGE(E2026:E2225)</x:f>
        <x:v>505.92600000000016</x:v>
      </x:c>
      <x:c r="H2225" s="37" t="n">
        <x:f t="shared" si="94">IFERROR(E2225/G2225-1,"")</x:f>
        <x:v>0.04224728517609244</x:v>
      </x:c>
      <x:c r="I2225" s="38" t="b">
        <x:f t="shared" si="95">E2225&lt;G2225</x:f>
        <x:v>0</x:v>
      </x:c>
    </x:row>
    <x:row r="2226">
      <x:c r="A2226" s="31">
        <x:v>40247</x:v>
      </x:c>
      <x:c r="B2226" s="32">
        <x:v>526.20000000000005</x:v>
      </x:c>
      <x:c r="C2226" s="32">
        <x:v>529.6</x:v>
      </x:c>
      <x:c r="D2226" s="32">
        <x:v>522.79999999999995</x:v>
      </x:c>
      <x:c r="E2226" s="32">
        <x:v>525.70000000000005</x:v>
      </x:c>
      <x:c r="F2226" s="33">
        <x:v>55713450</x:v>
      </x:c>
      <x:c r="G2226" s="32" t="n">
        <x:f t="shared" si="93">AVERAGE(E2027:E2226)</x:f>
        <x:v>506.4455000000001</x:v>
      </x:c>
      <x:c r="H2226" s="37" t="n">
        <x:f t="shared" si="94">IFERROR(E2226/G2226-1,"")</x:f>
        <x:v>0.038018898380970834</x:v>
      </x:c>
      <x:c r="I2226" s="38" t="b">
        <x:f t="shared" si="95">E2226&lt;G2226</x:f>
        <x:v>0</x:v>
      </x:c>
    </x:row>
    <x:row r="2227">
      <x:c r="A2227" s="31">
        <x:v>40248</x:v>
      </x:c>
      <x:c r="B2227" s="32">
        <x:v>526.9</x:v>
      </x:c>
      <x:c r="C2227" s="32">
        <x:v>529.5</x:v>
      </x:c>
      <x:c r="D2227" s="32">
        <x:v>524.4</x:v>
      </x:c>
      <x:c r="E2227" s="32">
        <x:v>524.6</x:v>
      </x:c>
      <x:c r="F2227" s="33">
        <x:v>50966990</x:v>
      </x:c>
      <x:c r="G2227" s="32" t="n">
        <x:f t="shared" si="93">AVERAGE(E2028:E2227)</x:f>
        <x:v>506.94350000000014</x:v>
      </x:c>
      <x:c r="H2227" s="37" t="n">
        <x:f t="shared" si="94">IFERROR(E2227/G2227-1,"")</x:f>
        <x:v>0.03482932516148218</x:v>
      </x:c>
      <x:c r="I2227" s="38" t="b">
        <x:f t="shared" si="95">E2227&lt;G2227</x:f>
        <x:v>0</x:v>
      </x:c>
    </x:row>
    <x:row r="2228">
      <x:c r="A2228" s="31">
        <x:v>40249</x:v>
      </x:c>
      <x:c r="B2228" s="32">
        <x:v>528.9</x:v>
      </x:c>
      <x:c r="C2228" s="32">
        <x:v>531.5</x:v>
      </x:c>
      <x:c r="D2228" s="32">
        <x:v>526.70000000000005</x:v>
      </x:c>
      <x:c r="E2228" s="32">
        <x:v>531.5</x:v>
      </x:c>
      <x:c r="F2228" s="33">
        <x:v>53686140</x:v>
      </x:c>
      <x:c r="G2228" s="32" t="n">
        <x:f t="shared" si="93">AVERAGE(E2029:E2228)</x:f>
        <x:v>507.47500000000014</x:v>
      </x:c>
      <x:c r="H2228" s="37" t="n">
        <x:f t="shared" si="94">IFERROR(E2228/G2228-1,"")</x:f>
        <x:v>0.04734223360756662</x:v>
      </x:c>
      <x:c r="I2228" s="38" t="b">
        <x:f t="shared" si="95">E2228&lt;G2228</x:f>
        <x:v>0</x:v>
      </x:c>
    </x:row>
    <x:row r="2229">
      <x:c r="A2229" s="31">
        <x:v>40252</x:v>
      </x:c>
      <x:c r="B2229" s="32">
        <x:v>538</x:v>
      </x:c>
      <x:c r="C2229" s="32">
        <x:v>538</x:v>
      </x:c>
      <x:c r="D2229" s="32">
        <x:v>531.6</x:v>
      </x:c>
      <x:c r="E2229" s="32">
        <x:v>531.9</x:v>
      </x:c>
      <x:c r="F2229" s="33">
        <x:v>54199710</x:v>
      </x:c>
      <x:c r="G2229" s="32" t="n">
        <x:f t="shared" si="93">AVERAGE(E2030:E2229)</x:f>
        <x:v>508.05700000000013</x:v>
      </x:c>
      <x:c r="H2229" s="37" t="n">
        <x:f t="shared" si="94">IFERROR(E2229/G2229-1,"")</x:f>
        <x:v>0.04692977362776185</x:v>
      </x:c>
      <x:c r="I2229" s="38" t="b">
        <x:f t="shared" si="95">E2229&lt;G2229</x:f>
        <x:v>0</x:v>
      </x:c>
    </x:row>
    <x:row r="2230">
      <x:c r="A2230" s="31">
        <x:v>40253</x:v>
      </x:c>
      <x:c r="B2230" s="32">
        <x:v>526.1</x:v>
      </x:c>
      <x:c r="C2230" s="32">
        <x:v>529.6</x:v>
      </x:c>
      <x:c r="D2230" s="32">
        <x:v>516.1</x:v>
      </x:c>
      <x:c r="E2230" s="32">
        <x:v>516.1</x:v>
      </x:c>
      <x:c r="F2230" s="33">
        <x:v>64874240</x:v>
      </x:c>
      <x:c r="G2230" s="32" t="n">
        <x:f t="shared" si="93">AVERAGE(E2031:E2230)</x:f>
        <x:v>508.5795000000001</x:v>
      </x:c>
      <x:c r="H2230" s="37" t="n">
        <x:f t="shared" si="94">IFERROR(E2230/G2230-1,"")</x:f>
        <x:v>0.014787265314468945</x:v>
      </x:c>
      <x:c r="I2230" s="38" t="b">
        <x:f t="shared" si="95">E2230&lt;G2230</x:f>
        <x:v>0</x:v>
      </x:c>
    </x:row>
    <x:row r="2231">
      <x:c r="A2231" s="31">
        <x:v>40254</x:v>
      </x:c>
      <x:c r="B2231" s="32">
        <x:v>519.9</x:v>
      </x:c>
      <x:c r="C2231" s="32">
        <x:v>520.1</x:v>
      </x:c>
      <x:c r="D2231" s="32">
        <x:v>510.9</x:v>
      </x:c>
      <x:c r="E2231" s="32">
        <x:v>510.9</x:v>
      </x:c>
      <x:c r="F2231" s="33">
        <x:v>49838910</x:v>
      </x:c>
      <x:c r="G2231" s="32" t="n">
        <x:f t="shared" si="93">AVERAGE(E2032:E2231)</x:f>
        <x:v>509.0020000000001</x:v>
      </x:c>
      <x:c r="H2231" s="37" t="n">
        <x:f t="shared" si="94">IFERROR(E2231/G2231-1,"")</x:f>
        <x:v>0.0037288655054397157</x:v>
      </x:c>
      <x:c r="I2231" s="38" t="b">
        <x:f t="shared" si="95">E2231&lt;G2231</x:f>
        <x:v>0</x:v>
      </x:c>
    </x:row>
    <x:row r="2232">
      <x:c r="A2232" s="31">
        <x:v>40255</x:v>
      </x:c>
      <x:c r="B2232" s="32">
        <x:v>515.20000000000005</x:v>
      </x:c>
      <x:c r="C2232" s="32">
        <x:v>519.70000000000005</x:v>
      </x:c>
      <x:c r="D2232" s="32">
        <x:v>510.5</x:v>
      </x:c>
      <x:c r="E2232" s="32">
        <x:v>519.70000000000005</x:v>
      </x:c>
      <x:c r="F2232" s="33">
        <x:v>44323480</x:v>
      </x:c>
      <x:c r="G2232" s="32" t="n">
        <x:f t="shared" si="93">AVERAGE(E2033:E2232)</x:f>
        <x:v>509.3975</x:v>
      </x:c>
      <x:c r="H2232" s="37" t="n">
        <x:f t="shared" si="94">IFERROR(E2232/G2232-1,"")</x:f>
        <x:v>0.020224873502520335</x:v>
      </x:c>
      <x:c r="I2232" s="38" t="b">
        <x:f t="shared" si="95">E2232&lt;G2232</x:f>
        <x:v>0</x:v>
      </x:c>
    </x:row>
    <x:row r="2233">
      <x:c r="A2233" s="31">
        <x:v>40256</x:v>
      </x:c>
      <x:c r="B2233" s="32">
        <x:v>520.1</x:v>
      </x:c>
      <x:c r="C2233" s="32">
        <x:v>521.20000000000005</x:v>
      </x:c>
      <x:c r="D2233" s="32">
        <x:v>516</x:v>
      </x:c>
      <x:c r="E2233" s="32">
        <x:v>516</x:v>
      </x:c>
      <x:c r="F2233" s="33">
        <x:v>53468830</x:v>
      </x:c>
      <x:c r="G2233" s="32" t="n">
        <x:f t="shared" si="93">AVERAGE(E2034:E2233)</x:f>
        <x:v>509.7535</x:v>
      </x:c>
      <x:c r="H2233" s="37" t="n">
        <x:f t="shared" si="94">IFERROR(E2233/G2233-1,"")</x:f>
        <x:v>0.012253961963968996</x:v>
      </x:c>
      <x:c r="I2233" s="38" t="b">
        <x:f t="shared" si="95">E2233&lt;G2233</x:f>
        <x:v>0</x:v>
      </x:c>
    </x:row>
    <x:row r="2234">
      <x:c r="A2234" s="31">
        <x:v>40259</x:v>
      </x:c>
      <x:c r="B2234" s="32">
        <x:v>515.70000000000005</x:v>
      </x:c>
      <x:c r="C2234" s="32">
        <x:v>517.79999999999995</x:v>
      </x:c>
      <x:c r="D2234" s="32">
        <x:v>511.6</x:v>
      </x:c>
      <x:c r="E2234" s="32">
        <x:v>511.6</x:v>
      </x:c>
      <x:c r="F2234" s="33">
        <x:v>39977520</x:v>
      </x:c>
      <x:c r="G2234" s="32" t="n">
        <x:f t="shared" si="93">AVERAGE(E2035:E2234)</x:f>
        <x:v>510.0205</x:v>
      </x:c>
      <x:c r="H2234" s="37" t="n">
        <x:f t="shared" si="94">IFERROR(E2234/G2234-1,"")</x:f>
        <x:v>0.0030969343389137816</x:v>
      </x:c>
      <x:c r="I2234" s="38" t="b">
        <x:f t="shared" si="95">E2234&lt;G2234</x:f>
        <x:v>0</x:v>
      </x:c>
    </x:row>
    <x:row r="2235">
      <x:c r="A2235" s="31">
        <x:v>40260</x:v>
      </x:c>
      <x:c r="B2235" s="32">
        <x:v>512.20000000000005</x:v>
      </x:c>
      <x:c r="C2235" s="32">
        <x:v>513.1</x:v>
      </x:c>
      <x:c r="D2235" s="32">
        <x:v>506.5</x:v>
      </x:c>
      <x:c r="E2235" s="32">
        <x:v>506.5</x:v>
      </x:c>
      <x:c r="F2235" s="33">
        <x:v>44044890</x:v>
      </x:c>
      <x:c r="G2235" s="32" t="n">
        <x:f t="shared" si="93">AVERAGE(E2036:E2235)</x:f>
        <x:v>510.15950000000004</x:v>
      </x:c>
      <x:c r="H2235" s="37" t="n">
        <x:f t="shared" si="94">IFERROR(E2235/G2235-1,"")</x:f>
        <x:v>-0.007173246798305333</x:v>
      </x:c>
      <x:c r="I2235" s="38" t="b">
        <x:f t="shared" si="95">E2235&lt;G2235</x:f>
        <x:v>1</x:v>
      </x:c>
    </x:row>
    <x:row r="2236">
      <x:c r="A2236" s="31">
        <x:v>40261</x:v>
      </x:c>
      <x:c r="B2236" s="32">
        <x:v>511.1</x:v>
      </x:c>
      <x:c r="C2236" s="32">
        <x:v>512.9</x:v>
      </x:c>
      <x:c r="D2236" s="32">
        <x:v>508.8</x:v>
      </x:c>
      <x:c r="E2236" s="32">
        <x:v>512.1</x:v>
      </x:c>
      <x:c r="F2236" s="33">
        <x:v>43396280</x:v>
      </x:c>
      <x:c r="G2236" s="32" t="n">
        <x:f t="shared" si="93">AVERAGE(E2037:E2236)</x:f>
        <x:v>510.2125</x:v>
      </x:c>
      <x:c r="H2236" s="37" t="n">
        <x:f t="shared" si="94">IFERROR(E2236/G2236-1,"")</x:f>
        <x:v>0.003699438959257284</x:v>
      </x:c>
      <x:c r="I2236" s="38" t="b">
        <x:f t="shared" si="95">E2236&lt;G2236</x:f>
        <x:v>0</x:v>
      </x:c>
    </x:row>
    <x:row r="2237">
      <x:c r="A2237" s="31">
        <x:v>40262</x:v>
      </x:c>
      <x:c r="B2237" s="32">
        <x:v>507.9</x:v>
      </x:c>
      <x:c r="C2237" s="32">
        <x:v>508.8</x:v>
      </x:c>
      <x:c r="D2237" s="32">
        <x:v>502.2</x:v>
      </x:c>
      <x:c r="E2237" s="32">
        <x:v>503.4</x:v>
      </x:c>
      <x:c r="F2237" s="33">
        <x:v>50206760</x:v>
      </x:c>
      <x:c r="G2237" s="32" t="n">
        <x:f t="shared" si="93">AVERAGE(E2038:E2237)</x:f>
        <x:v>510.167</x:v>
      </x:c>
      <x:c r="H2237" s="37" t="n">
        <x:f t="shared" si="94">IFERROR(E2237/G2237-1,"")</x:f>
        <x:v>-0.013264284048164598</x:v>
      </x:c>
      <x:c r="I2237" s="38" t="b">
        <x:f t="shared" si="95">E2237&lt;G2237</x:f>
        <x:v>1</x:v>
      </x:c>
    </x:row>
    <x:row r="2238">
      <x:c r="A2238" s="31">
        <x:v>40263</x:v>
      </x:c>
      <x:c r="B2238" s="32">
        <x:v>505.5</x:v>
      </x:c>
      <x:c r="C2238" s="32">
        <x:v>506.4</x:v>
      </x:c>
      <x:c r="D2238" s="32">
        <x:v>501.6</x:v>
      </x:c>
      <x:c r="E2238" s="32">
        <x:v>505.3</x:v>
      </x:c>
      <x:c r="F2238" s="33">
        <x:v>47585270</x:v>
      </x:c>
      <x:c r="G2238" s="32" t="n">
        <x:f t="shared" si="93">AVERAGE(E2039:E2238)</x:f>
        <x:v>510.20599999999996</x:v>
      </x:c>
      <x:c r="H2238" s="37" t="n">
        <x:f t="shared" si="94">IFERROR(E2238/G2238-1,"")</x:f>
        <x:v>-0.009615723844878299</x:v>
      </x:c>
      <x:c r="I2238" s="38" t="b">
        <x:f t="shared" si="95">E2238&lt;G2238</x:f>
        <x:v>1</x:v>
      </x:c>
    </x:row>
    <x:row r="2239">
      <x:c r="A2239" s="31">
        <x:v>40266</x:v>
      </x:c>
      <x:c r="B2239" s="32">
        <x:v>506.7</x:v>
      </x:c>
      <x:c r="C2239" s="32">
        <x:v>509.2</x:v>
      </x:c>
      <x:c r="D2239" s="32">
        <x:v>504.1</x:v>
      </x:c>
      <x:c r="E2239" s="32">
        <x:v>505.7</x:v>
      </x:c>
      <x:c r="F2239" s="33">
        <x:v>35472710</x:v>
      </x:c>
      <x:c r="G2239" s="32" t="n">
        <x:f t="shared" si="93">AVERAGE(E2040:E2239)</x:f>
        <x:v>510.17799999999994</x:v>
      </x:c>
      <x:c r="H2239" s="37" t="n">
        <x:f t="shared" si="94">IFERROR(E2239/G2239-1,"")</x:f>
        <x:v>-0.008777328697042952</x:v>
      </x:c>
      <x:c r="I2239" s="38" t="b">
        <x:f t="shared" si="95">E2239&lt;G2239</x:f>
        <x:v>1</x:v>
      </x:c>
    </x:row>
    <x:row r="2240">
      <x:c r="A2240" s="31">
        <x:v>40267</x:v>
      </x:c>
      <x:c r="B2240" s="32">
        <x:v>504.7</x:v>
      </x:c>
      <x:c r="C2240" s="32">
        <x:v>506.3</x:v>
      </x:c>
      <x:c r="D2240" s="32">
        <x:v>500.7</x:v>
      </x:c>
      <x:c r="E2240" s="32">
        <x:v>500.7</x:v>
      </x:c>
      <x:c r="F2240" s="33">
        <x:v>47215800</x:v>
      </x:c>
      <x:c r="G2240" s="32" t="n">
        <x:f t="shared" si="93">AVERAGE(E2041:E2240)</x:f>
        <x:v>510.1334999999999</x:v>
      </x:c>
      <x:c r="H2240" s="37" t="n">
        <x:f t="shared" si="94">IFERROR(E2240/G2240-1,"")</x:f>
        <x:v>-0.01849221821346747</x:v>
      </x:c>
      <x:c r="I2240" s="38" t="b">
        <x:f t="shared" si="95">E2240&lt;G2240</x:f>
        <x:v>1</x:v>
      </x:c>
    </x:row>
    <x:row r="2241">
      <x:c r="A2241" s="31">
        <x:v>40268</x:v>
      </x:c>
      <x:c r="B2241" s="32">
        <x:v>501.9</x:v>
      </x:c>
      <x:c r="C2241" s="32">
        <x:v>504</x:v>
      </x:c>
      <x:c r="D2241" s="32">
        <x:v>499.2</x:v>
      </x:c>
      <x:c r="E2241" s="32">
        <x:v>499.2</x:v>
      </x:c>
      <x:c r="F2241" s="33">
        <x:v>45342680</x:v>
      </x:c>
      <x:c r="G2241" s="32" t="n">
        <x:f t="shared" si="93">AVERAGE(E2042:E2241)</x:f>
        <x:v>510.1619999999999</x:v>
      </x:c>
      <x:c r="H2241" s="37" t="n">
        <x:f t="shared" si="94">IFERROR(E2241/G2241-1,"")</x:f>
        <x:v>-0.02148729227186641</x:v>
      </x:c>
      <x:c r="I2241" s="38" t="b">
        <x:f t="shared" si="95">E2241&lt;G2241</x:f>
        <x:v>1</x:v>
      </x:c>
    </x:row>
    <x:row r="2242">
      <x:c r="A2242" s="31">
        <x:v>40269</x:v>
      </x:c>
      <x:c r="B2242" s="32">
        <x:v>500.4</x:v>
      </x:c>
      <x:c r="C2242" s="32">
        <x:v>508.9</x:v>
      </x:c>
      <x:c r="D2242" s="32">
        <x:v>500</x:v>
      </x:c>
      <x:c r="E2242" s="32">
        <x:v>508.2</x:v>
      </x:c>
      <x:c r="F2242" s="33">
        <x:v>41808030</x:v>
      </x:c>
      <x:c r="G2242" s="32" t="n">
        <x:f t="shared" si="93">AVERAGE(E2043:E2242)</x:f>
        <x:v>510.3429999999999</x:v>
      </x:c>
      <x:c r="H2242" s="37" t="n">
        <x:f t="shared" si="94">IFERROR(E2242/G2242-1,"")</x:f>
        <x:v>-0.004199136659070346</x:v>
      </x:c>
      <x:c r="I2242" s="38" t="b">
        <x:f t="shared" si="95">E2242&lt;G2242</x:f>
        <x:v>1</x:v>
      </x:c>
    </x:row>
    <x:row r="2243">
      <x:c r="A2243" s="31">
        <x:v>40270</x:v>
      </x:c>
      <x:c r="B2243" s="32">
        <x:v>510.4</x:v>
      </x:c>
      <x:c r="C2243" s="32">
        <x:v>513</x:v>
      </x:c>
      <x:c r="D2243" s="32">
        <x:v>508.5</x:v>
      </x:c>
      <x:c r="E2243" s="32">
        <x:v>510.5</x:v>
      </x:c>
      <x:c r="F2243" s="33">
        <x:v>39486490</x:v>
      </x:c>
      <x:c r="G2243" s="32" t="n">
        <x:f t="shared" si="93">AVERAGE(E2044:E2243)</x:f>
        <x:v>510.5329999999999</x:v>
      </x:c>
      <x:c r="H2243" s="37" t="n">
        <x:f t="shared" si="94">IFERROR(E2243/G2243-1,"")</x:f>
        <x:v>-0.0000646383289618635</x:v>
      </x:c>
      <x:c r="I2243" s="38" t="b">
        <x:f t="shared" si="95">E2243&lt;G2243</x:f>
        <x:v>1</x:v>
      </x:c>
    </x:row>
    <x:row r="2244">
      <x:c r="A2244" s="31">
        <x:v>40273</x:v>
      </x:c>
      <x:c r="B2244" s="32">
        <x:v>514.20000000000005</x:v>
      </x:c>
      <x:c r="C2244" s="32">
        <x:v>516.29999999999995</x:v>
      </x:c>
      <x:c r="D2244" s="32">
        <x:v>513.5</x:v>
      </x:c>
      <x:c r="E2244" s="32">
        <x:v>514.79999999999995</x:v>
      </x:c>
      <x:c r="F2244" s="33">
        <x:v>41859130</x:v>
      </x:c>
      <x:c r="G2244" s="32" t="n">
        <x:f t="shared" si="93">AVERAGE(E2045:E2244)</x:f>
        <x:v>510.71049999999997</x:v>
      </x:c>
      <x:c r="H2244" s="37" t="n">
        <x:f t="shared" si="94">IFERROR(E2244/G2244-1,"")</x:f>
        <x:v>0.008007471943498379</x:v>
      </x:c>
      <x:c r="I2244" s="38" t="b">
        <x:f t="shared" si="95">E2244&lt;G2244</x:f>
        <x:v>0</x:v>
      </x:c>
    </x:row>
    <x:row r="2245">
      <x:c r="A2245" s="31">
        <x:v>40274</x:v>
      </x:c>
      <x:c r="B2245" s="32">
        <x:v>517.5</x:v>
      </x:c>
      <x:c r="C2245" s="32">
        <x:v>520.29999999999995</x:v>
      </x:c>
      <x:c r="D2245" s="32">
        <x:v>515.29999999999995</x:v>
      </x:c>
      <x:c r="E2245" s="32">
        <x:v>515.29999999999995</x:v>
      </x:c>
      <x:c r="F2245" s="33">
        <x:v>66656790</x:v>
      </x:c>
      <x:c r="G2245" s="32" t="n">
        <x:f t="shared" si="93">AVERAGE(E2046:E2245)</x:f>
        <x:v>510.9109999999999</x:v>
      </x:c>
      <x:c r="H2245" s="37" t="n">
        <x:f t="shared" si="94">IFERROR(E2245/G2245-1,"")</x:f>
        <x:v>0.008590537295145362</x:v>
      </x:c>
      <x:c r="I2245" s="38" t="b">
        <x:f t="shared" si="95">E2245&lt;G2245</x:f>
        <x:v>0</x:v>
      </x:c>
    </x:row>
    <x:row r="2246">
      <x:c r="A2246" s="31">
        <x:v>40275</x:v>
      </x:c>
      <x:c r="B2246" s="32">
        <x:v>516.29999999999995</x:v>
      </x:c>
      <x:c r="C2246" s="32">
        <x:v>517.29999999999995</x:v>
      </x:c>
      <x:c r="D2246" s="32">
        <x:v>512.5</x:v>
      </x:c>
      <x:c r="E2246" s="32">
        <x:v>515.79999999999995</x:v>
      </x:c>
      <x:c r="F2246" s="33">
        <x:v>48659250</x:v>
      </x:c>
      <x:c r="G2246" s="32" t="n">
        <x:f t="shared" si="93">AVERAGE(E2047:E2246)</x:f>
        <x:v>511.19949999999994</x:v>
      </x:c>
      <x:c r="H2246" s="37" t="n">
        <x:f t="shared" si="94">IFERROR(E2246/G2246-1,"")</x:f>
        <x:v>0.008999421947791353</x:v>
      </x:c>
      <x:c r="I2246" s="38" t="b">
        <x:f t="shared" si="95">E2246&lt;G2246</x:f>
        <x:v>0</x:v>
      </x:c>
    </x:row>
    <x:row r="2247">
      <x:c r="A2247" s="31">
        <x:v>40276</x:v>
      </x:c>
      <x:c r="B2247" s="32">
        <x:v>515.70000000000005</x:v>
      </x:c>
      <x:c r="C2247" s="32">
        <x:v>519.4</x:v>
      </x:c>
      <x:c r="D2247" s="32">
        <x:v>514.70000000000005</x:v>
      </x:c>
      <x:c r="E2247" s="32">
        <x:v>515.9</x:v>
      </x:c>
      <x:c r="F2247" s="33">
        <x:v>54227900</x:v>
      </x:c>
      <x:c r="G2247" s="32" t="n">
        <x:f t="shared" si="93">AVERAGE(E2048:E2247)</x:f>
        <x:v>511.5859999999999</x:v>
      </x:c>
      <x:c r="H2247" s="37" t="n">
        <x:f t="shared" si="94">IFERROR(E2247/G2247-1,"")</x:f>
        <x:v>0.008432599797492557</x:v>
      </x:c>
      <x:c r="I2247" s="38" t="b">
        <x:f t="shared" si="95">E2247&lt;G2247</x:f>
        <x:v>0</x:v>
      </x:c>
    </x:row>
    <x:row r="2248">
      <x:c r="A2248" s="31">
        <x:v>40277</x:v>
      </x:c>
      <x:c r="B2248" s="32">
        <x:v>517.1</x:v>
      </x:c>
      <x:c r="C2248" s="32">
        <x:v>519.6</x:v>
      </x:c>
      <x:c r="D2248" s="32">
        <x:v>516.4</x:v>
      </x:c>
      <x:c r="E2248" s="32">
        <x:v>517.4</x:v>
      </x:c>
      <x:c r="F2248" s="33">
        <x:v>59536420</x:v>
      </x:c>
      <x:c r="G2248" s="32" t="n">
        <x:f t="shared" si="93">AVERAGE(E2049:E2248)</x:f>
        <x:v>511.8919999999999</x:v>
      </x:c>
      <x:c r="H2248" s="37" t="n">
        <x:f t="shared" si="94">IFERROR(E2248/G2248-1,"")</x:f>
        <x:v>0.010760082204840371</x:v>
      </x:c>
      <x:c r="I2248" s="38" t="b">
        <x:f t="shared" si="95">E2248&lt;G2248</x:f>
        <x:v>0</x:v>
      </x:c>
    </x:row>
    <x:row r="2249">
      <x:c r="A2249" s="31">
        <x:v>40280</x:v>
      </x:c>
      <x:c r="B2249" s="32">
        <x:v>522.1</x:v>
      </x:c>
      <x:c r="C2249" s="32">
        <x:v>523.20000000000005</x:v>
      </x:c>
      <x:c r="D2249" s="32">
        <x:v>519.5</x:v>
      </x:c>
      <x:c r="E2249" s="32">
        <x:v>519.9</x:v>
      </x:c>
      <x:c r="F2249" s="33">
        <x:v>52162000</x:v>
      </x:c>
      <x:c r="G2249" s="32" t="n">
        <x:f t="shared" si="93">AVERAGE(E2050:E2249)</x:f>
        <x:v>512.2225</x:v>
      </x:c>
      <x:c r="H2249" s="37" t="n">
        <x:f t="shared" si="94">IFERROR(E2249/G2249-1,"")</x:f>
        <x:v>0.01498860358535592</x:v>
      </x:c>
      <x:c r="I2249" s="38" t="b">
        <x:f t="shared" si="95">E2249&lt;G2249</x:f>
        <x:v>0</x:v>
      </x:c>
    </x:row>
    <x:row r="2250">
      <x:c r="A2250" s="31">
        <x:v>40281</x:v>
      </x:c>
      <x:c r="B2250" s="32">
        <x:v>521</x:v>
      </x:c>
      <x:c r="C2250" s="32">
        <x:v>523.1</x:v>
      </x:c>
      <x:c r="D2250" s="32">
        <x:v>518</x:v>
      </x:c>
      <x:c r="E2250" s="32">
        <x:v>518</x:v>
      </x:c>
      <x:c r="F2250" s="33">
        <x:v>50547580</x:v>
      </x:c>
      <x:c r="G2250" s="32" t="n">
        <x:f t="shared" si="93">AVERAGE(E2051:E2250)</x:f>
        <x:v>512.5054999999999</x:v>
      </x:c>
      <x:c r="H2250" s="37" t="n">
        <x:f t="shared" si="94">IFERROR(E2250/G2250-1,"")</x:f>
        <x:v>0.010720860556618694</x:v>
      </x:c>
      <x:c r="I2250" s="38" t="b">
        <x:f t="shared" si="95">E2250&lt;G2250</x:f>
        <x:v>0</x:v>
      </x:c>
    </x:row>
    <x:row r="2251">
      <x:c r="A2251" s="31">
        <x:v>40282</x:v>
      </x:c>
      <x:c r="B2251" s="32">
        <x:v>518.6</x:v>
      </x:c>
      <x:c r="C2251" s="32">
        <x:v>518.70000000000005</x:v>
      </x:c>
      <x:c r="D2251" s="32">
        <x:v>515.79999999999995</x:v>
      </x:c>
      <x:c r="E2251" s="32">
        <x:v>516.20000000000005</x:v>
      </x:c>
      <x:c r="F2251" s="33">
        <x:v>42719810</x:v>
      </x:c>
      <x:c r="G2251" s="32" t="n">
        <x:f t="shared" si="93">AVERAGE(E2052:E2251)</x:f>
        <x:v>512.7844999999999</x:v>
      </x:c>
      <x:c r="H2251" s="37" t="n">
        <x:f t="shared" si="94">IFERROR(E2251/G2251-1,"")</x:f>
        <x:v>0.006660692747148422</x:v>
      </x:c>
      <x:c r="I2251" s="38" t="b">
        <x:f t="shared" si="95">E2251&lt;G2251</x:f>
        <x:v>0</x:v>
      </x:c>
    </x:row>
    <x:row r="2252">
      <x:c r="A2252" s="31">
        <x:v>40283</x:v>
      </x:c>
      <x:c r="B2252" s="32">
        <x:v>521</x:v>
      </x:c>
      <x:c r="C2252" s="32">
        <x:v>521.5</x:v>
      </x:c>
      <x:c r="D2252" s="32">
        <x:v>518.4</x:v>
      </x:c>
      <x:c r="E2252" s="32">
        <x:v>521.5</x:v>
      </x:c>
      <x:c r="F2252" s="33">
        <x:v>50686190</x:v>
      </x:c>
      <x:c r="G2252" s="32" t="n">
        <x:f t="shared" si="93">AVERAGE(E2053:E2252)</x:f>
        <x:v>513.1504999999999</x:v>
      </x:c>
      <x:c r="H2252" s="37" t="n">
        <x:f t="shared" si="94">IFERROR(E2252/G2252-1,"")</x:f>
        <x:v>0.016271054982895272</x:v>
      </x:c>
      <x:c r="I2252" s="38" t="b">
        <x:f t="shared" si="95">E2252&lt;G2252</x:f>
        <x:v>0</x:v>
      </x:c>
    </x:row>
    <x:row r="2253">
      <x:c r="A2253" s="31">
        <x:v>40284</x:v>
      </x:c>
      <x:c r="B2253" s="32">
        <x:v>523.70000000000005</x:v>
      </x:c>
      <x:c r="C2253" s="32">
        <x:v>524</x:v>
      </x:c>
      <x:c r="D2253" s="32">
        <x:v>521.5</x:v>
      </x:c>
      <x:c r="E2253" s="32">
        <x:v>522</x:v>
      </x:c>
      <x:c r="F2253" s="33">
        <x:v>59353900</x:v>
      </x:c>
      <x:c r="G2253" s="32" t="n">
        <x:f t="shared" ref="G2253:G2316" si="96">AVERAGE(E2054:E2253)</x:f>
        <x:v>513.6104999999998</x:v>
      </x:c>
      <x:c r="H2253" s="37" t="n">
        <x:f t="shared" ref="H2253:H2316" si="97">IFERROR(E2253/G2253-1,"")</x:f>
        <x:v>0.016334362323200624</x:v>
      </x:c>
      <x:c r="I2253" s="38" t="b">
        <x:f t="shared" ref="I2253:I2316" si="98">E2253&lt;G2253</x:f>
        <x:v>0</x:v>
      </x:c>
    </x:row>
    <x:row r="2254">
      <x:c r="A2254" s="31">
        <x:v>40287</x:v>
      </x:c>
      <x:c r="B2254" s="32">
        <x:v>521.4</x:v>
      </x:c>
      <x:c r="C2254" s="32">
        <x:v>521.70000000000005</x:v>
      </x:c>
      <x:c r="D2254" s="32">
        <x:v>516.70000000000005</x:v>
      </x:c>
      <x:c r="E2254" s="32">
        <x:v>516.70000000000005</x:v>
      </x:c>
      <x:c r="F2254" s="33">
        <x:v>57018190</x:v>
      </x:c>
      <x:c r="G2254" s="32" t="n">
        <x:f t="shared" si="96">AVERAGE(E2055:E2254)</x:f>
        <x:v>514.0249999999997</x:v>
      </x:c>
      <x:c r="H2254" s="37" t="n">
        <x:f t="shared" si="97">IFERROR(E2254/G2254-1,"")</x:f>
        <x:v>0.005204027041486814</x:v>
      </x:c>
      <x:c r="I2254" s="38" t="b">
        <x:f t="shared" si="98">E2254&lt;G2254</x:f>
        <x:v>0</x:v>
      </x:c>
    </x:row>
    <x:row r="2255">
      <x:c r="A2255" s="31">
        <x:v>40288</x:v>
      </x:c>
      <x:c r="B2255" s="32">
        <x:v>517.4</x:v>
      </x:c>
      <x:c r="C2255" s="32">
        <x:v>519.70000000000005</x:v>
      </x:c>
      <x:c r="D2255" s="32">
        <x:v>515.20000000000005</x:v>
      </x:c>
      <x:c r="E2255" s="32">
        <x:v>515.20000000000005</x:v>
      </x:c>
      <x:c r="F2255" s="33">
        <x:v>54803770</x:v>
      </x:c>
      <x:c r="G2255" s="32" t="n">
        <x:f t="shared" si="96">AVERAGE(E2056:E2255)</x:f>
        <x:v>514.4239999999998</x:v>
      </x:c>
      <x:c r="H2255" s="37" t="n">
        <x:f t="shared" si="97">IFERROR(E2255/G2255-1,"")</x:f>
        <x:v>0.0015084832744978183</x:v>
      </x:c>
      <x:c r="I2255" s="38" t="b">
        <x:f t="shared" si="98">E2255&lt;G2255</x:f>
        <x:v>0</x:v>
      </x:c>
    </x:row>
    <x:row r="2256">
      <x:c r="A2256" s="31">
        <x:v>40289</x:v>
      </x:c>
      <x:c r="B2256" s="32">
        <x:v>517.5</x:v>
      </x:c>
      <x:c r="C2256" s="32">
        <x:v>520.20000000000005</x:v>
      </x:c>
      <x:c r="D2256" s="32">
        <x:v>517.5</x:v>
      </x:c>
      <x:c r="E2256" s="32">
        <x:v>519.70000000000005</x:v>
      </x:c>
      <x:c r="F2256" s="33">
        <x:v>53769580</x:v>
      </x:c>
      <x:c r="G2256" s="32" t="n">
        <x:f t="shared" si="96">AVERAGE(E2057:E2256)</x:f>
        <x:v>514.7509999999997</x:v>
      </x:c>
      <x:c r="H2256" s="37" t="n">
        <x:f t="shared" si="97">IFERROR(E2256/G2256-1,"")</x:f>
        <x:v>0.009614357232915038</x:v>
      </x:c>
      <x:c r="I2256" s="38" t="b">
        <x:f t="shared" si="98">E2256&lt;G2256</x:f>
        <x:v>0</x:v>
      </x:c>
    </x:row>
    <x:row r="2257">
      <x:c r="A2257" s="31">
        <x:v>40290</x:v>
      </x:c>
      <x:c r="B2257" s="32">
        <x:v>521.9</x:v>
      </x:c>
      <x:c r="C2257" s="32">
        <x:v>531</x:v>
      </x:c>
      <x:c r="D2257" s="32">
        <x:v>521.9</x:v>
      </x:c>
      <x:c r="E2257" s="32">
        <x:v>529.29999999999995</x:v>
      </x:c>
      <x:c r="F2257" s="33">
        <x:v>77539180</x:v>
      </x:c>
      <x:c r="G2257" s="32" t="n">
        <x:f t="shared" si="96">AVERAGE(E2058:E2257)</x:f>
        <x:v>515.1594999999998</x:v>
      </x:c>
      <x:c r="H2257" s="37" t="n">
        <x:f t="shared" si="97">IFERROR(E2257/G2257-1,"")</x:f>
        <x:v>0.027448780426256647</x:v>
      </x:c>
      <x:c r="I2257" s="38" t="b">
        <x:f t="shared" si="98">E2257&lt;G2257</x:f>
        <x:v>0</x:v>
      </x:c>
    </x:row>
    <x:row r="2258">
      <x:c r="A2258" s="31">
        <x:v>40294</x:v>
      </x:c>
      <x:c r="B2258" s="32">
        <x:v>531.70000000000005</x:v>
      </x:c>
      <x:c r="C2258" s="32">
        <x:v>535.4</x:v>
      </x:c>
      <x:c r="D2258" s="32">
        <x:v>531.20000000000005</x:v>
      </x:c>
      <x:c r="E2258" s="32">
        <x:v>531.20000000000005</x:v>
      </x:c>
      <x:c r="F2258" s="33">
        <x:v>63178720</x:v>
      </x:c>
      <x:c r="G2258" s="32" t="n">
        <x:f t="shared" si="96">AVERAGE(E2059:E2258)</x:f>
        <x:v>515.5814999999998</x:v>
      </x:c>
      <x:c r="H2258" s="37" t="n">
        <x:f t="shared" si="97">IFERROR(E2258/G2258-1,"")</x:f>
        <x:v>0.030292979868362657</x:v>
      </x:c>
      <x:c r="I2258" s="38" t="b">
        <x:f t="shared" si="98">E2258&lt;G2258</x:f>
        <x:v>0</x:v>
      </x:c>
    </x:row>
    <x:row r="2259">
      <x:c r="A2259" s="31">
        <x:v>40295</x:v>
      </x:c>
      <x:c r="B2259" s="32">
        <x:v>532.70000000000005</x:v>
      </x:c>
      <x:c r="C2259" s="32">
        <x:v>536.20000000000005</x:v>
      </x:c>
      <x:c r="D2259" s="32">
        <x:v>531.6</x:v>
      </x:c>
      <x:c r="E2259" s="32">
        <x:v>535.70000000000005</x:v>
      </x:c>
      <x:c r="F2259" s="33">
        <x:v>54218510</x:v>
      </x:c>
      <x:c r="G2259" s="32" t="n">
        <x:f t="shared" si="96">AVERAGE(E2060:E2259)</x:f>
        <x:v>516.0279999999998</x:v>
      </x:c>
      <x:c r="H2259" s="37" t="n">
        <x:f t="shared" si="97">IFERROR(E2259/G2259-1,"")</x:f>
        <x:v>0.03812196237413534</x:v>
      </x:c>
      <x:c r="I2259" s="38" t="b">
        <x:f t="shared" si="98">E2259&lt;G2259</x:f>
        <x:v>0</x:v>
      </x:c>
    </x:row>
    <x:row r="2260">
      <x:c r="A2260" s="31">
        <x:v>40296</x:v>
      </x:c>
      <x:c r="B2260" s="32">
        <x:v>536.1</x:v>
      </x:c>
      <x:c r="C2260" s="32">
        <x:v>539.79999999999995</x:v>
      </x:c>
      <x:c r="D2260" s="32">
        <x:v>536.1</x:v>
      </x:c>
      <x:c r="E2260" s="32">
        <x:v>539.20000000000005</x:v>
      </x:c>
      <x:c r="F2260" s="33">
        <x:v>58029450</x:v>
      </x:c>
      <x:c r="G2260" s="32" t="n">
        <x:f t="shared" si="96">AVERAGE(E2061:E2260)</x:f>
        <x:v>516.5299999999996</x:v>
      </x:c>
      <x:c r="H2260" s="37" t="n">
        <x:f t="shared" si="97">IFERROR(E2260/G2260-1,"")</x:f>
        <x:v>0.04388902871082112</x:v>
      </x:c>
      <x:c r="I2260" s="38" t="b">
        <x:f t="shared" si="98">E2260&lt;G2260</x:f>
        <x:v>0</x:v>
      </x:c>
    </x:row>
    <x:row r="2261">
      <x:c r="A2261" s="31">
        <x:v>40297</x:v>
      </x:c>
      <x:c r="B2261" s="32">
        <x:v>541.4</x:v>
      </x:c>
      <x:c r="C2261" s="32">
        <x:v>542.70000000000005</x:v>
      </x:c>
      <x:c r="D2261" s="32">
        <x:v>541.20000000000005</x:v>
      </x:c>
      <x:c r="E2261" s="32">
        <x:v>542.4</x:v>
      </x:c>
      <x:c r="F2261" s="33">
        <x:v>72395920</x:v>
      </x:c>
      <x:c r="G2261" s="32" t="n">
        <x:f t="shared" si="96">AVERAGE(E2062:E2261)</x:f>
        <x:v>517.1084999999996</x:v>
      </x:c>
      <x:c r="H2261" s="37" t="n">
        <x:f t="shared" si="97">IFERROR(E2261/G2261-1,"")</x:f>
        <x:v>0.04890946484151848</x:v>
      </x:c>
      <x:c r="I2261" s="38" t="b">
        <x:f t="shared" si="98">E2261&lt;G2261</x:f>
        <x:v>0</x:v>
      </x:c>
    </x:row>
    <x:row r="2262">
      <x:c r="A2262" s="31">
        <x:v>40302</x:v>
      </x:c>
      <x:c r="B2262" s="32">
        <x:v>544.5</x:v>
      </x:c>
      <x:c r="C2262" s="32">
        <x:v>550.6</x:v>
      </x:c>
      <x:c r="D2262" s="32">
        <x:v>544.5</x:v>
      </x:c>
      <x:c r="E2262" s="32">
        <x:v>549.1</x:v>
      </x:c>
      <x:c r="F2262" s="33">
        <x:v>86332860</x:v>
      </x:c>
      <x:c r="G2262" s="32" t="n">
        <x:f t="shared" si="96">AVERAGE(E2063:E2262)</x:f>
        <x:v>517.7609999999996</x:v>
      </x:c>
      <x:c r="H2262" s="37" t="n">
        <x:f t="shared" si="97">IFERROR(E2262/G2262-1,"")</x:f>
        <x:v>0.06052792697789222</x:v>
      </x:c>
      <x:c r="I2262" s="38" t="b">
        <x:f t="shared" si="98">E2262&lt;G2262</x:f>
        <x:v>0</x:v>
      </x:c>
    </x:row>
    <x:row r="2263">
      <x:c r="A2263" s="31">
        <x:v>40303</x:v>
      </x:c>
      <x:c r="B2263" s="32">
        <x:v>548.79999999999995</x:v>
      </x:c>
      <x:c r="C2263" s="32">
        <x:v>551.4</x:v>
      </x:c>
      <x:c r="D2263" s="32">
        <x:v>546.1</x:v>
      </x:c>
      <x:c r="E2263" s="32">
        <x:v>548</x:v>
      </x:c>
      <x:c r="F2263" s="33">
        <x:v>82141870</x:v>
      </x:c>
      <x:c r="G2263" s="32" t="n">
        <x:f t="shared" si="96">AVERAGE(E2064:E2263)</x:f>
        <x:v>518.3654999999997</x:v>
      </x:c>
      <x:c r="H2263" s="37" t="n">
        <x:f t="shared" si="97">IFERROR(E2263/G2263-1,"")</x:f>
        <x:v>0.057169121015963276</x:v>
      </x:c>
      <x:c r="I2263" s="38" t="b">
        <x:f t="shared" si="98">E2263&lt;G2263</x:f>
        <x:v>0</x:v>
      </x:c>
    </x:row>
    <x:row r="2264">
      <x:c r="A2264" s="31">
        <x:v>40304</x:v>
      </x:c>
      <x:c r="B2264" s="32">
        <x:v>549.20000000000005</x:v>
      </x:c>
      <x:c r="C2264" s="32">
        <x:v>551.4</x:v>
      </x:c>
      <x:c r="D2264" s="32">
        <x:v>547</x:v>
      </x:c>
      <x:c r="E2264" s="32">
        <x:v>549.5</x:v>
      </x:c>
      <x:c r="F2264" s="33">
        <x:v>78206620</x:v>
      </x:c>
      <x:c r="G2264" s="32" t="n">
        <x:f t="shared" si="96">AVERAGE(E2065:E2264)</x:f>
        <x:v>518.9454999999997</x:v>
      </x:c>
      <x:c r="H2264" s="37" t="n">
        <x:f t="shared" si="97">IFERROR(E2264/G2264-1,"")</x:f>
        <x:v>0.058878051741464876</x:v>
      </x:c>
      <x:c r="I2264" s="38" t="b">
        <x:f t="shared" si="98">E2264&lt;G2264</x:f>
        <x:v>0</x:v>
      </x:c>
    </x:row>
    <x:row r="2265">
      <x:c r="A2265" s="31">
        <x:v>40305</x:v>
      </x:c>
      <x:c r="B2265" s="32">
        <x:v>548.20000000000005</x:v>
      </x:c>
      <x:c r="C2265" s="32">
        <x:v>548.20000000000005</x:v>
      </x:c>
      <x:c r="D2265" s="32">
        <x:v>536.5</x:v>
      </x:c>
      <x:c r="E2265" s="32">
        <x:v>542</x:v>
      </x:c>
      <x:c r="F2265" s="33">
        <x:v>105923850</x:v>
      </x:c>
      <x:c r="G2265" s="32" t="n">
        <x:f t="shared" si="96">AVERAGE(E2066:E2265)</x:f>
        <x:v>519.5119999999996</x:v>
      </x:c>
      <x:c r="H2265" s="37" t="n">
        <x:f t="shared" si="97">IFERROR(E2265/G2265-1,"")</x:f>
        <x:v>0.04328677682132542</x:v>
      </x:c>
      <x:c r="I2265" s="38" t="b">
        <x:f t="shared" si="98">E2265&lt;G2265</x:f>
        <x:v>0</x:v>
      </x:c>
    </x:row>
    <x:row r="2266">
      <x:c r="A2266" s="31">
        <x:v>40308</x:v>
      </x:c>
      <x:c r="B2266" s="32">
        <x:v>541.5</x:v>
      </x:c>
      <x:c r="C2266" s="32">
        <x:v>541.5</x:v>
      </x:c>
      <x:c r="D2266" s="32">
        <x:v>532.4</x:v>
      </x:c>
      <x:c r="E2266" s="32">
        <x:v>534.4</x:v>
      </x:c>
      <x:c r="F2266" s="33">
        <x:v>76286050</x:v>
      </x:c>
      <x:c r="G2266" s="32" t="n">
        <x:f t="shared" si="96">AVERAGE(E2067:E2266)</x:f>
        <x:v>520.1194999999996</x:v>
      </x:c>
      <x:c r="H2266" s="37" t="n">
        <x:f t="shared" si="97">IFERROR(E2266/G2266-1,"")</x:f>
        <x:v>0.027456190356255572</x:v>
      </x:c>
      <x:c r="I2266" s="38" t="b">
        <x:f t="shared" si="98">E2266&lt;G2266</x:f>
        <x:v>0</x:v>
      </x:c>
    </x:row>
    <x:row r="2267">
      <x:c r="A2267" s="31">
        <x:v>40309</x:v>
      </x:c>
      <x:c r="B2267" s="32">
        <x:v>537.9</x:v>
      </x:c>
      <x:c r="C2267" s="32">
        <x:v>539.9</x:v>
      </x:c>
      <x:c r="D2267" s="32">
        <x:v>532.70000000000005</x:v>
      </x:c>
      <x:c r="E2267" s="32">
        <x:v>534.4</x:v>
      </x:c>
      <x:c r="F2267" s="33">
        <x:v>65187810</x:v>
      </x:c>
      <x:c r="G2267" s="32" t="n">
        <x:f t="shared" si="96">AVERAGE(E2068:E2267)</x:f>
        <x:v>520.7094999999995</x:v>
      </x:c>
      <x:c r="H2267" s="37" t="n">
        <x:f t="shared" si="97">IFERROR(E2267/G2267-1,"")</x:f>
        <x:v>0.026292011188581155</x:v>
      </x:c>
      <x:c r="I2267" s="38" t="b">
        <x:f t="shared" si="98">E2267&lt;G2267</x:f>
        <x:v>0</x:v>
      </x:c>
    </x:row>
    <x:row r="2268">
      <x:c r="A2268" s="31">
        <x:v>40310</x:v>
      </x:c>
      <x:c r="B2268" s="32">
        <x:v>527.5</x:v>
      </x:c>
      <x:c r="C2268" s="32">
        <x:v>527.5</x:v>
      </x:c>
      <x:c r="D2268" s="32">
        <x:v>519.6</x:v>
      </x:c>
      <x:c r="E2268" s="32">
        <x:v>519.6</x:v>
      </x:c>
      <x:c r="F2268" s="33">
        <x:v>65495340</x:v>
      </x:c>
      <x:c r="G2268" s="32" t="n">
        <x:f t="shared" si="96">AVERAGE(E2069:E2268)</x:f>
        <x:v>521.2099999999996</x:v>
      </x:c>
      <x:c r="H2268" s="37" t="n">
        <x:f t="shared" si="97">IFERROR(E2268/G2268-1,"")</x:f>
        <x:v>-0.0030889660597447355</x:v>
      </x:c>
      <x:c r="I2268" s="38" t="b">
        <x:f t="shared" si="98">E2268&lt;G2268</x:f>
        <x:v>1</x:v>
      </x:c>
    </x:row>
    <x:row r="2269">
      <x:c r="A2269" s="31">
        <x:v>40311</x:v>
      </x:c>
      <x:c r="B2269" s="32">
        <x:v>521.9</x:v>
      </x:c>
      <x:c r="C2269" s="32">
        <x:v>524.20000000000005</x:v>
      </x:c>
      <x:c r="D2269" s="32">
        <x:v>516.1</x:v>
      </x:c>
      <x:c r="E2269" s="32">
        <x:v>518.9</x:v>
      </x:c>
      <x:c r="F2269" s="33">
        <x:v>54756390</x:v>
      </x:c>
      <x:c r="G2269" s="32" t="n">
        <x:f t="shared" si="96">AVERAGE(E2070:E2269)</x:f>
        <x:v>521.6334999999996</x:v>
      </x:c>
      <x:c r="H2269" s="37" t="n">
        <x:f t="shared" si="97">IFERROR(E2269/G2269-1,"")</x:f>
        <x:v>-0.005240269269515041</x:v>
      </x:c>
      <x:c r="I2269" s="38" t="b">
        <x:f t="shared" si="98">E2269&lt;G2269</x:f>
        <x:v>1</x:v>
      </x:c>
    </x:row>
    <x:row r="2270">
      <x:c r="A2270" s="31">
        <x:v>40312</x:v>
      </x:c>
      <x:c r="B2270" s="32">
        <x:v>522.9</x:v>
      </x:c>
      <x:c r="C2270" s="32">
        <x:v>523.5</x:v>
      </x:c>
      <x:c r="D2270" s="32">
        <x:v>520</x:v>
      </x:c>
      <x:c r="E2270" s="32">
        <x:v>520.70000000000005</x:v>
      </x:c>
      <x:c r="F2270" s="33">
        <x:v>41332440</x:v>
      </x:c>
      <x:c r="G2270" s="32" t="n">
        <x:f t="shared" si="96">AVERAGE(E2071:E2270)</x:f>
        <x:v>521.9634999999995</x:v>
      </x:c>
      <x:c r="H2270" s="37" t="n">
        <x:f t="shared" si="97">IFERROR(E2270/G2270-1,"")</x:f>
        <x:v>-0.002420667345512606</x:v>
      </x:c>
      <x:c r="I2270" s="38" t="b">
        <x:f t="shared" si="98">E2270&lt;G2270</x:f>
        <x:v>1</x:v>
      </x:c>
    </x:row>
    <x:row r="2271">
      <x:c r="A2271" s="31">
        <x:v>40315</x:v>
      </x:c>
      <x:c r="B2271" s="32">
        <x:v>521.29999999999995</x:v>
      </x:c>
      <x:c r="C2271" s="32">
        <x:v>521.70000000000005</x:v>
      </x:c>
      <x:c r="D2271" s="32">
        <x:v>509.5</x:v>
      </x:c>
      <x:c r="E2271" s="32">
        <x:v>511.3</x:v>
      </x:c>
      <x:c r="F2271" s="33">
        <x:v>51530730</x:v>
      </x:c>
      <x:c r="G2271" s="32" t="n">
        <x:f t="shared" si="96">AVERAGE(E2072:E2271)</x:f>
        <x:v>522.1714999999996</x:v>
      </x:c>
      <x:c r="H2271" s="37" t="n">
        <x:f t="shared" si="97">IFERROR(E2271/G2271-1,"")</x:f>
        <x:v>-0.02081978813474039</x:v>
      </x:c>
      <x:c r="I2271" s="38" t="b">
        <x:f t="shared" si="98">E2271&lt;G2271</x:f>
        <x:v>1</x:v>
      </x:c>
    </x:row>
    <x:row r="2272">
      <x:c r="A2272" s="31">
        <x:v>40316</x:v>
      </x:c>
      <x:c r="B2272" s="32">
        <x:v>510.5</x:v>
      </x:c>
      <x:c r="C2272" s="32">
        <x:v>510.8</x:v>
      </x:c>
      <x:c r="D2272" s="32">
        <x:v>505.1</x:v>
      </x:c>
      <x:c r="E2272" s="32">
        <x:v>508.3</x:v>
      </x:c>
      <x:c r="F2272" s="33">
        <x:v>41803840</x:v>
      </x:c>
      <x:c r="G2272" s="32" t="n">
        <x:f t="shared" si="96">AVERAGE(E2073:E2272)</x:f>
        <x:v>522.3979999999996</x:v>
      </x:c>
      <x:c r="H2272" s="37" t="n">
        <x:f t="shared" si="97">IFERROR(E2272/G2272-1,"")</x:f>
        <x:v>-0.026987086474296595</x:v>
      </x:c>
      <x:c r="I2272" s="38" t="b">
        <x:f t="shared" si="98">E2272&lt;G2272</x:f>
        <x:v>1</x:v>
      </x:c>
    </x:row>
    <x:row r="2273">
      <x:c r="A2273" s="31">
        <x:v>40317</x:v>
      </x:c>
      <x:c r="B2273" s="32">
        <x:v>503.7</x:v>
      </x:c>
      <x:c r="C2273" s="32">
        <x:v>504.6</x:v>
      </x:c>
      <x:c r="D2273" s="32">
        <x:v>494.9</x:v>
      </x:c>
      <x:c r="E2273" s="32">
        <x:v>494.9</x:v>
      </x:c>
      <x:c r="F2273" s="33">
        <x:v>56689090</x:v>
      </x:c>
      <x:c r="G2273" s="32" t="n">
        <x:f t="shared" si="96">AVERAGE(E2074:E2273)</x:f>
        <x:v>522.5824999999995</x:v>
      </x:c>
      <x:c r="H2273" s="37" t="n">
        <x:f t="shared" si="97">IFERROR(E2273/G2273-1,"")</x:f>
        <x:v>-0.05297249716551855</x:v>
      </x:c>
      <x:c r="I2273" s="38" t="b">
        <x:f t="shared" si="98">E2273&lt;G2273</x:f>
        <x:v>1</x:v>
      </x:c>
    </x:row>
    <x:row r="2274">
      <x:c r="A2274" s="31">
        <x:v>40318</x:v>
      </x:c>
      <x:c r="B2274" s="32">
        <x:v>481.8</x:v>
      </x:c>
      <x:c r="C2274" s="32">
        <x:v>503.6</x:v>
      </x:c>
      <x:c r="D2274" s="32">
        <x:v>481.7</x:v>
      </x:c>
      <x:c r="E2274" s="32">
        <x:v>503.6</x:v>
      </x:c>
      <x:c r="F2274" s="33">
        <x:v>53770960</x:v>
      </x:c>
      <x:c r="G2274" s="32" t="n">
        <x:f t="shared" si="96">AVERAGE(E2075:E2274)</x:f>
        <x:v>522.8409999999997</x:v>
      </x:c>
      <x:c r="H2274" s="37" t="n">
        <x:f t="shared" si="97">IFERROR(E2274/G2274-1,"")</x:f>
        <x:v>-0.03680086297746288</x:v>
      </x:c>
      <x:c r="I2274" s="38" t="b">
        <x:f t="shared" si="98">E2274&lt;G2274</x:f>
        <x:v>1</x:v>
      </x:c>
    </x:row>
    <x:row r="2275">
      <x:c r="A2275" s="31">
        <x:v>40319</x:v>
      </x:c>
      <x:c r="B2275" s="32">
        <x:v>484.3</x:v>
      </x:c>
      <x:c r="C2275" s="32">
        <x:v>490.3</x:v>
      </x:c>
      <x:c r="D2275" s="32">
        <x:v>482.2</x:v>
      </x:c>
      <x:c r="E2275" s="32">
        <x:v>483.7</x:v>
      </x:c>
      <x:c r="F2275" s="33">
        <x:v>57057270</x:v>
      </x:c>
      <x:c r="G2275" s="32" t="n">
        <x:f t="shared" si="96">AVERAGE(E2076:E2275)</x:f>
        <x:v>522.9254999999996</x:v>
      </x:c>
      <x:c r="H2275" s="37" t="n">
        <x:f t="shared" si="97">IFERROR(E2275/G2275-1,"")</x:f>
        <x:v>-0.0750116412376135</x:v>
      </x:c>
      <x:c r="I2275" s="38" t="b">
        <x:f t="shared" si="98">E2275&lt;G2275</x:f>
        <x:v>1</x:v>
      </x:c>
    </x:row>
    <x:row r="2276">
      <x:c r="A2276" s="31">
        <x:v>40322</x:v>
      </x:c>
      <x:c r="B2276" s="32">
        <x:v>485.1</x:v>
      </x:c>
      <x:c r="C2276" s="32">
        <x:v>489.6</x:v>
      </x:c>
      <x:c r="D2276" s="32">
        <x:v>479.6</x:v>
      </x:c>
      <x:c r="E2276" s="32">
        <x:v>486.2</x:v>
      </x:c>
      <x:c r="F2276" s="33">
        <x:v>38991860</x:v>
      </x:c>
      <x:c r="G2276" s="32" t="n">
        <x:f t="shared" si="96">AVERAGE(E2077:E2276)</x:f>
        <x:v>523.0169999999996</x:v>
      </x:c>
      <x:c r="H2276" s="37" t="n">
        <x:f t="shared" si="97">IFERROR(E2276/G2276-1,"")</x:f>
        <x:v>-0.07039350537362965</x:v>
      </x:c>
      <x:c r="I2276" s="38" t="b">
        <x:f t="shared" si="98">E2276&lt;G2276</x:f>
        <x:v>1</x:v>
      </x:c>
    </x:row>
    <x:row r="2277">
      <x:c r="A2277" s="31">
        <x:v>40323</x:v>
      </x:c>
      <x:c r="B2277" s="32">
        <x:v>484.9</x:v>
      </x:c>
      <x:c r="C2277" s="32">
        <x:v>490.3</x:v>
      </x:c>
      <x:c r="D2277" s="32">
        <x:v>482.9</x:v>
      </x:c>
      <x:c r="E2277" s="32">
        <x:v>486.3</x:v>
      </x:c>
      <x:c r="F2277" s="33">
        <x:v>41290920</x:v>
      </x:c>
      <x:c r="G2277" s="32" t="n">
        <x:f t="shared" si="96">AVERAGE(E2078:E2277)</x:f>
        <x:v>523.0654999999996</x:v>
      </x:c>
      <x:c r="H2277" s="37" t="n">
        <x:f t="shared" si="97">IFERROR(E2277/G2277-1,"")</x:f>
        <x:v>-0.07028852027136101</x:v>
      </x:c>
      <x:c r="I2277" s="38" t="b">
        <x:f t="shared" si="98">E2277&lt;G2277</x:f>
        <x:v>1</x:v>
      </x:c>
    </x:row>
    <x:row r="2278">
      <x:c r="A2278" s="31">
        <x:v>40324</x:v>
      </x:c>
      <x:c r="B2278" s="32">
        <x:v>491.5</x:v>
      </x:c>
      <x:c r="C2278" s="32">
        <x:v>492.7</x:v>
      </x:c>
      <x:c r="D2278" s="32">
        <x:v>488.3</x:v>
      </x:c>
      <x:c r="E2278" s="32">
        <x:v>492.7</x:v>
      </x:c>
      <x:c r="F2278" s="33">
        <x:v>37394010</x:v>
      </x:c>
      <x:c r="G2278" s="32" t="n">
        <x:f t="shared" si="96">AVERAGE(E2079:E2278)</x:f>
        <x:v>523.1224999999996</x:v>
      </x:c>
      <x:c r="H2278" s="37" t="n">
        <x:f t="shared" si="97">IFERROR(E2278/G2278-1,"")</x:f>
        <x:v>-0.05815559453091701</x:v>
      </x:c>
      <x:c r="I2278" s="38" t="b">
        <x:f t="shared" si="98">E2278&lt;G2278</x:f>
        <x:v>1</x:v>
      </x:c>
    </x:row>
    <x:row r="2279">
      <x:c r="A2279" s="31">
        <x:v>40325</x:v>
      </x:c>
      <x:c r="B2279" s="32">
        <x:v>491.6</x:v>
      </x:c>
      <x:c r="C2279" s="32">
        <x:v>497.2</x:v>
      </x:c>
      <x:c r="D2279" s="32">
        <x:v>489.8</x:v>
      </x:c>
      <x:c r="E2279" s="32">
        <x:v>497.2</x:v>
      </x:c>
      <x:c r="F2279" s="33">
        <x:v>37365130</x:v>
      </x:c>
      <x:c r="G2279" s="32" t="n">
        <x:f t="shared" si="96">AVERAGE(E2080:E2279)</x:f>
        <x:v>523.2014999999996</x:v>
      </x:c>
      <x:c r="H2279" s="37" t="n">
        <x:f t="shared" si="97">IFERROR(E2279/G2279-1,"")</x:f>
        <x:v>-0.04969691409523791</x:v>
      </x:c>
      <x:c r="I2279" s="38" t="b">
        <x:f t="shared" si="98">E2279&lt;G2279</x:f>
        <x:v>1</x:v>
      </x:c>
    </x:row>
    <x:row r="2280">
      <x:c r="A2280" s="31">
        <x:v>40326</x:v>
      </x:c>
      <x:c r="B2280" s="32">
        <x:v>509.5</x:v>
      </x:c>
      <x:c r="C2280" s="32">
        <x:v>513.29999999999995</x:v>
      </x:c>
      <x:c r="D2280" s="32">
        <x:v>506.4</x:v>
      </x:c>
      <x:c r="E2280" s="32">
        <x:v>513</x:v>
      </x:c>
      <x:c r="F2280" s="33">
        <x:v>56242530</x:v>
      </x:c>
      <x:c r="G2280" s="32" t="n">
        <x:f t="shared" si="96">AVERAGE(E2081:E2280)</x:f>
        <x:v>523.3629999999997</x:v>
      </x:c>
      <x:c r="H2280" s="37" t="n">
        <x:f t="shared" si="97">IFERROR(E2280/G2280-1,"")</x:f>
        <x:v>-0.019800788362952182</x:v>
      </x:c>
      <x:c r="I2280" s="38" t="b">
        <x:f t="shared" si="98">E2280&lt;G2280</x:f>
        <x:v>1</x:v>
      </x:c>
    </x:row>
    <x:row r="2281">
      <x:c r="A2281" s="31">
        <x:v>40329</x:v>
      </x:c>
      <x:c r="B2281" s="32">
        <x:v>510.5</x:v>
      </x:c>
      <x:c r="C2281" s="32">
        <x:v>513.4</x:v>
      </x:c>
      <x:c r="D2281" s="32">
        <x:v>506.3</x:v>
      </x:c>
      <x:c r="E2281" s="32">
        <x:v>507.4</x:v>
      </x:c>
      <x:c r="F2281" s="33">
        <x:v>39860020</x:v>
      </x:c>
      <x:c r="G2281" s="32" t="n">
        <x:f t="shared" si="96">AVERAGE(E2082:E2281)</x:f>
        <x:v>523.4439999999996</x:v>
      </x:c>
      <x:c r="H2281" s="37" t="n">
        <x:f t="shared" si="97">IFERROR(E2281/G2281-1,"")</x:f>
        <x:v>-0.030650843261169625</x:v>
      </x:c>
      <x:c r="I2281" s="38" t="b">
        <x:f t="shared" si="98">E2281&lt;G2281</x:f>
        <x:v>1</x:v>
      </x:c>
    </x:row>
    <x:row r="2282">
      <x:c r="A2282" s="31">
        <x:v>40330</x:v>
      </x:c>
      <x:c r="B2282" s="32">
        <x:v>505.2</x:v>
      </x:c>
      <x:c r="C2282" s="32">
        <x:v>509.1</x:v>
      </x:c>
      <x:c r="D2282" s="32">
        <x:v>503.7</x:v>
      </x:c>
      <x:c r="E2282" s="32">
        <x:v>508.7</x:v>
      </x:c>
      <x:c r="F2282" s="33">
        <x:v>35911060</x:v>
      </x:c>
      <x:c r="G2282" s="32" t="n">
        <x:f t="shared" si="96">AVERAGE(E2083:E2282)</x:f>
        <x:v>523.5164999999996</x:v>
      </x:c>
      <x:c r="H2282" s="37" t="n">
        <x:f t="shared" si="97">IFERROR(E2282/G2282-1,"")</x:f>
        <x:v>-0.028301877782266005</x:v>
      </x:c>
      <x:c r="I2282" s="38" t="b">
        <x:f t="shared" si="98">E2282&lt;G2282</x:f>
        <x:v>1</x:v>
      </x:c>
    </x:row>
    <x:row r="2283">
      <x:c r="A2283" s="31">
        <x:v>40331</x:v>
      </x:c>
      <x:c r="B2283" s="32">
        <x:v>505.2</x:v>
      </x:c>
      <x:c r="C2283" s="32">
        <x:v>511.1</x:v>
      </x:c>
      <x:c r="D2283" s="32">
        <x:v>504.8</x:v>
      </x:c>
      <x:c r="E2283" s="32">
        <x:v>510.7</x:v>
      </x:c>
      <x:c r="F2283" s="33">
        <x:v>37571380</x:v>
      </x:c>
      <x:c r="G2283" s="32" t="n">
        <x:f t="shared" si="96">AVERAGE(E2084:E2283)</x:f>
        <x:v>523.5839999999996</x:v>
      </x:c>
      <x:c r="H2283" s="37" t="n">
        <x:f t="shared" si="97">IFERROR(E2283/G2283-1,"")</x:f>
        <x:v>-0.024607321843294727</x:v>
      </x:c>
      <x:c r="I2283" s="38" t="b">
        <x:f t="shared" si="98">E2283&lt;G2283</x:f>
        <x:v>1</x:v>
      </x:c>
    </x:row>
    <x:row r="2284">
      <x:c r="A2284" s="31">
        <x:v>40332</x:v>
      </x:c>
      <x:c r="B2284" s="32">
        <x:v>516.20000000000005</x:v>
      </x:c>
      <x:c r="C2284" s="32">
        <x:v>516.20000000000005</x:v>
      </x:c>
      <x:c r="D2284" s="32">
        <x:v>511.2</x:v>
      </x:c>
      <x:c r="E2284" s="32">
        <x:v>511.2</x:v>
      </x:c>
      <x:c r="F2284" s="33">
        <x:v>44546290</x:v>
      </x:c>
      <x:c r="G2284" s="32" t="n">
        <x:f t="shared" si="96">AVERAGE(E2085:E2284)</x:f>
        <x:v>523.6219999999996</x:v>
      </x:c>
      <x:c r="H2284" s="37" t="n">
        <x:f t="shared" si="97">IFERROR(E2284/G2284-1,"")</x:f>
        <x:v>-0.023723220185553062</x:v>
      </x:c>
      <x:c r="I2284" s="38" t="b">
        <x:f t="shared" si="98">E2284&lt;G2284</x:f>
        <x:v>1</x:v>
      </x:c>
    </x:row>
    <x:row r="2285">
      <x:c r="A2285" s="31">
        <x:v>40333</x:v>
      </x:c>
      <x:c r="B2285" s="32">
        <x:v>511.9</x:v>
      </x:c>
      <x:c r="C2285" s="32">
        <x:v>513</x:v>
      </x:c>
      <x:c r="D2285" s="32">
        <x:v>508.8</x:v>
      </x:c>
      <x:c r="E2285" s="32">
        <x:v>510.4</x:v>
      </x:c>
      <x:c r="F2285" s="33">
        <x:v>45070860</x:v>
      </x:c>
      <x:c r="G2285" s="32" t="n">
        <x:f t="shared" si="96">AVERAGE(E2086:E2285)</x:f>
        <x:v>523.6389999999997</x:v>
      </x:c>
      <x:c r="H2285" s="37" t="n">
        <x:f t="shared" si="97">IFERROR(E2285/G2285-1,"")</x:f>
        <x:v>-0.02528268520870236</x:v>
      </x:c>
      <x:c r="I2285" s="38" t="b">
        <x:f t="shared" si="98">E2285&lt;G2285</x:f>
        <x:v>1</x:v>
      </x:c>
    </x:row>
    <x:row r="2286">
      <x:c r="A2286" s="31">
        <x:v>40336</x:v>
      </x:c>
      <x:c r="B2286" s="32">
        <x:v>498.9</x:v>
      </x:c>
      <x:c r="C2286" s="32">
        <x:v>502.2</x:v>
      </x:c>
      <x:c r="D2286" s="32">
        <x:v>495</x:v>
      </x:c>
      <x:c r="E2286" s="32">
        <x:v>496.9</x:v>
      </x:c>
      <x:c r="F2286" s="33">
        <x:v>49305700</x:v>
      </x:c>
      <x:c r="G2286" s="32" t="n">
        <x:f t="shared" si="96">AVERAGE(E2087:E2286)</x:f>
        <x:v>523.6229999999996</x:v>
      </x:c>
      <x:c r="H2286" s="37" t="n">
        <x:f t="shared" si="97">IFERROR(E2286/G2286-1,"")</x:f>
        <x:v>-0.05103480939530858</x:v>
      </x:c>
      <x:c r="I2286" s="38" t="b">
        <x:f t="shared" si="98">E2286&lt;G2286</x:f>
        <x:v>1</x:v>
      </x:c>
    </x:row>
    <x:row r="2287">
      <x:c r="A2287" s="31">
        <x:v>40337</x:v>
      </x:c>
      <x:c r="B2287" s="32">
        <x:v>494.1</x:v>
      </x:c>
      <x:c r="C2287" s="32">
        <x:v>498</x:v>
      </x:c>
      <x:c r="D2287" s="32">
        <x:v>493.2</x:v>
      </x:c>
      <x:c r="E2287" s="32">
        <x:v>497.2</x:v>
      </x:c>
      <x:c r="F2287" s="33">
        <x:v>36309260</x:v>
      </x:c>
      <x:c r="G2287" s="32" t="n">
        <x:f t="shared" si="96">AVERAGE(E2088:E2287)</x:f>
        <x:v>523.6104999999997</x:v>
      </x:c>
      <x:c r="H2287" s="37" t="n">
        <x:f t="shared" si="97">IFERROR(E2287/G2287-1,"")</x:f>
        <x:v>-0.05043921006167695</x:v>
      </x:c>
      <x:c r="I2287" s="38" t="b">
        <x:f t="shared" si="98">E2287&lt;G2287</x:f>
        <x:v>1</x:v>
      </x:c>
    </x:row>
    <x:row r="2288">
      <x:c r="A2288" s="31">
        <x:v>40338</x:v>
      </x:c>
      <x:c r="B2288" s="32">
        <x:v>500.1</x:v>
      </x:c>
      <x:c r="C2288" s="32">
        <x:v>502.5</x:v>
      </x:c>
      <x:c r="D2288" s="32">
        <x:v>497.2</x:v>
      </x:c>
      <x:c r="E2288" s="32">
        <x:v>497.6</x:v>
      </x:c>
      <x:c r="F2288" s="33">
        <x:v>31820080</x:v>
      </x:c>
      <x:c r="G2288" s="32" t="n">
        <x:f t="shared" si="96">AVERAGE(E2089:E2288)</x:f>
        <x:v>523.5559999999997</x:v>
      </x:c>
      <x:c r="H2288" s="37" t="n">
        <x:f t="shared" si="97">IFERROR(E2288/G2288-1,"")</x:f>
        <x:v>-0.04957635859392251</x:v>
      </x:c>
      <x:c r="I2288" s="38" t="b">
        <x:f t="shared" si="98">E2288&lt;G2288</x:f>
        <x:v>1</x:v>
      </x:c>
    </x:row>
    <x:row r="2289">
      <x:c r="A2289" s="31">
        <x:v>40339</x:v>
      </x:c>
      <x:c r="B2289" s="32">
        <x:v>497</x:v>
      </x:c>
      <x:c r="C2289" s="32">
        <x:v>500.6</x:v>
      </x:c>
      <x:c r="D2289" s="32">
        <x:v>495.4</x:v>
      </x:c>
      <x:c r="E2289" s="32">
        <x:v>500.5</x:v>
      </x:c>
      <x:c r="F2289" s="33">
        <x:v>30797770</x:v>
      </x:c>
      <x:c r="G2289" s="32" t="n">
        <x:f t="shared" si="96">AVERAGE(E2090:E2289)</x:f>
        <x:v>523.4889999999997</x:v>
      </x:c>
      <x:c r="H2289" s="37" t="n">
        <x:f t="shared" si="97">IFERROR(E2289/G2289-1,"")</x:f>
        <x:v>-0.043914962874099905</x:v>
      </x:c>
      <x:c r="I2289" s="38" t="b">
        <x:f t="shared" si="98">E2289&lt;G2289</x:f>
        <x:v>1</x:v>
      </x:c>
    </x:row>
    <x:row r="2290">
      <x:c r="A2290" s="31">
        <x:v>40340</x:v>
      </x:c>
      <x:c r="B2290" s="32">
        <x:v>505.1</x:v>
      </x:c>
      <x:c r="C2290" s="32">
        <x:v>506.8</x:v>
      </x:c>
      <x:c r="D2290" s="32">
        <x:v>504.3</x:v>
      </x:c>
      <x:c r="E2290" s="32">
        <x:v>504.3</x:v>
      </x:c>
      <x:c r="F2290" s="33">
        <x:v>38247450</x:v>
      </x:c>
      <x:c r="G2290" s="32" t="n">
        <x:f t="shared" si="96">AVERAGE(E2091:E2290)</x:f>
        <x:v>523.4144999999996</x:v>
      </x:c>
      <x:c r="H2290" s="37" t="n">
        <x:f t="shared" si="97">IFERROR(E2290/G2290-1,"")</x:f>
        <x:v>-0.03651885838088098</x:v>
      </x:c>
      <x:c r="I2290" s="38" t="b">
        <x:f t="shared" si="98">E2290&lt;G2290</x:f>
        <x:v>1</x:v>
      </x:c>
    </x:row>
    <x:row r="2291">
      <x:c r="A2291" s="31">
        <x:v>40343</x:v>
      </x:c>
      <x:c r="B2291" s="32">
        <x:v>506.6</x:v>
      </x:c>
      <x:c r="C2291" s="32">
        <x:v>509.4</x:v>
      </x:c>
      <x:c r="D2291" s="32">
        <x:v>506.3</x:v>
      </x:c>
      <x:c r="E2291" s="32">
        <x:v>508.3</x:v>
      </x:c>
      <x:c r="F2291" s="33">
        <x:v>39350540</x:v>
      </x:c>
      <x:c r="G2291" s="32" t="n">
        <x:f t="shared" si="96">AVERAGE(E2092:E2291)</x:f>
        <x:v>523.3149999999997</x:v>
      </x:c>
      <x:c r="H2291" s="37" t="n">
        <x:f t="shared" si="97">IFERROR(E2291/G2291-1,"")</x:f>
        <x:v>-0.028692087939385824</x:v>
      </x:c>
      <x:c r="I2291" s="38" t="b">
        <x:f t="shared" si="98">E2291&lt;G2291</x:f>
        <x:v>1</x:v>
      </x:c>
    </x:row>
    <x:row r="2292">
      <x:c r="A2292" s="31">
        <x:v>40344</x:v>
      </x:c>
      <x:c r="B2292" s="32">
        <x:v>509.3</x:v>
      </x:c>
      <x:c r="C2292" s="32">
        <x:v>510.2</x:v>
      </x:c>
      <x:c r="D2292" s="32">
        <x:v>506.5</x:v>
      </x:c>
      <x:c r="E2292" s="32">
        <x:v>508</x:v>
      </x:c>
      <x:c r="F2292" s="33">
        <x:v>44664500</x:v>
      </x:c>
      <x:c r="G2292" s="32" t="n">
        <x:f t="shared" si="96">AVERAGE(E2093:E2292)</x:f>
        <x:v>523.2104999999997</x:v>
      </x:c>
      <x:c r="H2292" s="37" t="n">
        <x:f t="shared" si="97">IFERROR(E2292/G2292-1,"")</x:f>
        <x:v>-0.029071473145129367</x:v>
      </x:c>
      <x:c r="I2292" s="38" t="b">
        <x:f t="shared" si="98">E2292&lt;G2292</x:f>
        <x:v>1</x:v>
      </x:c>
    </x:row>
    <x:row r="2293">
      <x:c r="A2293" s="31">
        <x:v>40345</x:v>
      </x:c>
      <x:c r="B2293" s="32">
        <x:v>510.4</x:v>
      </x:c>
      <x:c r="C2293" s="32">
        <x:v>513.1</x:v>
      </x:c>
      <x:c r="D2293" s="32">
        <x:v>510.4</x:v>
      </x:c>
      <x:c r="E2293" s="32">
        <x:v>510.7</x:v>
      </x:c>
      <x:c r="F2293" s="33">
        <x:v>47970250</x:v>
      </x:c>
      <x:c r="G2293" s="32" t="n">
        <x:f t="shared" si="96">AVERAGE(E2094:E2293)</x:f>
        <x:v>523.1339999999997</x:v>
      </x:c>
      <x:c r="H2293" s="37" t="n">
        <x:f t="shared" si="97">IFERROR(E2293/G2293-1,"")</x:f>
        <x:v>-0.023768288813190708</x:v>
      </x:c>
      <x:c r="I2293" s="38" t="b">
        <x:f t="shared" si="98">E2293&lt;G2293</x:f>
        <x:v>1</x:v>
      </x:c>
    </x:row>
    <x:row r="2294">
      <x:c r="A2294" s="31">
        <x:v>40346</x:v>
      </x:c>
      <x:c r="B2294" s="32">
        <x:v>510.3</x:v>
      </x:c>
      <x:c r="C2294" s="32">
        <x:v>511.2</x:v>
      </x:c>
      <x:c r="D2294" s="32">
        <x:v>508.4</x:v>
      </x:c>
      <x:c r="E2294" s="32">
        <x:v>510.8</x:v>
      </x:c>
      <x:c r="F2294" s="33">
        <x:v>44615300</x:v>
      </x:c>
      <x:c r="G2294" s="32" t="n">
        <x:f t="shared" si="96">AVERAGE(E2095:E2294)</x:f>
        <x:v>523.0529999999998</x:v>
      </x:c>
      <x:c r="H2294" s="37" t="n">
        <x:f t="shared" si="97">IFERROR(E2294/G2294-1,"")</x:f>
        <x:v>-0.023425924332715398</x:v>
      </x:c>
      <x:c r="I2294" s="38" t="b">
        <x:f t="shared" si="98">E2294&lt;G2294</x:f>
        <x:v>1</x:v>
      </x:c>
    </x:row>
    <x:row r="2295">
      <x:c r="A2295" s="31">
        <x:v>40347</x:v>
      </x:c>
      <x:c r="B2295" s="32">
        <x:v>511.9</x:v>
      </x:c>
      <x:c r="C2295" s="32">
        <x:v>514</x:v>
      </x:c>
      <x:c r="D2295" s="32">
        <x:v>509.4</x:v>
      </x:c>
      <x:c r="E2295" s="32">
        <x:v>511.2</x:v>
      </x:c>
      <x:c r="F2295" s="33">
        <x:v>50875170</x:v>
      </x:c>
      <x:c r="G2295" s="32" t="n">
        <x:f t="shared" si="96">AVERAGE(E2096:E2295)</x:f>
        <x:v>522.9264999999997</x:v>
      </x:c>
      <x:c r="H2295" s="37" t="n">
        <x:f t="shared" si="97">IFERROR(E2295/G2295-1,"")</x:f>
        <x:v>-0.022424757590215227</x:v>
      </x:c>
      <x:c r="I2295" s="38" t="b">
        <x:f t="shared" si="98">E2295&lt;G2295</x:f>
        <x:v>1</x:v>
      </x:c>
    </x:row>
    <x:row r="2296">
      <x:c r="A2296" s="31">
        <x:v>40350</x:v>
      </x:c>
      <x:c r="B2296" s="32">
        <x:v>515.1</x:v>
      </x:c>
      <x:c r="C2296" s="32">
        <x:v>515.79999999999995</x:v>
      </x:c>
      <x:c r="D2296" s="32">
        <x:v>514</x:v>
      </x:c>
      <x:c r="E2296" s="32">
        <x:v>514.79999999999995</x:v>
      </x:c>
      <x:c r="F2296" s="33">
        <x:v>46371750</x:v>
      </x:c>
      <x:c r="G2296" s="32" t="n">
        <x:f t="shared" si="96">AVERAGE(E2097:E2296)</x:f>
        <x:v>522.7664999999997</x:v>
      </x:c>
      <x:c r="H2296" s="37" t="n">
        <x:f t="shared" si="97">IFERROR(E2296/G2296-1,"")</x:f>
        <x:v>-0.015239117273198932</x:v>
      </x:c>
      <x:c r="I2296" s="38" t="b">
        <x:f t="shared" si="98">E2296&lt;G2296</x:f>
        <x:v>1</x:v>
      </x:c>
    </x:row>
    <x:row r="2297">
      <x:c r="A2297" s="31">
        <x:v>40351</x:v>
      </x:c>
      <x:c r="B2297" s="32">
        <x:v>512.79999999999995</x:v>
      </x:c>
      <x:c r="C2297" s="32">
        <x:v>515.4</x:v>
      </x:c>
      <x:c r="D2297" s="32">
        <x:v>511.3</x:v>
      </x:c>
      <x:c r="E2297" s="32">
        <x:v>512.6</x:v>
      </x:c>
      <x:c r="F2297" s="33">
        <x:v>74762560</x:v>
      </x:c>
      <x:c r="G2297" s="32" t="n">
        <x:f t="shared" si="96">AVERAGE(E2098:E2297)</x:f>
        <x:v>522.5909999999998</x:v>
      </x:c>
      <x:c r="H2297" s="37" t="n">
        <x:f t="shared" si="97">IFERROR(E2297/G2297-1,"")</x:f>
        <x:v>-0.019118201423292347</x:v>
      </x:c>
      <x:c r="I2297" s="38" t="b">
        <x:f t="shared" si="98">E2297&lt;G2297</x:f>
        <x:v>1</x:v>
      </x:c>
    </x:row>
    <x:row r="2298">
      <x:c r="A2298" s="31">
        <x:v>40352</x:v>
      </x:c>
      <x:c r="B2298" s="32">
        <x:v>510.3</x:v>
      </x:c>
      <x:c r="C2298" s="32">
        <x:v>514.4</x:v>
      </x:c>
      <x:c r="D2298" s="32">
        <x:v>508.8</x:v>
      </x:c>
      <x:c r="E2298" s="32">
        <x:v>512.79999999999995</x:v>
      </x:c>
      <x:c r="F2298" s="33">
        <x:v>44290230</x:v>
      </x:c>
      <x:c r="G2298" s="32" t="n">
        <x:f t="shared" si="96">AVERAGE(E2099:E2298)</x:f>
        <x:v>522.4509999999998</x:v>
      </x:c>
      <x:c r="H2298" s="37" t="n">
        <x:f t="shared" si="97">IFERROR(E2298/G2298-1,"")</x:f>
        <x:v>-0.018472545750701674</x:v>
      </x:c>
      <x:c r="I2298" s="38" t="b">
        <x:f t="shared" si="98">E2298&lt;G2298</x:f>
        <x:v>1</x:v>
      </x:c>
    </x:row>
    <x:row r="2299">
      <x:c r="A2299" s="31">
        <x:v>40353</x:v>
      </x:c>
      <x:c r="B2299" s="32">
        <x:v>513.6</x:v>
      </x:c>
      <x:c r="C2299" s="32">
        <x:v>515</x:v>
      </x:c>
      <x:c r="D2299" s="32">
        <x:v>511.7</x:v>
      </x:c>
      <x:c r="E2299" s="32">
        <x:v>511.7</x:v>
      </x:c>
      <x:c r="F2299" s="33">
        <x:v>50351690</x:v>
      </x:c>
      <x:c r="G2299" s="32" t="n">
        <x:f t="shared" si="96">AVERAGE(E2100:E2299)</x:f>
        <x:v>522.3669999999997</x:v>
      </x:c>
      <x:c r="H2299" s="37" t="n">
        <x:f t="shared" si="97">IFERROR(E2299/G2299-1,"")</x:f>
        <x:v>-0.02042050895251757</x:v>
      </x:c>
      <x:c r="I2299" s="38" t="b">
        <x:f t="shared" si="98">E2299&lt;G2299</x:f>
        <x:v>1</x:v>
      </x:c>
    </x:row>
    <x:row r="2300">
      <x:c r="A2300" s="31">
        <x:v>40354</x:v>
      </x:c>
      <x:c r="B2300" s="32">
        <x:v>506.1</x:v>
      </x:c>
      <x:c r="C2300" s="32">
        <x:v>509.6</x:v>
      </x:c>
      <x:c r="D2300" s="32">
        <x:v>505.1</x:v>
      </x:c>
      <x:c r="E2300" s="32">
        <x:v>505.1</x:v>
      </x:c>
      <x:c r="F2300" s="33">
        <x:v>50325960</x:v>
      </x:c>
      <x:c r="G2300" s="32" t="n">
        <x:f t="shared" si="96">AVERAGE(E2101:E2300)</x:f>
        <x:v>522.2699999999998</x:v>
      </x:c>
      <x:c r="H2300" s="37" t="n">
        <x:f t="shared" si="97">IFERROR(E2300/G2300-1,"")</x:f>
        <x:v>-0.032875715626016655</x:v>
      </x:c>
      <x:c r="I2300" s="38" t="b">
        <x:f t="shared" si="98">E2300&lt;G2300</x:f>
        <x:v>1</x:v>
      </x:c>
    </x:row>
    <x:row r="2301">
      <x:c r="A2301" s="31">
        <x:v>40357</x:v>
      </x:c>
      <x:c r="B2301" s="32">
        <x:v>505.4</x:v>
      </x:c>
      <x:c r="C2301" s="32">
        <x:v>507.7</x:v>
      </x:c>
      <x:c r="D2301" s="32">
        <x:v>505.3</x:v>
      </x:c>
      <x:c r="E2301" s="32">
        <x:v>507.3</x:v>
      </x:c>
      <x:c r="F2301" s="33">
        <x:v>41239710</x:v>
      </x:c>
      <x:c r="G2301" s="32" t="n">
        <x:f t="shared" si="96">AVERAGE(E2102:E2301)</x:f>
        <x:v>522.1174999999998</x:v>
      </x:c>
      <x:c r="H2301" s="37" t="n">
        <x:f t="shared" si="97">IFERROR(E2301/G2301-1,"")</x:f>
        <x:v>-0.02837962719119702</x:v>
      </x:c>
      <x:c r="I2301" s="38" t="b">
        <x:f t="shared" si="98">E2301&lt;G2301</x:f>
        <x:v>1</x:v>
      </x:c>
    </x:row>
    <x:row r="2302">
      <x:c r="A2302" s="31">
        <x:v>40358</x:v>
      </x:c>
      <x:c r="B2302" s="32">
        <x:v>509.8</x:v>
      </x:c>
      <x:c r="C2302" s="32">
        <x:v>511.4</x:v>
      </x:c>
      <x:c r="D2302" s="32">
        <x:v>509.5</x:v>
      </x:c>
      <x:c r="E2302" s="32">
        <x:v>510.7</x:v>
      </x:c>
      <x:c r="F2302" s="33">
        <x:v>41531730</x:v>
      </x:c>
      <x:c r="G2302" s="32" t="n">
        <x:f t="shared" si="96">AVERAGE(E2103:E2302)</x:f>
        <x:v>521.9904999999998</x:v>
      </x:c>
      <x:c r="H2302" s="37" t="n">
        <x:f t="shared" si="97">IFERROR(E2302/G2302-1,"")</x:f>
        <x:v>-0.021629703988865323</x:v>
      </x:c>
      <x:c r="I2302" s="38" t="b">
        <x:f t="shared" si="98">E2302&lt;G2302</x:f>
        <x:v>1</x:v>
      </x:c>
    </x:row>
    <x:row r="2303">
      <x:c r="A2303" s="31">
        <x:v>40359</x:v>
      </x:c>
      <x:c r="B2303" s="32">
        <x:v>501.2</x:v>
      </x:c>
      <x:c r="C2303" s="32">
        <x:v>507.1</x:v>
      </x:c>
      <x:c r="D2303" s="32">
        <x:v>501.1</x:v>
      </x:c>
      <x:c r="E2303" s="32">
        <x:v>507.1</x:v>
      </x:c>
      <x:c r="F2303" s="33">
        <x:v>47489060</x:v>
      </x:c>
      <x:c r="G2303" s="32" t="n">
        <x:f t="shared" si="96">AVERAGE(E2104:E2303)</x:f>
        <x:v>521.8249999999998</x:v>
      </x:c>
      <x:c r="H2303" s="37" t="n">
        <x:f t="shared" si="97">IFERROR(E2303/G2303-1,"")</x:f>
        <x:v>-0.02821827240933228</x:v>
      </x:c>
      <x:c r="I2303" s="38" t="b">
        <x:f t="shared" si="98">E2303&lt;G2303</x:f>
        <x:v>1</x:v>
      </x:c>
    </x:row>
    <x:row r="2304">
      <x:c r="A2304" s="31">
        <x:v>40360</x:v>
      </x:c>
      <x:c r="B2304" s="32">
        <x:v>504.1</x:v>
      </x:c>
      <x:c r="C2304" s="32">
        <x:v>506.6</x:v>
      </x:c>
      <x:c r="D2304" s="32">
        <x:v>503.7</x:v>
      </x:c>
      <x:c r="E2304" s="32">
        <x:v>504</x:v>
      </x:c>
      <x:c r="F2304" s="33">
        <x:v>40518620</x:v>
      </x:c>
      <x:c r="G2304" s="32" t="n">
        <x:f t="shared" si="96">AVERAGE(E2105:E2304)</x:f>
        <x:v>521.6049999999999</x:v>
      </x:c>
      <x:c r="H2304" s="37" t="n">
        <x:f t="shared" si="97">IFERROR(E2304/G2304-1,"")</x:f>
        <x:v>-0.033751593638864485</x:v>
      </x:c>
      <x:c r="I2304" s="38" t="b">
        <x:f t="shared" si="98">E2304&lt;G2304</x:f>
        <x:v>1</x:v>
      </x:c>
    </x:row>
    <x:row r="2305">
      <x:c r="A2305" s="31">
        <x:v>40361</x:v>
      </x:c>
      <x:c r="B2305" s="32">
        <x:v>505.2</x:v>
      </x:c>
      <x:c r="C2305" s="32">
        <x:v>505.6</x:v>
      </x:c>
      <x:c r="D2305" s="32">
        <x:v>502.5</x:v>
      </x:c>
      <x:c r="E2305" s="32">
        <x:v>503.7</x:v>
      </x:c>
      <x:c r="F2305" s="33">
        <x:v>37498110</x:v>
      </x:c>
      <x:c r="G2305" s="32" t="n">
        <x:f t="shared" si="96">AVERAGE(E2106:E2305)</x:f>
        <x:v>521.3404999999998</x:v>
      </x:c>
      <x:c r="H2305" s="37" t="n">
        <x:f t="shared" si="97">IFERROR(E2305/G2305-1,"")</x:f>
        <x:v>-0.03383681106685521</x:v>
      </x:c>
      <x:c r="I2305" s="38" t="b">
        <x:f t="shared" si="98">E2305&lt;G2305</x:f>
        <x:v>1</x:v>
      </x:c>
    </x:row>
    <x:row r="2306">
      <x:c r="A2306" s="31">
        <x:v>40364</x:v>
      </x:c>
      <x:c r="B2306" s="32">
        <x:v>505.7</x:v>
      </x:c>
      <x:c r="C2306" s="32">
        <x:v>507.1</x:v>
      </x:c>
      <x:c r="D2306" s="32">
        <x:v>504.5</x:v>
      </x:c>
      <x:c r="E2306" s="32">
        <x:v>506.5</x:v>
      </x:c>
      <x:c r="F2306" s="33">
        <x:v>35638700</x:v>
      </x:c>
      <x:c r="G2306" s="32" t="n">
        <x:f t="shared" si="96">AVERAGE(E2107:E2306)</x:f>
        <x:v>521.0889999999998</x:v>
      </x:c>
      <x:c r="H2306" s="37" t="n">
        <x:f t="shared" si="97">IFERROR(E2306/G2306-1,"")</x:f>
        <x:v>-0.027997136765504194</x:v>
      </x:c>
      <x:c r="I2306" s="38" t="b">
        <x:f t="shared" si="98">E2306&lt;G2306</x:f>
        <x:v>1</x:v>
      </x:c>
    </x:row>
    <x:row r="2307">
      <x:c r="A2307" s="31">
        <x:v>40365</x:v>
      </x:c>
      <x:c r="B2307" s="32">
        <x:v>505.8</x:v>
      </x:c>
      <x:c r="C2307" s="32">
        <x:v>505.8</x:v>
      </x:c>
      <x:c r="D2307" s="32">
        <x:v>500.7</x:v>
      </x:c>
      <x:c r="E2307" s="32">
        <x:v>500.8</x:v>
      </x:c>
      <x:c r="F2307" s="33">
        <x:v>45812930</x:v>
      </x:c>
      <x:c r="G2307" s="32" t="n">
        <x:f t="shared" si="96">AVERAGE(E2108:E2307)</x:f>
        <x:v>520.8079999999999</x:v>
      </x:c>
      <x:c r="H2307" s="37" t="n">
        <x:f t="shared" si="97">IFERROR(E2307/G2307-1,"")</x:f>
        <x:v>-0.03841722861399954</x:v>
      </x:c>
      <x:c r="I2307" s="38" t="b">
        <x:f t="shared" si="98">E2307&lt;G2307</x:f>
        <x:v>1</x:v>
      </x:c>
    </x:row>
    <x:row r="2308">
      <x:c r="A2308" s="31">
        <x:v>40366</x:v>
      </x:c>
      <x:c r="B2308" s="32">
        <x:v>502.5</x:v>
      </x:c>
      <x:c r="C2308" s="32">
        <x:v>503.8</x:v>
      </x:c>
      <x:c r="D2308" s="32">
        <x:v>496.9</x:v>
      </x:c>
      <x:c r="E2308" s="32">
        <x:v>496.9</x:v>
      </x:c>
      <x:c r="F2308" s="33">
        <x:v>39397660</x:v>
      </x:c>
      <x:c r="G2308" s="32" t="n">
        <x:f t="shared" si="96">AVERAGE(E2109:E2308)</x:f>
        <x:v>520.4864999999998</x:v>
      </x:c>
      <x:c r="H2308" s="37" t="n">
        <x:f t="shared" si="97">IFERROR(E2308/G2308-1,"")</x:f>
        <x:v>-0.04531625700186226</x:v>
      </x:c>
      <x:c r="I2308" s="38" t="b">
        <x:f t="shared" si="98">E2308&lt;G2308</x:f>
        <x:v>1</x:v>
      </x:c>
    </x:row>
    <x:row r="2309">
      <x:c r="A2309" s="31">
        <x:v>40367</x:v>
      </x:c>
      <x:c r="B2309" s="32">
        <x:v>502.1</x:v>
      </x:c>
      <x:c r="C2309" s="32">
        <x:v>502.2</x:v>
      </x:c>
      <x:c r="D2309" s="32">
        <x:v>498.6</x:v>
      </x:c>
      <x:c r="E2309" s="32">
        <x:v>498.6</x:v>
      </x:c>
      <x:c r="F2309" s="33">
        <x:v>36297140</x:v>
      </x:c>
      <x:c r="G2309" s="32" t="n">
        <x:f t="shared" si="96">AVERAGE(E2110:E2309)</x:f>
        <x:v>520.1244999999998</x:v>
      </x:c>
      <x:c r="H2309" s="37" t="n">
        <x:f t="shared" si="97">IFERROR(E2309/G2309-1,"")</x:f>
        <x:v>-0.041383361099121</x:v>
      </x:c>
      <x:c r="I2309" s="38" t="b">
        <x:f t="shared" si="98">E2309&lt;G2309</x:f>
        <x:v>1</x:v>
      </x:c>
    </x:row>
    <x:row r="2310">
      <x:c r="A2310" s="31">
        <x:v>40368</x:v>
      </x:c>
      <x:c r="B2310" s="32">
        <x:v>499.1</x:v>
      </x:c>
      <x:c r="C2310" s="32">
        <x:v>501.1</x:v>
      </x:c>
      <x:c r="D2310" s="32">
        <x:v>499</x:v>
      </x:c>
      <x:c r="E2310" s="32">
        <x:v>499.5</x:v>
      </x:c>
      <x:c r="F2310" s="33">
        <x:v>28816790</x:v>
      </x:c>
      <x:c r="G2310" s="32" t="n">
        <x:f t="shared" si="96">AVERAGE(E2111:E2310)</x:f>
        <x:v>519.7319999999999</x:v>
      </x:c>
      <x:c r="H2310" s="37" t="n">
        <x:f t="shared" si="97">IFERROR(E2310/G2310-1,"")</x:f>
        <x:v>-0.038927755073768555</x:v>
      </x:c>
      <x:c r="I2310" s="38" t="b">
        <x:f t="shared" si="98">E2310&lt;G2310</x:f>
        <x:v>1</x:v>
      </x:c>
    </x:row>
    <x:row r="2311">
      <x:c r="A2311" s="31">
        <x:v>40371</x:v>
      </x:c>
      <x:c r="B2311" s="32">
        <x:v>499.8</x:v>
      </x:c>
      <x:c r="C2311" s="32">
        <x:v>500.4</x:v>
      </x:c>
      <x:c r="D2311" s="32">
        <x:v>497.2</x:v>
      </x:c>
      <x:c r="E2311" s="32">
        <x:v>499.9</x:v>
      </x:c>
      <x:c r="F2311" s="33">
        <x:v>28099180</x:v>
      </x:c>
      <x:c r="G2311" s="32" t="n">
        <x:f t="shared" si="96">AVERAGE(E2112:E2311)</x:f>
        <x:v>519.3169999999998</x:v>
      </x:c>
      <x:c r="H2311" s="37" t="n">
        <x:f t="shared" si="97">IFERROR(E2311/G2311-1,"")</x:f>
        <x:v>-0.03738949427806104</x:v>
      </x:c>
      <x:c r="I2311" s="38" t="b">
        <x:f t="shared" si="98">E2311&lt;G2311</x:f>
        <x:v>1</x:v>
      </x:c>
    </x:row>
    <x:row r="2312">
      <x:c r="A2312" s="31">
        <x:v>40372</x:v>
      </x:c>
      <x:c r="B2312" s="32">
        <x:v>505.4</x:v>
      </x:c>
      <x:c r="C2312" s="32">
        <x:v>509.9</x:v>
      </x:c>
      <x:c r="D2312" s="32">
        <x:v>502.6</x:v>
      </x:c>
      <x:c r="E2312" s="32">
        <x:v>509.1</x:v>
      </x:c>
      <x:c r="F2312" s="33">
        <x:v>43469690</x:v>
      </x:c>
      <x:c r="G2312" s="32" t="n">
        <x:f t="shared" si="96">AVERAGE(E2113:E2312)</x:f>
        <x:v>518.9519999999998</x:v>
      </x:c>
      <x:c r="H2312" s="37" t="n">
        <x:f t="shared" si="97">IFERROR(E2312/G2312-1,"")</x:f>
        <x:v>-0.018984414743559608</x:v>
      </x:c>
      <x:c r="I2312" s="38" t="b">
        <x:f t="shared" si="98">E2312&lt;G2312</x:f>
        <x:v>1</x:v>
      </x:c>
    </x:row>
    <x:row r="2313">
      <x:c r="A2313" s="31">
        <x:v>40373</x:v>
      </x:c>
      <x:c r="B2313" s="32">
        <x:v>512.20000000000005</x:v>
      </x:c>
      <x:c r="C2313" s="32">
        <x:v>512.79999999999995</x:v>
      </x:c>
      <x:c r="D2313" s="32">
        <x:v>507.3</x:v>
      </x:c>
      <x:c r="E2313" s="32">
        <x:v>507.3</x:v>
      </x:c>
      <x:c r="F2313" s="33">
        <x:v>49448520</x:v>
      </x:c>
      <x:c r="G2313" s="32" t="n">
        <x:f t="shared" si="96">AVERAGE(E2114:E2313)</x:f>
        <x:v>518.6144999999998</x:v>
      </x:c>
      <x:c r="H2313" s="37" t="n">
        <x:f t="shared" si="97">IFERROR(E2313/G2313-1,"")</x:f>
        <x:v>-0.02181678298620615</x:v>
      </x:c>
      <x:c r="I2313" s="38" t="b">
        <x:f t="shared" si="98">E2313&lt;G2313</x:f>
        <x:v>1</x:v>
      </x:c>
    </x:row>
    <x:row r="2314">
      <x:c r="A2314" s="31">
        <x:v>40374</x:v>
      </x:c>
      <x:c r="B2314" s="32">
        <x:v>505.8</x:v>
      </x:c>
      <x:c r="C2314" s="32">
        <x:v>507.6</x:v>
      </x:c>
      <x:c r="D2314" s="32">
        <x:v>505</x:v>
      </x:c>
      <x:c r="E2314" s="32">
        <x:v>505.2</x:v>
      </x:c>
      <x:c r="F2314" s="33">
        <x:v>38760690</x:v>
      </x:c>
      <x:c r="G2314" s="32" t="n">
        <x:f t="shared" si="96">AVERAGE(E2115:E2314)</x:f>
        <x:v>518.2264999999999</x:v>
      </x:c>
      <x:c r="H2314" s="37" t="n">
        <x:f t="shared" si="97">IFERROR(E2314/G2314-1,"")</x:f>
        <x:v>-0.02513669216066694</x:v>
      </x:c>
      <x:c r="I2314" s="38" t="b">
        <x:f t="shared" si="98">E2314&lt;G2314</x:f>
        <x:v>1</x:v>
      </x:c>
    </x:row>
    <x:row r="2315">
      <x:c r="A2315" s="31">
        <x:v>40375</x:v>
      </x:c>
      <x:c r="B2315" s="32">
        <x:v>505.5</x:v>
      </x:c>
      <x:c r="C2315" s="32">
        <x:v>507.1</x:v>
      </x:c>
      <x:c r="D2315" s="32">
        <x:v>504.2</x:v>
      </x:c>
      <x:c r="E2315" s="32">
        <x:v>506.2</x:v>
      </x:c>
      <x:c r="F2315" s="33">
        <x:v>43141430</x:v>
      </x:c>
      <x:c r="G2315" s="32" t="n">
        <x:f t="shared" si="96">AVERAGE(E2116:E2315)</x:f>
        <x:v>517.8474999999999</x:v>
      </x:c>
      <x:c r="H2315" s="37" t="n">
        <x:f t="shared" si="97">IFERROR(E2315/G2315-1,"")</x:f>
        <x:v>-0.022492142957144412</x:v>
      </x:c>
      <x:c r="I2315" s="38" t="b">
        <x:f t="shared" si="98">E2315&lt;G2315</x:f>
        <x:v>1</x:v>
      </x:c>
    </x:row>
    <x:row r="2316">
      <x:c r="A2316" s="31">
        <x:v>40378</x:v>
      </x:c>
      <x:c r="B2316" s="32">
        <x:v>504.3</x:v>
      </x:c>
      <x:c r="C2316" s="32">
        <x:v>506.8</x:v>
      </x:c>
      <x:c r="D2316" s="32">
        <x:v>503.2</x:v>
      </x:c>
      <x:c r="E2316" s="32">
        <x:v>506.8</x:v>
      </x:c>
      <x:c r="F2316" s="33">
        <x:v>40064560</x:v>
      </x:c>
      <x:c r="G2316" s="32" t="n">
        <x:f t="shared" si="96">AVERAGE(E2117:E2316)</x:f>
        <x:v>517.4684999999998</x:v>
      </x:c>
      <x:c r="H2316" s="37" t="n">
        <x:f t="shared" si="97">IFERROR(E2316/G2316-1,"")</x:f>
        <x:v>-0.020616713867607106</x:v>
      </x:c>
      <x:c r="I2316" s="38" t="b">
        <x:f t="shared" si="98">E2316&lt;G2316</x:f>
        <x:v>1</x:v>
      </x:c>
    </x:row>
    <x:row r="2317">
      <x:c r="A2317" s="31">
        <x:v>40379</x:v>
      </x:c>
      <x:c r="B2317" s="32">
        <x:v>507</x:v>
      </x:c>
      <x:c r="C2317" s="32">
        <x:v>507.3</x:v>
      </x:c>
      <x:c r="D2317" s="32">
        <x:v>505.2</x:v>
      </x:c>
      <x:c r="E2317" s="32">
        <x:v>506.6</x:v>
      </x:c>
      <x:c r="F2317" s="33">
        <x:v>42732900</x:v>
      </x:c>
      <x:c r="G2317" s="32" t="n">
        <x:f t="shared" ref="G2317:G2380" si="99">AVERAGE(E2118:E2317)</x:f>
        <x:v>517.0969999999999</x:v>
      </x:c>
      <x:c r="H2317" s="37" t="n">
        <x:f t="shared" ref="H2317:H2380" si="100">IFERROR(E2317/G2317-1,"")</x:f>
        <x:v>-0.02029986636936565</x:v>
      </x:c>
      <x:c r="I2317" s="38" t="b">
        <x:f t="shared" ref="I2317:I2380" si="101">E2317&lt;G2317</x:f>
        <x:v>1</x:v>
      </x:c>
    </x:row>
    <x:row r="2318">
      <x:c r="A2318" s="31">
        <x:v>40380</x:v>
      </x:c>
      <x:c r="B2318" s="32">
        <x:v>507.2</x:v>
      </x:c>
      <x:c r="C2318" s="32">
        <x:v>507.3</x:v>
      </x:c>
      <x:c r="D2318" s="32">
        <x:v>505.4</x:v>
      </x:c>
      <x:c r="E2318" s="32">
        <x:v>505.4</x:v>
      </x:c>
      <x:c r="F2318" s="33">
        <x:v>44177260</x:v>
      </x:c>
      <x:c r="G2318" s="32" t="n">
        <x:f t="shared" si="99">AVERAGE(E2119:E2318)</x:f>
        <x:v>516.7789999999998</x:v>
      </x:c>
      <x:c r="H2318" s="37" t="n">
        <x:f t="shared" si="100">IFERROR(E2318/G2318-1,"")</x:f>
        <x:v>-0.0220190835927927</x:v>
      </x:c>
      <x:c r="I2318" s="38" t="b">
        <x:f t="shared" si="101">E2318&lt;G2318</x:f>
        <x:v>1</x:v>
      </x:c>
    </x:row>
    <x:row r="2319">
      <x:c r="A2319" s="31">
        <x:v>40381</x:v>
      </x:c>
      <x:c r="B2319" s="32">
        <x:v>503.1</x:v>
      </x:c>
      <x:c r="C2319" s="32">
        <x:v>503.6</x:v>
      </x:c>
      <x:c r="D2319" s="32">
        <x:v>500</x:v>
      </x:c>
      <x:c r="E2319" s="32">
        <x:v>500.3</x:v>
      </x:c>
      <x:c r="F2319" s="33">
        <x:v>45653210</x:v>
      </x:c>
      <x:c r="G2319" s="32" t="n">
        <x:f t="shared" si="99">AVERAGE(E2120:E2319)</x:f>
        <x:v>516.5319999999998</x:v>
      </x:c>
      <x:c r="H2319" s="37" t="n">
        <x:f t="shared" si="100">IFERROR(E2319/G2319-1,"")</x:f>
        <x:v>-0.03142496495860814</x:v>
      </x:c>
      <x:c r="I2319" s="38" t="b">
        <x:f t="shared" si="101">E2319&lt;G2319</x:f>
        <x:v>1</x:v>
      </x:c>
    </x:row>
    <x:row r="2320">
      <x:c r="A2320" s="31">
        <x:v>40382</x:v>
      </x:c>
      <x:c r="B2320" s="32">
        <x:v>502.8</x:v>
      </x:c>
      <x:c r="C2320" s="32">
        <x:v>502.9</x:v>
      </x:c>
      <x:c r="D2320" s="32">
        <x:v>499.7</x:v>
      </x:c>
      <x:c r="E2320" s="32">
        <x:v>500.3</x:v>
      </x:c>
      <x:c r="F2320" s="33">
        <x:v>36636840</x:v>
      </x:c>
      <x:c r="G2320" s="32" t="n">
        <x:f t="shared" si="99">AVERAGE(E2121:E2320)</x:f>
        <x:v>516.2884999999999</x:v>
      </x:c>
      <x:c r="H2320" s="37" t="n">
        <x:f t="shared" si="100">IFERROR(E2320/G2320-1,"")</x:f>
        <x:v>-0.030968150559231633</x:v>
      </x:c>
      <x:c r="I2320" s="38" t="b">
        <x:f t="shared" si="101">E2320&lt;G2320</x:f>
        <x:v>1</x:v>
      </x:c>
    </x:row>
    <x:row r="2321">
      <x:c r="A2321" s="31">
        <x:v>40385</x:v>
      </x:c>
      <x:c r="B2321" s="32">
        <x:v>501.2</x:v>
      </x:c>
      <x:c r="C2321" s="32">
        <x:v>501.9</x:v>
      </x:c>
      <x:c r="D2321" s="32">
        <x:v>498.1</x:v>
      </x:c>
      <x:c r="E2321" s="32">
        <x:v>498.1</x:v>
      </x:c>
      <x:c r="F2321" s="33">
        <x:v>39870750</x:v>
      </x:c>
      <x:c r="G2321" s="32" t="n">
        <x:f t="shared" si="99">AVERAGE(E2122:E2321)</x:f>
        <x:v>516.0189999999999</x:v>
      </x:c>
      <x:c r="H2321" s="37" t="n">
        <x:f t="shared" si="100">IFERROR(E2321/G2321-1,"")</x:f>
        <x:v>-0.03472546553518352</x:v>
      </x:c>
      <x:c r="I2321" s="38" t="b">
        <x:f t="shared" si="101">E2321&lt;G2321</x:f>
        <x:v>1</x:v>
      </x:c>
    </x:row>
    <x:row r="2322">
      <x:c r="A2322" s="31">
        <x:v>40386</x:v>
      </x:c>
      <x:c r="B2322" s="32">
        <x:v>499</x:v>
      </x:c>
      <x:c r="C2322" s="32">
        <x:v>501.9</x:v>
      </x:c>
      <x:c r="D2322" s="32">
        <x:v>497.7</x:v>
      </x:c>
      <x:c r="E2322" s="32">
        <x:v>497.7</x:v>
      </x:c>
      <x:c r="F2322" s="33">
        <x:v>41159910</x:v>
      </x:c>
      <x:c r="G2322" s="32" t="n">
        <x:f t="shared" si="99">AVERAGE(E2123:E2322)</x:f>
        <x:v>515.6754999999999</x:v>
      </x:c>
      <x:c r="H2322" s="37" t="n">
        <x:f t="shared" si="100">IFERROR(E2322/G2322-1,"")</x:f>
        <x:v>-0.03485816177033807</x:v>
      </x:c>
      <x:c r="I2322" s="38" t="b">
        <x:f t="shared" si="101">E2322&lt;G2322</x:f>
        <x:v>1</x:v>
      </x:c>
    </x:row>
    <x:row r="2323">
      <x:c r="A2323" s="31">
        <x:v>40387</x:v>
      </x:c>
      <x:c r="B2323" s="32">
        <x:v>497.4</x:v>
      </x:c>
      <x:c r="C2323" s="32">
        <x:v>497.9</x:v>
      </x:c>
      <x:c r="D2323" s="32">
        <x:v>491</x:v>
      </x:c>
      <x:c r="E2323" s="32">
        <x:v>491</x:v>
      </x:c>
      <x:c r="F2323" s="33">
        <x:v>39672950</x:v>
      </x:c>
      <x:c r="G2323" s="32" t="n">
        <x:f t="shared" si="99">AVERAGE(E2124:E2323)</x:f>
        <x:v>515.2715000000001</x:v>
      </x:c>
      <x:c r="H2323" s="37" t="n">
        <x:f t="shared" si="100">IFERROR(E2323/G2323-1,"")</x:f>
        <x:v>-0.047104293561743726</x:v>
      </x:c>
      <x:c r="I2323" s="38" t="b">
        <x:f t="shared" si="101">E2323&lt;G2323</x:f>
        <x:v>1</x:v>
      </x:c>
    </x:row>
    <x:row r="2324">
      <x:c r="A2324" s="31">
        <x:v>40388</x:v>
      </x:c>
      <x:c r="B2324" s="32">
        <x:v>488.9</x:v>
      </x:c>
      <x:c r="C2324" s="32">
        <x:v>492.9</x:v>
      </x:c>
      <x:c r="D2324" s="32">
        <x:v>488.9</x:v>
      </x:c>
      <x:c r="E2324" s="32">
        <x:v>491.1</x:v>
      </x:c>
      <x:c r="F2324" s="33">
        <x:v>35014480</x:v>
      </x:c>
      <x:c r="G2324" s="32" t="n">
        <x:f t="shared" si="99">AVERAGE(E2125:E2324)</x:f>
        <x:v>514.817</x:v>
      </x:c>
      <x:c r="H2324" s="37" t="n">
        <x:f t="shared" si="100">IFERROR(E2324/G2324-1,"")</x:f>
        <x:v>-0.04606879726193969</x:v>
      </x:c>
      <x:c r="I2324" s="38" t="b">
        <x:f t="shared" si="101">E2324&lt;G2324</x:f>
        <x:v>1</x:v>
      </x:c>
    </x:row>
    <x:row r="2325">
      <x:c r="A2325" s="31">
        <x:v>40389</x:v>
      </x:c>
      <x:c r="B2325" s="32">
        <x:v>491.3</x:v>
      </x:c>
      <x:c r="C2325" s="32">
        <x:v>495.1</x:v>
      </x:c>
      <x:c r="D2325" s="32">
        <x:v>491.3</x:v>
      </x:c>
      <x:c r="E2325" s="32">
        <x:v>493.9</x:v>
      </x:c>
      <x:c r="F2325" s="33">
        <x:v>39404910</x:v>
      </x:c>
      <x:c r="G2325" s="32" t="n">
        <x:f t="shared" si="99">AVERAGE(E2126:E2325)</x:f>
        <x:v>514.315</x:v>
      </x:c>
      <x:c r="H2325" s="37" t="n">
        <x:f t="shared" si="100">IFERROR(E2325/G2325-1,"")</x:f>
        <x:v>-0.03969357300487075</x:v>
      </x:c>
      <x:c r="I2325" s="38" t="b">
        <x:f t="shared" si="101">E2325&lt;G2325</x:f>
        <x:v>1</x:v>
      </x:c>
    </x:row>
    <x:row r="2326">
      <x:c r="A2326" s="31">
        <x:v>40392</x:v>
      </x:c>
      <x:c r="B2326" s="32">
        <x:v>494.8</x:v>
      </x:c>
      <x:c r="C2326" s="32">
        <x:v>495.3</x:v>
      </x:c>
      <x:c r="D2326" s="32">
        <x:v>491.3</x:v>
      </x:c>
      <x:c r="E2326" s="32">
        <x:v>491.6</x:v>
      </x:c>
      <x:c r="F2326" s="33">
        <x:v>34171500</x:v>
      </x:c>
      <x:c r="G2326" s="32" t="n">
        <x:f t="shared" si="99">AVERAGE(E2127:E2326)</x:f>
        <x:v>513.8235</x:v>
      </x:c>
      <x:c r="H2326" s="37" t="n">
        <x:f t="shared" si="100">IFERROR(E2326/G2326-1,"")</x:f>
        <x:v>-0.04325123315691082</x:v>
      </x:c>
      <x:c r="I2326" s="38" t="b">
        <x:f t="shared" si="101">E2326&lt;G2326</x:f>
        <x:v>1</x:v>
      </x:c>
    </x:row>
    <x:row r="2327">
      <x:c r="A2327" s="31">
        <x:v>40393</x:v>
      </x:c>
      <x:c r="B2327" s="32">
        <x:v>493.4</x:v>
      </x:c>
      <x:c r="C2327" s="32">
        <x:v>496.5</x:v>
      </x:c>
      <x:c r="D2327" s="32">
        <x:v>491.9</x:v>
      </x:c>
      <x:c r="E2327" s="32">
        <x:v>491.9</x:v>
      </x:c>
      <x:c r="F2327" s="33">
        <x:v>38497170</x:v>
      </x:c>
      <x:c r="G2327" s="32" t="n">
        <x:f t="shared" si="99">AVERAGE(E2128:E2327)</x:f>
        <x:v>513.2545</x:v>
      </x:c>
      <x:c r="H2327" s="37" t="n">
        <x:f t="shared" si="100">IFERROR(E2327/G2327-1,"")</x:f>
        <x:v>-0.04160606482748819</x:v>
      </x:c>
      <x:c r="I2327" s="38" t="b">
        <x:f t="shared" si="101">E2327&lt;G2327</x:f>
        <x:v>1</x:v>
      </x:c>
    </x:row>
    <x:row r="2328">
      <x:c r="A2328" s="31">
        <x:v>40394</x:v>
      </x:c>
      <x:c r="B2328" s="32">
        <x:v>490.3</x:v>
      </x:c>
      <x:c r="C2328" s="32">
        <x:v>490.3</x:v>
      </x:c>
      <x:c r="D2328" s="32">
        <x:v>484.7</x:v>
      </x:c>
      <x:c r="E2328" s="32">
        <x:v>486.7</x:v>
      </x:c>
      <x:c r="F2328" s="33">
        <x:v>34948650</x:v>
      </x:c>
      <x:c r="G2328" s="32" t="n">
        <x:f t="shared" si="99">AVERAGE(E2129:E2328)</x:f>
        <x:v>512.6009999999999</x:v>
      </x:c>
      <x:c r="H2328" s="37" t="n">
        <x:f t="shared" si="100">IFERROR(E2328/G2328-1,"")</x:f>
        <x:v>-0.05052857875813721</x:v>
      </x:c>
      <x:c r="I2328" s="38" t="b">
        <x:f t="shared" si="101">E2328&lt;G2328</x:f>
        <x:v>1</x:v>
      </x:c>
    </x:row>
    <x:row r="2329">
      <x:c r="A2329" s="31">
        <x:v>40395</x:v>
      </x:c>
      <x:c r="B2329" s="32">
        <x:v>488.8</x:v>
      </x:c>
      <x:c r="C2329" s="32">
        <x:v>489.2</x:v>
      </x:c>
      <x:c r="D2329" s="32">
        <x:v>485.4</x:v>
      </x:c>
      <x:c r="E2329" s="32">
        <x:v>486.2</x:v>
      </x:c>
      <x:c r="F2329" s="33">
        <x:v>31779900</x:v>
      </x:c>
      <x:c r="G2329" s="32" t="n">
        <x:f t="shared" si="99">AVERAGE(E2130:E2329)</x:f>
        <x:v>511.9844999999999</x:v>
      </x:c>
      <x:c r="H2329" s="37" t="n">
        <x:f t="shared" si="100">IFERROR(E2329/G2329-1,"")</x:f>
        <x:v>-0.05036187618961108</x:v>
      </x:c>
      <x:c r="I2329" s="38" t="b">
        <x:f t="shared" si="101">E2329&lt;G2329</x:f>
        <x:v>1</x:v>
      </x:c>
    </x:row>
    <x:row r="2330">
      <x:c r="A2330" s="31">
        <x:v>40396</x:v>
      </x:c>
      <x:c r="B2330" s="32">
        <x:v>485.2</x:v>
      </x:c>
      <x:c r="C2330" s="32">
        <x:v>485.2</x:v>
      </x:c>
      <x:c r="D2330" s="32">
        <x:v>482.4</x:v>
      </x:c>
      <x:c r="E2330" s="32">
        <x:v>482.8</x:v>
      </x:c>
      <x:c r="F2330" s="33">
        <x:v>30979570</x:v>
      </x:c>
      <x:c r="G2330" s="32" t="n">
        <x:f t="shared" si="99">AVERAGE(E2131:E2330)</x:f>
        <x:v>511.36299999999994</x:v>
      </x:c>
      <x:c r="H2330" s="37" t="n">
        <x:f t="shared" si="100">IFERROR(E2330/G2330-1,"")</x:f>
        <x:v>-0.05585660284377225</x:v>
      </x:c>
      <x:c r="I2330" s="38" t="b">
        <x:f t="shared" si="101">E2330&lt;G2330</x:f>
        <x:v>1</x:v>
      </x:c>
    </x:row>
    <x:row r="2331">
      <x:c r="A2331" s="31">
        <x:v>40399</x:v>
      </x:c>
      <x:c r="B2331" s="32">
        <x:v>482.7</x:v>
      </x:c>
      <x:c r="C2331" s="32">
        <x:v>482.7</x:v>
      </x:c>
      <x:c r="D2331" s="32">
        <x:v>472.5</x:v>
      </x:c>
      <x:c r="E2331" s="32">
        <x:v>472.7</x:v>
      </x:c>
      <x:c r="F2331" s="33">
        <x:v>39775680</x:v>
      </x:c>
      <x:c r="G2331" s="32" t="n">
        <x:f t="shared" si="99">AVERAGE(E2132:E2331)</x:f>
        <x:v>510.6434999999999</x:v>
      </x:c>
      <x:c r="H2331" s="37" t="n">
        <x:f t="shared" si="100">IFERROR(E2331/G2331-1,"")</x:f>
        <x:v>-0.0743052638484577</x:v>
      </x:c>
      <x:c r="I2331" s="38" t="b">
        <x:f t="shared" si="101">E2331&lt;G2331</x:f>
        <x:v>1</x:v>
      </x:c>
    </x:row>
    <x:row r="2332">
      <x:c r="A2332" s="31">
        <x:v>40400</x:v>
      </x:c>
      <x:c r="B2332" s="32">
        <x:v>468.8</x:v>
      </x:c>
      <x:c r="C2332" s="32">
        <x:v>469.3</x:v>
      </x:c>
      <x:c r="D2332" s="32">
        <x:v>458.2</x:v>
      </x:c>
      <x:c r="E2332" s="32">
        <x:v>461.7</x:v>
      </x:c>
      <x:c r="F2332" s="33">
        <x:v>48425490</x:v>
      </x:c>
      <x:c r="G2332" s="32" t="n">
        <x:f t="shared" si="99">AVERAGE(E2133:E2332)</x:f>
        <x:v>509.8594999999999</x:v>
      </x:c>
      <x:c r="H2332" s="37" t="n">
        <x:f t="shared" si="100">IFERROR(E2332/G2332-1,"")</x:f>
        <x:v>-0.09445641397286886</x:v>
      </x:c>
      <x:c r="I2332" s="38" t="b">
        <x:f t="shared" si="101">E2332&lt;G2332</x:f>
        <x:v>1</x:v>
      </x:c>
    </x:row>
    <x:row r="2333">
      <x:c r="A2333" s="31">
        <x:v>40401</x:v>
      </x:c>
      <x:c r="B2333" s="32">
        <x:v>463.1</x:v>
      </x:c>
      <x:c r="C2333" s="32">
        <x:v>465.9</x:v>
      </x:c>
      <x:c r="D2333" s="32">
        <x:v>458.9</x:v>
      </x:c>
      <x:c r="E2333" s="32">
        <x:v>463.1</x:v>
      </x:c>
      <x:c r="F2333" s="33">
        <x:v>33729110</x:v>
      </x:c>
      <x:c r="G2333" s="32" t="n">
        <x:f t="shared" si="99">AVERAGE(E2134:E2333)</x:f>
        <x:v>509.0544999999999</x:v>
      </x:c>
      <x:c r="H2333" s="37" t="n">
        <x:f t="shared" si="100">IFERROR(E2333/G2333-1,"")</x:f>
        <x:v>-0.09027422407620378</x:v>
      </x:c>
      <x:c r="I2333" s="38" t="b">
        <x:f t="shared" si="101">E2333&lt;G2333</x:f>
        <x:v>1</x:v>
      </x:c>
    </x:row>
    <x:row r="2334">
      <x:c r="A2334" s="31">
        <x:v>40402</x:v>
      </x:c>
      <x:c r="B2334" s="32">
        <x:v>457.5</x:v>
      </x:c>
      <x:c r="C2334" s="32">
        <x:v>458.6</x:v>
      </x:c>
      <x:c r="D2334" s="32">
        <x:v>448.3</x:v>
      </x:c>
      <x:c r="E2334" s="32">
        <x:v>448.4</x:v>
      </x:c>
      <x:c r="F2334" s="33">
        <x:v>46662940</x:v>
      </x:c>
      <x:c r="G2334" s="32" t="n">
        <x:f t="shared" si="99">AVERAGE(E2135:E2334)</x:f>
        <x:v>508.2204999999999</x:v>
      </x:c>
      <x:c r="H2334" s="37" t="n">
        <x:f t="shared" si="100">IFERROR(E2334/G2334-1,"")</x:f>
        <x:v>-0.11770579895930988</x:v>
      </x:c>
      <x:c r="I2334" s="38" t="b">
        <x:f t="shared" si="101">E2334&lt;G2334</x:f>
        <x:v>1</x:v>
      </x:c>
    </x:row>
    <x:row r="2335">
      <x:c r="A2335" s="31">
        <x:v>40403</x:v>
      </x:c>
      <x:c r="B2335" s="32">
        <x:v>441.1</x:v>
      </x:c>
      <x:c r="C2335" s="32">
        <x:v>452.7</x:v>
      </x:c>
      <x:c r="D2335" s="32">
        <x:v>441.1</x:v>
      </x:c>
      <x:c r="E2335" s="32">
        <x:v>452.7</x:v>
      </x:c>
      <x:c r="F2335" s="33">
        <x:v>38901820</x:v>
      </x:c>
      <x:c r="G2335" s="32" t="n">
        <x:f t="shared" si="99">AVERAGE(E2136:E2335)</x:f>
        <x:v>507.43749999999983</x:v>
      </x:c>
      <x:c r="H2335" s="37" t="n">
        <x:f t="shared" si="100">IFERROR(E2335/G2335-1,"")</x:f>
        <x:v>-0.10787042739253572</x:v>
      </x:c>
      <x:c r="I2335" s="38" t="b">
        <x:f t="shared" si="101">E2335&lt;G2335</x:f>
        <x:v>1</x:v>
      </x:c>
    </x:row>
    <x:row r="2336">
      <x:c r="A2336" s="31">
        <x:v>40406</x:v>
      </x:c>
      <x:c r="B2336" s="32">
        <x:v>458.1</x:v>
      </x:c>
      <x:c r="C2336" s="32">
        <x:v>464.8</x:v>
      </x:c>
      <x:c r="D2336" s="32">
        <x:v>456.9</x:v>
      </x:c>
      <x:c r="E2336" s="32">
        <x:v>464.8</x:v>
      </x:c>
      <x:c r="F2336" s="33">
        <x:v>36748910</x:v>
      </x:c>
      <x:c r="G2336" s="32" t="n">
        <x:f t="shared" si="99">AVERAGE(E2137:E2336)</x:f>
        <x:v>506.77749999999986</x:v>
      </x:c>
      <x:c r="H2336" s="37" t="n">
        <x:f t="shared" si="100">IFERROR(E2336/G2336-1,"")</x:f>
        <x:v>-0.08283220940156155</x:v>
      </x:c>
      <x:c r="I2336" s="38" t="b">
        <x:f t="shared" si="101">E2336&lt;G2336</x:f>
        <x:v>1</x:v>
      </x:c>
    </x:row>
    <x:row r="2337">
      <x:c r="A2337" s="31">
        <x:v>40407</x:v>
      </x:c>
      <x:c r="B2337" s="32">
        <x:v>461.9</x:v>
      </x:c>
      <x:c r="C2337" s="32">
        <x:v>463.9</x:v>
      </x:c>
      <x:c r="D2337" s="32">
        <x:v>457.2</x:v>
      </x:c>
      <x:c r="E2337" s="32">
        <x:v>463.5</x:v>
      </x:c>
      <x:c r="F2337" s="33">
        <x:v>31913320</x:v>
      </x:c>
      <x:c r="G2337" s="32" t="n">
        <x:f t="shared" si="99">AVERAGE(E2138:E2337)</x:f>
        <x:v>506.0954999999999</x:v>
      </x:c>
      <x:c r="H2337" s="37" t="n">
        <x:f t="shared" si="100">IFERROR(E2337/G2337-1,"")</x:f>
        <x:v>-0.08416494515363193</x:v>
      </x:c>
      <x:c r="I2337" s="38" t="b">
        <x:f t="shared" si="101">E2337&lt;G2337</x:f>
        <x:v>1</x:v>
      </x:c>
    </x:row>
    <x:row r="2338">
      <x:c r="A2338" s="31">
        <x:v>40408</x:v>
      </x:c>
      <x:c r="B2338" s="32">
        <x:v>461.8</x:v>
      </x:c>
      <x:c r="C2338" s="32">
        <x:v>462.1</x:v>
      </x:c>
      <x:c r="D2338" s="32">
        <x:v>453.2</x:v>
      </x:c>
      <x:c r="E2338" s="32">
        <x:v>455.5</x:v>
      </x:c>
      <x:c r="F2338" s="33">
        <x:v>34430900</x:v>
      </x:c>
      <x:c r="G2338" s="32" t="n">
        <x:f t="shared" si="99">AVERAGE(E2139:E2338)</x:f>
        <x:v>505.46549999999996</x:v>
      </x:c>
      <x:c r="H2338" s="37" t="n">
        <x:f t="shared" si="100">IFERROR(E2338/G2338-1,"")</x:f>
        <x:v>-0.09885046556095312</x:v>
      </x:c>
      <x:c r="I2338" s="38" t="b">
        <x:f t="shared" si="101">E2338&lt;G2338</x:f>
        <x:v>1</x:v>
      </x:c>
    </x:row>
    <x:row r="2339">
      <x:c r="A2339" s="31">
        <x:v>40409</x:v>
      </x:c>
      <x:c r="B2339" s="32">
        <x:v>454.5</x:v>
      </x:c>
      <x:c r="C2339" s="32">
        <x:v>455.9</x:v>
      </x:c>
      <x:c r="D2339" s="32">
        <x:v>450.1</x:v>
      </x:c>
      <x:c r="E2339" s="32">
        <x:v>452.2</x:v>
      </x:c>
      <x:c r="F2339" s="33">
        <x:v>25495110</x:v>
      </x:c>
      <x:c r="G2339" s="32" t="n">
        <x:f t="shared" si="99">AVERAGE(E2140:E2339)</x:f>
        <x:v>504.79099999999994</x:v>
      </x:c>
      <x:c r="H2339" s="37" t="n">
        <x:f t="shared" si="100">IFERROR(E2339/G2339-1,"")</x:f>
        <x:v>-0.10418371167473262</x:v>
      </x:c>
      <x:c r="I2339" s="38" t="b">
        <x:f t="shared" si="101">E2339&lt;G2339</x:f>
        <x:v>1</x:v>
      </x:c>
    </x:row>
    <x:row r="2340">
      <x:c r="A2340" s="31">
        <x:v>40410</x:v>
      </x:c>
      <x:c r="B2340" s="32">
        <x:v>452.1</x:v>
      </x:c>
      <x:c r="C2340" s="32">
        <x:v>454.8</x:v>
      </x:c>
      <x:c r="D2340" s="32">
        <x:v>444.4</x:v>
      </x:c>
      <x:c r="E2340" s="32">
        <x:v>454.8</x:v>
      </x:c>
      <x:c r="F2340" s="33">
        <x:v>31433450</x:v>
      </x:c>
      <x:c r="G2340" s="32" t="n">
        <x:f t="shared" si="99">AVERAGE(E2141:E2340)</x:f>
        <x:v>504.25649999999996</x:v>
      </x:c>
      <x:c r="H2340" s="37" t="n">
        <x:f t="shared" si="100">IFERROR(E2340/G2340-1,"")</x:f>
        <x:v>-0.09807806146276732</x:v>
      </x:c>
      <x:c r="I2340" s="38" t="b">
        <x:f t="shared" si="101">E2340&lt;G2340</x:f>
        <x:v>1</x:v>
      </x:c>
    </x:row>
    <x:row r="2341">
      <x:c r="A2341" s="31">
        <x:v>40413</x:v>
      </x:c>
      <x:c r="B2341" s="32">
        <x:v>453.1</x:v>
      </x:c>
      <x:c r="C2341" s="32">
        <x:v>453.1</x:v>
      </x:c>
      <x:c r="D2341" s="32">
        <x:v>447.9</x:v>
      </x:c>
      <x:c r="E2341" s="32">
        <x:v>447.9</x:v>
      </x:c>
      <x:c r="F2341" s="33">
        <x:v>20755050</x:v>
      </x:c>
      <x:c r="G2341" s="32" t="n">
        <x:f t="shared" si="99">AVERAGE(E2142:E2341)</x:f>
        <x:v>503.7974999999999</x:v>
      </x:c>
      <x:c r="H2341" s="37" t="n">
        <x:f t="shared" si="100">IFERROR(E2341/G2341-1,"")</x:f>
        <x:v>-0.11095231715123621</x:v>
      </x:c>
      <x:c r="I2341" s="38" t="b">
        <x:f t="shared" si="101">E2341&lt;G2341</x:f>
        <x:v>1</x:v>
      </x:c>
    </x:row>
    <x:row r="2342">
      <x:c r="A2342" s="31">
        <x:v>40414</x:v>
      </x:c>
      <x:c r="B2342" s="32">
        <x:v>441.7</x:v>
      </x:c>
      <x:c r="C2342" s="32">
        <x:v>441.7</x:v>
      </x:c>
      <x:c r="D2342" s="32">
        <x:v>433.6</x:v>
      </x:c>
      <x:c r="E2342" s="32">
        <x:v>434.4</x:v>
      </x:c>
      <x:c r="F2342" s="33">
        <x:v>42125950</x:v>
      </x:c>
      <x:c r="G2342" s="32" t="n">
        <x:f t="shared" si="99">AVERAGE(E2143:E2342)</x:f>
        <x:v>503.2819999999998</x:v>
      </x:c>
      <x:c r="H2342" s="37" t="n">
        <x:f t="shared" si="100">IFERROR(E2342/G2342-1,"")</x:f>
        <x:v>-0.13686561410898834</x:v>
      </x:c>
      <x:c r="I2342" s="38" t="b">
        <x:f t="shared" si="101">E2342&lt;G2342</x:f>
        <x:v>1</x:v>
      </x:c>
    </x:row>
    <x:row r="2343">
      <x:c r="A2343" s="31">
        <x:v>40415</x:v>
      </x:c>
      <x:c r="B2343" s="32">
        <x:v>427.01</x:v>
      </x:c>
      <x:c r="C2343" s="32">
        <x:v>428.46</x:v>
      </x:c>
      <x:c r="D2343" s="32">
        <x:v>421.3</x:v>
      </x:c>
      <x:c r="E2343" s="32">
        <x:v>423.89</x:v>
      </x:c>
      <x:c r="F2343" s="33">
        <x:v>48595740</x:v>
      </x:c>
      <x:c r="G2343" s="32" t="n">
        <x:f t="shared" si="99">AVERAGE(E2144:E2343)</x:f>
        <x:v>502.6239499999999</x:v>
      </x:c>
      <x:c r="H2343" s="37" t="n">
        <x:f t="shared" si="100">IFERROR(E2343/G2343-1,"")</x:f>
        <x:v>-0.1566458383051582</x:v>
      </x:c>
      <x:c r="I2343" s="38" t="b">
        <x:f t="shared" si="101">E2343&lt;G2343</x:f>
        <x:v>1</x:v>
      </x:c>
    </x:row>
    <x:row r="2344">
      <x:c r="A2344" s="31">
        <x:v>40416</x:v>
      </x:c>
      <x:c r="B2344" s="32">
        <x:v>425.5</x:v>
      </x:c>
      <x:c r="C2344" s="32">
        <x:v>429.1</x:v>
      </x:c>
      <x:c r="D2344" s="32">
        <x:v>421.8</x:v>
      </x:c>
      <x:c r="E2344" s="32">
        <x:v>427.1</x:v>
      </x:c>
      <x:c r="F2344" s="33">
        <x:v>37873000</x:v>
      </x:c>
      <x:c r="G2344" s="32" t="n">
        <x:f t="shared" si="99">AVERAGE(E2145:E2344)</x:f>
        <x:v>501.98494999999997</x:v>
      </x:c>
      <x:c r="H2344" s="37" t="n">
        <x:f t="shared" si="100">IFERROR(E2344/G2344-1,"")</x:f>
        <x:v>-0.14917767953003358</x:v>
      </x:c>
      <x:c r="I2344" s="38" t="b">
        <x:f t="shared" si="101">E2344&lt;G2344</x:f>
        <x:v>1</x:v>
      </x:c>
    </x:row>
    <x:row r="2345">
      <x:c r="A2345" s="31">
        <x:v>40417</x:v>
      </x:c>
      <x:c r="B2345" s="32">
        <x:v>423.1</x:v>
      </x:c>
      <x:c r="C2345" s="32">
        <x:v>431.2</x:v>
      </x:c>
      <x:c r="D2345" s="32">
        <x:v>421.7</x:v>
      </x:c>
      <x:c r="E2345" s="32">
        <x:v>429.1</x:v>
      </x:c>
      <x:c r="F2345" s="33">
        <x:v>30574580</x:v>
      </x:c>
      <x:c r="G2345" s="32" t="n">
        <x:f t="shared" si="99">AVERAGE(E2146:E2345)</x:f>
        <x:v>501.45994999999994</x:v>
      </x:c>
      <x:c r="H2345" s="37" t="n">
        <x:f t="shared" si="100">IFERROR(E2345/G2345-1,"")</x:f>
        <x:v>-0.14429856262698526</x:v>
      </x:c>
      <x:c r="I2345" s="38" t="b">
        <x:f t="shared" si="101">E2345&lt;G2345</x:f>
        <x:v>1</x:v>
      </x:c>
    </x:row>
    <x:row r="2346">
      <x:c r="A2346" s="31">
        <x:v>40420</x:v>
      </x:c>
      <x:c r="B2346" s="32">
        <x:v>439.3</x:v>
      </x:c>
      <x:c r="C2346" s="32">
        <x:v>445.4</x:v>
      </x:c>
      <x:c r="D2346" s="32">
        <x:v>439.3</x:v>
      </x:c>
      <x:c r="E2346" s="32">
        <x:v>444.6</x:v>
      </x:c>
      <x:c r="F2346" s="33">
        <x:v>32394550</x:v>
      </x:c>
      <x:c r="G2346" s="32" t="n">
        <x:f t="shared" si="99">AVERAGE(E2147:E2346)</x:f>
        <x:v>501.06095</x:v>
      </x:c>
      <x:c r="H2346" s="37" t="n">
        <x:f t="shared" si="100">IFERROR(E2346/G2346-1,"")</x:f>
        <x:v>-0.11268279837013839</x:v>
      </x:c>
      <x:c r="I2346" s="38" t="b">
        <x:f t="shared" si="101">E2346&lt;G2346</x:f>
        <x:v>1</x:v>
      </x:c>
    </x:row>
    <x:row r="2347">
      <x:c r="A2347" s="31">
        <x:v>40421</x:v>
      </x:c>
      <x:c r="B2347" s="32">
        <x:v>447.9</x:v>
      </x:c>
      <x:c r="C2347" s="32">
        <x:v>455.4</x:v>
      </x:c>
      <x:c r="D2347" s="32">
        <x:v>445.4</x:v>
      </x:c>
      <x:c r="E2347" s="32">
        <x:v>455.1</x:v>
      </x:c>
      <x:c r="F2347" s="33">
        <x:v>52012250</x:v>
      </x:c>
      <x:c r="G2347" s="32" t="n">
        <x:f t="shared" si="99">AVERAGE(E2148:E2347)</x:f>
        <x:v>500.64845</x:v>
      </x:c>
      <x:c r="H2347" s="37" t="n">
        <x:f t="shared" si="100">IFERROR(E2347/G2347-1,"")</x:f>
        <x:v>-0.09097890945233122</x:v>
      </x:c>
      <x:c r="I2347" s="38" t="b">
        <x:f t="shared" si="101">E2347&lt;G2347</x:f>
        <x:v>1</x:v>
      </x:c>
    </x:row>
    <x:row r="2348">
      <x:c r="A2348" s="31">
        <x:v>40422</x:v>
      </x:c>
      <x:c r="B2348" s="32">
        <x:v>456.5</x:v>
      </x:c>
      <x:c r="C2348" s="32">
        <x:v>458.8</x:v>
      </x:c>
      <x:c r="D2348" s="32">
        <x:v>451.8</x:v>
      </x:c>
      <x:c r="E2348" s="32">
        <x:v>458.8</x:v>
      </x:c>
      <x:c r="F2348" s="33">
        <x:v>44585390</x:v>
      </x:c>
      <x:c r="G2348" s="32" t="n">
        <x:f t="shared" si="99">AVERAGE(E2149:E2348)</x:f>
        <x:v>500.2124500000001</x:v>
      </x:c>
      <x:c r="H2348" s="37" t="n">
        <x:f t="shared" si="100">IFERROR(E2348/G2348-1,"")</x:f>
        <x:v>-0.08278972264684747</x:v>
      </x:c>
      <x:c r="I2348" s="38" t="b">
        <x:f t="shared" si="101">E2348&lt;G2348</x:f>
        <x:v>1</x:v>
      </x:c>
    </x:row>
    <x:row r="2349">
      <x:c r="A2349" s="31">
        <x:v>40427</x:v>
      </x:c>
      <x:c r="B2349" s="32">
        <x:v>463.9</x:v>
      </x:c>
      <x:c r="C2349" s="32">
        <x:v>464.5</x:v>
      </x:c>
      <x:c r="D2349" s="32">
        <x:v>463.9</x:v>
      </x:c>
      <x:c r="E2349" s="32">
        <x:v>466</x:v>
      </x:c>
      <x:c r="F2349" s="33">
        <x:v>53323290</x:v>
      </x:c>
      <x:c r="G2349" s="32" t="n">
        <x:f t="shared" si="99">AVERAGE(E2150:E2349)</x:f>
        <x:v>499.80145000000005</x:v>
      </x:c>
      <x:c r="H2349" s="37" t="n">
        <x:f t="shared" si="100">IFERROR(E2349/G2349-1,"")</x:f>
        <x:v>-0.06762975577601871</x:v>
      </x:c>
      <x:c r="I2349" s="38" t="b">
        <x:f t="shared" si="101">E2349&lt;G2349</x:f>
        <x:v>1</x:v>
      </x:c>
    </x:row>
    <x:row r="2350">
      <x:c r="A2350" s="31">
        <x:v>40428</x:v>
      </x:c>
      <x:c r="B2350" s="32">
        <x:v>463.4</x:v>
      </x:c>
      <x:c r="C2350" s="32">
        <x:v>467.4</x:v>
      </x:c>
      <x:c r="D2350" s="32">
        <x:v>458.9</x:v>
      </x:c>
      <x:c r="E2350" s="32">
        <x:v>460.6</x:v>
      </x:c>
      <x:c r="F2350" s="33">
        <x:v>51314870</x:v>
      </x:c>
      <x:c r="G2350" s="32" t="n">
        <x:f t="shared" si="99">AVERAGE(E2151:E2350)</x:f>
        <x:v>499.37595</x:v>
      </x:c>
      <x:c r="H2350" s="37" t="n">
        <x:f t="shared" si="100">IFERROR(E2350/G2350-1,"")</x:f>
        <x:v>-0.07764881348410946</x:v>
      </x:c>
      <x:c r="I2350" s="38" t="b">
        <x:f t="shared" si="101">E2350&lt;G2350</x:f>
        <x:v>1</x:v>
      </x:c>
    </x:row>
    <x:row r="2351">
      <x:c r="A2351" s="31">
        <x:v>40429</x:v>
      </x:c>
      <x:c r="B2351" s="32">
        <x:v>454.3</x:v>
      </x:c>
      <x:c r="C2351" s="32">
        <x:v>458.4</x:v>
      </x:c>
      <x:c r="D2351" s="32">
        <x:v>453</x:v>
      </x:c>
      <x:c r="E2351" s="32">
        <x:v>458.4</x:v>
      </x:c>
      <x:c r="F2351" s="33">
        <x:v>52182480</x:v>
      </x:c>
      <x:c r="G2351" s="32" t="n">
        <x:f t="shared" si="99">AVERAGE(E2152:E2351)</x:f>
        <x:v>498.93245</x:v>
      </x:c>
      <x:c r="H2351" s="37" t="n">
        <x:f t="shared" si="100">IFERROR(E2351/G2351-1,"")</x:f>
        <x:v>-0.08123835200536678</x:v>
      </x:c>
      <x:c r="I2351" s="38" t="b">
        <x:f t="shared" si="101">E2351&lt;G2351</x:f>
        <x:v>1</x:v>
      </x:c>
    </x:row>
    <x:row r="2352">
      <x:c r="A2352" s="31">
        <x:v>40430</x:v>
      </x:c>
      <x:c r="B2352" s="32">
        <x:v>462.5</x:v>
      </x:c>
      <x:c r="C2352" s="32">
        <x:v>465.7</x:v>
      </x:c>
      <x:c r="D2352" s="32">
        <x:v>459.9</x:v>
      </x:c>
      <x:c r="E2352" s="32">
        <x:v>463.7</x:v>
      </x:c>
      <x:c r="F2352" s="33">
        <x:v>45688650</x:v>
      </x:c>
      <x:c r="G2352" s="32" t="n">
        <x:f t="shared" si="99">AVERAGE(E2153:E2352)</x:f>
        <x:v>498.4819500000001</x:v>
      </x:c>
      <x:c r="H2352" s="37" t="n">
        <x:f t="shared" si="100">IFERROR(E2352/G2352-1,"")</x:f>
        <x:v>-0.06977574614286453</x:v>
      </x:c>
      <x:c r="I2352" s="38" t="b">
        <x:f t="shared" si="101">E2352&lt;G2352</x:f>
        <x:v>1</x:v>
      </x:c>
    </x:row>
    <x:row r="2353">
      <x:c r="A2353" s="31">
        <x:v>40431</x:v>
      </x:c>
      <x:c r="B2353" s="32">
        <x:v>463.5</x:v>
      </x:c>
      <x:c r="C2353" s="32">
        <x:v>464.3</x:v>
      </x:c>
      <x:c r="D2353" s="32">
        <x:v>451.4</x:v>
      </x:c>
      <x:c r="E2353" s="32">
        <x:v>451.4</x:v>
      </x:c>
      <x:c r="F2353" s="33">
        <x:v>51772570</x:v>
      </x:c>
      <x:c r="G2353" s="32" t="n">
        <x:f t="shared" si="99">AVERAGE(E2154:E2353)</x:f>
        <x:v>497.93845</x:v>
      </x:c>
      <x:c r="H2353" s="37" t="n">
        <x:f t="shared" si="100">IFERROR(E2353/G2353-1,"")</x:f>
        <x:v>-0.09346225422037602</x:v>
      </x:c>
      <x:c r="I2353" s="38" t="b">
        <x:f t="shared" si="101">E2353&lt;G2353</x:f>
        <x:v>1</x:v>
      </x:c>
    </x:row>
    <x:row r="2354">
      <x:c r="A2354" s="31">
        <x:v>40434</x:v>
      </x:c>
      <x:c r="B2354" s="32">
        <x:v>449</x:v>
      </x:c>
      <x:c r="C2354" s="32">
        <x:v>452.5</x:v>
      </x:c>
      <x:c r="D2354" s="32">
        <x:v>442.4</x:v>
      </x:c>
      <x:c r="E2354" s="32">
        <x:v>447.3</x:v>
      </x:c>
      <x:c r="F2354" s="33">
        <x:v>43764390</x:v>
      </x:c>
      <x:c r="G2354" s="32" t="n">
        <x:f t="shared" si="99">AVERAGE(E2155:E2354)</x:f>
        <x:v>497.39595</x:v>
      </x:c>
      <x:c r="H2354" s="37" t="n">
        <x:f t="shared" si="100">IFERROR(E2354/G2354-1,"")</x:f>
        <x:v>-0.10071644129792379</x:v>
      </x:c>
      <x:c r="I2354" s="38" t="b">
        <x:f t="shared" si="101">E2354&lt;G2354</x:f>
        <x:v>1</x:v>
      </x:c>
    </x:row>
    <x:row r="2355">
      <x:c r="A2355" s="31">
        <x:v>40435</x:v>
      </x:c>
      <x:c r="B2355" s="32">
        <x:v>451</x:v>
      </x:c>
      <x:c r="C2355" s="32">
        <x:v>451.5</x:v>
      </x:c>
      <x:c r="D2355" s="32">
        <x:v>448</x:v>
      </x:c>
      <x:c r="E2355" s="32">
        <x:v>449</x:v>
      </x:c>
      <x:c r="F2355" s="33">
        <x:v>34392250</x:v>
      </x:c>
      <x:c r="G2355" s="32" t="n">
        <x:f t="shared" si="99">AVERAGE(E2156:E2355)</x:f>
        <x:v>496.95595000000003</x:v>
      </x:c>
      <x:c r="H2355" s="37" t="n">
        <x:f t="shared" si="100">IFERROR(E2355/G2355-1,"")</x:f>
        <x:v>-0.09649939798487173</x:v>
      </x:c>
      <x:c r="I2355" s="38" t="b">
        <x:f t="shared" si="101">E2355&lt;G2355</x:f>
        <x:v>1</x:v>
      </x:c>
    </x:row>
    <x:row r="2356">
      <x:c r="A2356" s="31">
        <x:v>40436</x:v>
      </x:c>
      <x:c r="B2356" s="32">
        <x:v>449.1</x:v>
      </x:c>
      <x:c r="C2356" s="32">
        <x:v>450.5</x:v>
      </x:c>
      <x:c r="D2356" s="32">
        <x:v>444.7</x:v>
      </x:c>
      <x:c r="E2356" s="32">
        <x:v>448.7</x:v>
      </x:c>
      <x:c r="F2356" s="33">
        <x:v>33752200</x:v>
      </x:c>
      <x:c r="G2356" s="32" t="n">
        <x:f t="shared" si="99">AVERAGE(E2157:E2356)</x:f>
        <x:v>496.56395000000003</x:v>
      </x:c>
      <x:c r="H2356" s="37" t="n">
        <x:f t="shared" si="100">IFERROR(E2356/G2356-1,"")</x:f>
        <x:v>-0.0963903038067907</x:v>
      </x:c>
      <x:c r="I2356" s="38" t="b">
        <x:f t="shared" si="101">E2356&lt;G2356</x:f>
        <x:v>1</x:v>
      </x:c>
    </x:row>
    <x:row r="2357">
      <x:c r="A2357" s="31">
        <x:v>40437</x:v>
      </x:c>
      <x:c r="B2357" s="32">
        <x:v>445.7</x:v>
      </x:c>
      <x:c r="C2357" s="32">
        <x:v>450.9</x:v>
      </x:c>
      <x:c r="D2357" s="32">
        <x:v>445.5</x:v>
      </x:c>
      <x:c r="E2357" s="32">
        <x:v>449.5</x:v>
      </x:c>
      <x:c r="F2357" s="33">
        <x:v>28225130</x:v>
      </x:c>
      <x:c r="G2357" s="32" t="n">
        <x:f t="shared" si="99">AVERAGE(E2158:E2357)</x:f>
        <x:v>496.2944500000001</x:v>
      </x:c>
      <x:c r="H2357" s="37" t="n">
        <x:f t="shared" si="100">IFERROR(E2357/G2357-1,"")</x:f>
        <x:v>-0.09428767539109106</x:v>
      </x:c>
      <x:c r="I2357" s="38" t="b">
        <x:f t="shared" si="101">E2357&lt;G2357</x:f>
        <x:v>1</x:v>
      </x:c>
    </x:row>
    <x:row r="2358">
      <x:c r="A2358" s="31">
        <x:v>40438</x:v>
      </x:c>
      <x:c r="B2358" s="32">
        <x:v>451.5</x:v>
      </x:c>
      <x:c r="C2358" s="32">
        <x:v>453.8</x:v>
      </x:c>
      <x:c r="D2358" s="32">
        <x:v>450.6</x:v>
      </x:c>
      <x:c r="E2358" s="32">
        <x:v>457.6</x:v>
      </x:c>
      <x:c r="F2358" s="33">
        <x:v>46398130</x:v>
      </x:c>
      <x:c r="G2358" s="32" t="n">
        <x:f t="shared" si="99">AVERAGE(E2159:E2358)</x:f>
        <x:v>496.1694500000001</x:v>
      </x:c>
      <x:c r="H2358" s="37" t="n">
        <x:f t="shared" si="100">IFERROR(E2358/G2358-1,"")</x:f>
        <x:v>-0.07773443125125912</x:v>
      </x:c>
      <x:c r="I2358" s="38" t="b">
        <x:f t="shared" si="101">E2358&lt;G2358</x:f>
        <x:v>1</x:v>
      </x:c>
    </x:row>
    <x:row r="2359">
      <x:c r="A2359" s="31">
        <x:v>40441</x:v>
      </x:c>
      <x:c r="B2359" s="32">
        <x:v>462</x:v>
      </x:c>
      <x:c r="C2359" s="32">
        <x:v>462.8</x:v>
      </x:c>
      <x:c r="D2359" s="32">
        <x:v>457.9</x:v>
      </x:c>
      <x:c r="E2359" s="32">
        <x:v>457.9</x:v>
      </x:c>
      <x:c r="F2359" s="33">
        <x:v>48445710</x:v>
      </x:c>
      <x:c r="G2359" s="32" t="n">
        <x:f t="shared" si="99">AVERAGE(E2160:E2359)</x:f>
        <x:v>496.00595</x:v>
      </x:c>
      <x:c r="H2359" s="37" t="n">
        <x:f t="shared" si="100">IFERROR(E2359/G2359-1,"")</x:f>
        <x:v>-0.0768255904994688</x:v>
      </x:c>
      <x:c r="I2359" s="38" t="b">
        <x:f t="shared" si="101">E2359&lt;G2359</x:f>
        <x:v>1</x:v>
      </x:c>
    </x:row>
    <x:row r="2360">
      <x:c r="A2360" s="31">
        <x:v>40442</x:v>
      </x:c>
      <x:c r="B2360" s="32">
        <x:v>457.7</x:v>
      </x:c>
      <x:c r="C2360" s="32">
        <x:v>457.9</x:v>
      </x:c>
      <x:c r="D2360" s="32">
        <x:v>453.3</x:v>
      </x:c>
      <x:c r="E2360" s="32">
        <x:v>453.3</x:v>
      </x:c>
      <x:c r="F2360" s="33">
        <x:v>55518560</x:v>
      </x:c>
      <x:c r="G2360" s="32" t="n">
        <x:f t="shared" si="99">AVERAGE(E2161:E2360)</x:f>
        <x:v>495.75195</x:v>
      </x:c>
      <x:c r="H2360" s="37" t="n">
        <x:f t="shared" si="100">IFERROR(E2360/G2360-1,"")</x:f>
        <x:v>-0.08563143321977862</x:v>
      </x:c>
      <x:c r="I2360" s="38" t="b">
        <x:f t="shared" si="101">E2360&lt;G2360</x:f>
        <x:v>1</x:v>
      </x:c>
    </x:row>
    <x:row r="2361">
      <x:c r="A2361" s="31">
        <x:v>40443</x:v>
      </x:c>
      <x:c r="B2361" s="32">
        <x:v>453</x:v>
      </x:c>
      <x:c r="C2361" s="32">
        <x:v>455.8</x:v>
      </x:c>
      <x:c r="D2361" s="32">
        <x:v>453</x:v>
      </x:c>
      <x:c r="E2361" s="32">
        <x:v>453.9</x:v>
      </x:c>
      <x:c r="F2361" s="33">
        <x:v>29300790</x:v>
      </x:c>
      <x:c r="G2361" s="32" t="n">
        <x:f t="shared" si="99">AVERAGE(E2162:E2361)</x:f>
        <x:v>495.4469500000001</x:v>
      </x:c>
      <x:c r="H2361" s="37" t="n">
        <x:f t="shared" si="100">IFERROR(E2361/G2361-1,"")</x:f>
        <x:v>-0.08385751491658211</x:v>
      </x:c>
      <x:c r="I2361" s="38" t="b">
        <x:f t="shared" si="101">E2361&lt;G2361</x:f>
        <x:v>1</x:v>
      </x:c>
    </x:row>
    <x:row r="2362">
      <x:c r="A2362" s="31">
        <x:v>40444</x:v>
      </x:c>
      <x:c r="B2362" s="32">
        <x:v>451.4</x:v>
      </x:c>
      <x:c r="C2362" s="32">
        <x:v>453.7</x:v>
      </x:c>
      <x:c r="D2362" s="32">
        <x:v>447.2</x:v>
      </x:c>
      <x:c r="E2362" s="32">
        <x:v>450.8</x:v>
      </x:c>
      <x:c r="F2362" s="33">
        <x:v>43857260</x:v>
      </x:c>
      <x:c r="G2362" s="32" t="n">
        <x:f t="shared" si="99">AVERAGE(E2163:E2362)</x:f>
        <x:v>495.20545000000004</x:v>
      </x:c>
      <x:c r="H2362" s="37" t="n">
        <x:f t="shared" si="100">IFERROR(E2362/G2362-1,"")</x:f>
        <x:v>-0.08967076190296375</x:v>
      </x:c>
      <x:c r="I2362" s="38" t="b">
        <x:f t="shared" si="101">E2362&lt;G2362</x:f>
        <x:v>1</x:v>
      </x:c>
    </x:row>
    <x:row r="2363">
      <x:c r="A2363" s="31">
        <x:v>40445</x:v>
      </x:c>
      <x:c r="B2363" s="32">
        <x:v>449.1</x:v>
      </x:c>
      <x:c r="C2363" s="32">
        <x:v>452.3</x:v>
      </x:c>
      <x:c r="D2363" s="32">
        <x:v>448.2</x:v>
      </x:c>
      <x:c r="E2363" s="32">
        <x:v>449.7</x:v>
      </x:c>
      <x:c r="F2363" s="33">
        <x:v>32025770</x:v>
      </x:c>
      <x:c r="G2363" s="32" t="n">
        <x:f t="shared" si="99">AVERAGE(E2164:E2363)</x:f>
        <x:v>494.97995000000003</x:v>
      </x:c>
      <x:c r="H2363" s="37" t="n">
        <x:f t="shared" si="100">IFERROR(E2363/G2363-1,"")</x:f>
        <x:v>-0.09147835179990627</x:v>
      </x:c>
      <x:c r="I2363" s="38" t="b">
        <x:f t="shared" si="101">E2363&lt;G2363</x:f>
        <x:v>1</x:v>
      </x:c>
    </x:row>
    <x:row r="2364">
      <x:c r="A2364" s="31">
        <x:v>40448</x:v>
      </x:c>
      <x:c r="B2364" s="32">
        <x:v>451.2</x:v>
      </x:c>
      <x:c r="C2364" s="32">
        <x:v>452.5</x:v>
      </x:c>
      <x:c r="D2364" s="32">
        <x:v>449.4</x:v>
      </x:c>
      <x:c r="E2364" s="32">
        <x:v>450.2</x:v>
      </x:c>
      <x:c r="F2364" s="33">
        <x:v>32776240</x:v>
      </x:c>
      <x:c r="G2364" s="32" t="n">
        <x:f t="shared" si="99">AVERAGE(E2165:E2364)</x:f>
        <x:v>494.75595</x:v>
      </x:c>
      <x:c r="H2364" s="37" t="n">
        <x:f t="shared" si="100">IFERROR(E2364/G2364-1,"")</x:f>
        <x:v>-0.09005642074643061</x:v>
      </x:c>
      <x:c r="I2364" s="38" t="b">
        <x:f t="shared" si="101">E2364&lt;G2364</x:f>
        <x:v>1</x:v>
      </x:c>
    </x:row>
    <x:row r="2365">
      <x:c r="A2365" s="31">
        <x:v>40449</x:v>
      </x:c>
      <x:c r="B2365" s="32">
        <x:v>452.1</x:v>
      </x:c>
      <x:c r="C2365" s="32">
        <x:v>455.1</x:v>
      </x:c>
      <x:c r="D2365" s="32">
        <x:v>452.1</x:v>
      </x:c>
      <x:c r="E2365" s="32">
        <x:v>455.1</x:v>
      </x:c>
      <x:c r="F2365" s="33">
        <x:v>34805670</x:v>
      </x:c>
      <x:c r="G2365" s="32" t="n">
        <x:f t="shared" si="99">AVERAGE(E2166:E2365)</x:f>
        <x:v>494.53845</x:v>
      </x:c>
      <x:c r="H2365" s="37" t="n">
        <x:f t="shared" si="100">IFERROR(E2365/G2365-1,"")</x:f>
        <x:v>-0.07974799532776466</x:v>
      </x:c>
      <x:c r="I2365" s="38" t="b">
        <x:f t="shared" si="101">E2365&lt;G2365</x:f>
        <x:v>1</x:v>
      </x:c>
    </x:row>
    <x:row r="2366">
      <x:c r="A2366" s="31">
        <x:v>40450</x:v>
      </x:c>
      <x:c r="B2366" s="32">
        <x:v>458</x:v>
      </x:c>
      <x:c r="C2366" s="32">
        <x:v>458</x:v>
      </x:c>
      <x:c r="D2366" s="32">
        <x:v>452.9</x:v>
      </x:c>
      <x:c r="E2366" s="32">
        <x:v>452.9</x:v>
      </x:c>
      <x:c r="F2366" s="33">
        <x:v>29316750</x:v>
      </x:c>
      <x:c r="G2366" s="32" t="n">
        <x:f t="shared" si="99">AVERAGE(E2167:E2366)</x:f>
        <x:v>494.36044999999996</x:v>
      </x:c>
      <x:c r="H2366" s="37" t="n">
        <x:f t="shared" si="100">IFERROR(E2366/G2366-1,"")</x:f>
        <x:v>-0.0838668425032787</x:v>
      </x:c>
      <x:c r="I2366" s="38" t="b">
        <x:f t="shared" si="101">E2366&lt;G2366</x:f>
        <x:v>1</x:v>
      </x:c>
    </x:row>
    <x:row r="2367">
      <x:c r="A2367" s="31">
        <x:v>40451</x:v>
      </x:c>
      <x:c r="B2367" s="32">
        <x:v>452.7</x:v>
      </x:c>
      <x:c r="C2367" s="32">
        <x:v>454.5</x:v>
      </x:c>
      <x:c r="D2367" s="32">
        <x:v>451.3</x:v>
      </x:c>
      <x:c r="E2367" s="32">
        <x:v>454.5</x:v>
      </x:c>
      <x:c r="F2367" s="33">
        <x:v>30027520</x:v>
      </x:c>
      <x:c r="G2367" s="32" t="n">
        <x:f t="shared" si="99">AVERAGE(E2168:E2367)</x:f>
        <x:v>494.27995000000004</x:v>
      </x:c>
      <x:c r="H2367" s="37" t="n">
        <x:f t="shared" si="100">IFERROR(E2367/G2367-1,"")</x:f>
        <x:v>-0.08048060618279185</x:v>
      </x:c>
      <x:c r="I2367" s="38" t="b">
        <x:f t="shared" si="101">E2367&lt;G2367</x:f>
        <x:v>1</x:v>
      </x:c>
    </x:row>
    <x:row r="2368">
      <x:c r="A2368" s="31">
        <x:v>40452</x:v>
      </x:c>
      <x:c r="B2368" s="32">
        <x:v>454.4</x:v>
      </x:c>
      <x:c r="C2368" s="32">
        <x:v>455.5</x:v>
      </x:c>
      <x:c r="D2368" s="32">
        <x:v>451.7</x:v>
      </x:c>
      <x:c r="E2368" s="32">
        <x:v>451.7</x:v>
      </x:c>
      <x:c r="F2368" s="33">
        <x:v>27901710</x:v>
      </x:c>
      <x:c r="G2368" s="32" t="n">
        <x:f t="shared" si="99">AVERAGE(E2169:E2368)</x:f>
        <x:v>494.24494999999996</x:v>
      </x:c>
      <x:c r="H2368" s="37" t="n">
        <x:f t="shared" si="100">IFERROR(E2368/G2368-1,"")</x:f>
        <x:v>-0.08608069743555291</x:v>
      </x:c>
      <x:c r="I2368" s="38" t="b">
        <x:f t="shared" si="101">E2368&lt;G2368</x:f>
        <x:v>1</x:v>
      </x:c>
    </x:row>
    <x:row r="2369">
      <x:c r="A2369" s="31">
        <x:v>40455</x:v>
      </x:c>
      <x:c r="B2369" s="32">
        <x:v>452.4</x:v>
      </x:c>
      <x:c r="C2369" s="32">
        <x:v>452.4</x:v>
      </x:c>
      <x:c r="D2369" s="32">
        <x:v>444</x:v>
      </x:c>
      <x:c r="E2369" s="32">
        <x:v>445.8</x:v>
      </x:c>
      <x:c r="F2369" s="33">
        <x:v>45475870</x:v>
      </x:c>
      <x:c r="G2369" s="32" t="n">
        <x:f t="shared" si="99">AVERAGE(E2170:E2369)</x:f>
        <x:v>494.25295</x:v>
      </x:c>
      <x:c r="H2369" s="37" t="n">
        <x:f t="shared" si="100">IFERROR(E2369/G2369-1,"")</x:f>
        <x:v>-0.09803269762982691</x:v>
      </x:c>
      <x:c r="I2369" s="38" t="b">
        <x:f t="shared" si="101">E2369&lt;G2369</x:f>
        <x:v>1</x:v>
      </x:c>
    </x:row>
    <x:row r="2370">
      <x:c r="A2370" s="31">
        <x:v>40456</x:v>
      </x:c>
      <x:c r="B2370" s="32">
        <x:v>440.9</x:v>
      </x:c>
      <x:c r="C2370" s="32">
        <x:v>451</x:v>
      </x:c>
      <x:c r="D2370" s="32">
        <x:v>440.6</x:v>
      </x:c>
      <x:c r="E2370" s="32">
        <x:v>451</x:v>
      </x:c>
      <x:c r="F2370" s="33">
        <x:v>31545370</x:v>
      </x:c>
      <x:c r="G2370" s="32" t="n">
        <x:f t="shared" si="99">AVERAGE(E2171:E2370)</x:f>
        <x:v>494.21594999999996</x:v>
      </x:c>
      <x:c r="H2370" s="37" t="n">
        <x:f t="shared" si="100">IFERROR(E2370/G2370-1,"")</x:f>
        <x:v>-0.08744345462747605</x:v>
      </x:c>
      <x:c r="I2370" s="38" t="b">
        <x:f t="shared" si="101">E2370&lt;G2370</x:f>
        <x:v>1</x:v>
      </x:c>
    </x:row>
    <x:row r="2371">
      <x:c r="A2371" s="31">
        <x:v>40457</x:v>
      </x:c>
      <x:c r="B2371" s="32">
        <x:v>452.9</x:v>
      </x:c>
      <x:c r="C2371" s="32">
        <x:v>460.7</x:v>
      </x:c>
      <x:c r="D2371" s="32">
        <x:v>452.8</x:v>
      </x:c>
      <x:c r="E2371" s="32">
        <x:v>460.7</x:v>
      </x:c>
      <x:c r="F2371" s="33">
        <x:v>33650890</x:v>
      </x:c>
      <x:c r="G2371" s="32" t="n">
        <x:f t="shared" si="99">AVERAGE(E2172:E2371)</x:f>
        <x:v>494.22244999999987</x:v>
      </x:c>
      <x:c r="H2371" s="37" t="n">
        <x:f t="shared" si="100">IFERROR(E2371/G2371-1,"")</x:f>
        <x:v>-0.0678286670304028</x:v>
      </x:c>
      <x:c r="I2371" s="38" t="b">
        <x:f t="shared" si="101">E2371&lt;G2371</x:f>
        <x:v>1</x:v>
      </x:c>
    </x:row>
    <x:row r="2372">
      <x:c r="A2372" s="31">
        <x:v>40458</x:v>
      </x:c>
      <x:c r="B2372" s="32">
        <x:v>462</x:v>
      </x:c>
      <x:c r="C2372" s="32">
        <x:v>467.6</x:v>
      </x:c>
      <x:c r="D2372" s="32">
        <x:v>460.2</x:v>
      </x:c>
      <x:c r="E2372" s="32">
        <x:v>462.1</x:v>
      </x:c>
      <x:c r="F2372" s="33">
        <x:v>34258650</x:v>
      </x:c>
      <x:c r="G2372" s="32" t="n">
        <x:f t="shared" si="99">AVERAGE(E2173:E2372)</x:f>
        <x:v>494.32244999999995</x:v>
      </x:c>
      <x:c r="H2372" s="37" t="n">
        <x:f t="shared" si="100">IFERROR(E2372/G2372-1,"")</x:f>
        <x:v>-0.0651850831375349</x:v>
      </x:c>
      <x:c r="I2372" s="38" t="b">
        <x:f t="shared" si="101">E2372&lt;G2372</x:f>
        <x:v>1</x:v>
      </x:c>
    </x:row>
    <x:row r="2373">
      <x:c r="A2373" s="31">
        <x:v>40459</x:v>
      </x:c>
      <x:c r="B2373" s="32">
        <x:v>462</x:v>
      </x:c>
      <x:c r="C2373" s="32">
        <x:v>467.6</x:v>
      </x:c>
      <x:c r="D2373" s="32">
        <x:v>460.2</x:v>
      </x:c>
      <x:c r="E2373" s="32">
        <x:v>459.3</x:v>
      </x:c>
      <x:c r="F2373" s="33">
        <x:v>28255370</x:v>
      </x:c>
      <x:c r="G2373" s="32" t="n">
        <x:f t="shared" si="99">AVERAGE(E2174:E2373)</x:f>
        <x:v>494.4444499999999</x:v>
      </x:c>
      <x:c r="H2373" s="37" t="n">
        <x:f t="shared" si="100">IFERROR(E2373/G2373-1,"")</x:f>
        <x:v>-0.07107866212271141</x:v>
      </x:c>
      <x:c r="I2373" s="38" t="b">
        <x:f t="shared" si="101">E2373&lt;G2373</x:f>
        <x:v>1</x:v>
      </x:c>
    </x:row>
    <x:row r="2374">
      <x:c r="A2374" s="31">
        <x:v>40462</x:v>
      </x:c>
      <x:c r="B2374" s="32">
        <x:v>457.4</x:v>
      </x:c>
      <x:c r="C2374" s="32">
        <x:v>461.5</x:v>
      </x:c>
      <x:c r="D2374" s="32">
        <x:v>456.6</x:v>
      </x:c>
      <x:c r="E2374" s="32">
        <x:v>459.3</x:v>
      </x:c>
      <x:c r="F2374" s="33">
        <x:v>19670910</x:v>
      </x:c>
      <x:c r="G2374" s="32" t="n">
        <x:f t="shared" si="99">AVERAGE(E2175:E2374)</x:f>
        <x:v>494.52444999999994</x:v>
      </x:c>
      <x:c r="H2374" s="37" t="n">
        <x:f t="shared" si="100">IFERROR(E2374/G2374-1,"")</x:f>
        <x:v>-0.07122893519218298</x:v>
      </x:c>
      <x:c r="I2374" s="38" t="b">
        <x:f t="shared" si="101">E2374&lt;G2374</x:f>
        <x:v>1</x:v>
      </x:c>
    </x:row>
    <x:row r="2375">
      <x:c r="A2375" s="31">
        <x:v>40463</x:v>
      </x:c>
      <x:c r="B2375" s="32">
        <x:v>457.2</x:v>
      </x:c>
      <x:c r="C2375" s="32">
        <x:v>459.9</x:v>
      </x:c>
      <x:c r="D2375" s="32">
        <x:v>453.7</x:v>
      </x:c>
      <x:c r="E2375" s="32">
        <x:v>454.3</x:v>
      </x:c>
      <x:c r="F2375" s="33">
        <x:v>25937800</x:v>
      </x:c>
      <x:c r="G2375" s="32" t="n">
        <x:f t="shared" si="99">AVERAGE(E2176:E2375)</x:f>
        <x:v>494.49094999999994</x:v>
      </x:c>
      <x:c r="H2375" s="37" t="n">
        <x:f t="shared" si="100">IFERROR(E2375/G2375-1,"")</x:f>
        <x:v>-0.08127742277184236</x:v>
      </x:c>
      <x:c r="I2375" s="38" t="b">
        <x:f t="shared" si="101">E2375&lt;G2375</x:f>
        <x:v>1</x:v>
      </x:c>
    </x:row>
    <x:row r="2376">
      <x:c r="A2376" s="31">
        <x:v>40464</x:v>
      </x:c>
      <x:c r="B2376" s="32">
        <x:v>453.2</x:v>
      </x:c>
      <x:c r="C2376" s="32">
        <x:v>457.7</x:v>
      </x:c>
      <x:c r="D2376" s="32">
        <x:v>452.2</x:v>
      </x:c>
      <x:c r="E2376" s="32">
        <x:v>457.7</x:v>
      </x:c>
      <x:c r="F2376" s="33">
        <x:v>21737290</x:v>
      </x:c>
      <x:c r="G2376" s="32" t="n">
        <x:f t="shared" si="99">AVERAGE(E2177:E2376)</x:f>
        <x:v>494.45345000000003</x:v>
      </x:c>
      <x:c r="H2376" s="37" t="n">
        <x:f t="shared" si="100">IFERROR(E2376/G2376-1,"")</x:f>
        <x:v>-0.07433146638980892</x:v>
      </x:c>
      <x:c r="I2376" s="38" t="b">
        <x:f t="shared" si="101">E2376&lt;G2376</x:f>
        <x:v>1</x:v>
      </x:c>
    </x:row>
    <x:row r="2377">
      <x:c r="A2377" s="31">
        <x:v>40465</x:v>
      </x:c>
      <x:c r="B2377" s="32">
        <x:v>459.8</x:v>
      </x:c>
      <x:c r="C2377" s="32">
        <x:v>460.9</x:v>
      </x:c>
      <x:c r="D2377" s="32">
        <x:v>457.9</x:v>
      </x:c>
      <x:c r="E2377" s="32">
        <x:v>458.7</x:v>
      </x:c>
      <x:c r="F2377" s="33">
        <x:v>21056210</x:v>
      </x:c>
      <x:c r="G2377" s="32" t="n">
        <x:f t="shared" si="99">AVERAGE(E2178:E2377)</x:f>
        <x:v>494.39295</x:v>
      </x:c>
      <x:c r="H2377" s="37" t="n">
        <x:f t="shared" si="100">IFERROR(E2377/G2377-1,"")</x:f>
        <x:v>-0.07219550764225091</x:v>
      </x:c>
      <x:c r="I2377" s="38" t="b">
        <x:f t="shared" si="101">E2377&lt;G2377</x:f>
        <x:v>1</x:v>
      </x:c>
    </x:row>
    <x:row r="2378">
      <x:c r="A2378" s="31">
        <x:v>40466</x:v>
      </x:c>
      <x:c r="B2378" s="32">
        <x:v>457.1</x:v>
      </x:c>
      <x:c r="C2378" s="32">
        <x:v>458.4</x:v>
      </x:c>
      <x:c r="D2378" s="32">
        <x:v>455.7</x:v>
      </x:c>
      <x:c r="E2378" s="32">
        <x:v>458.4</x:v>
      </x:c>
      <x:c r="F2378" s="33">
        <x:v>22505540</x:v>
      </x:c>
      <x:c r="G2378" s="32" t="n">
        <x:f t="shared" si="99">AVERAGE(E2179:E2378)</x:f>
        <x:v>494.28944999999993</x:v>
      </x:c>
      <x:c r="H2378" s="37" t="n">
        <x:f t="shared" si="100">IFERROR(E2378/G2378-1,"")</x:f>
        <x:v>-0.07260816511459012</x:v>
      </x:c>
      <x:c r="I2378" s="38" t="b">
        <x:f t="shared" si="101">E2378&lt;G2378</x:f>
        <x:v>1</x:v>
      </x:c>
    </x:row>
    <x:row r="2379">
      <x:c r="A2379" s="31">
        <x:v>40469</x:v>
      </x:c>
      <x:c r="B2379" s="32">
        <x:v>458.4</x:v>
      </x:c>
      <x:c r="C2379" s="32">
        <x:v>459.4</x:v>
      </x:c>
      <x:c r="D2379" s="32">
        <x:v>456</x:v>
      </x:c>
      <x:c r="E2379" s="32">
        <x:v>457.6</x:v>
      </x:c>
      <x:c r="F2379" s="33">
        <x:v>19757170</x:v>
      </x:c>
      <x:c r="G2379" s="32" t="n">
        <x:f t="shared" si="99">AVERAGE(E2180:E2379)</x:f>
        <x:v>494.10195</x:v>
      </x:c>
      <x:c r="H2379" s="37" t="n">
        <x:f t="shared" si="100">IFERROR(E2379/G2379-1,"")</x:f>
        <x:v>-0.07387534090889536</x:v>
      </x:c>
      <x:c r="I2379" s="38" t="b">
        <x:f t="shared" si="101">E2379&lt;G2379</x:f>
        <x:v>1</x:v>
      </x:c>
    </x:row>
    <x:row r="2380">
      <x:c r="A2380" s="31">
        <x:v>40470</x:v>
      </x:c>
      <x:c r="B2380" s="32">
        <x:v>458.4</x:v>
      </x:c>
      <x:c r="C2380" s="32">
        <x:v>459.4</x:v>
      </x:c>
      <x:c r="D2380" s="32">
        <x:v>451.8</x:v>
      </x:c>
      <x:c r="E2380" s="32">
        <x:v>454.3</x:v>
      </x:c>
      <x:c r="F2380" s="33">
        <x:v>31324510</x:v>
      </x:c>
      <x:c r="G2380" s="32" t="n">
        <x:f t="shared" si="99">AVERAGE(E2181:E2380)</x:f>
        <x:v>493.91044999999997</x:v>
      </x:c>
      <x:c r="H2380" s="37" t="n">
        <x:f t="shared" si="100">IFERROR(E2380/G2380-1,"")</x:f>
        <x:v>-0.08019763501663102</x:v>
      </x:c>
      <x:c r="I2380" s="38" t="b">
        <x:f t="shared" si="101">E2380&lt;G2380</x:f>
        <x:v>1</x:v>
      </x:c>
    </x:row>
    <x:row r="2381">
      <x:c r="A2381" s="31">
        <x:v>40471</x:v>
      </x:c>
      <x:c r="B2381" s="32">
        <x:v>450.8</x:v>
      </x:c>
      <x:c r="C2381" s="32">
        <x:v>451</x:v>
      </x:c>
      <x:c r="D2381" s="32">
        <x:v>441.2</x:v>
      </x:c>
      <x:c r="E2381" s="32">
        <x:v>442.2</x:v>
      </x:c>
      <x:c r="F2381" s="33">
        <x:v>36917430</x:v>
      </x:c>
      <x:c r="G2381" s="32" t="n">
        <x:f t="shared" ref="G2381:G2444" si="102">AVERAGE(E2182:E2381)</x:f>
        <x:v>493.6989499999999</x:v>
      </x:c>
      <x:c r="H2381" s="37" t="n">
        <x:f t="shared" ref="H2381:H2444" si="103">IFERROR(E2381/G2381-1,"")</x:f>
        <x:v>-0.10431245600177985</x:v>
      </x:c>
      <x:c r="I2381" s="38" t="b">
        <x:f t="shared" ref="I2381:I2444" si="104">E2381&lt;G2381</x:f>
        <x:v>1</x:v>
      </x:c>
    </x:row>
    <x:row r="2382">
      <x:c r="A2382" s="31">
        <x:v>40472</x:v>
      </x:c>
      <x:c r="B2382" s="32">
        <x:v>442.1</x:v>
      </x:c>
      <x:c r="C2382" s="32">
        <x:v>445.3</x:v>
      </x:c>
      <x:c r="D2382" s="32">
        <x:v>440.6</x:v>
      </x:c>
      <x:c r="E2382" s="32">
        <x:v>445.1</x:v>
      </x:c>
      <x:c r="F2382" s="33">
        <x:v>26478530</x:v>
      </x:c>
      <x:c r="G2382" s="32" t="n">
        <x:f t="shared" si="102">AVERAGE(E2183:E2382)</x:f>
        <x:v>493.44744999999995</x:v>
      </x:c>
      <x:c r="H2382" s="37" t="n">
        <x:f t="shared" si="103">IFERROR(E2382/G2382-1,"")</x:f>
        <x:v>-0.09797892359155957</x:v>
      </x:c>
      <x:c r="I2382" s="38" t="b">
        <x:f t="shared" si="104">E2382&lt;G2382</x:f>
        <x:v>1</x:v>
      </x:c>
    </x:row>
    <x:row r="2383">
      <x:c r="A2383" s="31">
        <x:v>40473</x:v>
      </x:c>
      <x:c r="B2383" s="32">
        <x:v>444.8</x:v>
      </x:c>
      <x:c r="C2383" s="32">
        <x:v>446.4</x:v>
      </x:c>
      <x:c r="D2383" s="32">
        <x:v>441.5</x:v>
      </x:c>
      <x:c r="E2383" s="32">
        <x:v>445.2</x:v>
      </x:c>
      <x:c r="F2383" s="33">
        <x:v>24204440</x:v>
      </x:c>
      <x:c r="G2383" s="32" t="n">
        <x:f t="shared" si="102">AVERAGE(E2184:E2383)</x:f>
        <x:v>493.1994499999999</x:v>
      </x:c>
      <x:c r="H2383" s="37" t="n">
        <x:f t="shared" si="103">IFERROR(E2383/G2383-1,"")</x:f>
        <x:v>-0.0973225943378484</x:v>
      </x:c>
      <x:c r="I2383" s="38" t="b">
        <x:f t="shared" si="104">E2383&lt;G2383</x:f>
        <x:v>1</x:v>
      </x:c>
    </x:row>
    <x:row r="2384">
      <x:c r="A2384" s="31">
        <x:v>40476</x:v>
      </x:c>
      <x:c r="B2384" s="32">
        <x:v>444.7</x:v>
      </x:c>
      <x:c r="C2384" s="32">
        <x:v>448.6</x:v>
      </x:c>
      <x:c r="D2384" s="32">
        <x:v>443.1</x:v>
      </x:c>
      <x:c r="E2384" s="32">
        <x:v>448.6</x:v>
      </x:c>
      <x:c r="F2384" s="33">
        <x:v>23427100</x:v>
      </x:c>
      <x:c r="G2384" s="32" t="n">
        <x:f t="shared" si="102">AVERAGE(E2185:E2384)</x:f>
        <x:v>492.8569499999999</x:v>
      </x:c>
      <x:c r="H2384" s="37" t="n">
        <x:f t="shared" si="103">IFERROR(E2384/G2384-1,"")</x:f>
        <x:v>-0.08979674528278425</x:v>
      </x:c>
      <x:c r="I2384" s="38" t="b">
        <x:f t="shared" si="104">E2384&lt;G2384</x:f>
        <x:v>1</x:v>
      </x:c>
    </x:row>
    <x:row r="2385">
      <x:c r="A2385" s="31">
        <x:v>40477</x:v>
      </x:c>
      <x:c r="B2385" s="32">
        <x:v>450.2</x:v>
      </x:c>
      <x:c r="C2385" s="32">
        <x:v>458.2</x:v>
      </x:c>
      <x:c r="D2385" s="32">
        <x:v>450.2</x:v>
      </x:c>
      <x:c r="E2385" s="32">
        <x:v>455.1</x:v>
      </x:c>
      <x:c r="F2385" s="33">
        <x:v>30139330</x:v>
      </x:c>
      <x:c r="G2385" s="32" t="n">
        <x:f t="shared" si="102">AVERAGE(E2186:E2385)</x:f>
        <x:v>492.46995000000004</x:v>
      </x:c>
      <x:c r="H2385" s="37" t="n">
        <x:f t="shared" si="103">IFERROR(E2385/G2385-1,"")</x:f>
        <x:v>-0.0758827010663291</x:v>
      </x:c>
      <x:c r="I2385" s="38" t="b">
        <x:f t="shared" si="104">E2385&lt;G2385</x:f>
        <x:v>1</x:v>
      </x:c>
    </x:row>
    <x:row r="2386">
      <x:c r="A2386" s="31">
        <x:v>40478</x:v>
      </x:c>
      <x:c r="B2386" s="32">
        <x:v>455.2</x:v>
      </x:c>
      <x:c r="C2386" s="32">
        <x:v>455.9</x:v>
      </x:c>
      <x:c r="D2386" s="32">
        <x:v>448.9</x:v>
      </x:c>
      <x:c r="E2386" s="32">
        <x:v>450</x:v>
      </x:c>
      <x:c r="F2386" s="33">
        <x:v>23349570</x:v>
      </x:c>
      <x:c r="G2386" s="32" t="n">
        <x:f t="shared" si="102">AVERAGE(E2187:E2386)</x:f>
        <x:v>492.04745</x:v>
      </x:c>
      <x:c r="H2386" s="37" t="n">
        <x:f t="shared" si="103">IFERROR(E2386/G2386-1,"")</x:f>
        <x:v>-0.08545405529487049</x:v>
      </x:c>
      <x:c r="I2386" s="38" t="b">
        <x:f t="shared" si="104">E2386&lt;G2386</x:f>
        <x:v>1</x:v>
      </x:c>
    </x:row>
    <x:row r="2387">
      <x:c r="A2387" s="31">
        <x:v>40479</x:v>
      </x:c>
      <x:c r="B2387" s="32">
        <x:v>448.6</x:v>
      </x:c>
      <x:c r="C2387" s="32">
        <x:v>451.5</x:v>
      </x:c>
      <x:c r="D2387" s="32">
        <x:v>448.3</x:v>
      </x:c>
      <x:c r="E2387" s="32">
        <x:v>450.1</x:v>
      </x:c>
      <x:c r="F2387" s="33">
        <x:v>20155160</x:v>
      </x:c>
      <x:c r="G2387" s="32" t="n">
        <x:f t="shared" si="102">AVERAGE(E2188:E2387)</x:f>
        <x:v>491.63145</x:v>
      </x:c>
      <x:c r="H2387" s="37" t="n">
        <x:f t="shared" si="103">IFERROR(E2387/G2387-1,"")</x:f>
        <x:v>-0.08447679659224394</x:v>
      </x:c>
      <x:c r="I2387" s="38" t="b">
        <x:f t="shared" si="104">E2387&lt;G2387</x:f>
        <x:v>1</x:v>
      </x:c>
    </x:row>
    <x:row r="2388">
      <x:c r="A2388" s="31">
        <x:v>40480</x:v>
      </x:c>
      <x:c r="B2388" s="32">
        <x:v>450.5</x:v>
      </x:c>
      <x:c r="C2388" s="32">
        <x:v>452.8</x:v>
      </x:c>
      <x:c r="D2388" s="32">
        <x:v>450.3</x:v>
      </x:c>
      <x:c r="E2388" s="32">
        <x:v>452.6</x:v>
      </x:c>
      <x:c r="F2388" s="33">
        <x:v>22494310</x:v>
      </x:c>
      <x:c r="G2388" s="32" t="n">
        <x:f t="shared" si="102">AVERAGE(E2189:E2388)</x:f>
        <x:v>491.28995000000003</x:v>
      </x:c>
      <x:c r="H2388" s="37" t="n">
        <x:f t="shared" si="103">IFERROR(E2388/G2388-1,"")</x:f>
        <x:v>-0.07875176359703673</x:v>
      </x:c>
      <x:c r="I2388" s="38" t="b">
        <x:f t="shared" si="104">E2388&lt;G2388</x:f>
        <x:v>1</x:v>
      </x:c>
    </x:row>
    <x:row r="2389">
      <x:c r="A2389" s="31">
        <x:v>40483</x:v>
      </x:c>
      <x:c r="B2389" s="32">
        <x:v>451.8</x:v>
      </x:c>
      <x:c r="C2389" s="32">
        <x:v>451.9</x:v>
      </x:c>
      <x:c r="D2389" s="32">
        <x:v>449.8</x:v>
      </x:c>
      <x:c r="E2389" s="32">
        <x:v>451.1</x:v>
      </x:c>
      <x:c r="F2389" s="33">
        <x:v>18022230</x:v>
      </x:c>
      <x:c r="G2389" s="32" t="n">
        <x:f t="shared" si="102">AVERAGE(E2190:E2389)</x:f>
        <x:v>490.96995000000004</x:v>
      </x:c>
      <x:c r="H2389" s="37" t="n">
        <x:f t="shared" si="103">IFERROR(E2389/G2389-1,"")</x:f>
        <x:v>-0.08120649746486519</x:v>
      </x:c>
      <x:c r="I2389" s="38" t="b">
        <x:f t="shared" si="104">E2389&lt;G2389</x:f>
        <x:v>1</x:v>
      </x:c>
    </x:row>
    <x:row r="2390">
      <x:c r="A2390" s="31">
        <x:v>40484</x:v>
      </x:c>
      <x:c r="B2390" s="32">
        <x:v>448.6</x:v>
      </x:c>
      <x:c r="C2390" s="32">
        <x:v>448.9</x:v>
      </x:c>
      <x:c r="D2390" s="32">
        <x:v>445.6</x:v>
      </x:c>
      <x:c r="E2390" s="32">
        <x:v>446.3</x:v>
      </x:c>
      <x:c r="F2390" s="33">
        <x:v>23189030</x:v>
      </x:c>
      <x:c r="G2390" s="32" t="n">
        <x:f t="shared" si="102">AVERAGE(E2191:E2390)</x:f>
        <x:v>490.7099500000001</x:v>
      </x:c>
      <x:c r="H2390" s="37" t="n">
        <x:f t="shared" si="103">IFERROR(E2390/G2390-1,"")</x:f>
        <x:v>-0.090501425536613</x:v>
      </x:c>
      <x:c r="I2390" s="38" t="b">
        <x:f t="shared" si="104">E2390&lt;G2390</x:f>
        <x:v>1</x:v>
      </x:c>
    </x:row>
    <x:row r="2391">
      <x:c r="A2391" s="31">
        <x:v>40485</x:v>
      </x:c>
      <x:c r="B2391" s="32">
        <x:v>445.3</x:v>
      </x:c>
      <x:c r="C2391" s="32">
        <x:v>445.8</x:v>
      </x:c>
      <x:c r="D2391" s="32">
        <x:v>442.3</x:v>
      </x:c>
      <x:c r="E2391" s="32">
        <x:v>444.2</x:v>
      </x:c>
      <x:c r="F2391" s="33">
        <x:v>22703120</x:v>
      </x:c>
      <x:c r="G2391" s="32" t="n">
        <x:f t="shared" si="102">AVERAGE(E2192:E2391)</x:f>
        <x:v>490.3879500000001</x:v>
      </x:c>
      <x:c r="H2391" s="37" t="n">
        <x:f t="shared" si="103">IFERROR(E2391/G2391-1,"")</x:f>
        <x:v>-0.09418655168831147</x:v>
      </x:c>
      <x:c r="I2391" s="38" t="b">
        <x:f t="shared" si="104">E2391&lt;G2391</x:f>
        <x:v>1</x:v>
      </x:c>
    </x:row>
    <x:row r="2392">
      <x:c r="A2392" s="31">
        <x:v>40486</x:v>
      </x:c>
      <x:c r="B2392" s="32">
        <x:v>444.1</x:v>
      </x:c>
      <x:c r="C2392" s="32">
        <x:v>449</x:v>
      </x:c>
      <x:c r="D2392" s="32">
        <x:v>444</x:v>
      </x:c>
      <x:c r="E2392" s="32">
        <x:v>449</x:v>
      </x:c>
      <x:c r="F2392" s="33">
        <x:v>23454830</x:v>
      </x:c>
      <x:c r="G2392" s="32" t="n">
        <x:f t="shared" si="102">AVERAGE(E2193:E2392)</x:f>
        <x:v>490.07145000000014</x:v>
      </x:c>
      <x:c r="H2392" s="37" t="n">
        <x:f t="shared" si="103">IFERROR(E2392/G2392-1,"")</x:f>
        <x:v>-0.0838070652758901</x:v>
      </x:c>
      <x:c r="I2392" s="38" t="b">
        <x:f t="shared" si="104">E2392&lt;G2392</x:f>
        <x:v>1</x:v>
      </x:c>
    </x:row>
    <x:row r="2393">
      <x:c r="A2393" s="31">
        <x:v>40487</x:v>
      </x:c>
      <x:c r="B2393" s="32">
        <x:v>452.4</x:v>
      </x:c>
      <x:c r="C2393" s="32">
        <x:v>457.3</x:v>
      </x:c>
      <x:c r="D2393" s="32">
        <x:v>450.1</x:v>
      </x:c>
      <x:c r="E2393" s="32">
        <x:v>457.3</x:v>
      </x:c>
      <x:c r="F2393" s="33">
        <x:v>29986290</x:v>
      </x:c>
      <x:c r="G2393" s="32" t="n">
        <x:f t="shared" si="102">AVERAGE(E2194:E2393)</x:f>
        <x:v>489.8309500000001</x:v>
      </x:c>
      <x:c r="H2393" s="37" t="n">
        <x:f t="shared" si="103">IFERROR(E2393/G2393-1,"")</x:f>
        <x:v>-0.06641260622669942</x:v>
      </x:c>
      <x:c r="I2393" s="38" t="b">
        <x:f t="shared" si="104">E2393&lt;G2393</x:f>
        <x:v>1</x:v>
      </x:c>
    </x:row>
    <x:row r="2394">
      <x:c r="A2394" s="31">
        <x:v>40490</x:v>
      </x:c>
      <x:c r="B2394" s="32">
        <x:v>457.5</x:v>
      </x:c>
      <x:c r="C2394" s="32">
        <x:v>458.7</x:v>
      </x:c>
      <x:c r="D2394" s="32">
        <x:v>454.4</x:v>
      </x:c>
      <x:c r="E2394" s="32">
        <x:v>457.1</x:v>
      </x:c>
      <x:c r="F2394" s="33">
        <x:v>27232590</x:v>
      </x:c>
      <x:c r="G2394" s="32" t="n">
        <x:f t="shared" si="102">AVERAGE(E2195:E2394)</x:f>
        <x:v>489.68095000000017</x:v>
      </x:c>
      <x:c r="H2394" s="37" t="n">
        <x:f t="shared" si="103">IFERROR(E2394/G2394-1,"")</x:f>
        <x:v>-0.06653505716324093</x:v>
      </x:c>
      <x:c r="I2394" s="38" t="b">
        <x:f t="shared" si="104">E2394&lt;G2394</x:f>
        <x:v>1</x:v>
      </x:c>
    </x:row>
    <x:row r="2395">
      <x:c r="A2395" s="31">
        <x:v>40491</x:v>
      </x:c>
      <x:c r="B2395" s="32">
        <x:v>455.6</x:v>
      </x:c>
      <x:c r="C2395" s="32">
        <x:v>455.7</x:v>
      </x:c>
      <x:c r="D2395" s="32">
        <x:v>449.4</x:v>
      </x:c>
      <x:c r="E2395" s="32">
        <x:v>449.4</x:v>
      </x:c>
      <x:c r="F2395" s="33">
        <x:v>30659160</x:v>
      </x:c>
      <x:c r="G2395" s="32" t="n">
        <x:f t="shared" si="102">AVERAGE(E2196:E2395)</x:f>
        <x:v>489.4504500000001</x:v>
      </x:c>
      <x:c r="H2395" s="37" t="n">
        <x:f t="shared" si="103">IFERROR(E2395/G2395-1,"")</x:f>
        <x:v>-0.08182738416115487</x:v>
      </x:c>
      <x:c r="I2395" s="38" t="b">
        <x:f t="shared" si="104">E2395&lt;G2395</x:f>
        <x:v>1</x:v>
      </x:c>
    </x:row>
    <x:row r="2396">
      <x:c r="A2396" s="31">
        <x:v>40492</x:v>
      </x:c>
      <x:c r="B2396" s="32">
        <x:v>447.7</x:v>
      </x:c>
      <x:c r="C2396" s="32">
        <x:v>451.3</x:v>
      </x:c>
      <x:c r="D2396" s="32">
        <x:v>447.6</x:v>
      </x:c>
      <x:c r="E2396" s="32">
        <x:v>451.3</x:v>
      </x:c>
      <x:c r="F2396" s="33">
        <x:v>21038880</x:v>
      </x:c>
      <x:c r="G2396" s="32" t="n">
        <x:f t="shared" si="102">AVERAGE(E2197:E2396)</x:f>
        <x:v>489.25945000000013</x:v>
      </x:c>
      <x:c r="H2396" s="37" t="n">
        <x:f t="shared" si="103">IFERROR(E2396/G2396-1,"")</x:f>
        <x:v>-0.07758552236446348</x:v>
      </x:c>
      <x:c r="I2396" s="38" t="b">
        <x:f t="shared" si="104">E2396&lt;G2396</x:f>
        <x:v>1</x:v>
      </x:c>
    </x:row>
    <x:row r="2397">
      <x:c r="A2397" s="31">
        <x:v>40493</x:v>
      </x:c>
      <x:c r="B2397" s="32">
        <x:v>451.2</x:v>
      </x:c>
      <x:c r="C2397" s="32">
        <x:v>451.6</x:v>
      </x:c>
      <x:c r="D2397" s="32">
        <x:v>446.3</x:v>
      </x:c>
      <x:c r="E2397" s="32">
        <x:v>446.7</x:v>
      </x:c>
      <x:c r="F2397" s="33">
        <x:v>23536990</x:v>
      </x:c>
      <x:c r="G2397" s="32" t="n">
        <x:f t="shared" si="102">AVERAGE(E2198:E2397)</x:f>
        <x:v>489.1009500000002</x:v>
      </x:c>
      <x:c r="H2397" s="37" t="n">
        <x:f t="shared" si="103">IFERROR(E2397/G2397-1,"")</x:f>
        <x:v>-0.08669161243706469</x:v>
      </x:c>
      <x:c r="I2397" s="38" t="b">
        <x:f t="shared" si="104">E2397&lt;G2397</x:f>
        <x:v>1</x:v>
      </x:c>
    </x:row>
    <x:row r="2398">
      <x:c r="A2398" s="31">
        <x:v>40494</x:v>
      </x:c>
      <x:c r="B2398" s="32">
        <x:v>444.8</x:v>
      </x:c>
      <x:c r="C2398" s="32">
        <x:v>446.9</x:v>
      </x:c>
      <x:c r="D2398" s="32">
        <x:v>436.5</x:v>
      </x:c>
      <x:c r="E2398" s="32">
        <x:v>441.6</x:v>
      </x:c>
      <x:c r="F2398" s="33">
        <x:v>38981270</x:v>
      </x:c>
      <x:c r="G2398" s="32" t="n">
        <x:f t="shared" si="102">AVERAGE(E2199:E2398)</x:f>
        <x:v>488.9209500000002</x:v>
      </x:c>
      <x:c r="H2398" s="37" t="n">
        <x:f t="shared" si="103">IFERROR(E2398/G2398-1,"")</x:f>
        <x:v>-0.09678650505771969</x:v>
      </x:c>
      <x:c r="I2398" s="38" t="b">
        <x:f t="shared" si="104">E2398&lt;G2398</x:f>
        <x:v>1</x:v>
      </x:c>
    </x:row>
    <x:row r="2399">
      <x:c r="A2399" s="31">
        <x:v>40497</x:v>
      </x:c>
      <x:c r="B2399" s="32">
        <x:v>440.6</x:v>
      </x:c>
      <x:c r="C2399" s="32">
        <x:v>443.1</x:v>
      </x:c>
      <x:c r="D2399" s="32">
        <x:v>432.7</x:v>
      </x:c>
      <x:c r="E2399" s="32">
        <x:v>433.5</x:v>
      </x:c>
      <x:c r="F2399" s="33">
        <x:v>26382340</x:v>
      </x:c>
      <x:c r="G2399" s="32" t="n">
        <x:f t="shared" si="102">AVERAGE(E2200:E2399)</x:f>
        <x:v>488.6839500000002</x:v>
      </x:c>
      <x:c r="H2399" s="37" t="n">
        <x:f t="shared" si="103">IFERROR(E2399/G2399-1,"")</x:f>
        <x:v>-0.11292359816605435</x:v>
      </x:c>
      <x:c r="I2399" s="38" t="b">
        <x:f t="shared" si="104">E2399&lt;G2399</x:f>
        <x:v>1</x:v>
      </x:c>
    </x:row>
    <x:row r="2400">
      <x:c r="A2400" s="31">
        <x:v>40498</x:v>
      </x:c>
      <x:c r="B2400" s="32">
        <x:v>431.1</x:v>
      </x:c>
      <x:c r="C2400" s="32">
        <x:v>431.3</x:v>
      </x:c>
      <x:c r="D2400" s="32">
        <x:v>425.1</x:v>
      </x:c>
      <x:c r="E2400" s="32">
        <x:v>426.9</x:v>
      </x:c>
      <x:c r="F2400" s="33">
        <x:v>30931860</x:v>
      </x:c>
      <x:c r="G2400" s="32" t="n">
        <x:f t="shared" si="102">AVERAGE(E2201:E2400)</x:f>
        <x:v>488.3289500000002</x:v>
      </x:c>
      <x:c r="H2400" s="37" t="n">
        <x:f t="shared" si="103">IFERROR(E2400/G2400-1,"")</x:f>
        <x:v>-0.1257942008148405</x:v>
      </x:c>
      <x:c r="I2400" s="38" t="b">
        <x:f t="shared" si="104">E2400&lt;G2400</x:f>
        <x:v>1</x:v>
      </x:c>
    </x:row>
    <x:row r="2401">
      <x:c r="A2401" s="31">
        <x:v>40499</x:v>
      </x:c>
      <x:c r="B2401" s="32">
        <x:v>426.9</x:v>
      </x:c>
      <x:c r="C2401" s="32">
        <x:v>430.2</x:v>
      </x:c>
      <x:c r="D2401" s="32">
        <x:v>424.3</x:v>
      </x:c>
      <x:c r="E2401" s="32">
        <x:v>425.5</x:v>
      </x:c>
      <x:c r="F2401" s="33">
        <x:v>25125790</x:v>
      </x:c>
      <x:c r="G2401" s="32" t="n">
        <x:f t="shared" si="102">AVERAGE(E2202:E2401)</x:f>
        <x:v>488.0244500000001</x:v>
      </x:c>
      <x:c r="H2401" s="37" t="n">
        <x:f t="shared" si="103">IFERROR(E2401/G2401-1,"")</x:f>
        <x:v>-0.128117453951334</x:v>
      </x:c>
      <x:c r="I2401" s="38" t="b">
        <x:f t="shared" si="104">E2401&lt;G2401</x:f>
        <x:v>1</x:v>
      </x:c>
    </x:row>
    <x:row r="2402">
      <x:c r="A2402" s="31">
        <x:v>40500</x:v>
      </x:c>
      <x:c r="B2402" s="32">
        <x:v>427.7</x:v>
      </x:c>
      <x:c r="C2402" s="32">
        <x:v>432.1</x:v>
      </x:c>
      <x:c r="D2402" s="32">
        <x:v>427.7</x:v>
      </x:c>
      <x:c r="E2402" s="32">
        <x:v>430.7</x:v>
      </x:c>
      <x:c r="F2402" s="33">
        <x:v>26333370</x:v>
      </x:c>
      <x:c r="G2402" s="32" t="n">
        <x:f t="shared" si="102">AVERAGE(E2203:E2402)</x:f>
        <x:v>487.7689500000002</x:v>
      </x:c>
      <x:c r="H2402" s="37" t="n">
        <x:f t="shared" si="103">IFERROR(E2402/G2402-1,"")</x:f>
        <x:v>-0.11699996483991071</x:v>
      </x:c>
      <x:c r="I2402" s="38" t="b">
        <x:f t="shared" si="104">E2402&lt;G2402</x:f>
        <x:v>1</x:v>
      </x:c>
    </x:row>
    <x:row r="2403">
      <x:c r="A2403" s="31">
        <x:v>40501</x:v>
      </x:c>
      <x:c r="B2403" s="32">
        <x:v>434.4</x:v>
      </x:c>
      <x:c r="C2403" s="32">
        <x:v>434.4</x:v>
      </x:c>
      <x:c r="D2403" s="32">
        <x:v>426.5</x:v>
      </x:c>
      <x:c r="E2403" s="32">
        <x:v>426.5</x:v>
      </x:c>
      <x:c r="F2403" s="33">
        <x:v>24821140</x:v>
      </x:c>
      <x:c r="G2403" s="32" t="n">
        <x:f t="shared" si="102">AVERAGE(E2204:E2403)</x:f>
        <x:v>487.4914500000001</x:v>
      </x:c>
      <x:c r="H2403" s="37" t="n">
        <x:f t="shared" si="103">IFERROR(E2403/G2403-1,"")</x:f>
        <x:v>-0.1251128609537666</x:v>
      </x:c>
      <x:c r="I2403" s="38" t="b">
        <x:f t="shared" si="104">E2403&lt;G2403</x:f>
        <x:v>1</x:v>
      </x:c>
    </x:row>
    <x:row r="2404">
      <x:c r="A2404" s="31">
        <x:v>40504</x:v>
      </x:c>
      <x:c r="B2404" s="32">
        <x:v>422.7</x:v>
      </x:c>
      <x:c r="C2404" s="32">
        <x:v>426.2</x:v>
      </x:c>
      <x:c r="D2404" s="32">
        <x:v>420</x:v>
      </x:c>
      <x:c r="E2404" s="32">
        <x:v>426.2</x:v>
      </x:c>
      <x:c r="F2404" s="33">
        <x:v>23431540</x:v>
      </x:c>
      <x:c r="G2404" s="32" t="n">
        <x:f t="shared" si="102">AVERAGE(E2205:E2404)</x:f>
        <x:v>487.1874500000001</x:v>
      </x:c>
      <x:c r="H2404" s="37" t="n">
        <x:f t="shared" si="103">IFERROR(E2404/G2404-1,"")</x:f>
        <x:v>-0.12518271971086303</x:v>
      </x:c>
      <x:c r="I2404" s="38" t="b">
        <x:f t="shared" si="104">E2404&lt;G2404</x:f>
        <x:v>1</x:v>
      </x:c>
    </x:row>
    <x:row r="2405">
      <x:c r="A2405" s="31">
        <x:v>40505</x:v>
      </x:c>
      <x:c r="B2405" s="32">
        <x:v>426.2</x:v>
      </x:c>
      <x:c r="C2405" s="32">
        <x:v>430.8</x:v>
      </x:c>
      <x:c r="D2405" s="32">
        <x:v>426</x:v>
      </x:c>
      <x:c r="E2405" s="32">
        <x:v>430.8</x:v>
      </x:c>
      <x:c r="F2405" s="33">
        <x:v>22541430</x:v>
      </x:c>
      <x:c r="G2405" s="32" t="n">
        <x:f t="shared" si="102">AVERAGE(E2206:E2405)</x:f>
        <x:v>486.90195000000017</x:v>
      </x:c>
      <x:c r="H2405" s="37" t="n">
        <x:f t="shared" si="103">IFERROR(E2405/G2405-1,"")</x:f>
        <x:v>-0.11522227421763276</x:v>
      </x:c>
      <x:c r="I2405" s="38" t="b">
        <x:f t="shared" si="104">E2405&lt;G2405</x:f>
        <x:v>1</x:v>
      </x:c>
    </x:row>
    <x:row r="2406">
      <x:c r="A2406" s="31">
        <x:v>40506</x:v>
      </x:c>
      <x:c r="B2406" s="32">
        <x:v>430.5</x:v>
      </x:c>
      <x:c r="C2406" s="32">
        <x:v>434.5</x:v>
      </x:c>
      <x:c r="D2406" s="32">
        <x:v>428</x:v>
      </x:c>
      <x:c r="E2406" s="32">
        <x:v>434.5</x:v>
      </x:c>
      <x:c r="F2406" s="33">
        <x:v>25109750</x:v>
      </x:c>
      <x:c r="G2406" s="32" t="n">
        <x:f t="shared" si="102">AVERAGE(E2207:E2406)</x:f>
        <x:v>486.59695000000016</x:v>
      </x:c>
      <x:c r="H2406" s="37" t="n">
        <x:f t="shared" si="103">IFERROR(E2406/G2406-1,"")</x:f>
        <x:v>-0.1070638646625306</x:v>
      </x:c>
      <x:c r="I2406" s="38" t="b">
        <x:f t="shared" si="104">E2406&lt;G2406</x:f>
        <x:v>1</x:v>
      </x:c>
    </x:row>
    <x:row r="2407">
      <x:c r="A2407" s="31">
        <x:v>40507</x:v>
      </x:c>
      <x:c r="B2407" s="32">
        <x:v>434.7</x:v>
      </x:c>
      <x:c r="C2407" s="32">
        <x:v>440.2</x:v>
      </x:c>
      <x:c r="D2407" s="32">
        <x:v>434.7</x:v>
      </x:c>
      <x:c r="E2407" s="32">
        <x:v>439.9</x:v>
      </x:c>
      <x:c r="F2407" s="33">
        <x:v>31896320</x:v>
      </x:c>
      <x:c r="G2407" s="32" t="n">
        <x:f t="shared" si="102">AVERAGE(E2208:E2407)</x:f>
        <x:v>486.2774500000001</x:v>
      </x:c>
      <x:c r="H2407" s="37" t="n">
        <x:f t="shared" si="103">IFERROR(E2407/G2407-1,"")</x:f>
        <x:v>-0.09537240519789703</x:v>
      </x:c>
      <x:c r="I2407" s="38" t="b">
        <x:f t="shared" si="104">E2407&lt;G2407</x:f>
        <x:v>1</x:v>
      </x:c>
    </x:row>
    <x:row r="2408">
      <x:c r="A2408" s="31">
        <x:v>40508</x:v>
      </x:c>
      <x:c r="B2408" s="32">
        <x:v>441.9</x:v>
      </x:c>
      <x:c r="C2408" s="32">
        <x:v>443.7</x:v>
      </x:c>
      <x:c r="D2408" s="32">
        <x:v>437.3</x:v>
      </x:c>
      <x:c r="E2408" s="32">
        <x:v>439.9</x:v>
      </x:c>
      <x:c r="F2408" s="33">
        <x:v>32805180</x:v>
      </x:c>
      <x:c r="G2408" s="32" t="n">
        <x:f t="shared" si="102">AVERAGE(E2209:E2408)</x:f>
        <x:v>486.01195000000007</x:v>
      </x:c>
      <x:c r="H2408" s="37" t="n">
        <x:f t="shared" si="103">IFERROR(E2408/G2408-1,"")</x:f>
        <x:v>-0.09487822264452572</x:v>
      </x:c>
      <x:c r="I2408" s="38" t="b">
        <x:f t="shared" si="104">E2408&lt;G2408</x:f>
        <x:v>1</x:v>
      </x:c>
    </x:row>
    <x:row r="2409">
      <x:c r="A2409" s="31">
        <x:v>40511</x:v>
      </x:c>
      <x:c r="B2409" s="32">
        <x:v>437.9</x:v>
      </x:c>
      <x:c r="C2409" s="32">
        <x:v>446.4</x:v>
      </x:c>
      <x:c r="D2409" s="32">
        <x:v>436.4</x:v>
      </x:c>
      <x:c r="E2409" s="32">
        <x:v>446.4</x:v>
      </x:c>
      <x:c r="F2409" s="33">
        <x:v>30743560</x:v>
      </x:c>
      <x:c r="G2409" s="32" t="n">
        <x:f t="shared" si="102">AVERAGE(E2210:E2409)</x:f>
        <x:v>485.7879500000001</x:v>
      </x:c>
      <x:c r="H2409" s="37" t="n">
        <x:f t="shared" si="103">IFERROR(E2409/G2409-1,"")</x:f>
        <x:v>-0.0810805414172997</x:v>
      </x:c>
      <x:c r="I2409" s="38" t="b">
        <x:f t="shared" si="104">E2409&lt;G2409</x:f>
        <x:v>1</x:v>
      </x:c>
    </x:row>
    <x:row r="2410">
      <x:c r="A2410" s="31">
        <x:v>40512</x:v>
      </x:c>
      <x:c r="B2410" s="32">
        <x:v>450.2</x:v>
      </x:c>
      <x:c r="C2410" s="32">
        <x:v>456.3</x:v>
      </x:c>
      <x:c r="D2410" s="32">
        <x:v>450.2</x:v>
      </x:c>
      <x:c r="E2410" s="32">
        <x:v>451.6</x:v>
      </x:c>
      <x:c r="F2410" s="33">
        <x:v>62322660</x:v>
      </x:c>
      <x:c r="G2410" s="32" t="n">
        <x:f t="shared" si="102">AVERAGE(E2211:E2410)</x:f>
        <x:v>485.63145000000003</x:v>
      </x:c>
      <x:c r="H2410" s="37" t="n">
        <x:f t="shared" si="103">IFERROR(E2410/G2410-1,"")</x:f>
        <x:v>-0.07007670116916853</x:v>
      </x:c>
      <x:c r="I2410" s="38" t="b">
        <x:f t="shared" si="104">E2410&lt;G2410</x:f>
        <x:v>1</x:v>
      </x:c>
    </x:row>
    <x:row r="2411">
      <x:c r="A2411" s="31">
        <x:v>40513</x:v>
      </x:c>
      <x:c r="B2411" s="32">
        <x:v>451</x:v>
      </x:c>
      <x:c r="C2411" s="32">
        <x:v>453.6</x:v>
      </x:c>
      <x:c r="D2411" s="32">
        <x:v>448.1</x:v>
      </x:c>
      <x:c r="E2411" s="32">
        <x:v>449.9</x:v>
      </x:c>
      <x:c r="F2411" s="33">
        <x:v>45498940</x:v>
      </x:c>
      <x:c r="G2411" s="32" t="n">
        <x:f t="shared" si="102">AVERAGE(E2212:E2411)</x:f>
        <x:v>485.42645000000005</x:v>
      </x:c>
      <x:c r="H2411" s="37" t="n">
        <x:f t="shared" si="103">IFERROR(E2411/G2411-1,"")</x:f>
        <x:v>-0.07318606145174011</x:v>
      </x:c>
      <x:c r="I2411" s="38" t="b">
        <x:f t="shared" si="104">E2411&lt;G2411</x:f>
        <x:v>1</x:v>
      </x:c>
    </x:row>
    <x:row r="2412">
      <x:c r="A2412" s="31">
        <x:v>40514</x:v>
      </x:c>
      <x:c r="B2412" s="32">
        <x:v>450.1</x:v>
      </x:c>
      <x:c r="C2412" s="32">
        <x:v>457.4</x:v>
      </x:c>
      <x:c r="D2412" s="32">
        <x:v>448.2</x:v>
      </x:c>
      <x:c r="E2412" s="32">
        <x:v>457.4</x:v>
      </x:c>
      <x:c r="F2412" s="33">
        <x:v>60631830</x:v>
      </x:c>
      <x:c r="G2412" s="32" t="n">
        <x:f t="shared" si="102">AVERAGE(E2213:E2412)</x:f>
        <x:v>485.2139500000001</x:v>
      </x:c>
      <x:c r="H2412" s="37" t="n">
        <x:f t="shared" si="103">IFERROR(E2412/G2412-1,"")</x:f>
        <x:v>-0.057323063362049176</x:v>
      </x:c>
      <x:c r="I2412" s="38" t="b">
        <x:f t="shared" si="104">E2412&lt;G2412</x:f>
        <x:v>1</x:v>
      </x:c>
    </x:row>
    <x:row r="2413">
      <x:c r="A2413" s="31">
        <x:v>40515</x:v>
      </x:c>
      <x:c r="B2413" s="32">
        <x:v>462.3</x:v>
      </x:c>
      <x:c r="C2413" s="32">
        <x:v>467.2</x:v>
      </x:c>
      <x:c r="D2413" s="32">
        <x:v>462.3</x:v>
      </x:c>
      <x:c r="E2413" s="32">
        <x:v>464.4</x:v>
      </x:c>
      <x:c r="F2413" s="33">
        <x:v>68016080</x:v>
      </x:c>
      <x:c r="G2413" s="32" t="n">
        <x:f t="shared" si="102">AVERAGE(E2214:E2413)</x:f>
        <x:v>485.0009500000001</x:v>
      </x:c>
      <x:c r="H2413" s="37" t="n">
        <x:f t="shared" si="103">IFERROR(E2413/G2413-1,"")</x:f>
        <x:v>-0.04247610236639765</x:v>
      </x:c>
      <x:c r="I2413" s="38" t="b">
        <x:f t="shared" si="104">E2413&lt;G2413</x:f>
        <x:v>1</x:v>
      </x:c>
    </x:row>
    <x:row r="2414">
      <x:c r="A2414" s="31">
        <x:v>40518</x:v>
      </x:c>
      <x:c r="B2414" s="32">
        <x:v>467.3</x:v>
      </x:c>
      <x:c r="C2414" s="32">
        <x:v>468.8</x:v>
      </x:c>
      <x:c r="D2414" s="32">
        <x:v>462.9</x:v>
      </x:c>
      <x:c r="E2414" s="32">
        <x:v>465.6</x:v>
      </x:c>
      <x:c r="F2414" s="33">
        <x:v>85111340</x:v>
      </x:c>
      <x:c r="G2414" s="32" t="n">
        <x:f t="shared" si="102">AVERAGE(E2215:E2414)</x:f>
        <x:v>484.77895000000007</x:v>
      </x:c>
      <x:c r="H2414" s="37" t="n">
        <x:f t="shared" si="103">IFERROR(E2414/G2414-1,"")</x:f>
        <x:v>-0.039562258220989244</x:v>
      </x:c>
      <x:c r="I2414" s="38" t="b">
        <x:f t="shared" si="104">E2414&lt;G2414</x:f>
        <x:v>1</x:v>
      </x:c>
    </x:row>
    <x:row r="2415">
      <x:c r="A2415" s="31">
        <x:v>40519</x:v>
      </x:c>
      <x:c r="B2415" s="32">
        <x:v>461.7</x:v>
      </x:c>
      <x:c r="C2415" s="32">
        <x:v>466.1</x:v>
      </x:c>
      <x:c r="D2415" s="32">
        <x:v>460.8</x:v>
      </x:c>
      <x:c r="E2415" s="32">
        <x:v>460.8</x:v>
      </x:c>
      <x:c r="F2415" s="33">
        <x:v>81943820</x:v>
      </x:c>
      <x:c r="G2415" s="32" t="n">
        <x:f t="shared" si="102">AVERAGE(E2216:E2415)</x:f>
        <x:v>484.60145000000006</x:v>
      </x:c>
      <x:c r="H2415" s="37" t="n">
        <x:f t="shared" si="103">IFERROR(E2415/G2415-1,"")</x:f>
        <x:v>-0.04911551544057502</x:v>
      </x:c>
      <x:c r="I2415" s="38" t="b">
        <x:f t="shared" si="104">E2415&lt;G2415</x:f>
        <x:v>1</x:v>
      </x:c>
    </x:row>
    <x:row r="2416">
      <x:c r="A2416" s="31">
        <x:v>40520</x:v>
      </x:c>
      <x:c r="B2416" s="32">
        <x:v>459.4</x:v>
      </x:c>
      <x:c r="C2416" s="32">
        <x:v>461.6</x:v>
      </x:c>
      <x:c r="D2416" s="32">
        <x:v>452.6</x:v>
      </x:c>
      <x:c r="E2416" s="32">
        <x:v>452.8</x:v>
      </x:c>
      <x:c r="F2416" s="33">
        <x:v>68289030</x:v>
      </x:c>
      <x:c r="G2416" s="32" t="n">
        <x:f t="shared" si="102">AVERAGE(E2217:E2416)</x:f>
        <x:v>484.39245000000005</x:v>
      </x:c>
      <x:c r="H2416" s="37" t="n">
        <x:f t="shared" si="103">IFERROR(E2416/G2416-1,"")</x:f>
        <x:v>-0.0652207729497023</x:v>
      </x:c>
      <x:c r="I2416" s="38" t="b">
        <x:f t="shared" si="104">E2416&lt;G2416</x:f>
        <x:v>1</x:v>
      </x:c>
    </x:row>
    <x:row r="2417">
      <x:c r="A2417" s="31">
        <x:v>40521</x:v>
      </x:c>
      <x:c r="B2417" s="32">
        <x:v>450.6</x:v>
      </x:c>
      <x:c r="C2417" s="32">
        <x:v>460.8</x:v>
      </x:c>
      <x:c r="D2417" s="32">
        <x:v>450.2</x:v>
      </x:c>
      <x:c r="E2417" s="32">
        <x:v>460.5</x:v>
      </x:c>
      <x:c r="F2417" s="33">
        <x:v>57617350</x:v>
      </x:c>
      <x:c r="G2417" s="32" t="n">
        <x:f t="shared" si="102">AVERAGE(E2218:E2417)</x:f>
        <x:v>484.2199499999999</x:v>
      </x:c>
      <x:c r="H2417" s="37" t="n">
        <x:f t="shared" si="103">IFERROR(E2417/G2417-1,"")</x:f>
        <x:v>-0.048985899899415375</x:v>
      </x:c>
      <x:c r="I2417" s="38" t="b">
        <x:f t="shared" si="104">E2417&lt;G2417</x:f>
        <x:v>1</x:v>
      </x:c>
    </x:row>
    <x:row r="2418">
      <x:c r="A2418" s="31">
        <x:v>40522</x:v>
      </x:c>
      <x:c r="B2418" s="32">
        <x:v>464.8</x:v>
      </x:c>
      <x:c r="C2418" s="32">
        <x:v>473.1</x:v>
      </x:c>
      <x:c r="D2418" s="32">
        <x:v>462.4</x:v>
      </x:c>
      <x:c r="E2418" s="32">
        <x:v>473.1</x:v>
      </x:c>
      <x:c r="F2418" s="33">
        <x:v>72125620</x:v>
      </x:c>
      <x:c r="G2418" s="32" t="n">
        <x:f t="shared" si="102">AVERAGE(E2219:E2418)</x:f>
        <x:v>484.10095</x:v>
      </x:c>
      <x:c r="H2418" s="37" t="n">
        <x:f t="shared" si="103">IFERROR(E2418/G2418-1,"")</x:f>
        <x:v>-0.022724495789566146</x:v>
      </x:c>
      <x:c r="I2418" s="38" t="b">
        <x:f t="shared" si="104">E2418&lt;G2418</x:f>
        <x:v>1</x:v>
      </x:c>
    </x:row>
    <x:row r="2419">
      <x:c r="A2419" s="31">
        <x:v>40525</x:v>
      </x:c>
      <x:c r="B2419" s="32">
        <x:v>485.8</x:v>
      </x:c>
      <x:c r="C2419" s="32">
        <x:v>490.3</x:v>
      </x:c>
      <x:c r="D2419" s="32">
        <x:v>485.7</x:v>
      </x:c>
      <x:c r="E2419" s="32">
        <x:v>490.2</x:v>
      </x:c>
      <x:c r="F2419" s="33">
        <x:v>77661930</x:v>
      </x:c>
      <x:c r="G2419" s="32" t="n">
        <x:f t="shared" si="102">AVERAGE(E2220:E2419)</x:f>
        <x:v>484.03695</x:v>
      </x:c>
      <x:c r="H2419" s="37" t="n">
        <x:f t="shared" si="103">IFERROR(E2419/G2419-1,"")</x:f>
        <x:v>0.01273260233542084</x:v>
      </x:c>
      <x:c r="I2419" s="38" t="b">
        <x:f t="shared" si="104">E2419&lt;G2419</x:f>
        <x:v>0</x:v>
      </x:c>
    </x:row>
    <x:row r="2420">
      <x:c r="A2420" s="31">
        <x:v>40526</x:v>
      </x:c>
      <x:c r="B2420" s="32">
        <x:v>493.7</x:v>
      </x:c>
      <x:c r="C2420" s="32">
        <x:v>496.4</x:v>
      </x:c>
      <x:c r="D2420" s="32">
        <x:v>480.6</x:v>
      </x:c>
      <x:c r="E2420" s="32">
        <x:v>489.7</x:v>
      </x:c>
      <x:c r="F2420" s="33">
        <x:v>122569420</x:v>
      </x:c>
      <x:c r="G2420" s="32" t="n">
        <x:f t="shared" si="102">AVERAGE(E2221:E2420)</x:f>
        <x:v>483.98044999999996</x:v>
      </x:c>
      <x:c r="H2420" s="37" t="n">
        <x:f t="shared" si="103">IFERROR(E2420/G2420-1,"")</x:f>
        <x:v>0.011817729414483669</x:v>
      </x:c>
      <x:c r="I2420" s="38" t="b">
        <x:f t="shared" si="104">E2420&lt;G2420</x:f>
        <x:v>0</x:v>
      </x:c>
    </x:row>
    <x:row r="2421">
      <x:c r="A2421" s="31">
        <x:v>40527</x:v>
      </x:c>
      <x:c r="B2421" s="32">
        <x:v>492.8</x:v>
      </x:c>
      <x:c r="C2421" s="32">
        <x:v>497.1</x:v>
      </x:c>
      <x:c r="D2421" s="32">
        <x:v>491.5</x:v>
      </x:c>
      <x:c r="E2421" s="32">
        <x:v>493.5</x:v>
      </x:c>
      <x:c r="F2421" s="33">
        <x:v>85904270</x:v>
      </x:c>
      <x:c r="G2421" s="32" t="n">
        <x:f t="shared" si="102">AVERAGE(E2222:E2421)</x:f>
        <x:v>483.91145000000006</x:v>
      </x:c>
      <x:c r="H2421" s="37" t="n">
        <x:f t="shared" si="103">IFERROR(E2421/G2421-1,"")</x:f>
        <x:v>0.01981467890458055</x:v>
      </x:c>
      <x:c r="I2421" s="38" t="b">
        <x:f t="shared" si="104">E2421&lt;G2421</x:f>
        <x:v>0</x:v>
      </x:c>
    </x:row>
    <x:row r="2422">
      <x:c r="A2422" s="31">
        <x:v>40528</x:v>
      </x:c>
      <x:c r="B2422" s="32">
        <x:v>484.7</x:v>
      </x:c>
      <x:c r="C2422" s="32">
        <x:v>489.7</x:v>
      </x:c>
      <x:c r="D2422" s="32">
        <x:v>479.7</x:v>
      </x:c>
      <x:c r="E2422" s="32">
        <x:v>480.2</x:v>
      </x:c>
      <x:c r="F2422" s="33">
        <x:v>73174400</x:v>
      </x:c>
      <x:c r="G2422" s="32" t="n">
        <x:f t="shared" si="102">AVERAGE(E2223:E2422)</x:f>
        <x:v>483.75295000000006</x:v>
      </x:c>
      <x:c r="H2422" s="37" t="n">
        <x:f t="shared" si="103">IFERROR(E2422/G2422-1,"")</x:f>
        <x:v>-0.0073445546947054074</x:v>
      </x:c>
      <x:c r="I2422" s="38" t="b">
        <x:f t="shared" si="104">E2422&lt;G2422</x:f>
        <x:v>1</x:v>
      </x:c>
    </x:row>
    <x:row r="2423">
      <x:c r="A2423" s="31">
        <x:v>40529</x:v>
      </x:c>
      <x:c r="B2423" s="32">
        <x:v>483</x:v>
      </x:c>
      <x:c r="C2423" s="32">
        <x:v>485.3</x:v>
      </x:c>
      <x:c r="D2423" s="32">
        <x:v>476.3</x:v>
      </x:c>
      <x:c r="E2423" s="32">
        <x:v>485.3</x:v>
      </x:c>
      <x:c r="F2423" s="33">
        <x:v>69205020</x:v>
      </x:c>
      <x:c r="G2423" s="32" t="n">
        <x:f t="shared" si="102">AVERAGE(E2224:E2423)</x:f>
        <x:v>483.6124500000001</x:v>
      </x:c>
      <x:c r="H2423" s="37" t="n">
        <x:f t="shared" si="103">IFERROR(E2423/G2423-1,"")</x:f>
        <x:v>0.0034894676512151612</x:v>
      </x:c>
      <x:c r="I2423" s="38" t="b">
        <x:f t="shared" si="104">E2423&lt;G2423</x:f>
        <x:v>0</x:v>
      </x:c>
    </x:row>
    <x:row r="2424">
      <x:c r="A2424" s="31">
        <x:v>40532</x:v>
      </x:c>
      <x:c r="B2424" s="32">
        <x:v>487.6</x:v>
      </x:c>
      <x:c r="C2424" s="32">
        <x:v>488.3</x:v>
      </x:c>
      <x:c r="D2424" s="32">
        <x:v>478.3</x:v>
      </x:c>
      <x:c r="E2424" s="32">
        <x:v>478.3</x:v>
      </x:c>
      <x:c r="F2424" s="33">
        <x:v>62095470</x:v>
      </x:c>
      <x:c r="G2424" s="32" t="n">
        <x:f t="shared" si="102">AVERAGE(E2225:E2424)</x:f>
        <x:v>483.39845000000014</x:v>
      </x:c>
      <x:c r="H2424" s="37" t="n">
        <x:f t="shared" si="103">IFERROR(E2424/G2424-1,"")</x:f>
        <x:v>-0.01054709629292383</x:v>
      </x:c>
      <x:c r="I2424" s="38" t="b">
        <x:f t="shared" si="104">E2424&lt;G2424</x:f>
        <x:v>1</x:v>
      </x:c>
    </x:row>
    <x:row r="2425">
      <x:c r="A2425" s="31">
        <x:v>40533</x:v>
      </x:c>
      <x:c r="B2425" s="32">
        <x:v>471.2</x:v>
      </x:c>
      <x:c r="C2425" s="32">
        <x:v>483.4</x:v>
      </x:c>
      <x:c r="D2425" s="32">
        <x:v>470.1</x:v>
      </x:c>
      <x:c r="E2425" s="32">
        <x:v>481.8</x:v>
      </x:c>
      <x:c r="F2425" s="33">
        <x:v>61254930</x:v>
      </x:c>
      <x:c r="G2425" s="32" t="n">
        <x:f t="shared" si="102">AVERAGE(E2226:E2425)</x:f>
        <x:v>483.17095000000006</x:v>
      </x:c>
      <x:c r="H2425" s="37" t="n">
        <x:f t="shared" si="103">IFERROR(E2425/G2425-1,"")</x:f>
        <x:v>-0.0028374015449398327</x:v>
      </x:c>
      <x:c r="I2425" s="38" t="b">
        <x:f t="shared" si="104">E2425&lt;G2425</x:f>
        <x:v>1</x:v>
      </x:c>
    </x:row>
    <x:row r="2426">
      <x:c r="A2426" s="31">
        <x:v>40534</x:v>
      </x:c>
      <x:c r="B2426" s="32">
        <x:v>488.3</x:v>
      </x:c>
      <x:c r="C2426" s="32">
        <x:v>488.7</x:v>
      </x:c>
      <x:c r="D2426" s="32">
        <x:v>481.5</x:v>
      </x:c>
      <x:c r="E2426" s="32">
        <x:v>481.5</x:v>
      </x:c>
      <x:c r="F2426" s="33">
        <x:v>52498410</x:v>
      </x:c>
      <x:c r="G2426" s="32" t="n">
        <x:f t="shared" si="102">AVERAGE(E2227:E2426)</x:f>
        <x:v>482.9499500000001</x:v>
      </x:c>
      <x:c r="H2426" s="37" t="n">
        <x:f t="shared" si="103">IFERROR(E2426/G2426-1,"")</x:f>
        <x:v>-0.0030022779793229537</x:v>
      </x:c>
      <x:c r="I2426" s="38" t="b">
        <x:f t="shared" si="104">E2426&lt;G2426</x:f>
        <x:v>1</x:v>
      </x:c>
    </x:row>
    <x:row r="2427">
      <x:c r="A2427" s="31">
        <x:v>40535</x:v>
      </x:c>
      <x:c r="B2427" s="32">
        <x:v>481.7</x:v>
      </x:c>
      <x:c r="C2427" s="32">
        <x:v>481.7</x:v>
      </x:c>
      <x:c r="D2427" s="32">
        <x:v>475.4</x:v>
      </x:c>
      <x:c r="E2427" s="32">
        <x:v>475.4</x:v>
      </x:c>
      <x:c r="F2427" s="33">
        <x:v>50104360</x:v>
      </x:c>
      <x:c r="G2427" s="32" t="n">
        <x:f t="shared" si="102">AVERAGE(E2228:E2427)</x:f>
        <x:v>482.70395</x:v>
      </x:c>
      <x:c r="H2427" s="37" t="n">
        <x:f t="shared" si="103">IFERROR(E2427/G2427-1,"")</x:f>
        <x:v>-0.015131324282720349</x:v>
      </x:c>
      <x:c r="I2427" s="38" t="b">
        <x:f t="shared" si="104">E2427&lt;G2427</x:f>
        <x:v>1</x:v>
      </x:c>
    </x:row>
    <x:row r="2428">
      <x:c r="A2428" s="31">
        <x:v>40536</x:v>
      </x:c>
      <x:c r="B2428" s="32">
        <x:v>474.2</x:v>
      </x:c>
      <x:c r="C2428" s="32">
        <x:v>477.8</x:v>
      </x:c>
      <x:c r="D2428" s="32">
        <x:v>470.8</x:v>
      </x:c>
      <x:c r="E2428" s="32">
        <x:v>472.8</x:v>
      </x:c>
      <x:c r="F2428" s="33">
        <x:v>55816400</x:v>
      </x:c>
      <x:c r="G2428" s="32" t="n">
        <x:f t="shared" si="102">AVERAGE(E2229:E2428)</x:f>
        <x:v>482.4104500000001</x:v>
      </x:c>
      <x:c r="H2428" s="37" t="n">
        <x:f t="shared" si="103">IFERROR(E2428/G2428-1,"")</x:f>
        <x:v>-0.01992172847831153</x:v>
      </x:c>
      <x:c r="I2428" s="38" t="b">
        <x:f t="shared" si="104">E2428&lt;G2428</x:f>
        <x:v>1</x:v>
      </x:c>
    </x:row>
    <x:row r="2429">
      <x:c r="A2429" s="31">
        <x:v>40539</x:v>
      </x:c>
      <x:c r="B2429" s="32">
        <x:v>475.7</x:v>
      </x:c>
      <x:c r="C2429" s="32">
        <x:v>476.1</x:v>
      </x:c>
      <x:c r="D2429" s="32">
        <x:v>469.6</x:v>
      </x:c>
      <x:c r="E2429" s="32">
        <x:v>473.1</x:v>
      </x:c>
      <x:c r="F2429" s="33">
        <x:v>31432870</x:v>
      </x:c>
      <x:c r="G2429" s="32" t="n">
        <x:f t="shared" si="102">AVERAGE(E2230:E2429)</x:f>
        <x:v>482.1164500000001</x:v>
      </x:c>
      <x:c r="H2429" s="37" t="n">
        <x:f t="shared" si="103">IFERROR(E2429/G2429-1,"")</x:f>
        <x:v>-0.018701809490217713</x:v>
      </x:c>
      <x:c r="I2429" s="38" t="b">
        <x:f t="shared" si="104">E2429&lt;G2429</x:f>
        <x:v>1</x:v>
      </x:c>
    </x:row>
    <x:row r="2430">
      <x:c r="A2430" s="31">
        <x:v>40540</x:v>
      </x:c>
      <x:c r="B2430" s="32">
        <x:v>471.7</x:v>
      </x:c>
      <x:c r="C2430" s="32">
        <x:v>479.3</x:v>
      </x:c>
      <x:c r="D2430" s="32">
        <x:v>471.7</x:v>
      </x:c>
      <x:c r="E2430" s="32">
        <x:v>479.3</x:v>
      </x:c>
      <x:c r="F2430" s="33">
        <x:v>46930710</x:v>
      </x:c>
      <x:c r="G2430" s="32" t="n">
        <x:f t="shared" si="102">AVERAGE(E2231:E2430)</x:f>
        <x:v>481.9324500000002</x:v>
      </x:c>
      <x:c r="H2430" s="37" t="n">
        <x:f t="shared" si="103">IFERROR(E2430/G2430-1,"")</x:f>
        <x:v>-0.0054622800353040235</x:v>
      </x:c>
      <x:c r="I2430" s="38" t="b">
        <x:f t="shared" si="104">E2430&lt;G2430</x:f>
        <x:v>1</x:v>
      </x:c>
    </x:row>
    <x:row r="2431">
      <x:c r="A2431" s="31">
        <x:v>40541</x:v>
      </x:c>
      <x:c r="B2431" s="32">
        <x:v>480.5</x:v>
      </x:c>
      <x:c r="C2431" s="32">
        <x:v>481.2</x:v>
      </x:c>
      <x:c r="D2431" s="32">
        <x:v>476.5</x:v>
      </x:c>
      <x:c r="E2431" s="32">
        <x:v>478.8</x:v>
      </x:c>
      <x:c r="F2431" s="33">
        <x:v>47091620</x:v>
      </x:c>
      <x:c r="G2431" s="32" t="n">
        <x:f t="shared" si="102">AVERAGE(E2232:E2431)</x:f>
        <x:v>481.77195000000023</x:v>
      </x:c>
      <x:c r="H2431" s="37" t="n">
        <x:f t="shared" si="103">IFERROR(E2431/G2431-1,"")</x:f>
        <x:v>-0.006168790026069848</x:v>
      </x:c>
      <x:c r="I2431" s="38" t="b">
        <x:f t="shared" si="104">E2431&lt;G2431</x:f>
        <x:v>1</x:v>
      </x:c>
    </x:row>
    <x:row r="2432">
      <x:c r="A2432" s="31">
        <x:v>40542</x:v>
      </x:c>
      <x:c r="B2432" s="32">
        <x:v>477.2</x:v>
      </x:c>
      <x:c r="C2432" s="32">
        <x:v>481.5</x:v>
      </x:c>
      <x:c r="D2432" s="32">
        <x:v>477.2</x:v>
      </x:c>
      <x:c r="E2432" s="32">
        <x:v>481.4</x:v>
      </x:c>
      <x:c r="F2432" s="33">
        <x:v>37343490</x:v>
      </x:c>
      <x:c r="G2432" s="32" t="n">
        <x:f t="shared" si="102">AVERAGE(E2233:E2432)</x:f>
        <x:v>481.58045000000016</x:v>
      </x:c>
      <x:c r="H2432" s="37" t="n">
        <x:f t="shared" si="103">IFERROR(E2432/G2432-1,"")</x:f>
        <x:v>-0.0003747037488756044</x:v>
      </x:c>
      <x:c r="I2432" s="38" t="b">
        <x:f t="shared" si="104">E2432&lt;G2432</x:f>
        <x:v>1</x:v>
      </x:c>
    </x:row>
    <x:row r="2433">
      <x:c r="A2433" s="31">
        <x:v>40543</x:v>
      </x:c>
      <x:c r="B2433" s="32">
        <x:v>480.9</x:v>
      </x:c>
      <x:c r="C2433" s="32">
        <x:v>485.2</x:v>
      </x:c>
      <x:c r="D2433" s="32">
        <x:v>480.1</x:v>
      </x:c>
      <x:c r="E2433" s="32">
        <x:v>484.7</x:v>
      </x:c>
      <x:c r="F2433" s="33">
        <x:v>38915530</x:v>
      </x:c>
      <x:c r="G2433" s="32" t="n">
        <x:f t="shared" si="102">AVERAGE(E2234:E2433)</x:f>
        <x:v>481.4239500000001</x:v>
      </x:c>
      <x:c r="H2433" s="37" t="n">
        <x:f t="shared" si="103">IFERROR(E2433/G2433-1,"")</x:f>
        <x:v>0.006804916955211571</x:v>
      </x:c>
      <x:c r="I2433" s="38" t="b">
        <x:f t="shared" si="104">E2433&lt;G2433</x:f>
        <x:v>0</x:v>
      </x:c>
    </x:row>
    <x:row r="2434">
      <x:c r="A2434" s="31">
        <x:v>40547</x:v>
      </x:c>
      <x:c r="B2434" s="32">
        <x:v>485.7</x:v>
      </x:c>
      <x:c r="C2434" s="32">
        <x:v>487.8</x:v>
      </x:c>
      <x:c r="D2434" s="32">
        <x:v>481.7</x:v>
      </x:c>
      <x:c r="E2434" s="32">
        <x:v>486</x:v>
      </x:c>
      <x:c r="F2434" s="33">
        <x:v>27702590</x:v>
      </x:c>
      <x:c r="G2434" s="32" t="n">
        <x:f t="shared" si="102">AVERAGE(E2235:E2434)</x:f>
        <x:v>481.29595000000006</x:v>
      </x:c>
      <x:c r="H2434" s="37" t="n">
        <x:f t="shared" si="103">IFERROR(E2434/G2434-1,"")</x:f>
        <x:v>0.009773716151153744</x:v>
      </x:c>
      <x:c r="I2434" s="38" t="b">
        <x:f t="shared" si="104">E2434&lt;G2434</x:f>
        <x:v>0</x:v>
      </x:c>
    </x:row>
    <x:row r="2435">
      <x:c r="A2435" s="31">
        <x:v>40548</x:v>
      </x:c>
      <x:c r="B2435" s="32">
        <x:v>487.9</x:v>
      </x:c>
      <x:c r="C2435" s="32">
        <x:v>487.9</x:v>
      </x:c>
      <x:c r="D2435" s="32">
        <x:v>481.9</x:v>
      </x:c>
      <x:c r="E2435" s="32">
        <x:v>481.9</x:v>
      </x:c>
      <x:c r="F2435" s="33">
        <x:v>31937170</x:v>
      </x:c>
      <x:c r="G2435" s="32" t="n">
        <x:f t="shared" si="102">AVERAGE(E2236:E2435)</x:f>
        <x:v>481.17295000000007</x:v>
      </x:c>
      <x:c r="H2435" s="37" t="n">
        <x:f t="shared" si="103">IFERROR(E2435/G2435-1,"")</x:f>
        <x:v>0.0015109951629657115</x:v>
      </x:c>
      <x:c r="I2435" s="38" t="b">
        <x:f t="shared" si="104">E2435&lt;G2435</x:f>
        <x:v>0</x:v>
      </x:c>
    </x:row>
    <x:row r="2436">
      <x:c r="A2436" s="31">
        <x:v>40549</x:v>
      </x:c>
      <x:c r="B2436" s="32">
        <x:v>480.9</x:v>
      </x:c>
      <x:c r="C2436" s="32">
        <x:v>483.2</x:v>
      </x:c>
      <x:c r="D2436" s="32">
        <x:v>479.9</x:v>
      </x:c>
      <x:c r="E2436" s="32">
        <x:v>482.3</x:v>
      </x:c>
      <x:c r="F2436" s="33">
        <x:v>27623660</x:v>
      </x:c>
      <x:c r="G2436" s="32" t="n">
        <x:f t="shared" si="102">AVERAGE(E2237:E2436)</x:f>
        <x:v>481.0239500000001</x:v>
      </x:c>
      <x:c r="H2436" s="37" t="n">
        <x:f t="shared" si="103">IFERROR(E2436/G2436-1,"")</x:f>
        <x:v>0.0026527785154977224</x:v>
      </x:c>
      <x:c r="I2436" s="38" t="b">
        <x:f t="shared" si="104">E2436&lt;G2436</x:f>
        <x:v>0</x:v>
      </x:c>
    </x:row>
    <x:row r="2437">
      <x:c r="A2437" s="31">
        <x:v>40550</x:v>
      </x:c>
      <x:c r="B2437" s="32">
        <x:v>482.8</x:v>
      </x:c>
      <x:c r="C2437" s="32">
        <x:v>483.9</x:v>
      </x:c>
      <x:c r="D2437" s="32">
        <x:v>481.4</x:v>
      </x:c>
      <x:c r="E2437" s="32">
        <x:v>481.9</x:v>
      </x:c>
      <x:c r="F2437" s="33">
        <x:v>27898990</x:v>
      </x:c>
      <x:c r="G2437" s="32" t="n">
        <x:f t="shared" si="102">AVERAGE(E2238:E2437)</x:f>
        <x:v>480.91645000000005</x:v>
      </x:c>
      <x:c r="H2437" s="37" t="n">
        <x:f t="shared" si="103">IFERROR(E2437/G2437-1,"")</x:f>
        <x:v>0.002045157739977377</x:v>
      </x:c>
      <x:c r="I2437" s="38" t="b">
        <x:f t="shared" si="104">E2437&lt;G2437</x:f>
        <x:v>0</x:v>
      </x:c>
    </x:row>
    <x:row r="2438">
      <x:c r="A2438" s="31">
        <x:v>40553</x:v>
      </x:c>
      <x:c r="B2438" s="32">
        <x:v>483.7</x:v>
      </x:c>
      <x:c r="C2438" s="32">
        <x:v>485.1</x:v>
      </x:c>
      <x:c r="D2438" s="32">
        <x:v>479.6</x:v>
      </x:c>
      <x:c r="E2438" s="32">
        <x:v>481.9</x:v>
      </x:c>
      <x:c r="F2438" s="33">
        <x:v>31913610</x:v>
      </x:c>
      <x:c r="G2438" s="32" t="n">
        <x:f t="shared" si="102">AVERAGE(E2239:E2438)</x:f>
        <x:v>480.79945</x:v>
      </x:c>
      <x:c r="H2438" s="37" t="n">
        <x:f t="shared" si="103">IFERROR(E2438/G2438-1,"")</x:f>
        <x:v>0.0022890001226083534</x:v>
      </x:c>
      <x:c r="I2438" s="38" t="b">
        <x:f t="shared" si="104">E2438&lt;G2438</x:f>
        <x:v>0</x:v>
      </x:c>
    </x:row>
    <x:row r="2439">
      <x:c r="A2439" s="31">
        <x:v>40554</x:v>
      </x:c>
      <x:c r="B2439" s="32">
        <x:v>478</x:v>
      </x:c>
      <x:c r="C2439" s="32">
        <x:v>480.8</x:v>
      </x:c>
      <x:c r="D2439" s="32">
        <x:v>475.5</x:v>
      </x:c>
      <x:c r="E2439" s="32">
        <x:v>477.4</x:v>
      </x:c>
      <x:c r="F2439" s="33">
        <x:v>33672520</x:v>
      </x:c>
      <x:c r="G2439" s="32" t="n">
        <x:f t="shared" si="102">AVERAGE(E2240:E2439)</x:f>
        <x:v>480.65794999999997</x:v>
      </x:c>
      <x:c r="H2439" s="37" t="n">
        <x:f t="shared" si="103">IFERROR(E2439/G2439-1,"")</x:f>
        <x:v>-0.006778104887269598</x:v>
      </x:c>
      <x:c r="I2439" s="38" t="b">
        <x:f t="shared" si="104">E2439&lt;G2439</x:f>
        <x:v>1</x:v>
      </x:c>
    </x:row>
    <x:row r="2440">
      <x:c r="A2440" s="31">
        <x:v>40555</x:v>
      </x:c>
      <x:c r="B2440" s="32">
        <x:v>480.8</x:v>
      </x:c>
      <x:c r="C2440" s="32">
        <x:v>481.7</x:v>
      </x:c>
      <x:c r="D2440" s="32">
        <x:v>477.5</x:v>
      </x:c>
      <x:c r="E2440" s="32">
        <x:v>478.5</x:v>
      </x:c>
      <x:c r="F2440" s="33">
        <x:v>25963280</x:v>
      </x:c>
      <x:c r="G2440" s="32" t="n">
        <x:f t="shared" si="102">AVERAGE(E2241:E2440)</x:f>
        <x:v>480.5469499999999</x:v>
      </x:c>
      <x:c r="H2440" s="37" t="n">
        <x:f t="shared" si="103">IFERROR(E2440/G2440-1,"")</x:f>
        <x:v>-0.004259625412251444</x:v>
      </x:c>
      <x:c r="I2440" s="38" t="b">
        <x:f t="shared" si="104">E2440&lt;G2440</x:f>
        <x:v>1</x:v>
      </x:c>
    </x:row>
    <x:row r="2441">
      <x:c r="A2441" s="31">
        <x:v>40556</x:v>
      </x:c>
      <x:c r="B2441" s="32">
        <x:v>480</x:v>
      </x:c>
      <x:c r="C2441" s="32">
        <x:v>485</x:v>
      </x:c>
      <x:c r="D2441" s="32">
        <x:v>479.6</x:v>
      </x:c>
      <x:c r="E2441" s="32">
        <x:v>484.1</x:v>
      </x:c>
      <x:c r="F2441" s="33">
        <x:v>24707820</x:v>
      </x:c>
      <x:c r="G2441" s="32" t="n">
        <x:f t="shared" si="102">AVERAGE(E2242:E2441)</x:f>
        <x:v>480.47144999999995</x:v>
      </x:c>
      <x:c r="H2441" s="37" t="n">
        <x:f t="shared" si="103">IFERROR(E2441/G2441-1,"")</x:f>
        <x:v>0.007552061626138418</x:v>
      </x:c>
      <x:c r="I2441" s="38" t="b">
        <x:f t="shared" si="104">E2441&lt;G2441</x:f>
        <x:v>0</x:v>
      </x:c>
    </x:row>
    <x:row r="2442">
      <x:c r="A2442" s="31">
        <x:v>40557</x:v>
      </x:c>
      <x:c r="B2442" s="32">
        <x:v>487.1</x:v>
      </x:c>
      <x:c r="C2442" s="32">
        <x:v>490.1</x:v>
      </x:c>
      <x:c r="D2442" s="32">
        <x:v>486.5</x:v>
      </x:c>
      <x:c r="E2442" s="32">
        <x:v>489.2</x:v>
      </x:c>
      <x:c r="F2442" s="33">
        <x:v>35655170</x:v>
      </x:c>
      <x:c r="G2442" s="32" t="n">
        <x:f t="shared" si="102">AVERAGE(E2243:E2442)</x:f>
        <x:v>480.37645</x:v>
      </x:c>
      <x:c r="H2442" s="37" t="n">
        <x:f t="shared" si="103">IFERROR(E2442/G2442-1,"")</x:f>
        <x:v>0.018367990354231534</x:v>
      </x:c>
      <x:c r="I2442" s="38" t="b">
        <x:f t="shared" si="104">E2442&lt;G2442</x:f>
        <x:v>0</x:v>
      </x:c>
    </x:row>
    <x:row r="2443">
      <x:c r="A2443" s="31">
        <x:v>40560</x:v>
      </x:c>
      <x:c r="B2443" s="32">
        <x:v>492.9</x:v>
      </x:c>
      <x:c r="C2443" s="32">
        <x:v>498.5</x:v>
      </x:c>
      <x:c r="D2443" s="32">
        <x:v>492.4</x:v>
      </x:c>
      <x:c r="E2443" s="32">
        <x:v>495.2</x:v>
      </x:c>
      <x:c r="F2443" s="33">
        <x:v>38761030</x:v>
      </x:c>
      <x:c r="G2443" s="32" t="n">
        <x:f t="shared" si="102">AVERAGE(E2244:E2443)</x:f>
        <x:v>480.29994999999997</x:v>
      </x:c>
      <x:c r="H2443" s="37" t="n">
        <x:f t="shared" si="103">IFERROR(E2443/G2443-1,"")</x:f>
        <x:v>0.03102238507416044</x:v>
      </x:c>
      <x:c r="I2443" s="38" t="b">
        <x:f t="shared" si="104">E2443&lt;G2443</x:f>
        <x:v>0</x:v>
      </x:c>
    </x:row>
    <x:row r="2444">
      <x:c r="A2444" s="31">
        <x:v>40561</x:v>
      </x:c>
      <x:c r="B2444" s="32">
        <x:v>497.1</x:v>
      </x:c>
      <x:c r="C2444" s="32">
        <x:v>501.3</x:v>
      </x:c>
      <x:c r="D2444" s="32">
        <x:v>496</x:v>
      </x:c>
      <x:c r="E2444" s="32">
        <x:v>497.4</x:v>
      </x:c>
      <x:c r="F2444" s="33">
        <x:v>36081550</x:v>
      </x:c>
      <x:c r="G2444" s="32" t="n">
        <x:f t="shared" si="102">AVERAGE(E2245:E2444)</x:f>
        <x:v>480.2129499999999</x:v>
      </x:c>
      <x:c r="H2444" s="37" t="n">
        <x:f t="shared" si="103">IFERROR(E2444/G2444-1,"")</x:f>
        <x:v>0.035790475871173566</x:v>
      </x:c>
      <x:c r="I2444" s="38" t="b">
        <x:f t="shared" si="104">E2444&lt;G2444</x:f>
        <x:v>0</x:v>
      </x:c>
    </x:row>
    <x:row r="2445">
      <x:c r="A2445" s="31">
        <x:v>40562</x:v>
      </x:c>
      <x:c r="B2445" s="32">
        <x:v>504.9</x:v>
      </x:c>
      <x:c r="C2445" s="32">
        <x:v>507.9</x:v>
      </x:c>
      <x:c r="D2445" s="32">
        <x:v>503.1</x:v>
      </x:c>
      <x:c r="E2445" s="32">
        <x:v>505.9</x:v>
      </x:c>
      <x:c r="F2445" s="33">
        <x:v>37752610</x:v>
      </x:c>
      <x:c r="G2445" s="32" t="n">
        <x:f t="shared" ref="G2445:G2508" si="105">AVERAGE(E2246:E2445)</x:f>
        <x:v>480.16594999999984</x:v>
      </x:c>
      <x:c r="H2445" s="37" t="n">
        <x:f t="shared" ref="H2445:H2508" si="106">IFERROR(E2445/G2445-1,"")</x:f>
        <x:v>0.05359407513173342</x:v>
      </x:c>
      <x:c r="I2445" s="38" t="b">
        <x:f t="shared" ref="I2445:I2508" si="107">E2445&lt;G2445</x:f>
        <x:v>0</x:v>
      </x:c>
    </x:row>
    <x:row r="2446">
      <x:c r="A2446" s="31">
        <x:v>40563</x:v>
      </x:c>
      <x:c r="B2446" s="32">
        <x:v>510.2</x:v>
      </x:c>
      <x:c r="C2446" s="32">
        <x:v>514.1</x:v>
      </x:c>
      <x:c r="D2446" s="32">
        <x:v>510.2</x:v>
      </x:c>
      <x:c r="E2446" s="32">
        <x:v>512</x:v>
      </x:c>
      <x:c r="F2446" s="33">
        <x:v>34788830</x:v>
      </x:c>
      <x:c r="G2446" s="32" t="n">
        <x:f t="shared" si="105">AVERAGE(E2247:E2446)</x:f>
        <x:v>480.14694999999995</x:v>
      </x:c>
      <x:c r="H2446" s="37" t="n">
        <x:f t="shared" si="106">IFERROR(E2446/G2446-1,"")</x:f>
        <x:v>0.06634021105413668</x:v>
      </x:c>
      <x:c r="I2446" s="38" t="b">
        <x:f t="shared" si="107">E2446&lt;G2446</x:f>
        <x:v>0</x:v>
      </x:c>
    </x:row>
    <x:row r="2447">
      <x:c r="A2447" s="31">
        <x:v>40564</x:v>
      </x:c>
      <x:c r="B2447" s="32">
        <x:v>518.29999999999995</x:v>
      </x:c>
      <x:c r="C2447" s="32">
        <x:v>521.20000000000005</x:v>
      </x:c>
      <x:c r="D2447" s="32">
        <x:v>518.20000000000005</x:v>
      </x:c>
      <x:c r="E2447" s="32">
        <x:v>519.5</x:v>
      </x:c>
      <x:c r="F2447" s="33">
        <x:v>42553960</x:v>
      </x:c>
      <x:c r="G2447" s="32" t="n">
        <x:f t="shared" si="105">AVERAGE(E2248:E2447)</x:f>
        <x:v>480.16494999999986</x:v>
      </x:c>
      <x:c r="H2447" s="37" t="n">
        <x:f t="shared" si="106">IFERROR(E2447/G2447-1,"")</x:f>
        <x:v>0.08191986941154306</x:v>
      </x:c>
      <x:c r="I2447" s="38" t="b">
        <x:f t="shared" si="107">E2447&lt;G2447</x:f>
        <x:v>0</x:v>
      </x:c>
    </x:row>
    <x:row r="2448">
      <x:c r="A2448" s="31">
        <x:v>40567</x:v>
      </x:c>
      <x:c r="B2448" s="32">
        <x:v>525.70000000000005</x:v>
      </x:c>
      <x:c r="C2448" s="32">
        <x:v>525.70000000000005</x:v>
      </x:c>
      <x:c r="D2448" s="32">
        <x:v>509.9</x:v>
      </x:c>
      <x:c r="E2448" s="32">
        <x:v>509.9</x:v>
      </x:c>
      <x:c r="F2448" s="33">
        <x:v>33580000</x:v>
      </x:c>
      <x:c r="G2448" s="32" t="n">
        <x:f t="shared" si="105">AVERAGE(E2249:E2448)</x:f>
        <x:v>480.1274499999999</x:v>
      </x:c>
      <x:c r="H2448" s="37" t="n">
        <x:f t="shared" si="106">IFERROR(E2448/G2448-1,"")</x:f>
        <x:v>0.062009680971167214</x:v>
      </x:c>
      <x:c r="I2448" s="38" t="b">
        <x:f t="shared" si="107">E2448&lt;G2448</x:f>
        <x:v>0</x:v>
      </x:c>
    </x:row>
    <x:row r="2449">
      <x:c r="A2449" s="31">
        <x:v>40568</x:v>
      </x:c>
      <x:c r="B2449" s="32">
        <x:v>504.1</x:v>
      </x:c>
      <x:c r="C2449" s="32">
        <x:v>506.1</x:v>
      </x:c>
      <x:c r="D2449" s="32">
        <x:v>501.9</x:v>
      </x:c>
      <x:c r="E2449" s="32">
        <x:v>502</x:v>
      </x:c>
      <x:c r="F2449" s="33">
        <x:v>31591460</x:v>
      </x:c>
      <x:c r="G2449" s="32" t="n">
        <x:f t="shared" si="105">AVERAGE(E2250:E2449)</x:f>
        <x:v>480.03794999999974</x:v>
      </x:c>
      <x:c r="H2449" s="37" t="n">
        <x:f t="shared" si="106">IFERROR(E2449/G2449-1,"")</x:f>
        <x:v>0.04575065367227804</x:v>
      </x:c>
      <x:c r="I2449" s="38" t="b">
        <x:f t="shared" si="107">E2449&lt;G2449</x:f>
        <x:v>0</x:v>
      </x:c>
    </x:row>
    <x:row r="2450">
      <x:c r="A2450" s="31">
        <x:v>40569</x:v>
      </x:c>
      <x:c r="B2450" s="32">
        <x:v>498.2</x:v>
      </x:c>
      <x:c r="C2450" s="32">
        <x:v>502</x:v>
      </x:c>
      <x:c r="D2450" s="32">
        <x:v>498.2</x:v>
      </x:c>
      <x:c r="E2450" s="32">
        <x:v>501.3</x:v>
      </x:c>
      <x:c r="F2450" s="33">
        <x:v>18693150</x:v>
      </x:c>
      <x:c r="G2450" s="32" t="n">
        <x:f t="shared" si="105">AVERAGE(E2251:E2450)</x:f>
        <x:v>479.9544499999998</x:v>
      </x:c>
      <x:c r="H2450" s="37" t="n">
        <x:f t="shared" si="106">IFERROR(E2450/G2450-1,"")</x:f>
        <x:v>0.044474116241656425</x:v>
      </x:c>
      <x:c r="I2450" s="38" t="b">
        <x:f t="shared" si="107">E2450&lt;G2450</x:f>
        <x:v>0</x:v>
      </x:c>
    </x:row>
    <x:row r="2451">
      <x:c r="A2451" s="31">
        <x:v>40570</x:v>
      </x:c>
      <x:c r="B2451" s="32">
        <x:v>501.3</x:v>
      </x:c>
      <x:c r="C2451" s="32">
        <x:v>503.4</x:v>
      </x:c>
      <x:c r="D2451" s="32">
        <x:v>498.1</x:v>
      </x:c>
      <x:c r="E2451" s="32">
        <x:v>502.7</x:v>
      </x:c>
      <x:c r="F2451" s="33">
        <x:v>25261730</x:v>
      </x:c>
      <x:c r="G2451" s="32" t="n">
        <x:f t="shared" si="105">AVERAGE(E2252:E2451)</x:f>
        <x:v>479.88694999999973</x:v>
      </x:c>
      <x:c r="H2451" s="37" t="n">
        <x:f t="shared" si="106">IFERROR(E2451/G2451-1,"")</x:f>
        <x:v>0.047538383779763604</x:v>
      </x:c>
      <x:c r="I2451" s="38" t="b">
        <x:f t="shared" si="107">E2451&lt;G2451</x:f>
        <x:v>0</x:v>
      </x:c>
    </x:row>
    <x:row r="2452">
      <x:c r="A2452" s="31">
        <x:v>40571</x:v>
      </x:c>
      <x:c r="B2452" s="32">
        <x:v>502.8</x:v>
      </x:c>
      <x:c r="C2452" s="32">
        <x:v>511.9</x:v>
      </x:c>
      <x:c r="D2452" s="32">
        <x:v>502.8</x:v>
      </x:c>
      <x:c r="E2452" s="32">
        <x:v>510.6</x:v>
      </x:c>
      <x:c r="F2452" s="33">
        <x:v>34784690</x:v>
      </x:c>
      <x:c r="G2452" s="32" t="n">
        <x:f t="shared" si="105">AVERAGE(E2253:E2452)</x:f>
        <x:v>479.8324499999997</x:v>
      </x:c>
      <x:c r="H2452" s="37" t="n">
        <x:f t="shared" si="106">IFERROR(E2452/G2452-1,"")</x:f>
        <x:v>0.06412144489185834</x:v>
      </x:c>
      <x:c r="I2452" s="38" t="b">
        <x:f t="shared" si="107">E2452&lt;G2452</x:f>
        <x:v>0</x:v>
      </x:c>
    </x:row>
    <x:row r="2453">
      <x:c r="A2453" s="31">
        <x:v>40582</x:v>
      </x:c>
      <x:c r="B2453" s="32">
        <x:v>515.70000000000005</x:v>
      </x:c>
      <x:c r="C2453" s="32">
        <x:v>521.5</x:v>
      </x:c>
      <x:c r="D2453" s="32">
        <x:v>515.6</x:v>
      </x:c>
      <x:c r="E2453" s="32">
        <x:v>520.70000000000005</x:v>
      </x:c>
      <x:c r="F2453" s="33">
        <x:v>23807620</x:v>
      </x:c>
      <x:c r="G2453" s="32" t="n">
        <x:f t="shared" si="105">AVERAGE(E2254:E2453)</x:f>
        <x:v>479.82594999999964</x:v>
      </x:c>
      <x:c r="H2453" s="37" t="n">
        <x:f t="shared" si="106">IFERROR(E2453/G2453-1,"")</x:f>
        <x:v>0.08518515932704429</x:v>
      </x:c>
      <x:c r="I2453" s="38" t="b">
        <x:f t="shared" si="107">E2453&lt;G2453</x:f>
        <x:v>0</x:v>
      </x:c>
    </x:row>
    <x:row r="2454">
      <x:c r="A2454" s="31">
        <x:v>40583</x:v>
      </x:c>
      <x:c r="B2454" s="32">
        <x:v>528.70000000000005</x:v>
      </x:c>
      <x:c r="C2454" s="32">
        <x:v>529.20000000000005</x:v>
      </x:c>
      <x:c r="D2454" s="32">
        <x:v>522.5</x:v>
      </x:c>
      <x:c r="E2454" s="32">
        <x:v>522.6</x:v>
      </x:c>
      <x:c r="F2454" s="33">
        <x:v>30722510</x:v>
      </x:c>
      <x:c r="G2454" s="32" t="n">
        <x:f t="shared" si="105">AVERAGE(E2255:E2454)</x:f>
        <x:v>479.8554499999996</x:v>
      </x:c>
      <x:c r="H2454" s="37" t="n">
        <x:f t="shared" si="106">IFERROR(E2454/G2454-1,"")</x:f>
        <x:v>0.08907797129323103</x:v>
      </x:c>
      <x:c r="I2454" s="38" t="b">
        <x:f t="shared" si="107">E2454&lt;G2454</x:f>
        <x:v>0</x:v>
      </x:c>
    </x:row>
    <x:row r="2455">
      <x:c r="A2455" s="31">
        <x:v>40584</x:v>
      </x:c>
      <x:c r="B2455" s="32">
        <x:v>523.29999999999995</x:v>
      </x:c>
      <x:c r="C2455" s="32">
        <x:v>526.6</x:v>
      </x:c>
      <x:c r="D2455" s="32">
        <x:v>519.5</x:v>
      </x:c>
      <x:c r="E2455" s="32">
        <x:v>520.20000000000005</x:v>
      </x:c>
      <x:c r="F2455" s="33">
        <x:v>29888370</x:v>
      </x:c>
      <x:c r="G2455" s="32" t="n">
        <x:f t="shared" si="105">AVERAGE(E2256:E2455)</x:f>
        <x:v>479.8804499999996</x:v>
      </x:c>
      <x:c r="H2455" s="37" t="n">
        <x:f t="shared" si="106">IFERROR(E2455/G2455-1,"")</x:f>
        <x:v>0.08401998872844363</x:v>
      </x:c>
      <x:c r="I2455" s="38" t="b">
        <x:f t="shared" si="107">E2455&lt;G2455</x:f>
        <x:v>0</x:v>
      </x:c>
    </x:row>
    <x:row r="2456">
      <x:c r="A2456" s="31">
        <x:v>40585</x:v>
      </x:c>
      <x:c r="B2456" s="32">
        <x:v>522.79999999999995</x:v>
      </x:c>
      <x:c r="C2456" s="32">
        <x:v>522.79999999999995</x:v>
      </x:c>
      <x:c r="D2456" s="32">
        <x:v>516.4</x:v>
      </x:c>
      <x:c r="E2456" s="32">
        <x:v>520</x:v>
      </x:c>
      <x:c r="F2456" s="33">
        <x:v>32315650</x:v>
      </x:c>
      <x:c r="G2456" s="32" t="n">
        <x:f t="shared" si="105">AVERAGE(E2257:E2456)</x:f>
        <x:v>479.8819499999996</x:v>
      </x:c>
      <x:c r="H2456" s="37" t="n">
        <x:f t="shared" si="106">IFERROR(E2456/G2456-1,"")</x:f>
        <x:v>0.0835998311668118</x:v>
      </x:c>
      <x:c r="I2456" s="38" t="b">
        <x:f t="shared" si="107">E2456&lt;G2456</x:f>
        <x:v>0</x:v>
      </x:c>
    </x:row>
    <x:row r="2457">
      <x:c r="A2457" s="31">
        <x:v>40588</x:v>
      </x:c>
      <x:c r="B2457" s="32">
        <x:v>520.70000000000005</x:v>
      </x:c>
      <x:c r="C2457" s="32">
        <x:v>522.4</x:v>
      </x:c>
      <x:c r="D2457" s="32">
        <x:v>514.1</x:v>
      </x:c>
      <x:c r="E2457" s="32">
        <x:v>514.1</x:v>
      </x:c>
      <x:c r="F2457" s="33">
        <x:v>32986530</x:v>
      </x:c>
      <x:c r="G2457" s="32" t="n">
        <x:f t="shared" si="105">AVERAGE(E2258:E2457)</x:f>
        <x:v>479.80594999999965</x:v>
      </x:c>
      <x:c r="H2457" s="37" t="n">
        <x:f t="shared" si="106">IFERROR(E2457/G2457-1,"")</x:f>
        <x:v>0.07147483269017485</x:v>
      </x:c>
      <x:c r="I2457" s="38" t="b">
        <x:f t="shared" si="107">E2457&lt;G2457</x:f>
        <x:v>0</x:v>
      </x:c>
    </x:row>
    <x:row r="2458">
      <x:c r="A2458" s="31">
        <x:v>40589</x:v>
      </x:c>
      <x:c r="B2458" s="32">
        <x:v>509.3</x:v>
      </x:c>
      <x:c r="C2458" s="32">
        <x:v>518</x:v>
      </x:c>
      <x:c r="D2458" s="32">
        <x:v>509.3</x:v>
      </x:c>
      <x:c r="E2458" s="32">
        <x:v>517.9</x:v>
      </x:c>
      <x:c r="F2458" s="33">
        <x:v>32068120</x:v>
      </x:c>
      <x:c r="G2458" s="32" t="n">
        <x:f t="shared" si="105">AVERAGE(E2259:E2458)</x:f>
        <x:v>479.73944999999964</x:v>
      </x:c>
      <x:c r="H2458" s="37" t="n">
        <x:f t="shared" si="106">IFERROR(E2458/G2458-1,"")</x:f>
        <x:v>0.0795443234864266</x:v>
      </x:c>
      <x:c r="I2458" s="38" t="b">
        <x:f t="shared" si="107">E2458&lt;G2458</x:f>
        <x:v>0</x:v>
      </x:c>
    </x:row>
    <x:row r="2459">
      <x:c r="A2459" s="31">
        <x:v>40590</x:v>
      </x:c>
      <x:c r="B2459" s="32">
        <x:v>520</x:v>
      </x:c>
      <x:c r="C2459" s="32">
        <x:v>520</x:v>
      </x:c>
      <x:c r="D2459" s="32">
        <x:v>513</x:v>
      </x:c>
      <x:c r="E2459" s="32">
        <x:v>513</x:v>
      </x:c>
      <x:c r="F2459" s="33">
        <x:v>27859030</x:v>
      </x:c>
      <x:c r="G2459" s="32" t="n">
        <x:f t="shared" si="105">AVERAGE(E2260:E2459)</x:f>
        <x:v>479.62594999999965</x:v>
      </x:c>
      <x:c r="H2459" s="37" t="n">
        <x:f t="shared" si="106">IFERROR(E2459/G2459-1,"")</x:f>
        <x:v>0.06958349522164164</x:v>
      </x:c>
      <x:c r="I2459" s="38" t="b">
        <x:f t="shared" si="107">E2459&lt;G2459</x:f>
        <x:v>0</x:v>
      </x:c>
    </x:row>
    <x:row r="2460">
      <x:c r="A2460" s="31">
        <x:v>40591</x:v>
      </x:c>
      <x:c r="B2460" s="32">
        <x:v>510.7</x:v>
      </x:c>
      <x:c r="C2460" s="32">
        <x:v>511</x:v>
      </x:c>
      <x:c r="D2460" s="32">
        <x:v>505.5</x:v>
      </x:c>
      <x:c r="E2460" s="32">
        <x:v>509.8</x:v>
      </x:c>
      <x:c r="F2460" s="33">
        <x:v>33492100</x:v>
      </x:c>
      <x:c r="G2460" s="32" t="n">
        <x:f t="shared" si="105">AVERAGE(E2261:E2460)</x:f>
        <x:v>479.47894999999966</x:v>
      </x:c>
      <x:c r="H2460" s="37" t="n">
        <x:f t="shared" si="106">IFERROR(E2460/G2460-1,"")</x:f>
        <x:v>0.06323749979013749</x:v>
      </x:c>
      <x:c r="I2460" s="38" t="b">
        <x:f t="shared" si="107">E2460&lt;G2460</x:f>
        <x:v>0</x:v>
      </x:c>
    </x:row>
    <x:row r="2461">
      <x:c r="A2461" s="31">
        <x:v>40592</x:v>
      </x:c>
      <x:c r="B2461" s="32">
        <x:v>509.1</x:v>
      </x:c>
      <x:c r="C2461" s="32">
        <x:v>510.8</x:v>
      </x:c>
      <x:c r="D2461" s="32">
        <x:v>502.6</x:v>
      </x:c>
      <x:c r="E2461" s="32">
        <x:v>503.9</x:v>
      </x:c>
      <x:c r="F2461" s="33">
        <x:v>35958100</x:v>
      </x:c>
      <x:c r="G2461" s="32" t="n">
        <x:f t="shared" si="105">AVERAGE(E2262:E2461)</x:f>
        <x:v>479.2864499999996</x:v>
      </x:c>
      <x:c r="H2461" s="37" t="n">
        <x:f t="shared" si="106">IFERROR(E2461/G2461-1,"")</x:f>
        <x:v>0.05135457094603946</x:v>
      </x:c>
      <x:c r="I2461" s="38" t="b">
        <x:f t="shared" si="107">E2461&lt;G2461</x:f>
        <x:v>0</x:v>
      </x:c>
    </x:row>
    <x:row r="2462">
      <x:c r="A2462" s="31">
        <x:v>40595</x:v>
      </x:c>
      <x:c r="B2462" s="32">
        <x:v>497.7</x:v>
      </x:c>
      <x:c r="C2462" s="32">
        <x:v>497.7</x:v>
      </x:c>
      <x:c r="D2462" s="32">
        <x:v>481.9</x:v>
      </x:c>
      <x:c r="E2462" s="32">
        <x:v>483.7</x:v>
      </x:c>
      <x:c r="F2462" s="33">
        <x:v>47615090</x:v>
      </x:c>
      <x:c r="G2462" s="32" t="n">
        <x:f t="shared" si="105">AVERAGE(E2263:E2462)</x:f>
        <x:v>478.95944999999955</x:v>
      </x:c>
      <x:c r="H2462" s="37" t="n">
        <x:f t="shared" si="106">IFERROR(E2462/G2462-1,"")</x:f>
        <x:v>0.009897601978623438</x:v>
      </x:c>
      <x:c r="I2462" s="38" t="b">
        <x:f t="shared" si="107">E2462&lt;G2462</x:f>
        <x:v>0</x:v>
      </x:c>
    </x:row>
    <x:row r="2463">
      <x:c r="A2463" s="31">
        <x:v>40596</x:v>
      </x:c>
      <x:c r="B2463" s="32">
        <x:v>467.4</x:v>
      </x:c>
      <x:c r="C2463" s="32">
        <x:v>471.7</x:v>
      </x:c>
      <x:c r="D2463" s="32">
        <x:v>467.4</x:v>
      </x:c>
      <x:c r="E2463" s="32">
        <x:v>470</x:v>
      </x:c>
      <x:c r="F2463" s="33">
        <x:v>48651700</x:v>
      </x:c>
      <x:c r="G2463" s="32" t="n">
        <x:f t="shared" si="105">AVERAGE(E2264:E2463)</x:f>
        <x:v>478.5694499999996</x:v>
      </x:c>
      <x:c r="H2463" s="37" t="n">
        <x:f t="shared" si="106">IFERROR(E2463/G2463-1,"")</x:f>
        <x:v>-0.01790638746372053</x:v>
      </x:c>
      <x:c r="I2463" s="38" t="b">
        <x:f t="shared" si="107">E2463&lt;G2463</x:f>
        <x:v>1</x:v>
      </x:c>
    </x:row>
    <x:row r="2464">
      <x:c r="A2464" s="31">
        <x:v>40597</x:v>
      </x:c>
      <x:c r="B2464" s="32">
        <x:v>469</x:v>
      </x:c>
      <x:c r="C2464" s="32">
        <x:v>474</x:v>
      </x:c>
      <x:c r="D2464" s="32">
        <x:v>466.9</x:v>
      </x:c>
      <x:c r="E2464" s="32">
        <x:v>470.7</x:v>
      </x:c>
      <x:c r="F2464" s="33">
        <x:v>34351200</x:v>
      </x:c>
      <x:c r="G2464" s="32" t="n">
        <x:f t="shared" si="105">AVERAGE(E2265:E2464)</x:f>
        <x:v>478.1754499999996</x:v>
      </x:c>
      <x:c r="H2464" s="37" t="n">
        <x:f t="shared" si="106">IFERROR(E2464/G2464-1,"")</x:f>
        <x:v>-0.015633278538242923</x:v>
      </x:c>
      <x:c r="I2464" s="38" t="b">
        <x:f t="shared" si="107">E2464&lt;G2464</x:f>
        <x:v>1</x:v>
      </x:c>
    </x:row>
    <x:row r="2465">
      <x:c r="A2465" s="31">
        <x:v>40598</x:v>
      </x:c>
      <x:c r="B2465" s="32">
        <x:v>462.4</x:v>
      </x:c>
      <x:c r="C2465" s="32">
        <x:v>462.9</x:v>
      </x:c>
      <x:c r="D2465" s="32">
        <x:v>455.7</x:v>
      </x:c>
      <x:c r="E2465" s="32">
        <x:v>461.3</x:v>
      </x:c>
      <x:c r="F2465" s="33">
        <x:v>39985780</x:v>
      </x:c>
      <x:c r="G2465" s="32" t="n">
        <x:f t="shared" si="105">AVERAGE(E2266:E2465)</x:f>
        <x:v>477.7719499999996</x:v>
      </x:c>
      <x:c r="H2465" s="37" t="n">
        <x:f t="shared" si="106">IFERROR(E2465/G2465-1,"")</x:f>
        <x:v>-0.03447659495288413</x:v>
      </x:c>
      <x:c r="I2465" s="38" t="b">
        <x:f t="shared" si="107">E2465&lt;G2465</x:f>
        <x:v>1</x:v>
      </x:c>
    </x:row>
    <x:row r="2466">
      <x:c r="A2466" s="31">
        <x:v>40599</x:v>
      </x:c>
      <x:c r="B2466" s="32">
        <x:v>460.6</x:v>
      </x:c>
      <x:c r="C2466" s="32">
        <x:v>468</x:v>
      </x:c>
      <x:c r="D2466" s="32">
        <x:v>458</x:v>
      </x:c>
      <x:c r="E2466" s="32">
        <x:v>467</x:v>
      </x:c>
      <x:c r="F2466" s="33">
        <x:v>24623090</x:v>
      </x:c>
      <x:c r="G2466" s="32" t="n">
        <x:f t="shared" si="105">AVERAGE(E2267:E2466)</x:f>
        <x:v>477.4349499999997</x:v>
      </x:c>
      <x:c r="H2466" s="37" t="n">
        <x:f t="shared" si="106">IFERROR(E2466/G2466-1,"")</x:f>
        <x:v>-0.021856275917797152</x:v>
      </x:c>
      <x:c r="I2466" s="38" t="b">
        <x:f t="shared" si="107">E2466&lt;G2466</x:f>
        <x:v>1</x:v>
      </x:c>
    </x:row>
    <x:row r="2467">
      <x:c r="A2467" s="31">
        <x:v>40602</x:v>
      </x:c>
      <x:c r="B2467" s="32">
        <x:v>467.1</x:v>
      </x:c>
      <x:c r="C2467" s="32">
        <x:v>474.2</x:v>
      </x:c>
      <x:c r="D2467" s="32">
        <x:v>461.4</x:v>
      </x:c>
      <x:c r="E2467" s="32">
        <x:v>461.4</x:v>
      </x:c>
      <x:c r="F2467" s="33">
        <x:v>29478850</x:v>
      </x:c>
      <x:c r="G2467" s="32" t="n">
        <x:f t="shared" si="105">AVERAGE(E2268:E2467)</x:f>
        <x:v>477.06994999999966</x:v>
      </x:c>
      <x:c r="H2467" s="37" t="n">
        <x:f t="shared" si="106">IFERROR(E2467/G2467-1,"")</x:f>
        <x:v>-0.032846231459348285</x:v>
      </x:c>
      <x:c r="I2467" s="38" t="b">
        <x:f t="shared" si="107">E2467&lt;G2467</x:f>
        <x:v>1</x:v>
      </x:c>
    </x:row>
    <x:row r="2468">
      <x:c r="A2468" s="31">
        <x:v>40603</x:v>
      </x:c>
      <x:c r="B2468" s="32">
        <x:v>458.2</x:v>
      </x:c>
      <x:c r="C2468" s="32">
        <x:v>466.1</x:v>
      </x:c>
      <x:c r="D2468" s="32">
        <x:v>458.1</x:v>
      </x:c>
      <x:c r="E2468" s="32">
        <x:v>466.1</x:v>
      </x:c>
      <x:c r="F2468" s="33">
        <x:v>20498410</x:v>
      </x:c>
      <x:c r="G2468" s="32" t="n">
        <x:f t="shared" si="105">AVERAGE(E2269:E2468)</x:f>
        <x:v>476.8024499999997</x:v>
      </x:c>
      <x:c r="H2468" s="37" t="n">
        <x:f t="shared" si="106">IFERROR(E2468/G2468-1,"")</x:f>
        <x:v>-0.02244629825203215</x:v>
      </x:c>
      <x:c r="I2468" s="38" t="b">
        <x:f t="shared" si="107">E2468&lt;G2468</x:f>
        <x:v>1</x:v>
      </x:c>
    </x:row>
    <x:row r="2469">
      <x:c r="A2469" s="31">
        <x:v>40604</x:v>
      </x:c>
      <x:c r="B2469" s="32">
        <x:v>464.3</x:v>
      </x:c>
      <x:c r="C2469" s="32">
        <x:v>466.3</x:v>
      </x:c>
      <x:c r="D2469" s="32">
        <x:v>453.3</x:v>
      </x:c>
      <x:c r="E2469" s="32">
        <x:v>457.8</x:v>
      </x:c>
      <x:c r="F2469" s="33">
        <x:v>44009210</x:v>
      </x:c>
      <x:c r="G2469" s="32" t="n">
        <x:f t="shared" si="105">AVERAGE(E2270:E2469)</x:f>
        <x:v>476.4969499999998</x:v>
      </x:c>
      <x:c r="H2469" s="37" t="n">
        <x:f t="shared" si="106">IFERROR(E2469/G2469-1,"")</x:f>
        <x:v>-0.03923834139966642</x:v>
      </x:c>
      <x:c r="I2469" s="38" t="b">
        <x:f t="shared" si="107">E2469&lt;G2469</x:f>
        <x:v>1</x:v>
      </x:c>
    </x:row>
    <x:row r="2470">
      <x:c r="A2470" s="31">
        <x:v>40605</x:v>
      </x:c>
      <x:c r="B2470" s="32">
        <x:v>449.8</x:v>
      </x:c>
      <x:c r="C2470" s="32">
        <x:v>457.1</x:v>
      </x:c>
      <x:c r="D2470" s="32">
        <x:v>449.8</x:v>
      </x:c>
      <x:c r="E2470" s="32">
        <x:v>452.3</x:v>
      </x:c>
      <x:c r="F2470" s="33">
        <x:v>28284590</x:v>
      </x:c>
      <x:c r="G2470" s="32" t="n">
        <x:f t="shared" si="105">AVERAGE(E2271:E2470)</x:f>
        <x:v>476.1549499999998</x:v>
      </x:c>
      <x:c r="H2470" s="37" t="n">
        <x:f t="shared" si="106">IFERROR(E2470/G2470-1,"")</x:f>
        <x:v>-0.05009913264579069</x:v>
      </x:c>
      <x:c r="I2470" s="38" t="b">
        <x:f t="shared" si="107">E2470&lt;G2470</x:f>
        <x:v>1</x:v>
      </x:c>
    </x:row>
    <x:row r="2471">
      <x:c r="A2471" s="31">
        <x:v>40606</x:v>
      </x:c>
      <x:c r="B2471" s="32">
        <x:v>454.7</x:v>
      </x:c>
      <x:c r="C2471" s="32">
        <x:v>459.2</x:v>
      </x:c>
      <x:c r="D2471" s="32">
        <x:v>452.6</x:v>
      </x:c>
      <x:c r="E2471" s="32">
        <x:v>459.2</x:v>
      </x:c>
      <x:c r="F2471" s="33">
        <x:v>25978170</x:v>
      </x:c>
      <x:c r="G2471" s="32" t="n">
        <x:f t="shared" si="105">AVERAGE(E2272:E2471)</x:f>
        <x:v>475.8944499999998</x:v>
      </x:c>
      <x:c r="H2471" s="37" t="n">
        <x:f t="shared" si="106">IFERROR(E2471/G2471-1,"")</x:f>
        <x:v>-0.03508015275235887</x:v>
      </x:c>
      <x:c r="I2471" s="38" t="b">
        <x:f t="shared" si="107">E2471&lt;G2471</x:f>
        <x:v>1</x:v>
      </x:c>
    </x:row>
    <x:row r="2472">
      <x:c r="A2472" s="31">
        <x:v>40609</x:v>
      </x:c>
      <x:c r="B2472" s="32">
        <x:v>465.2</x:v>
      </x:c>
      <x:c r="C2472" s="32">
        <x:v>468.2</x:v>
      </x:c>
      <x:c r="D2472" s="32">
        <x:v>464.4</x:v>
      </x:c>
      <x:c r="E2472" s="32">
        <x:v>468.2</x:v>
      </x:c>
      <x:c r="F2472" s="33">
        <x:v>21215060</x:v>
      </x:c>
      <x:c r="G2472" s="32" t="n">
        <x:f t="shared" si="105">AVERAGE(E2273:E2472)</x:f>
        <x:v>475.6939499999998</x:v>
      </x:c>
      <x:c r="H2472" s="37" t="n">
        <x:f t="shared" si="106">IFERROR(E2472/G2472-1,"")</x:f>
        <x:v>-0.015753721484159766</x:v>
      </x:c>
      <x:c r="I2472" s="38" t="b">
        <x:f t="shared" si="107">E2472&lt;G2472</x:f>
        <x:v>1</x:v>
      </x:c>
    </x:row>
    <x:row r="2473">
      <x:c r="A2473" s="31">
        <x:v>40610</x:v>
      </x:c>
      <x:c r="B2473" s="32">
        <x:v>471.8</x:v>
      </x:c>
      <x:c r="C2473" s="32">
        <x:v>477.5</x:v>
      </x:c>
      <x:c r="D2473" s="32">
        <x:v>471.8</x:v>
      </x:c>
      <x:c r="E2473" s="32">
        <x:v>475.4</x:v>
      </x:c>
      <x:c r="F2473" s="33">
        <x:v>24083640</x:v>
      </x:c>
      <x:c r="G2473" s="32" t="n">
        <x:f t="shared" si="105">AVERAGE(E2274:E2473)</x:f>
        <x:v>475.59644999999983</x:v>
      </x:c>
      <x:c r="H2473" s="37" t="n">
        <x:f t="shared" si="106">IFERROR(E2473/G2473-1,"")</x:f>
        <x:v>-0.00041306027410392687</x:v>
      </x:c>
      <x:c r="I2473" s="38" t="b">
        <x:f t="shared" si="107">E2473&lt;G2473</x:f>
        <x:v>1</x:v>
      </x:c>
    </x:row>
    <x:row r="2474">
      <x:c r="A2474" s="31">
        <x:v>40611</x:v>
      </x:c>
      <x:c r="B2474" s="32">
        <x:v>474.8</x:v>
      </x:c>
      <x:c r="C2474" s="32">
        <x:v>475.2</x:v>
      </x:c>
      <x:c r="D2474" s="32">
        <x:v>466.7</x:v>
      </x:c>
      <x:c r="E2474" s="32">
        <x:v>470.5</x:v>
      </x:c>
      <x:c r="F2474" s="33">
        <x:v>25573120</x:v>
      </x:c>
      <x:c r="G2474" s="32" t="n">
        <x:f t="shared" si="105">AVERAGE(E2275:E2474)</x:f>
        <x:v>475.43094999999977</x:v>
      </x:c>
      <x:c r="H2474" s="37" t="n">
        <x:f t="shared" si="106">IFERROR(E2474/G2474-1,"")</x:f>
        <x:v>-0.010371537654416008</x:v>
      </x:c>
      <x:c r="I2474" s="38" t="b">
        <x:f t="shared" si="107">E2474&lt;G2474</x:f>
        <x:v>1</x:v>
      </x:c>
    </x:row>
    <x:row r="2475">
      <x:c r="A2475" s="31">
        <x:v>40612</x:v>
      </x:c>
      <x:c r="B2475" s="32">
        <x:v>467.5</x:v>
      </x:c>
      <x:c r="C2475" s="32">
        <x:v>482.5</x:v>
      </x:c>
      <x:c r="D2475" s="32">
        <x:v>467.5</x:v>
      </x:c>
      <x:c r="E2475" s="32">
        <x:v>482.5</x:v>
      </x:c>
      <x:c r="F2475" s="33">
        <x:v>33266730</x:v>
      </x:c>
      <x:c r="G2475" s="32" t="n">
        <x:f t="shared" si="105">AVERAGE(E2276:E2475)</x:f>
        <x:v>475.42494999999974</x:v>
      </x:c>
      <x:c r="H2475" s="37" t="n">
        <x:f t="shared" si="106">IFERROR(E2475/G2475-1,"")</x:f>
        <x:v>0.014881528619817397</x:v>
      </x:c>
      <x:c r="I2475" s="38" t="b">
        <x:f t="shared" si="107">E2475&lt;G2475</x:f>
        <x:v>0</x:v>
      </x:c>
    </x:row>
    <x:row r="2476">
      <x:c r="A2476" s="31">
        <x:v>40613</x:v>
      </x:c>
      <x:c r="B2476" s="32">
        <x:v>490.1</x:v>
      </x:c>
      <x:c r="C2476" s="32">
        <x:v>496.2</x:v>
      </x:c>
      <x:c r="D2476" s="32">
        <x:v>490.1</x:v>
      </x:c>
      <x:c r="E2476" s="32">
        <x:v>495.1</x:v>
      </x:c>
      <x:c r="F2476" s="33">
        <x:v>38503770</x:v>
      </x:c>
      <x:c r="G2476" s="32" t="n">
        <x:f t="shared" si="105">AVERAGE(E2277:E2476)</x:f>
        <x:v>475.4694499999998</x:v>
      </x:c>
      <x:c r="H2476" s="37" t="n">
        <x:f t="shared" si="106">IFERROR(E2476/G2476-1,"")</x:f>
        <x:v>0.041286669416931376</x:v>
      </x:c>
      <x:c r="I2476" s="38" t="b">
        <x:f t="shared" si="107">E2476&lt;G2476</x:f>
        <x:v>0</x:v>
      </x:c>
    </x:row>
    <x:row r="2477">
      <x:c r="A2477" s="31">
        <x:v>40616</x:v>
      </x:c>
      <x:c r="B2477" s="32">
        <x:v>492</x:v>
      </x:c>
      <x:c r="C2477" s="32">
        <x:v>493.2</x:v>
      </x:c>
      <x:c r="D2477" s="32">
        <x:v>479.9</x:v>
      </x:c>
      <x:c r="E2477" s="32">
        <x:v>479.9</x:v>
      </x:c>
      <x:c r="F2477" s="33">
        <x:v>42018980</x:v>
      </x:c>
      <x:c r="G2477" s="32" t="n">
        <x:f t="shared" si="105">AVERAGE(E2278:E2477)</x:f>
        <x:v>475.4374499999998</x:v>
      </x:c>
      <x:c r="H2477" s="37" t="n">
        <x:f t="shared" si="106">IFERROR(E2477/G2477-1,"")</x:f>
        <x:v>0.009386197910997929</x:v>
      </x:c>
      <x:c r="I2477" s="38" t="b">
        <x:f t="shared" si="107">E2477&lt;G2477</x:f>
        <x:v>0</x:v>
      </x:c>
    </x:row>
    <x:row r="2478">
      <x:c r="A2478" s="31">
        <x:v>40617</x:v>
      </x:c>
      <x:c r="B2478" s="32">
        <x:v>470.5</x:v>
      </x:c>
      <x:c r="C2478" s="32">
        <x:v>476.3</x:v>
      </x:c>
      <x:c r="D2478" s="32">
        <x:v>468.2</x:v>
      </x:c>
      <x:c r="E2478" s="32">
        <x:v>468.7</x:v>
      </x:c>
      <x:c r="F2478" s="33">
        <x:v>30728400</x:v>
      </x:c>
      <x:c r="G2478" s="32" t="n">
        <x:f t="shared" si="105">AVERAGE(E2279:E2478)</x:f>
        <x:v>475.3174499999998</x:v>
      </x:c>
      <x:c r="H2478" s="37" t="n">
        <x:f t="shared" si="106">IFERROR(E2478/G2478-1,"")</x:f>
        <x:v>-0.013922169278657415</x:v>
      </x:c>
      <x:c r="I2478" s="38" t="b">
        <x:f t="shared" si="107">E2478&lt;G2478</x:f>
        <x:v>1</x:v>
      </x:c>
    </x:row>
    <x:row r="2479">
      <x:c r="A2479" s="31">
        <x:v>40618</x:v>
      </x:c>
      <x:c r="B2479" s="32">
        <x:v>467.2</x:v>
      </x:c>
      <x:c r="C2479" s="32">
        <x:v>470.6</x:v>
      </x:c>
      <x:c r="D2479" s="32">
        <x:v>461.6</x:v>
      </x:c>
      <x:c r="E2479" s="32">
        <x:v>463.6</x:v>
      </x:c>
      <x:c r="F2479" s="33">
        <x:v>28554040</x:v>
      </x:c>
      <x:c r="G2479" s="32" t="n">
        <x:f t="shared" si="105">AVERAGE(E2280:E2479)</x:f>
        <x:v>475.1494499999998</x:v>
      </x:c>
      <x:c r="H2479" s="37" t="n">
        <x:f t="shared" si="106">IFERROR(E2479/G2479-1,"")</x:f>
        <x:v>-0.02430698383424368</x:v>
      </x:c>
      <x:c r="I2479" s="38" t="b">
        <x:f t="shared" si="107">E2479&lt;G2479</x:f>
        <x:v>1</x:v>
      </x:c>
    </x:row>
    <x:row r="2480">
      <x:c r="A2480" s="31">
        <x:v>40619</x:v>
      </x:c>
      <x:c r="B2480" s="32">
        <x:v>461.5</x:v>
      </x:c>
      <x:c r="C2480" s="32">
        <x:v>468.3</x:v>
      </x:c>
      <x:c r="D2480" s="32">
        <x:v>457</x:v>
      </x:c>
      <x:c r="E2480" s="32">
        <x:v>460.5</x:v>
      </x:c>
      <x:c r="F2480" s="33">
        <x:v>32161500</x:v>
      </x:c>
      <x:c r="G2480" s="32" t="n">
        <x:f t="shared" si="105">AVERAGE(E2281:E2480)</x:f>
        <x:v>474.88694999999984</x:v>
      </x:c>
      <x:c r="H2480" s="37" t="n">
        <x:f t="shared" si="106">IFERROR(E2480/G2480-1,"")</x:f>
        <x:v>-0.030295526124690997</x:v>
      </x:c>
      <x:c r="I2480" s="38" t="b">
        <x:f t="shared" si="107">E2480&lt;G2480</x:f>
        <x:v>1</x:v>
      </x:c>
    </x:row>
    <x:row r="2481">
      <x:c r="A2481" s="31">
        <x:v>40620</x:v>
      </x:c>
      <x:c r="B2481" s="32">
        <x:v>459.4</x:v>
      </x:c>
      <x:c r="C2481" s="32">
        <x:v>461.9</x:v>
      </x:c>
      <x:c r="D2481" s="32">
        <x:v>454.7</x:v>
      </x:c>
      <x:c r="E2481" s="32">
        <x:v>461.1</x:v>
      </x:c>
      <x:c r="F2481" s="33">
        <x:v>45518990</x:v>
      </x:c>
      <x:c r="G2481" s="32" t="n">
        <x:f t="shared" si="105">AVERAGE(E2282:E2481)</x:f>
        <x:v>474.65544999999986</x:v>
      </x:c>
      <x:c r="H2481" s="37" t="n">
        <x:f t="shared" si="106">IFERROR(E2481/G2481-1,"")</x:f>
        <x:v>-0.028558504911298965</x:v>
      </x:c>
      <x:c r="I2481" s="38" t="b">
        <x:f t="shared" si="107">E2481&lt;G2481</x:f>
        <x:v>1</x:v>
      </x:c>
    </x:row>
    <x:row r="2482">
      <x:c r="A2482" s="31">
        <x:v>40623</x:v>
      </x:c>
      <x:c r="B2482" s="32">
        <x:v>467.2</x:v>
      </x:c>
      <x:c r="C2482" s="32">
        <x:v>469.5</x:v>
      </x:c>
      <x:c r="D2482" s="32">
        <x:v>464.8</x:v>
      </x:c>
      <x:c r="E2482" s="32">
        <x:v>468.3</x:v>
      </x:c>
      <x:c r="F2482" s="33">
        <x:v>35968290</x:v>
      </x:c>
      <x:c r="G2482" s="32" t="n">
        <x:f t="shared" si="105">AVERAGE(E2283:E2482)</x:f>
        <x:v>474.45344999999986</x:v>
      </x:c>
      <x:c r="H2482" s="37" t="n">
        <x:f t="shared" si="106">IFERROR(E2482/G2482-1,"")</x:f>
        <x:v>-0.012969554758216706</x:v>
      </x:c>
      <x:c r="I2482" s="38" t="b">
        <x:f t="shared" si="107">E2482&lt;G2482</x:f>
        <x:v>1</x:v>
      </x:c>
    </x:row>
    <x:row r="2483">
      <x:c r="A2483" s="31">
        <x:v>40624</x:v>
      </x:c>
      <x:c r="B2483" s="32">
        <x:v>470.2</x:v>
      </x:c>
      <x:c r="C2483" s="32">
        <x:v>471</x:v>
      </x:c>
      <x:c r="D2483" s="32">
        <x:v>464.8</x:v>
      </x:c>
      <x:c r="E2483" s="32">
        <x:v>464.8</x:v>
      </x:c>
      <x:c r="F2483" s="33">
        <x:v>31891240</x:v>
      </x:c>
      <x:c r="G2483" s="32" t="n">
        <x:f t="shared" si="105">AVERAGE(E2284:E2483)</x:f>
        <x:v>474.22394999999983</x:v>
      </x:c>
      <x:c r="H2483" s="37" t="n">
        <x:f t="shared" si="106">IFERROR(E2483/G2483-1,"")</x:f>
        <x:v>-0.019872361992682608</x:v>
      </x:c>
      <x:c r="I2483" s="38" t="b">
        <x:f t="shared" si="107">E2483&lt;G2483</x:f>
        <x:v>1</x:v>
      </x:c>
    </x:row>
    <x:row r="2484">
      <x:c r="A2484" s="31">
        <x:v>40625</x:v>
      </x:c>
      <x:c r="B2484" s="32">
        <x:v>464</x:v>
      </x:c>
      <x:c r="C2484" s="32">
        <x:v>468</x:v>
      </x:c>
      <x:c r="D2484" s="32">
        <x:v>464</x:v>
      </x:c>
      <x:c r="E2484" s="32">
        <x:v>467.6</x:v>
      </x:c>
      <x:c r="F2484" s="33">
        <x:v>27018860</x:v>
      </x:c>
      <x:c r="G2484" s="32" t="n">
        <x:f t="shared" si="105">AVERAGE(E2285:E2484)</x:f>
        <x:v>474.00594999999987</x:v>
      </x:c>
      <x:c r="H2484" s="37" t="n">
        <x:f t="shared" si="106">IFERROR(E2484/G2484-1,"")</x:f>
        <x:v>-0.013514492803307299</x:v>
      </x:c>
      <x:c r="I2484" s="38" t="b">
        <x:f t="shared" si="107">E2484&lt;G2484</x:f>
        <x:v>1</x:v>
      </x:c>
    </x:row>
    <x:row r="2485">
      <x:c r="A2485" s="31">
        <x:v>40626</x:v>
      </x:c>
      <x:c r="B2485" s="32">
        <x:v>465.1</x:v>
      </x:c>
      <x:c r="C2485" s="32">
        <x:v>468.6</x:v>
      </x:c>
      <x:c r="D2485" s="32">
        <x:v>461.3</x:v>
      </x:c>
      <x:c r="E2485" s="32">
        <x:v>461.3</x:v>
      </x:c>
      <x:c r="F2485" s="33">
        <x:v>25184420</x:v>
      </x:c>
      <x:c r="G2485" s="32" t="n">
        <x:f t="shared" si="105">AVERAGE(E2286:E2485)</x:f>
        <x:v>473.7604499999998</x:v>
      </x:c>
      <x:c r="H2485" s="37" t="n">
        <x:f t="shared" si="106">IFERROR(E2485/G2485-1,"")</x:f>
        <x:v>-0.026301161272537232</x:v>
      </x:c>
      <x:c r="I2485" s="38" t="b">
        <x:f t="shared" si="107">E2485&lt;G2485</x:f>
        <x:v>1</x:v>
      </x:c>
    </x:row>
    <x:row r="2486">
      <x:c r="A2486" s="31">
        <x:v>40627</x:v>
      </x:c>
      <x:c r="B2486" s="32">
        <x:v>461.2</x:v>
      </x:c>
      <x:c r="C2486" s="32">
        <x:v>462.7</x:v>
      </x:c>
      <x:c r="D2486" s="32">
        <x:v>457.7</x:v>
      </x:c>
      <x:c r="E2486" s="32">
        <x:v>457.7</x:v>
      </x:c>
      <x:c r="F2486" s="33">
        <x:v>24991060</x:v>
      </x:c>
      <x:c r="G2486" s="32" t="n">
        <x:f t="shared" si="105">AVERAGE(E2287:E2486)</x:f>
        <x:v>473.56444999999985</x:v>
      </x:c>
      <x:c r="H2486" s="37" t="n">
        <x:f t="shared" si="106">IFERROR(E2486/G2486-1,"")</x:f>
        <x:v>-0.033500086419071096</x:v>
      </x:c>
      <x:c r="I2486" s="38" t="b">
        <x:f t="shared" si="107">E2486&lt;G2486</x:f>
        <x:v>1</x:v>
      </x:c>
    </x:row>
    <x:row r="2487">
      <x:c r="A2487" s="31">
        <x:v>40630</x:v>
      </x:c>
      <x:c r="B2487" s="32">
        <x:v>458.4</x:v>
      </x:c>
      <x:c r="C2487" s="32">
        <x:v>463.4</x:v>
      </x:c>
      <x:c r="D2487" s="32">
        <x:v>456.7</x:v>
      </x:c>
      <x:c r="E2487" s="32">
        <x:v>459.5</x:v>
      </x:c>
      <x:c r="F2487" s="33">
        <x:v>20391140</x:v>
      </x:c>
      <x:c r="G2487" s="32" t="n">
        <x:f t="shared" si="105">AVERAGE(E2288:E2487)</x:f>
        <x:v>473.3759499999999</x:v>
      </x:c>
      <x:c r="H2487" s="37" t="n">
        <x:f t="shared" si="106">IFERROR(E2487/G2487-1,"")</x:f>
        <x:v>-0.02931274814447138</x:v>
      </x:c>
      <x:c r="I2487" s="38" t="b">
        <x:f t="shared" si="107">E2487&lt;G2487</x:f>
        <x:v>1</x:v>
      </x:c>
    </x:row>
    <x:row r="2488">
      <x:c r="A2488" s="31">
        <x:v>40631</x:v>
      </x:c>
      <x:c r="B2488" s="32">
        <x:v>460.7</x:v>
      </x:c>
      <x:c r="C2488" s="32">
        <x:v>462.3</x:v>
      </x:c>
      <x:c r="D2488" s="32">
        <x:v>456</x:v>
      </x:c>
      <x:c r="E2488" s="32">
        <x:v>457.9</x:v>
      </x:c>
      <x:c r="F2488" s="33">
        <x:v>27935590</x:v>
      </x:c>
      <x:c r="G2488" s="32" t="n">
        <x:f t="shared" si="105">AVERAGE(E2289:E2488)</x:f>
        <x:v>473.1774499999999</x:v>
      </x:c>
      <x:c r="H2488" s="37" t="n">
        <x:f t="shared" si="106">IFERROR(E2488/G2488-1,"")</x:f>
        <x:v>-0.03228693590533516</x:v>
      </x:c>
      <x:c r="I2488" s="38" t="b">
        <x:f t="shared" si="107">E2488&lt;G2488</x:f>
        <x:v>1</x:v>
      </x:c>
    </x:row>
    <x:row r="2489">
      <x:c r="A2489" s="31">
        <x:v>40632</x:v>
      </x:c>
      <x:c r="B2489" s="32">
        <x:v>455.9</x:v>
      </x:c>
      <x:c r="C2489" s="32">
        <x:v>460.1</x:v>
      </x:c>
      <x:c r="D2489" s="32">
        <x:v>454.6</x:v>
      </x:c>
      <x:c r="E2489" s="32">
        <x:v>460</x:v>
      </x:c>
      <x:c r="F2489" s="33">
        <x:v>24372760</x:v>
      </x:c>
      <x:c r="G2489" s="32" t="n">
        <x:f t="shared" si="105">AVERAGE(E2290:E2489)</x:f>
        <x:v>472.97494999999986</x:v>
      </x:c>
      <x:c r="H2489" s="37" t="n">
        <x:f t="shared" si="106">IFERROR(E2489/G2489-1,"")</x:f>
        <x:v>-0.02743263676014951</x:v>
      </x:c>
      <x:c r="I2489" s="38" t="b">
        <x:f t="shared" si="107">E2489&lt;G2489</x:f>
        <x:v>1</x:v>
      </x:c>
    </x:row>
    <x:row r="2490">
      <x:c r="A2490" s="31">
        <x:v>40633</x:v>
      </x:c>
      <x:c r="B2490" s="32">
        <x:v>462.3</x:v>
      </x:c>
      <x:c r="C2490" s="32">
        <x:v>465.3</x:v>
      </x:c>
      <x:c r="D2490" s="32">
        <x:v>460.7</x:v>
      </x:c>
      <x:c r="E2490" s="32">
        <x:v>461.1</x:v>
      </x:c>
      <x:c r="F2490" s="33">
        <x:v>21014340</x:v>
      </x:c>
      <x:c r="G2490" s="32" t="n">
        <x:f t="shared" si="105">AVERAGE(E2291:E2490)</x:f>
        <x:v>472.7589499999998</x:v>
      </x:c>
      <x:c r="H2490" s="37" t="n">
        <x:f t="shared" si="106">IFERROR(E2490/G2490-1,"")</x:f>
        <x:v>-0.024661510903177586</x:v>
      </x:c>
      <x:c r="I2490" s="38" t="b">
        <x:f t="shared" si="107">E2490&lt;G2490</x:f>
        <x:v>1</x:v>
      </x:c>
    </x:row>
    <x:row r="2491">
      <x:c r="A2491" s="31">
        <x:v>40634</x:v>
      </x:c>
      <x:c r="B2491" s="32">
        <x:v>460.8</x:v>
      </x:c>
      <x:c r="C2491" s="32">
        <x:v>463.1</x:v>
      </x:c>
      <x:c r="D2491" s="32">
        <x:v>458.6</x:v>
      </x:c>
      <x:c r="E2491" s="32">
        <x:v>459.2</x:v>
      </x:c>
      <x:c r="F2491" s="33">
        <x:v>19989320</x:v>
      </x:c>
      <x:c r="G2491" s="32" t="n">
        <x:f t="shared" si="105">AVERAGE(E2292:E2491)</x:f>
        <x:v>472.51344999999986</x:v>
      </x:c>
      <x:c r="H2491" s="37" t="n">
        <x:f t="shared" si="106">IFERROR(E2491/G2491-1,"")</x:f>
        <x:v>-0.028175811714989063</x:v>
      </x:c>
      <x:c r="I2491" s="38" t="b">
        <x:f t="shared" si="107">E2491&lt;G2491</x:f>
        <x:v>1</x:v>
      </x:c>
    </x:row>
    <x:row r="2492">
      <x:c r="A2492" s="31">
        <x:v>40637</x:v>
      </x:c>
      <x:c r="B2492" s="32">
        <x:v>460</x:v>
      </x:c>
      <x:c r="C2492" s="32">
        <x:v>460.7</x:v>
      </x:c>
      <x:c r="D2492" s="32">
        <x:v>457.3</x:v>
      </x:c>
      <x:c r="E2492" s="32">
        <x:v>457.3</x:v>
      </x:c>
      <x:c r="F2492" s="33">
        <x:v>19221130</x:v>
      </x:c>
      <x:c r="G2492" s="32" t="n">
        <x:f t="shared" si="105">AVERAGE(E2293:E2492)</x:f>
        <x:v>472.2599499999999</x:v>
      </x:c>
      <x:c r="H2492" s="37" t="n">
        <x:f t="shared" si="106">IFERROR(E2492/G2492-1,"")</x:f>
        <x:v>-0.03167736328265791</x:v>
      </x:c>
      <x:c r="I2492" s="38" t="b">
        <x:f t="shared" si="107">E2492&lt;G2492</x:f>
        <x:v>1</x:v>
      </x:c>
    </x:row>
    <x:row r="2493">
      <x:c r="A2493" s="31">
        <x:v>40638</x:v>
      </x:c>
      <x:c r="B2493" s="32">
        <x:v>458.2</x:v>
      </x:c>
      <x:c r="C2493" s="32">
        <x:v>459.1</x:v>
      </x:c>
      <x:c r="D2493" s="32">
        <x:v>454.9</x:v>
      </x:c>
      <x:c r="E2493" s="32">
        <x:v>457.2</x:v>
      </x:c>
      <x:c r="F2493" s="33">
        <x:v>17505740</x:v>
      </x:c>
      <x:c r="G2493" s="32" t="n">
        <x:f t="shared" si="105">AVERAGE(E2294:E2493)</x:f>
        <x:v>471.9924499999999</x:v>
      </x:c>
      <x:c r="H2493" s="37" t="n">
        <x:f t="shared" si="106">IFERROR(E2493/G2493-1,"")</x:f>
        <x:v>-0.03134043775488338</x:v>
      </x:c>
      <x:c r="I2493" s="38" t="b">
        <x:f t="shared" si="107">E2493&lt;G2493</x:f>
        <x:v>1</x:v>
      </x:c>
    </x:row>
    <x:row r="2494">
      <x:c r="A2494" s="31">
        <x:v>40639</x:v>
      </x:c>
      <x:c r="B2494" s="32">
        <x:v>458.5</x:v>
      </x:c>
      <x:c r="C2494" s="32">
        <x:v>464.9</x:v>
      </x:c>
      <x:c r="D2494" s="32">
        <x:v>458.1</x:v>
      </x:c>
      <x:c r="E2494" s="32">
        <x:v>464.9</x:v>
      </x:c>
      <x:c r="F2494" s="33">
        <x:v>23335120</x:v>
      </x:c>
      <x:c r="G2494" s="32" t="n">
        <x:f t="shared" si="105">AVERAGE(E2295:E2494)</x:f>
        <x:v>471.7629499999998</x:v>
      </x:c>
      <x:c r="H2494" s="37" t="n">
        <x:f t="shared" si="106">IFERROR(E2494/G2494-1,"")</x:f>
        <x:v>-0.014547454394203352</x:v>
      </x:c>
      <x:c r="I2494" s="38" t="b">
        <x:f t="shared" si="107">E2494&lt;G2494</x:f>
        <x:v>1</x:v>
      </x:c>
    </x:row>
    <x:row r="2495">
      <x:c r="A2495" s="31">
        <x:v>40640</x:v>
      </x:c>
      <x:c r="B2495" s="32">
        <x:v>464.7</x:v>
      </x:c>
      <x:c r="C2495" s="32">
        <x:v>465.9</x:v>
      </x:c>
      <x:c r="D2495" s="32">
        <x:v>462</x:v>
      </x:c>
      <x:c r="E2495" s="32">
        <x:v>463.5</x:v>
      </x:c>
      <x:c r="F2495" s="33">
        <x:v>22006610</x:v>
      </x:c>
      <x:c r="G2495" s="32" t="n">
        <x:f t="shared" si="105">AVERAGE(E2296:E2495)</x:f>
        <x:v>471.52444999999983</x:v>
      </x:c>
      <x:c r="H2495" s="37" t="n">
        <x:f t="shared" si="106">IFERROR(E2495/G2495-1,"")</x:f>
        <x:v>-0.017018099485614835</x:v>
      </x:c>
      <x:c r="I2495" s="38" t="b">
        <x:f t="shared" si="107">E2495&lt;G2495</x:f>
        <x:v>1</x:v>
      </x:c>
    </x:row>
    <x:row r="2496">
      <x:c r="A2496" s="31">
        <x:v>40641</x:v>
      </x:c>
      <x:c r="B2496" s="32">
        <x:v>462.5</x:v>
      </x:c>
      <x:c r="C2496" s="32">
        <x:v>464.5</x:v>
      </x:c>
      <x:c r="D2496" s="32">
        <x:v>462.2</x:v>
      </x:c>
      <x:c r="E2496" s="32">
        <x:v>464.3</x:v>
      </x:c>
      <x:c r="F2496" s="33">
        <x:v>17885380</x:v>
      </x:c>
      <x:c r="G2496" s="32" t="n">
        <x:f t="shared" si="105">AVERAGE(E2297:E2496)</x:f>
        <x:v>471.27194999999995</x:v>
      </x:c>
      <x:c r="H2496" s="37" t="n">
        <x:f t="shared" si="106">IFERROR(E2496/G2496-1,"")</x:f>
        <x:v>-0.014793899785463416</x:v>
      </x:c>
      <x:c r="I2496" s="38" t="b">
        <x:f t="shared" si="107">E2496&lt;G2496</x:f>
        <x:v>1</x:v>
      </x:c>
    </x:row>
    <x:row r="2497">
      <x:c r="A2497" s="31">
        <x:v>40646</x:v>
      </x:c>
      <x:c r="B2497" s="32">
        <x:v>464.2</x:v>
      </x:c>
      <x:c r="C2497" s="32">
        <x:v>464.7</x:v>
      </x:c>
      <x:c r="D2497" s="32">
        <x:v>461</x:v>
      </x:c>
      <x:c r="E2497" s="32">
        <x:v>461</x:v>
      </x:c>
      <x:c r="F2497" s="33">
        <x:v>15659150</x:v>
      </x:c>
      <x:c r="G2497" s="32" t="n">
        <x:f t="shared" si="105">AVERAGE(E2298:E2497)</x:f>
        <x:v>471.01394999999997</x:v>
      </x:c>
      <x:c r="H2497" s="37" t="n">
        <x:f t="shared" si="106">IFERROR(E2497/G2497-1,"")</x:f>
        <x:v>-0.021260410652380823</x:v>
      </x:c>
      <x:c r="I2497" s="38" t="b">
        <x:f t="shared" si="107">E2497&lt;G2497</x:f>
        <x:v>1</x:v>
      </x:c>
    </x:row>
    <x:row r="2498">
      <x:c r="A2498" s="31">
        <x:v>40647</x:v>
      </x:c>
      <x:c r="B2498" s="32">
        <x:v>459.9</x:v>
      </x:c>
      <x:c r="C2498" s="32">
        <x:v>462.3</x:v>
      </x:c>
      <x:c r="D2498" s="32">
        <x:v>459.9</x:v>
      </x:c>
      <x:c r="E2498" s="32">
        <x:v>460.6</x:v>
      </x:c>
      <x:c r="F2498" s="33">
        <x:v>18691580</x:v>
      </x:c>
      <x:c r="G2498" s="32" t="n">
        <x:f t="shared" si="105">AVERAGE(E2299:E2498)</x:f>
        <x:v>470.75295000000006</x:v>
      </x:c>
      <x:c r="H2498" s="37" t="n">
        <x:f t="shared" si="106">IFERROR(E2498/G2498-1,"")</x:f>
        <x:v>-0.021567469731204048</x:v>
      </x:c>
      <x:c r="I2498" s="38" t="b">
        <x:f t="shared" si="107">E2498&lt;G2498</x:f>
        <x:v>1</x:v>
      </x:c>
    </x:row>
    <x:row r="2499">
      <x:c r="A2499" s="31">
        <x:v>40648</x:v>
      </x:c>
      <x:c r="B2499" s="32">
        <x:v>462.2</x:v>
      </x:c>
      <x:c r="C2499" s="32">
        <x:v>463.5</x:v>
      </x:c>
      <x:c r="D2499" s="32">
        <x:v>460.9</x:v>
      </x:c>
      <x:c r="E2499" s="32">
        <x:v>461</x:v>
      </x:c>
      <x:c r="F2499" s="33">
        <x:v>22262560</x:v>
      </x:c>
      <x:c r="G2499" s="32" t="n">
        <x:f t="shared" si="105">AVERAGE(E2300:E2499)</x:f>
        <x:v>470.4994500000001</x:v>
      </x:c>
      <x:c r="H2499" s="37" t="n">
        <x:f t="shared" si="106">IFERROR(E2499/G2499-1,"")</x:f>
        <x:v>-0.020190140498570375</x:v>
      </x:c>
      <x:c r="I2499" s="38" t="b">
        <x:f t="shared" si="107">E2499&lt;G2499</x:f>
        <x:v>1</x:v>
      </x:c>
    </x:row>
    <x:row r="2500">
      <x:c r="A2500" s="31">
        <x:v>40651</x:v>
      </x:c>
      <x:c r="B2500" s="32">
        <x:v>458.4</x:v>
      </x:c>
      <x:c r="C2500" s="32">
        <x:v>459.2</x:v>
      </x:c>
      <x:c r="D2500" s="32">
        <x:v>454.8</x:v>
      </x:c>
      <x:c r="E2500" s="32">
        <x:v>455.5</x:v>
      </x:c>
      <x:c r="F2500" s="33">
        <x:v>22418490</x:v>
      </x:c>
      <x:c r="G2500" s="32" t="n">
        <x:f t="shared" si="105">AVERAGE(E2301:E2500)</x:f>
        <x:v>470.25145000000003</x:v>
      </x:c>
      <x:c r="H2500" s="37" t="n">
        <x:f t="shared" si="106">IFERROR(E2500/G2500-1,"")</x:f>
        <x:v>-0.03136928126431093</x:v>
      </x:c>
      <x:c r="I2500" s="38" t="b">
        <x:f t="shared" si="107">E2500&lt;G2500</x:f>
        <x:v>1</x:v>
      </x:c>
    </x:row>
    <x:row r="2501">
      <x:c r="A2501" s="31">
        <x:v>40652</x:v>
      </x:c>
      <x:c r="B2501" s="32">
        <x:v>453.6</x:v>
      </x:c>
      <x:c r="C2501" s="32">
        <x:v>457.6</x:v>
      </x:c>
      <x:c r="D2501" s="32">
        <x:v>453.5</x:v>
      </x:c>
      <x:c r="E2501" s="32">
        <x:v>453.7</x:v>
      </x:c>
      <x:c r="F2501" s="33">
        <x:v>16524710</x:v>
      </x:c>
      <x:c r="G2501" s="32" t="n">
        <x:f t="shared" si="105">AVERAGE(E2302:E2501)</x:f>
        <x:v>469.98345</x:v>
      </x:c>
      <x:c r="H2501" s="37" t="n">
        <x:f t="shared" si="106">IFERROR(E2501/G2501-1,"")</x:f>
        <x:v>-0.03464685830958514</x:v>
      </x:c>
      <x:c r="I2501" s="38" t="b">
        <x:f t="shared" si="107">E2501&lt;G2501</x:f>
        <x:v>1</x:v>
      </x:c>
    </x:row>
    <x:row r="2502">
      <x:c r="A2502" s="31">
        <x:v>40653</x:v>
      </x:c>
      <x:c r="B2502" s="32">
        <x:v>454.6</x:v>
      </x:c>
      <x:c r="C2502" s="32">
        <x:v>458.5</x:v>
      </x:c>
      <x:c r="D2502" s="32">
        <x:v>454.3</x:v>
      </x:c>
      <x:c r="E2502" s="32">
        <x:v>458.5</x:v>
      </x:c>
      <x:c r="F2502" s="33">
        <x:v>16546430</x:v>
      </x:c>
      <x:c r="G2502" s="32" t="n">
        <x:f t="shared" si="105">AVERAGE(E2303:E2502)</x:f>
        <x:v>469.72245000000004</x:v>
      </x:c>
      <x:c r="H2502" s="37" t="n">
        <x:f t="shared" si="106">IFERROR(E2502/G2502-1,"")</x:f>
        <x:v>-0.023891661980388723</x:v>
      </x:c>
      <x:c r="I2502" s="38" t="b">
        <x:f t="shared" si="107">E2502&lt;G2502</x:f>
        <x:v>1</x:v>
      </x:c>
    </x:row>
    <x:row r="2503">
      <x:c r="A2503" s="31">
        <x:v>40654</x:v>
      </x:c>
      <x:c r="B2503" s="32">
        <x:v>458.4</x:v>
      </x:c>
      <x:c r="C2503" s="32">
        <x:v>462.7</x:v>
      </x:c>
      <x:c r="D2503" s="32">
        <x:v>458.3</x:v>
      </x:c>
      <x:c r="E2503" s="32">
        <x:v>460.3</x:v>
      </x:c>
      <x:c r="F2503" s="33">
        <x:v>17006300</x:v>
      </x:c>
      <x:c r="G2503" s="32" t="n">
        <x:f t="shared" si="105">AVERAGE(E2304:E2503)</x:f>
        <x:v>469.48845000000006</x:v>
      </x:c>
      <x:c r="H2503" s="37" t="n">
        <x:f t="shared" si="106">IFERROR(E2503/G2503-1,"")</x:f>
        <x:v>-0.019571194988929008</x:v>
      </x:c>
      <x:c r="I2503" s="38" t="b">
        <x:f t="shared" si="107">E2503&lt;G2503</x:f>
        <x:v>1</x:v>
      </x:c>
    </x:row>
    <x:row r="2504">
      <x:c r="A2504" s="31">
        <x:v>40655</x:v>
      </x:c>
      <x:c r="B2504" s="32">
        <x:v>460.9</x:v>
      </x:c>
      <x:c r="C2504" s="32">
        <x:v>462.4</x:v>
      </x:c>
      <x:c r="D2504" s="32">
        <x:v>454</x:v>
      </x:c>
      <x:c r="E2504" s="32">
        <x:v>456.5</x:v>
      </x:c>
      <x:c r="F2504" s="33">
        <x:v>21266860</x:v>
      </x:c>
      <x:c r="G2504" s="32" t="n">
        <x:f t="shared" si="105">AVERAGE(E2305:E2504)</x:f>
        <x:v>469.2509500000001</x:v>
      </x:c>
      <x:c r="H2504" s="37" t="n">
        <x:f t="shared" si="106">IFERROR(E2504/G2504-1,"")</x:f>
        <x:v>-0.027172987076531485</x:v>
      </x:c>
      <x:c r="I2504" s="38" t="b">
        <x:f t="shared" si="107">E2504&lt;G2504</x:f>
        <x:v>1</x:v>
      </x:c>
    </x:row>
    <x:row r="2505">
      <x:c r="A2505" s="31">
        <x:v>40658</x:v>
      </x:c>
      <x:c r="B2505" s="32">
        <x:v>459</x:v>
      </x:c>
      <x:c r="C2505" s="32">
        <x:v>467</x:v>
      </x:c>
      <x:c r="D2505" s="32">
        <x:v>459</x:v>
      </x:c>
      <x:c r="E2505" s="32">
        <x:v>465.6</x:v>
      </x:c>
      <x:c r="F2505" s="33">
        <x:v>21079130</x:v>
      </x:c>
      <x:c r="G2505" s="32" t="n">
        <x:f t="shared" si="105">AVERAGE(E2306:E2505)</x:f>
        <x:v>469.06045000000006</x:v>
      </x:c>
      <x:c r="H2505" s="37" t="n">
        <x:f t="shared" si="106">IFERROR(E2505/G2505-1,"")</x:f>
        <x:v>-0.007377407325644403</x:v>
      </x:c>
      <x:c r="I2505" s="38" t="b">
        <x:f t="shared" si="107">E2505&lt;G2505</x:f>
        <x:v>1</x:v>
      </x:c>
    </x:row>
    <x:row r="2506">
      <x:c r="A2506" s="31">
        <x:v>40659</x:v>
      </x:c>
      <x:c r="B2506" s="32">
        <x:v>463.8</x:v>
      </x:c>
      <x:c r="C2506" s="32">
        <x:v>468.1</x:v>
      </x:c>
      <x:c r="D2506" s="32">
        <x:v>461.5</x:v>
      </x:c>
      <x:c r="E2506" s="32">
        <x:v>461.9</x:v>
      </x:c>
      <x:c r="F2506" s="33">
        <x:v>19647320</x:v>
      </x:c>
      <x:c r="G2506" s="32" t="n">
        <x:f t="shared" si="105">AVERAGE(E2307:E2506)</x:f>
        <x:v>468.83745000000005</x:v>
      </x:c>
      <x:c r="H2506" s="37" t="n">
        <x:f t="shared" si="106">IFERROR(E2506/G2506-1,"")</x:f>
        <x:v>-0.014797132780241973</x:v>
      </x:c>
      <x:c r="I2506" s="38" t="b">
        <x:f t="shared" si="107">E2506&lt;G2506</x:f>
        <x:v>1</x:v>
      </x:c>
    </x:row>
    <x:row r="2507">
      <x:c r="A2507" s="31">
        <x:v>40660</x:v>
      </x:c>
      <x:c r="B2507" s="32">
        <x:v>466</x:v>
      </x:c>
      <x:c r="C2507" s="32">
        <x:v>469.3</x:v>
      </x:c>
      <x:c r="D2507" s="32">
        <x:v>463.7</x:v>
      </x:c>
      <x:c r="E2507" s="32">
        <x:v>469.3</x:v>
      </x:c>
      <x:c r="F2507" s="33">
        <x:v>19567290</x:v>
      </x:c>
      <x:c r="G2507" s="32" t="n">
        <x:f t="shared" si="105">AVERAGE(E2308:E2507)</x:f>
        <x:v>468.6799500000001</x:v>
      </x:c>
      <x:c r="H2507" s="37" t="n">
        <x:f t="shared" si="106">IFERROR(E2507/G2507-1,"")</x:f>
        <x:v>0.0013229710381250648</x:v>
      </x:c>
      <x:c r="I2507" s="38" t="b">
        <x:f t="shared" si="107">E2507&lt;G2507</x:f>
        <x:v>0</x:v>
      </x:c>
    </x:row>
    <x:row r="2508">
      <x:c r="A2508" s="31">
        <x:v>40661</x:v>
      </x:c>
      <x:c r="B2508" s="32">
        <x:v>472.2</x:v>
      </x:c>
      <x:c r="C2508" s="32">
        <x:v>474.7</x:v>
      </x:c>
      <x:c r="D2508" s="32">
        <x:v>472.2</x:v>
      </x:c>
      <x:c r="E2508" s="32">
        <x:v>472.9</x:v>
      </x:c>
      <x:c r="F2508" s="33">
        <x:v>16856600</x:v>
      </x:c>
      <x:c r="G2508" s="32" t="n">
        <x:f t="shared" si="105">AVERAGE(E2309:E2508)</x:f>
        <x:v>468.5599500000001</x:v>
      </x:c>
      <x:c r="H2508" s="37" t="n">
        <x:f t="shared" si="106">IFERROR(E2508/G2508-1,"")</x:f>
        <x:v>0.009262528732982611</x:v>
      </x:c>
      <x:c r="I2508" s="38" t="b">
        <x:f t="shared" si="107">E2508&lt;G2508</x:f>
        <x:v>0</x:v>
      </x:c>
    </x:row>
    <x:row r="2509">
      <x:c r="A2509" s="31">
        <x:v>40662</x:v>
      </x:c>
      <x:c r="B2509" s="32">
        <x:v>477.4</x:v>
      </x:c>
      <x:c r="C2509" s="32">
        <x:v>481.1</x:v>
      </x:c>
      <x:c r="D2509" s="32">
        <x:v>477.1</x:v>
      </x:c>
      <x:c r="E2509" s="32">
        <x:v>480.1</x:v>
      </x:c>
      <x:c r="F2509" s="33">
        <x:v>18604900</x:v>
      </x:c>
      <x:c r="G2509" s="32" t="n">
        <x:f t="shared" ref="G2509:G2572" si="108">AVERAGE(E2310:E2509)</x:f>
        <x:v>468.4674500000001</x:v>
      </x:c>
      <x:c r="H2509" s="37" t="n">
        <x:f t="shared" ref="H2509:H2572" si="109">IFERROR(E2509/G2509-1,"")</x:f>
        <x:v>0.02483107417601782</x:v>
      </x:c>
      <x:c r="I2509" s="38" t="b">
        <x:f t="shared" ref="I2509:I2572" si="110">E2509&lt;G2509</x:f>
        <x:v>0</x:v>
      </x:c>
    </x:row>
    <x:row r="2510">
      <x:c r="A2510" s="31">
        <x:v>40667</x:v>
      </x:c>
      <x:c r="B2510" s="32">
        <x:v>483.3</x:v>
      </x:c>
      <x:c r="C2510" s="32">
        <x:v>488</x:v>
      </x:c>
      <x:c r="D2510" s="32">
        <x:v>482.6</x:v>
      </x:c>
      <x:c r="E2510" s="32">
        <x:v>486.6</x:v>
      </x:c>
      <x:c r="F2510" s="33">
        <x:v>16159210</x:v>
      </x:c>
      <x:c r="G2510" s="32" t="n">
        <x:f t="shared" si="108">AVERAGE(E2311:E2510)</x:f>
        <x:v>468.4029500000002</x:v>
      </x:c>
      <x:c r="H2510" s="37" t="n">
        <x:f t="shared" si="109">IFERROR(E2510/G2510-1,"")</x:f>
        <x:v>0.03884913619779673</x:v>
      </x:c>
      <x:c r="I2510" s="38" t="b">
        <x:f t="shared" si="110">E2510&lt;G2510</x:f>
        <x:v>0</x:v>
      </x:c>
    </x:row>
    <x:row r="2511">
      <x:c r="A2511" s="31">
        <x:v>40668</x:v>
      </x:c>
      <x:c r="B2511" s="32">
        <x:v>486</x:v>
      </x:c>
      <x:c r="C2511" s="32">
        <x:v>487</x:v>
      </x:c>
      <x:c r="D2511" s="32">
        <x:v>476.5</x:v>
      </x:c>
      <x:c r="E2511" s="32">
        <x:v>479.3</x:v>
      </x:c>
      <x:c r="F2511" s="33">
        <x:v>16288750</x:v>
      </x:c>
      <x:c r="G2511" s="32" t="n">
        <x:f t="shared" si="108">AVERAGE(E2312:E2511)</x:f>
        <x:v>468.2999500000002</x:v>
      </x:c>
      <x:c r="H2511" s="37" t="n">
        <x:f t="shared" si="109">IFERROR(E2511/G2511-1,"")</x:f>
        <x:v>0.0234893255914288</x:v>
      </x:c>
      <x:c r="I2511" s="38" t="b">
        <x:f t="shared" si="110">E2511&lt;G2511</x:f>
        <x:v>0</x:v>
      </x:c>
    </x:row>
    <x:row r="2512">
      <x:c r="A2512" s="31">
        <x:v>40669</x:v>
      </x:c>
      <x:c r="B2512" s="32">
        <x:v>472.5</x:v>
      </x:c>
      <x:c r="C2512" s="32">
        <x:v>473.6</x:v>
      </x:c>
      <x:c r="D2512" s="32">
        <x:v>470.1</x:v>
      </x:c>
      <x:c r="E2512" s="32">
        <x:v>472.7</x:v>
      </x:c>
      <x:c r="F2512" s="33">
        <x:v>14997140</x:v>
      </x:c>
      <x:c r="G2512" s="32" t="n">
        <x:f t="shared" si="108">AVERAGE(E2313:E2512)</x:f>
        <x:v>468.1179500000002</x:v>
      </x:c>
      <x:c r="H2512" s="37" t="n">
        <x:f t="shared" si="109">IFERROR(E2512/G2512-1,"")</x:f>
        <x:v>0.009788238199367916</x:v>
      </x:c>
      <x:c r="I2512" s="38" t="b">
        <x:f t="shared" si="110">E2512&lt;G2512</x:f>
        <x:v>0</x:v>
      </x:c>
    </x:row>
    <x:row r="2513">
      <x:c r="A2513" s="31">
        <x:v>40672</x:v>
      </x:c>
      <x:c r="B2513" s="32">
        <x:v>469</x:v>
      </x:c>
      <x:c r="C2513" s="32">
        <x:v>477.5</x:v>
      </x:c>
      <x:c r="D2513" s="32">
        <x:v>467.8</x:v>
      </x:c>
      <x:c r="E2513" s="32">
        <x:v>477.5</x:v>
      </x:c>
      <x:c r="F2513" s="33">
        <x:v>16398710</x:v>
      </x:c>
      <x:c r="G2513" s="32" t="n">
        <x:f t="shared" si="108">AVERAGE(E2314:E2513)</x:f>
        <x:v>467.9689500000002</x:v>
      </x:c>
      <x:c r="H2513" s="37" t="n">
        <x:f t="shared" si="109">IFERROR(E2513/G2513-1,"")</x:f>
        <x:v>0.020366842714671263</x:v>
      </x:c>
      <x:c r="I2513" s="38" t="b">
        <x:f t="shared" si="110">E2513&lt;G2513</x:f>
        <x:v>0</x:v>
      </x:c>
    </x:row>
    <x:row r="2514">
      <x:c r="A2514" s="31">
        <x:v>40673</x:v>
      </x:c>
      <x:c r="B2514" s="32">
        <x:v>479</x:v>
      </x:c>
      <x:c r="C2514" s="32">
        <x:v>481.7</x:v>
      </x:c>
      <x:c r="D2514" s="32">
        <x:v>478.6</x:v>
      </x:c>
      <x:c r="E2514" s="32">
        <x:v>481.3</x:v>
      </x:c>
      <x:c r="F2514" s="33">
        <x:v>14589400</x:v>
      </x:c>
      <x:c r="G2514" s="32" t="n">
        <x:f t="shared" si="108">AVERAGE(E2315:E2514)</x:f>
        <x:v>467.84945000000016</x:v>
      </x:c>
      <x:c r="H2514" s="37" t="n">
        <x:f t="shared" si="109">IFERROR(E2514/G2514-1,"")</x:f>
        <x:v>0.02874973990030316</x:v>
      </x:c>
      <x:c r="I2514" s="38" t="b">
        <x:f t="shared" si="110">E2514&lt;G2514</x:f>
        <x:v>0</x:v>
      </x:c>
    </x:row>
    <x:row r="2515">
      <x:c r="A2515" s="31">
        <x:v>40674</x:v>
      </x:c>
      <x:c r="B2515" s="32">
        <x:v>479.1</x:v>
      </x:c>
      <x:c r="C2515" s="32">
        <x:v>483.7</x:v>
      </x:c>
      <x:c r="D2515" s="32">
        <x:v>479.1</x:v>
      </x:c>
      <x:c r="E2515" s="32">
        <x:v>483.2</x:v>
      </x:c>
      <x:c r="F2515" s="33">
        <x:v>15499200</x:v>
      </x:c>
      <x:c r="G2515" s="32" t="n">
        <x:f t="shared" si="108">AVERAGE(E2316:E2515)</x:f>
        <x:v>467.7344500000001</x:v>
      </x:c>
      <x:c r="H2515" s="37" t="n">
        <x:f t="shared" si="109">IFERROR(E2515/G2515-1,"")</x:f>
        <x:v>0.03306480846129656</x:v>
      </x:c>
      <x:c r="I2515" s="38" t="b">
        <x:f t="shared" si="110">E2515&lt;G2515</x:f>
        <x:v>0</x:v>
      </x:c>
    </x:row>
    <x:row r="2516">
      <x:c r="A2516" s="31">
        <x:v>40675</x:v>
      </x:c>
      <x:c r="B2516" s="32">
        <x:v>483.1</x:v>
      </x:c>
      <x:c r="C2516" s="32">
        <x:v>484.7</x:v>
      </x:c>
      <x:c r="D2516" s="32">
        <x:v>480.1</x:v>
      </x:c>
      <x:c r="E2516" s="32">
        <x:v>482.1</x:v>
      </x:c>
      <x:c r="F2516" s="33">
        <x:v>14798160</x:v>
      </x:c>
      <x:c r="G2516" s="32" t="n">
        <x:f t="shared" si="108">AVERAGE(E2317:E2516)</x:f>
        <x:v>467.6109500000002</x:v>
      </x:c>
      <x:c r="H2516" s="37" t="n">
        <x:f t="shared" si="109">IFERROR(E2516/G2516-1,"")</x:f>
        <x:v>0.03098526670515267</x:v>
      </x:c>
      <x:c r="I2516" s="38" t="b">
        <x:f t="shared" si="110">E2516&lt;G2516</x:f>
        <x:v>0</x:v>
      </x:c>
    </x:row>
    <x:row r="2517">
      <x:c r="A2517" s="31">
        <x:v>40676</x:v>
      </x:c>
      <x:c r="B2517" s="32">
        <x:v>482</x:v>
      </x:c>
      <x:c r="C2517" s="32">
        <x:v>482.5</x:v>
      </x:c>
      <x:c r="D2517" s="32">
        <x:v>478.6</x:v>
      </x:c>
      <x:c r="E2517" s="32">
        <x:v>479.7</x:v>
      </x:c>
      <x:c r="F2517" s="33">
        <x:v>16906020</x:v>
      </x:c>
      <x:c r="G2517" s="32" t="n">
        <x:f t="shared" si="108">AVERAGE(E2318:E2517)</x:f>
        <x:v>467.4764500000001</x:v>
      </x:c>
      <x:c r="H2517" s="37" t="n">
        <x:f t="shared" si="109">IFERROR(E2517/G2517-1,"")</x:f>
        <x:v>0.026147948201454607</x:v>
      </x:c>
      <x:c r="I2517" s="38" t="b">
        <x:f t="shared" si="110">E2517&lt;G2517</x:f>
        <x:v>0</x:v>
      </x:c>
    </x:row>
    <x:row r="2518">
      <x:c r="A2518" s="31">
        <x:v>40679</x:v>
      </x:c>
      <x:c r="B2518" s="32">
        <x:v>479</x:v>
      </x:c>
      <x:c r="C2518" s="32">
        <x:v>481.5</x:v>
      </x:c>
      <x:c r="D2518" s="32">
        <x:v>471.5</x:v>
      </x:c>
      <x:c r="E2518" s="32">
        <x:v>471.5</x:v>
      </x:c>
      <x:c r="F2518" s="33">
        <x:v>18741240</x:v>
      </x:c>
      <x:c r="G2518" s="32" t="n">
        <x:f t="shared" si="108">AVERAGE(E2319:E2518)</x:f>
        <x:v>467.30695000000014</x:v>
      </x:c>
      <x:c r="H2518" s="37" t="n">
        <x:f t="shared" si="109">IFERROR(E2518/G2518-1,"")</x:f>
        <x:v>0.00897279614608748</x:v>
      </x:c>
      <x:c r="I2518" s="38" t="b">
        <x:f t="shared" si="110">E2518&lt;G2518</x:f>
        <x:v>0</x:v>
      </x:c>
    </x:row>
    <x:row r="2519">
      <x:c r="A2519" s="31">
        <x:v>40680</x:v>
      </x:c>
      <x:c r="B2519" s="32">
        <x:v>471.5</x:v>
      </x:c>
      <x:c r="C2519" s="32">
        <x:v>474.6</x:v>
      </x:c>
      <x:c r="D2519" s="32">
        <x:v>464.4</x:v>
      </x:c>
      <x:c r="E2519" s="32">
        <x:v>464.4</x:v>
      </x:c>
      <x:c r="F2519" s="33">
        <x:v>20824430</x:v>
      </x:c>
      <x:c r="G2519" s="32" t="n">
        <x:f t="shared" si="108">AVERAGE(E2320:E2519)</x:f>
        <x:v>467.1274500000001</x:v>
      </x:c>
      <x:c r="H2519" s="37" t="n">
        <x:f t="shared" si="109">IFERROR(E2519/G2519-1,"")</x:f>
        <x:v>-0.005838770553946548</x:v>
      </x:c>
      <x:c r="I2519" s="38" t="b">
        <x:f t="shared" si="110">E2519&lt;G2519</x:f>
        <x:v>1</x:v>
      </x:c>
    </x:row>
    <x:row r="2520">
      <x:c r="A2520" s="31">
        <x:v>40681</x:v>
      </x:c>
      <x:c r="B2520" s="32">
        <x:v>458.4</x:v>
      </x:c>
      <x:c r="C2520" s="32">
        <x:v>459.2</x:v>
      </x:c>
      <x:c r="D2520" s="32">
        <x:v>451.5</x:v>
      </x:c>
      <x:c r="E2520" s="32">
        <x:v>454.9</x:v>
      </x:c>
      <x:c r="F2520" s="33">
        <x:v>25478660</x:v>
      </x:c>
      <x:c r="G2520" s="32" t="n">
        <x:f t="shared" si="108">AVERAGE(E2321:E2520)</x:f>
        <x:v>466.90045000000003</x:v>
      </x:c>
      <x:c r="H2520" s="37" t="n">
        <x:f t="shared" si="109">IFERROR(E2520/G2520-1,"")</x:f>
        <x:v>-0.0257023740285538</x:v>
      </x:c>
      <x:c r="I2520" s="38" t="b">
        <x:f t="shared" si="110">E2520&lt;G2520</x:f>
        <x:v>1</x:v>
      </x:c>
    </x:row>
    <x:row r="2521">
      <x:c r="A2521" s="31">
        <x:v>40682</x:v>
      </x:c>
      <x:c r="B2521" s="32">
        <x:v>450.9</x:v>
      </x:c>
      <x:c r="C2521" s="32">
        <x:v>456.5</x:v>
      </x:c>
      <x:c r="D2521" s="32">
        <x:v>444.9</x:v>
      </x:c>
      <x:c r="E2521" s="32">
        <x:v>444.9</x:v>
      </x:c>
      <x:c r="F2521" s="33">
        <x:v>20677330</x:v>
      </x:c>
      <x:c r="G2521" s="32" t="n">
        <x:f t="shared" si="108">AVERAGE(E2322:E2521)</x:f>
        <x:v>466.6344500000001</x:v>
      </x:c>
      <x:c r="H2521" s="37" t="n">
        <x:f t="shared" si="109">IFERROR(E2521/G2521-1,"")</x:f>
        <x:v>-0.04657703690758386</x:v>
      </x:c>
      <x:c r="I2521" s="38" t="b">
        <x:f t="shared" si="110">E2521&lt;G2521</x:f>
        <x:v>1</x:v>
      </x:c>
    </x:row>
    <x:row r="2522">
      <x:c r="A2522" s="31">
        <x:v>40683</x:v>
      </x:c>
      <x:c r="B2522" s="32">
        <x:v>444.9</x:v>
      </x:c>
      <x:c r="C2522" s="32">
        <x:v>444.9</x:v>
      </x:c>
      <x:c r="D2522" s="32">
        <x:v>432.2</x:v>
      </x:c>
      <x:c r="E2522" s="32">
        <x:v>432.9</x:v>
      </x:c>
      <x:c r="F2522" s="33">
        <x:v>24896000</x:v>
      </x:c>
      <x:c r="G2522" s="32" t="n">
        <x:f t="shared" si="108">AVERAGE(E2323:E2522)</x:f>
        <x:v>466.31045000000006</x:v>
      </x:c>
      <x:c r="H2522" s="37" t="n">
        <x:f t="shared" si="109">IFERROR(E2522/G2522-1,"")</x:f>
        <x:v>-0.07164851227331503</x:v>
      </x:c>
      <x:c r="I2522" s="38" t="b">
        <x:f t="shared" si="110">E2522&lt;G2522</x:f>
        <x:v>1</x:v>
      </x:c>
    </x:row>
    <x:row r="2523">
      <x:c r="A2523" s="31">
        <x:v>40686</x:v>
      </x:c>
      <x:c r="B2523" s="32">
        <x:v>430.5</x:v>
      </x:c>
      <x:c r="C2523" s="32">
        <x:v>430.5</x:v>
      </x:c>
      <x:c r="D2523" s="32">
        <x:v>416.1</x:v>
      </x:c>
      <x:c r="E2523" s="32">
        <x:v>417.8</x:v>
      </x:c>
      <x:c r="F2523" s="33">
        <x:v>28805780</x:v>
      </x:c>
      <x:c r="G2523" s="32" t="n">
        <x:f t="shared" si="108">AVERAGE(E2324:E2523)</x:f>
        <x:v>465.9444500000001</x:v>
      </x:c>
      <x:c r="H2523" s="37" t="n">
        <x:f t="shared" si="109">IFERROR(E2523/G2523-1,"")</x:f>
        <x:v>-0.10332658753634705</x:v>
      </x:c>
      <x:c r="I2523" s="38" t="b">
        <x:f t="shared" si="110">E2523&lt;G2523</x:f>
        <x:v>1</x:v>
      </x:c>
    </x:row>
    <x:row r="2524">
      <x:c r="A2524" s="31">
        <x:v>40687</x:v>
      </x:c>
      <x:c r="B2524" s="32">
        <x:v>407.2</x:v>
      </x:c>
      <x:c r="C2524" s="32">
        <x:v>407.6</x:v>
      </x:c>
      <x:c r="D2524" s="32">
        <x:v>402.1</x:v>
      </x:c>
      <x:c r="E2524" s="32">
        <x:v>402.6</x:v>
      </x:c>
      <x:c r="F2524" s="33">
        <x:v>32695470</x:v>
      </x:c>
      <x:c r="G2524" s="32" t="n">
        <x:f t="shared" si="108">AVERAGE(E2325:E2524)</x:f>
        <x:v>465.5019500000001</x:v>
      </x:c>
      <x:c r="H2524" s="37" t="n">
        <x:f t="shared" si="109">IFERROR(E2524/G2524-1,"")</x:f>
        <x:v>-0.13512714608392096</x:v>
      </x:c>
      <x:c r="I2524" s="38" t="b">
        <x:f t="shared" si="110">E2524&lt;G2524</x:f>
        <x:v>1</x:v>
      </x:c>
    </x:row>
    <x:row r="2525">
      <x:c r="A2525" s="31">
        <x:v>40688</x:v>
      </x:c>
      <x:c r="B2525" s="32">
        <x:v>388.6</x:v>
      </x:c>
      <x:c r="C2525" s="32">
        <x:v>389.9</x:v>
      </x:c>
      <x:c r="D2525" s="32">
        <x:v>385.7</x:v>
      </x:c>
      <x:c r="E2525" s="32">
        <x:v>386.4</x:v>
      </x:c>
      <x:c r="F2525" s="33">
        <x:v>28819230</x:v>
      </x:c>
      <x:c r="G2525" s="32" t="n">
        <x:f t="shared" si="108">AVERAGE(E2326:E2525)</x:f>
        <x:v>464.96445000000006</x:v>
      </x:c>
      <x:c r="H2525" s="37" t="n">
        <x:f t="shared" si="109">IFERROR(E2525/G2525-1,"")</x:f>
        <x:v>-0.16896872438312238</x:v>
      </x:c>
      <x:c r="I2525" s="38" t="b">
        <x:f t="shared" si="110">E2525&lt;G2525</x:f>
        <x:v>1</x:v>
      </x:c>
    </x:row>
    <x:row r="2526">
      <x:c r="A2526" s="31">
        <x:v>40689</x:v>
      </x:c>
      <x:c r="B2526" s="32">
        <x:v>386.4</x:v>
      </x:c>
      <x:c r="C2526" s="32">
        <x:v>398</x:v>
      </x:c>
      <x:c r="D2526" s="32">
        <x:v>371</x:v>
      </x:c>
      <x:c r="E2526" s="32">
        <x:v>398</x:v>
      </x:c>
      <x:c r="F2526" s="33">
        <x:v>41625890</x:v>
      </x:c>
      <x:c r="G2526" s="32" t="n">
        <x:f t="shared" si="108">AVERAGE(E2327:E2526)</x:f>
        <x:v>464.49645000000004</x:v>
      </x:c>
      <x:c r="H2526" s="37" t="n">
        <x:f t="shared" si="109">IFERROR(E2526/G2526-1,"")</x:f>
        <x:v>-0.14315814469626198</x:v>
      </x:c>
      <x:c r="I2526" s="38" t="b">
        <x:f t="shared" si="110">E2526&lt;G2526</x:f>
        <x:v>1</x:v>
      </x:c>
    </x:row>
    <x:row r="2527">
      <x:c r="A2527" s="31">
        <x:v>40690</x:v>
      </x:c>
      <x:c r="B2527" s="32">
        <x:v>406.8</x:v>
      </x:c>
      <x:c r="C2527" s="32">
        <x:v>410.8</x:v>
      </x:c>
      <x:c r="D2527" s="32">
        <x:v>405.8</x:v>
      </x:c>
      <x:c r="E2527" s="32">
        <x:v>410.8</x:v>
      </x:c>
      <x:c r="F2527" s="33">
        <x:v>26609500</x:v>
      </x:c>
      <x:c r="G2527" s="32" t="n">
        <x:f t="shared" si="108">AVERAGE(E2328:E2527)</x:f>
        <x:v>464.0909500000001</x:v>
      </x:c>
      <x:c r="H2527" s="37" t="n">
        <x:f t="shared" si="109">IFERROR(E2527/G2527-1,"")</x:f>
        <x:v>-0.114828677439196</x:v>
      </x:c>
      <x:c r="I2527" s="38" t="b">
        <x:f t="shared" si="110">E2527&lt;G2527</x:f>
        <x:v>1</x:v>
      </x:c>
    </x:row>
    <x:row r="2528">
      <x:c r="A2528" s="31">
        <x:v>40693</x:v>
      </x:c>
      <x:c r="B2528" s="32">
        <x:v>417.1</x:v>
      </x:c>
      <x:c r="C2528" s="32">
        <x:v>417.4</x:v>
      </x:c>
      <x:c r="D2528" s="32">
        <x:v>412</x:v>
      </x:c>
      <x:c r="E2528" s="32">
        <x:v>412.1</x:v>
      </x:c>
      <x:c r="F2528" s="33">
        <x:v>24198710</x:v>
      </x:c>
      <x:c r="G2528" s="32" t="n">
        <x:f t="shared" si="108">AVERAGE(E2329:E2528)</x:f>
        <x:v>463.71795000000003</x:v>
      </x:c>
      <x:c r="H2528" s="37" t="n">
        <x:f t="shared" si="109">IFERROR(E2528/G2528-1,"")</x:f>
        <x:v>-0.1113132454760486</x:v>
      </x:c>
      <x:c r="I2528" s="38" t="b">
        <x:f t="shared" si="110">E2528&lt;G2528</x:f>
        <x:v>1</x:v>
      </x:c>
    </x:row>
    <x:row r="2529">
      <x:c r="A2529" s="31">
        <x:v>40694</x:v>
      </x:c>
      <x:c r="B2529" s="32">
        <x:v>415</x:v>
      </x:c>
      <x:c r="C2529" s="32">
        <x:v>421.4</x:v>
      </x:c>
      <x:c r="D2529" s="32">
        <x:v>414.9</x:v>
      </x:c>
      <x:c r="E2529" s="32">
        <x:v>421.4</x:v>
      </x:c>
      <x:c r="F2529" s="33">
        <x:v>19763890</x:v>
      </x:c>
      <x:c r="G2529" s="32" t="n">
        <x:f t="shared" si="108">AVERAGE(E2330:E2529)</x:f>
        <x:v>463.39395</x:v>
      </x:c>
      <x:c r="H2529" s="37" t="n">
        <x:f t="shared" si="109">IFERROR(E2529/G2529-1,"")</x:f>
        <x:v>-0.0906225685510138</x:v>
      </x:c>
      <x:c r="I2529" s="38" t="b">
        <x:f t="shared" si="110">E2529&lt;G2529</x:f>
        <x:v>1</x:v>
      </x:c>
    </x:row>
    <x:row r="2530">
      <x:c r="A2530" s="31">
        <x:v>40695</x:v>
      </x:c>
      <x:c r="B2530" s="32">
        <x:v>423</x:v>
      </x:c>
      <x:c r="C2530" s="32">
        <x:v>435.7</x:v>
      </x:c>
      <x:c r="D2530" s="32">
        <x:v>420.9</x:v>
      </x:c>
      <x:c r="E2530" s="32">
        <x:v>435.7</x:v>
      </x:c>
      <x:c r="F2530" s="33">
        <x:v>28167240</x:v>
      </x:c>
      <x:c r="G2530" s="32" t="n">
        <x:f t="shared" si="108">AVERAGE(E2331:E2530)</x:f>
        <x:v>463.1584500000001</x:v>
      </x:c>
      <x:c r="H2530" s="37" t="n">
        <x:f t="shared" si="109">IFERROR(E2530/G2530-1,"")</x:f>
        <x:v>-0.05928521869783454</x:v>
      </x:c>
      <x:c r="I2530" s="38" t="b">
        <x:f t="shared" si="110">E2530&lt;G2530</x:f>
        <x:v>1</x:v>
      </x:c>
    </x:row>
    <x:row r="2531">
      <x:c r="A2531" s="31">
        <x:v>40696</x:v>
      </x:c>
      <x:c r="B2531" s="32">
        <x:v>446.7</x:v>
      </x:c>
      <x:c r="C2531" s="32">
        <x:v>450.6</x:v>
      </x:c>
      <x:c r="D2531" s="32">
        <x:v>446</x:v>
      </x:c>
      <x:c r="E2531" s="32">
        <x:v>450.6</x:v>
      </x:c>
      <x:c r="F2531" s="33">
        <x:v>31454970</x:v>
      </x:c>
      <x:c r="G2531" s="32" t="n">
        <x:f t="shared" si="108">AVERAGE(E2332:E2531)</x:f>
        <x:v>463.0479500000001</x:v>
      </x:c>
      <x:c r="H2531" s="37" t="n">
        <x:f t="shared" si="109">IFERROR(E2531/G2531-1,"")</x:f>
        <x:v>-0.026882637100542395</x:v>
      </x:c>
      <x:c r="I2531" s="38" t="b">
        <x:f t="shared" si="110">E2531&lt;G2531</x:f>
        <x:v>1</x:v>
      </x:c>
    </x:row>
    <x:row r="2532">
      <x:c r="A2532" s="31">
        <x:v>40697</x:v>
      </x:c>
      <x:c r="B2532" s="32">
        <x:v>461.9</x:v>
      </x:c>
      <x:c r="C2532" s="32">
        <x:v>461.9</x:v>
      </x:c>
      <x:c r="D2532" s="32">
        <x:v>436.5</x:v>
      </x:c>
      <x:c r="E2532" s="32">
        <x:v>443.4</x:v>
      </x:c>
      <x:c r="F2532" s="33">
        <x:v>44203980</x:v>
      </x:c>
      <x:c r="G2532" s="32" t="n">
        <x:f t="shared" si="108">AVERAGE(E2333:E2532)</x:f>
        <x:v>462.95645000000013</x:v>
      </x:c>
      <x:c r="H2532" s="37" t="n">
        <x:f t="shared" si="109">IFERROR(E2532/G2532-1,"")</x:f>
        <x:v>-0.04224252626785985</x:v>
      </x:c>
      <x:c r="I2532" s="38" t="b">
        <x:f t="shared" si="110">E2532&lt;G2532</x:f>
        <x:v>1</x:v>
      </x:c>
    </x:row>
    <x:row r="2533">
      <x:c r="A2533" s="31">
        <x:v>40700</x:v>
      </x:c>
      <x:c r="B2533" s="32">
        <x:v>435</x:v>
      </x:c>
      <x:c r="C2533" s="32">
        <x:v>436.9</x:v>
      </x:c>
      <x:c r="D2533" s="32">
        <x:v>430.2</x:v>
      </x:c>
      <x:c r="E2533" s="32">
        <x:v>433.8</x:v>
      </x:c>
      <x:c r="F2533" s="33">
        <x:v>18826220</x:v>
      </x:c>
      <x:c r="G2533" s="32" t="n">
        <x:f t="shared" si="108">AVERAGE(E2334:E2533)</x:f>
        <x:v>462.8099500000001</x:v>
      </x:c>
      <x:c r="H2533" s="37" t="n">
        <x:f t="shared" si="109">IFERROR(E2533/G2533-1,"")</x:f>
        <x:v>-0.06268220897152288</x:v>
      </x:c>
      <x:c r="I2533" s="38" t="b">
        <x:f t="shared" si="110">E2533&lt;G2533</x:f>
        <x:v>1</x:v>
      </x:c>
    </x:row>
    <x:row r="2534">
      <x:c r="A2534" s="31">
        <x:v>40701</x:v>
      </x:c>
      <x:c r="B2534" s="32">
        <x:v>443.1</x:v>
      </x:c>
      <x:c r="C2534" s="32">
        <x:v>448.4</x:v>
      </x:c>
      <x:c r="D2534" s="32">
        <x:v>441.4</x:v>
      </x:c>
      <x:c r="E2534" s="32">
        <x:v>443.7</x:v>
      </x:c>
      <x:c r="F2534" s="33">
        <x:v>29655170</x:v>
      </x:c>
      <x:c r="G2534" s="32" t="n">
        <x:f t="shared" si="108">AVERAGE(E2335:E2534)</x:f>
        <x:v>462.78645000000006</x:v>
      </x:c>
      <x:c r="H2534" s="37" t="n">
        <x:f t="shared" si="109">IFERROR(E2534/G2534-1,"")</x:f>
        <x:v>-0.041242456428877916</x:v>
      </x:c>
      <x:c r="I2534" s="38" t="b">
        <x:f t="shared" si="110">E2534&lt;G2534</x:f>
        <x:v>1</x:v>
      </x:c>
    </x:row>
    <x:row r="2535">
      <x:c r="A2535" s="31">
        <x:v>40702</x:v>
      </x:c>
      <x:c r="B2535" s="32">
        <x:v>445.4</x:v>
      </x:c>
      <x:c r="C2535" s="32">
        <x:v>447</x:v>
      </x:c>
      <x:c r="D2535" s="32">
        <x:v>436.2</x:v>
      </x:c>
      <x:c r="E2535" s="32">
        <x:v>439.6</x:v>
      </x:c>
      <x:c r="F2535" s="33">
        <x:v>32255700</x:v>
      </x:c>
      <x:c r="G2535" s="32" t="n">
        <x:f t="shared" si="108">AVERAGE(E2336:E2535)</x:f>
        <x:v>462.7209500000001</x:v>
      </x:c>
      <x:c r="H2535" s="37" t="n">
        <x:f t="shared" si="109">IFERROR(E2535/G2535-1,"")</x:f>
        <x:v>-0.049967372343958205</x:v>
      </x:c>
      <x:c r="I2535" s="38" t="b">
        <x:f t="shared" si="110">E2535&lt;G2535</x:f>
        <x:v>1</x:v>
      </x:c>
    </x:row>
    <x:row r="2536">
      <x:c r="A2536" s="31">
        <x:v>40703</x:v>
      </x:c>
      <x:c r="B2536" s="32">
        <x:v>439.8</x:v>
      </x:c>
      <x:c r="C2536" s="32">
        <x:v>444.1</x:v>
      </x:c>
      <x:c r="D2536" s="32">
        <x:v>437.9</x:v>
      </x:c>
      <x:c r="E2536" s="32">
        <x:v>444</x:v>
      </x:c>
      <x:c r="F2536" s="33">
        <x:v>26247260</x:v>
      </x:c>
      <x:c r="G2536" s="32" t="n">
        <x:f t="shared" si="108">AVERAGE(E2337:E2536)</x:f>
        <x:v>462.61695000000014</x:v>
      </x:c>
      <x:c r="H2536" s="37" t="n">
        <x:f t="shared" si="109">IFERROR(E2536/G2536-1,"")</x:f>
        <x:v>-0.04024268890277394</x:v>
      </x:c>
      <x:c r="I2536" s="38" t="b">
        <x:f t="shared" si="110">E2536&lt;G2536</x:f>
        <x:v>1</x:v>
      </x:c>
    </x:row>
    <x:row r="2537">
      <x:c r="A2537" s="31">
        <x:v>40704</x:v>
      </x:c>
      <x:c r="B2537" s="32">
        <x:v>446.5</x:v>
      </x:c>
      <x:c r="C2537" s="32">
        <x:v>451.8</x:v>
      </x:c>
      <x:c r="D2537" s="32">
        <x:v>445</x:v>
      </x:c>
      <x:c r="E2537" s="32">
        <x:v>445</x:v>
      </x:c>
      <x:c r="F2537" s="33">
        <x:v>38338750</x:v>
      </x:c>
      <x:c r="G2537" s="32" t="n">
        <x:f t="shared" si="108">AVERAGE(E2338:E2537)</x:f>
        <x:v>462.5244500000001</x:v>
      </x:c>
      <x:c r="H2537" s="37" t="n">
        <x:f t="shared" si="109">IFERROR(E2537/G2537-1,"")</x:f>
        <x:v>-0.03788869972171227</x:v>
      </x:c>
      <x:c r="I2537" s="38" t="b">
        <x:f t="shared" si="110">E2537&lt;G2537</x:f>
        <x:v>1</x:v>
      </x:c>
    </x:row>
    <x:row r="2538">
      <x:c r="A2538" s="31">
        <x:v>40707</x:v>
      </x:c>
      <x:c r="B2538" s="32">
        <x:v>443.5</x:v>
      </x:c>
      <x:c r="C2538" s="32">
        <x:v>446.1</x:v>
      </x:c>
      <x:c r="D2538" s="32">
        <x:v>442</x:v>
      </x:c>
      <x:c r="E2538" s="32">
        <x:v>442.7</x:v>
      </x:c>
      <x:c r="F2538" s="33">
        <x:v>33418190</x:v>
      </x:c>
      <x:c r="G2538" s="32" t="n">
        <x:f t="shared" si="108">AVERAGE(E2339:E2538)</x:f>
        <x:v>462.46045000000004</x:v>
      </x:c>
      <x:c r="H2538" s="37" t="n">
        <x:f t="shared" si="109">IFERROR(E2538/G2538-1,"")</x:f>
        <x:v>-0.042728951200043275</x:v>
      </x:c>
      <x:c r="I2538" s="38" t="b">
        <x:f t="shared" si="110">E2538&lt;G2538</x:f>
        <x:v>1</x:v>
      </x:c>
    </x:row>
    <x:row r="2539">
      <x:c r="A2539" s="31">
        <x:v>40708</x:v>
      </x:c>
      <x:c r="B2539" s="32">
        <x:v>441.1</x:v>
      </x:c>
      <x:c r="C2539" s="32">
        <x:v>452.6</x:v>
      </x:c>
      <x:c r="D2539" s="32">
        <x:v>440.6</x:v>
      </x:c>
      <x:c r="E2539" s="32">
        <x:v>441.5</x:v>
      </x:c>
      <x:c r="F2539" s="33">
        <x:v>55335130</x:v>
      </x:c>
      <x:c r="G2539" s="32" t="n">
        <x:f t="shared" si="108">AVERAGE(E2340:E2539)</x:f>
        <x:v>462.40695000000005</x:v>
      </x:c>
      <x:c r="H2539" s="37" t="n">
        <x:f t="shared" si="109">IFERROR(E2539/G2539-1,"")</x:f>
        <x:v>-0.045213312645928094</x:v>
      </x:c>
      <x:c r="I2539" s="38" t="b">
        <x:f t="shared" si="110">E2539&lt;G2539</x:f>
        <x:v>1</x:v>
      </x:c>
    </x:row>
    <x:row r="2540">
      <x:c r="A2540" s="31">
        <x:v>40709</x:v>
      </x:c>
      <x:c r="B2540" s="32">
        <x:v>442.9</x:v>
      </x:c>
      <x:c r="C2540" s="32">
        <x:v>443.4</x:v>
      </x:c>
      <x:c r="D2540" s="32">
        <x:v>436.2</x:v>
      </x:c>
      <x:c r="E2540" s="32">
        <x:v>441.5</x:v>
      </x:c>
      <x:c r="F2540" s="33">
        <x:v>40589410</x:v>
      </x:c>
      <x:c r="G2540" s="32" t="n">
        <x:f t="shared" si="108">AVERAGE(E2341:E2540)</x:f>
        <x:v>462.34045000000003</x:v>
      </x:c>
      <x:c r="H2540" s="37" t="n">
        <x:f t="shared" si="109">IFERROR(E2540/G2540-1,"")</x:f>
        <x:v>-0.0450759824281004</x:v>
      </x:c>
      <x:c r="I2540" s="38" t="b">
        <x:f t="shared" si="110">E2540&lt;G2540</x:f>
        <x:v>1</x:v>
      </x:c>
    </x:row>
    <x:row r="2541">
      <x:c r="A2541" s="31">
        <x:v>40710</x:v>
      </x:c>
      <x:c r="B2541" s="32">
        <x:v>439.6</x:v>
      </x:c>
      <x:c r="C2541" s="32">
        <x:v>445.7</x:v>
      </x:c>
      <x:c r="D2541" s="32">
        <x:v>438.5</x:v>
      </x:c>
      <x:c r="E2541" s="32">
        <x:v>445.2</x:v>
      </x:c>
      <x:c r="F2541" s="33">
        <x:v>31584930</x:v>
      </x:c>
      <x:c r="G2541" s="32" t="n">
        <x:f t="shared" si="108">AVERAGE(E2342:E2541)</x:f>
        <x:v>462.32695</x:v>
      </x:c>
      <x:c r="H2541" s="37" t="n">
        <x:f t="shared" si="109">IFERROR(E2541/G2541-1,"")</x:f>
        <x:v>-0.03704510411949813</x:v>
      </x:c>
      <x:c r="I2541" s="38" t="b">
        <x:f t="shared" si="110">E2541&lt;G2541</x:f>
        <x:v>1</x:v>
      </x:c>
    </x:row>
    <x:row r="2542">
      <x:c r="A2542" s="31">
        <x:v>40711</x:v>
      </x:c>
      <x:c r="B2542" s="32">
        <x:v>445.9</x:v>
      </x:c>
      <x:c r="C2542" s="32">
        <x:v>447</x:v>
      </x:c>
      <x:c r="D2542" s="32">
        <x:v>438.6</x:v>
      </x:c>
      <x:c r="E2542" s="32">
        <x:v>438.9</x:v>
      </x:c>
      <x:c r="F2542" s="33">
        <x:v>45206070</x:v>
      </x:c>
      <x:c r="G2542" s="32" t="n">
        <x:f t="shared" si="108">AVERAGE(E2343:E2542)</x:f>
        <x:v>462.34945</x:v>
      </x:c>
      <x:c r="H2542" s="37" t="n">
        <x:f t="shared" si="109">IFERROR(E2542/G2542-1,"")</x:f>
        <x:v>-0.05071802291535121</x:v>
      </x:c>
      <x:c r="I2542" s="38" t="b">
        <x:f t="shared" si="110">E2542&lt;G2542</x:f>
        <x:v>1</x:v>
      </x:c>
    </x:row>
    <x:row r="2543">
      <x:c r="A2543" s="31">
        <x:v>40714</x:v>
      </x:c>
      <x:c r="B2543" s="32">
        <x:v>438.1</x:v>
      </x:c>
      <x:c r="C2543" s="32">
        <x:v>440.2</x:v>
      </x:c>
      <x:c r="D2543" s="32">
        <x:v>431.6</x:v>
      </x:c>
      <x:c r="E2543" s="32">
        <x:v>431.6</x:v>
      </x:c>
      <x:c r="F2543" s="33">
        <x:v>32334480</x:v>
      </x:c>
      <x:c r="G2543" s="32" t="n">
        <x:f t="shared" si="108">AVERAGE(E2344:E2543)</x:f>
        <x:v>462.38800000000003</x:v>
      </x:c>
      <x:c r="H2543" s="37" t="n">
        <x:f t="shared" si="109">IFERROR(E2543/G2543-1,"")</x:f>
        <x:v>-0.066584772961236</x:v>
      </x:c>
      <x:c r="I2543" s="38" t="b">
        <x:f t="shared" si="110">E2543&lt;G2543</x:f>
        <x:v>1</x:v>
      </x:c>
    </x:row>
    <x:row r="2544">
      <x:c r="A2544" s="31">
        <x:v>40715</x:v>
      </x:c>
      <x:c r="B2544" s="32">
        <x:v>432.8</x:v>
      </x:c>
      <x:c r="C2544" s="32">
        <x:v>442.7</x:v>
      </x:c>
      <x:c r="D2544" s="32">
        <x:v>432.8</x:v>
      </x:c>
      <x:c r="E2544" s="32">
        <x:v>442.7</x:v>
      </x:c>
      <x:c r="F2544" s="33">
        <x:v>24798840</x:v>
      </x:c>
      <x:c r="G2544" s="32" t="n">
        <x:f t="shared" si="108">AVERAGE(E2345:E2544)</x:f>
        <x:v>462.4659999999999</x:v>
      </x:c>
      <x:c r="H2544" s="37" t="n">
        <x:f t="shared" si="109">IFERROR(E2544/G2544-1,"")</x:f>
        <x:v>-0.04274043929715898</x:v>
      </x:c>
      <x:c r="I2544" s="38" t="b">
        <x:f t="shared" si="110">E2544&lt;G2544</x:f>
        <x:v>1</x:v>
      </x:c>
    </x:row>
    <x:row r="2545">
      <x:c r="A2545" s="31">
        <x:v>40716</x:v>
      </x:c>
      <x:c r="B2545" s="32">
        <x:v>444.3</x:v>
      </x:c>
      <x:c r="C2545" s="32">
        <x:v>445.5</x:v>
      </x:c>
      <x:c r="D2545" s="32">
        <x:v>439.3</x:v>
      </x:c>
      <x:c r="E2545" s="32">
        <x:v>439.6</x:v>
      </x:c>
      <x:c r="F2545" s="33">
        <x:v>21760520</x:v>
      </x:c>
      <x:c r="G2545" s="32" t="n">
        <x:f t="shared" si="108">AVERAGE(E2346:E2545)</x:f>
        <x:v>462.51849999999996</x:v>
      </x:c>
      <x:c r="H2545" s="37" t="n">
        <x:f t="shared" si="109">IFERROR(E2545/G2545-1,"")</x:f>
        <x:v>-0.049551531452255326</x:v>
      </x:c>
      <x:c r="I2545" s="38" t="b">
        <x:f t="shared" si="110">E2545&lt;G2545</x:f>
        <x:v>1</x:v>
      </x:c>
    </x:row>
    <x:row r="2546">
      <x:c r="A2546" s="31">
        <x:v>40717</x:v>
      </x:c>
      <x:c r="B2546" s="32">
        <x:v>436.9</x:v>
      </x:c>
      <x:c r="C2546" s="32">
        <x:v>440.5</x:v>
      </x:c>
      <x:c r="D2546" s="32">
        <x:v>434.4</x:v>
      </x:c>
      <x:c r="E2546" s="32">
        <x:v>434.8</x:v>
      </x:c>
      <x:c r="F2546" s="33">
        <x:v>17521100</x:v>
      </x:c>
      <x:c r="G2546" s="32" t="n">
        <x:f t="shared" si="108">AVERAGE(E2347:E2546)</x:f>
        <x:v>462.46950000000004</x:v>
      </x:c>
      <x:c r="H2546" s="37" t="n">
        <x:f t="shared" si="109">IFERROR(E2546/G2546-1,"")</x:f>
        <x:v>-0.05982989148473583</x:v>
      </x:c>
      <x:c r="I2546" s="38" t="b">
        <x:f t="shared" si="110">E2546&lt;G2546</x:f>
        <x:v>1</x:v>
      </x:c>
    </x:row>
    <x:row r="2547">
      <x:c r="A2547" s="31">
        <x:v>40718</x:v>
      </x:c>
      <x:c r="B2547" s="32">
        <x:v>436.2</x:v>
      </x:c>
      <x:c r="C2547" s="32">
        <x:v>436.2</x:v>
      </x:c>
      <x:c r="D2547" s="32">
        <x:v>432.8</x:v>
      </x:c>
      <x:c r="E2547" s="32">
        <x:v>433.4</x:v>
      </x:c>
      <x:c r="F2547" s="33">
        <x:v>17481110</x:v>
      </x:c>
      <x:c r="G2547" s="32" t="n">
        <x:f t="shared" si="108">AVERAGE(E2348:E2547)</x:f>
        <x:v>462.36100000000005</x:v>
      </x:c>
      <x:c r="H2547" s="37" t="n">
        <x:f t="shared" si="109">IFERROR(E2547/G2547-1,"")</x:f>
        <x:v>-0.06263720339734546</x:v>
      </x:c>
      <x:c r="I2547" s="38" t="b">
        <x:f t="shared" si="110">E2547&lt;G2547</x:f>
        <x:v>1</x:v>
      </x:c>
    </x:row>
    <x:row r="2548">
      <x:c r="A2548" s="31">
        <x:v>40721</x:v>
      </x:c>
      <x:c r="B2548" s="32">
        <x:v>437</x:v>
      </x:c>
      <x:c r="C2548" s="32">
        <x:v>438.5</x:v>
      </x:c>
      <x:c r="D2548" s="32">
        <x:v>433.6</x:v>
      </x:c>
      <x:c r="E2548" s="32">
        <x:v>434.3</x:v>
      </x:c>
      <x:c r="F2548" s="33">
        <x:v>17300580</x:v>
      </x:c>
      <x:c r="G2548" s="32" t="n">
        <x:f t="shared" si="108">AVERAGE(E2349:E2548)</x:f>
        <x:v>462.23850000000004</x:v>
      </x:c>
      <x:c r="H2548" s="37" t="n">
        <x:f t="shared" si="109">IFERROR(E2548/G2548-1,"")</x:f>
        <x:v>-0.06044174165501148</x:v>
      </x:c>
      <x:c r="I2548" s="38" t="b">
        <x:f t="shared" si="110">E2548&lt;G2548</x:f>
        <x:v>1</x:v>
      </x:c>
    </x:row>
    <x:row r="2549">
      <x:c r="A2549" s="31">
        <x:v>40722</x:v>
      </x:c>
      <x:c r="B2549" s="32">
        <x:v>432.3</x:v>
      </x:c>
      <x:c r="C2549" s="32">
        <x:v>432.3</x:v>
      </x:c>
      <x:c r="D2549" s="32">
        <x:v>432.3</x:v>
      </x:c>
      <x:c r="E2549" s="32">
        <x:v>432.3</x:v>
      </x:c>
      <x:c r="F2549" s="33">
        <x:v>19028520</x:v>
      </x:c>
      <x:c r="G2549" s="32" t="n">
        <x:f t="shared" si="108">AVERAGE(E2350:E2549)</x:f>
        <x:v>462.07000000000005</x:v>
      </x:c>
      <x:c r="H2549" s="37" t="n">
        <x:f t="shared" si="109">IFERROR(E2549/G2549-1,"")</x:f>
        <x:v>-0.0644274676996992</x:v>
      </x:c>
      <x:c r="I2549" s="38" t="b">
        <x:f t="shared" si="110">E2549&lt;G2549</x:f>
        <x:v>1</x:v>
      </x:c>
    </x:row>
    <x:row r="2550">
      <x:c r="A2550" s="31">
        <x:v>40723</x:v>
      </x:c>
      <x:c r="B2550" s="32">
        <x:v>433.1</x:v>
      </x:c>
      <x:c r="C2550" s="32">
        <x:v>434.9</x:v>
      </x:c>
      <x:c r="D2550" s="32">
        <x:v>430.9</x:v>
      </x:c>
      <x:c r="E2550" s="32">
        <x:v>434.6</x:v>
      </x:c>
      <x:c r="F2550" s="33">
        <x:v>17262650</x:v>
      </x:c>
      <x:c r="G2550" s="32" t="n">
        <x:f t="shared" si="108">AVERAGE(E2351:E2550)</x:f>
        <x:v>461.94000000000017</x:v>
      </x:c>
      <x:c r="H2550" s="37" t="n">
        <x:f t="shared" si="109">IFERROR(E2550/G2550-1,"")</x:f>
        <x:v>-0.05918517556392633</x:v>
      </x:c>
      <x:c r="I2550" s="38" t="b">
        <x:f t="shared" si="110">E2550&lt;G2550</x:f>
        <x:v>1</x:v>
      </x:c>
    </x:row>
    <x:row r="2551">
      <x:c r="A2551" s="31">
        <x:v>40724</x:v>
      </x:c>
      <x:c r="B2551" s="32">
        <x:v>434.6</x:v>
      </x:c>
      <x:c r="C2551" s="32">
        <x:v>435.6</x:v>
      </x:c>
      <x:c r="D2551" s="32">
        <x:v>432.2</x:v>
      </x:c>
      <x:c r="E2551" s="32">
        <x:v>432.5</x:v>
      </x:c>
      <x:c r="F2551" s="33">
        <x:v>16742520</x:v>
      </x:c>
      <x:c r="G2551" s="32" t="n">
        <x:f t="shared" si="108">AVERAGE(E2352:E2551)</x:f>
        <x:v>461.8105000000001</x:v>
      </x:c>
      <x:c r="H2551" s="37" t="n">
        <x:f t="shared" si="109">IFERROR(E2551/G2551-1,"")</x:f>
        <x:v>-0.06346867383916155</x:v>
      </x:c>
      <x:c r="I2551" s="38" t="b">
        <x:f t="shared" si="110">E2551&lt;G2551</x:f>
        <x:v>1</x:v>
      </x:c>
    </x:row>
    <x:row r="2552">
      <x:c r="A2552" s="31">
        <x:v>40725</x:v>
      </x:c>
      <x:c r="B2552" s="32">
        <x:v>432.5</x:v>
      </x:c>
      <x:c r="C2552" s="32">
        <x:v>432.5</x:v>
      </x:c>
      <x:c r="D2552" s="32">
        <x:v>424.3</x:v>
      </x:c>
      <x:c r="E2552" s="32">
        <x:v>425.3</x:v>
      </x:c>
      <x:c r="F2552" s="33">
        <x:v>21792360</x:v>
      </x:c>
      <x:c r="G2552" s="32" t="n">
        <x:f t="shared" si="108">AVERAGE(E2353:E2552)</x:f>
        <x:v>461.61850000000015</x:v>
      </x:c>
      <x:c r="H2552" s="37" t="n">
        <x:f t="shared" si="109">IFERROR(E2552/G2552-1,"")</x:f>
        <x:v>-0.07867643952744552</x:v>
      </x:c>
      <x:c r="I2552" s="38" t="b">
        <x:f t="shared" si="110">E2552&lt;G2552</x:f>
        <x:v>1</x:v>
      </x:c>
    </x:row>
    <x:row r="2553">
      <x:c r="A2553" s="31">
        <x:v>40728</x:v>
      </x:c>
      <x:c r="B2553" s="32">
        <x:v>425</x:v>
      </x:c>
      <x:c r="C2553" s="32">
        <x:v>426.2</x:v>
      </x:c>
      <x:c r="D2553" s="32">
        <x:v>423.4</x:v>
      </x:c>
      <x:c r="E2553" s="32">
        <x:v>425.4</x:v>
      </x:c>
      <x:c r="F2553" s="33">
        <x:v>15307620</x:v>
      </x:c>
      <x:c r="G2553" s="32" t="n">
        <x:f t="shared" si="108">AVERAGE(E2354:E2553)</x:f>
        <x:v>461.48850000000004</x:v>
      </x:c>
      <x:c r="H2553" s="37" t="n">
        <x:f t="shared" si="109">IFERROR(E2553/G2553-1,"")</x:f>
        <x:v>-0.07820021517329268</x:v>
      </x:c>
      <x:c r="I2553" s="38" t="b">
        <x:f t="shared" si="110">E2553&lt;G2553</x:f>
        <x:v>1</x:v>
      </x:c>
    </x:row>
    <x:row r="2554">
      <x:c r="A2554" s="31">
        <x:v>40729</x:v>
      </x:c>
      <x:c r="B2554" s="32">
        <x:v>425.4</x:v>
      </x:c>
      <x:c r="C2554" s="32">
        <x:v>434.1</x:v>
      </x:c>
      <x:c r="D2554" s="32">
        <x:v>425.4</x:v>
      </x:c>
      <x:c r="E2554" s="32">
        <x:v>431</x:v>
      </x:c>
      <x:c r="F2554" s="33">
        <x:v>19330750</x:v>
      </x:c>
      <x:c r="G2554" s="32" t="n">
        <x:f t="shared" si="108">AVERAGE(E2355:E2554)</x:f>
        <x:v>461.40700000000004</x:v>
      </x:c>
      <x:c r="H2554" s="37" t="n">
        <x:f t="shared" si="109">IFERROR(E2554/G2554-1,"")</x:f>
        <x:v>-0.06590060402204567</x:v>
      </x:c>
      <x:c r="I2554" s="38" t="b">
        <x:f t="shared" si="110">E2554&lt;G2554</x:f>
        <x:v>1</x:v>
      </x:c>
    </x:row>
    <x:row r="2555">
      <x:c r="A2555" s="31">
        <x:v>40730</x:v>
      </x:c>
      <x:c r="B2555" s="32">
        <x:v>431</x:v>
      </x:c>
      <x:c r="C2555" s="32">
        <x:v>432.8</x:v>
      </x:c>
      <x:c r="D2555" s="32">
        <x:v>427.8</x:v>
      </x:c>
      <x:c r="E2555" s="32">
        <x:v>428.3</x:v>
      </x:c>
      <x:c r="F2555" s="33">
        <x:v>13494500</x:v>
      </x:c>
      <x:c r="G2555" s="32" t="n">
        <x:f t="shared" si="108">AVERAGE(E2356:E2555)</x:f>
        <x:v>461.30350000000004</x:v>
      </x:c>
      <x:c r="H2555" s="37" t="n">
        <x:f t="shared" si="109">IFERROR(E2555/G2555-1,"")</x:f>
        <x:v>-0.07154400519397752</x:v>
      </x:c>
      <x:c r="I2555" s="38" t="b">
        <x:f t="shared" si="110">E2555&lt;G2555</x:f>
        <x:v>1</x:v>
      </x:c>
    </x:row>
    <x:row r="2556">
      <x:c r="A2556" s="31">
        <x:v>40731</x:v>
      </x:c>
      <x:c r="B2556" s="32">
        <x:v>428.3</x:v>
      </x:c>
      <x:c r="C2556" s="32">
        <x:v>431</x:v>
      </x:c>
      <x:c r="D2556" s="32">
        <x:v>426.5</x:v>
      </x:c>
      <x:c r="E2556" s="32">
        <x:v>430</x:v>
      </x:c>
      <x:c r="F2556" s="33">
        <x:v>14604310</x:v>
      </x:c>
      <x:c r="G2556" s="32" t="n">
        <x:f t="shared" si="108">AVERAGE(E2357:E2556)</x:f>
        <x:v>461.2100000000001</x:v>
      </x:c>
      <x:c r="H2556" s="37" t="n">
        <x:f t="shared" si="109">IFERROR(E2556/G2556-1,"")</x:f>
        <x:v>-0.0676698250254767</x:v>
      </x:c>
      <x:c r="I2556" s="38" t="b">
        <x:f t="shared" si="110">E2556&lt;G2556</x:f>
        <x:v>1</x:v>
      </x:c>
    </x:row>
    <x:row r="2557">
      <x:c r="A2557" s="31">
        <x:v>40732</x:v>
      </x:c>
      <x:c r="B2557" s="32">
        <x:v>430</x:v>
      </x:c>
      <x:c r="C2557" s="32">
        <x:v>431.4</x:v>
      </x:c>
      <x:c r="D2557" s="32">
        <x:v>428.8</x:v>
      </x:c>
      <x:c r="E2557" s="32">
        <x:v>430.3</x:v>
      </x:c>
      <x:c r="F2557" s="33">
        <x:v>15893240</x:v>
      </x:c>
      <x:c r="G2557" s="32" t="n">
        <x:f t="shared" si="108">AVERAGE(E2358:E2557)</x:f>
        <x:v>461.1140000000001</x:v>
      </x:c>
      <x:c r="H2557" s="37" t="n">
        <x:f t="shared" si="109">IFERROR(E2557/G2557-1,"")</x:f>
        <x:v>-0.0668251235052505</x:v>
      </x:c>
      <x:c r="I2557" s="38" t="b">
        <x:f t="shared" si="110">E2557&lt;G2557</x:f>
        <x:v>1</x:v>
      </x:c>
    </x:row>
    <x:row r="2558">
      <x:c r="A2558" s="31">
        <x:v>40735</x:v>
      </x:c>
      <x:c r="B2558" s="32">
        <x:v>430.3</x:v>
      </x:c>
      <x:c r="C2558" s="32">
        <x:v>430.3</x:v>
      </x:c>
      <x:c r="D2558" s="32">
        <x:v>425.1</x:v>
      </x:c>
      <x:c r="E2558" s="32">
        <x:v>425.1</x:v>
      </x:c>
      <x:c r="F2558" s="33">
        <x:v>15228610</x:v>
      </x:c>
      <x:c r="G2558" s="32" t="n">
        <x:f t="shared" si="108">AVERAGE(E2359:E2558)</x:f>
        <x:v>460.95150000000007</x:v>
      </x:c>
      <x:c r="H2558" s="37" t="n">
        <x:f t="shared" si="109">IFERROR(E2558/G2558-1,"")</x:f>
        <x:v>-0.07777716310718163</x:v>
      </x:c>
      <x:c r="I2558" s="38" t="b">
        <x:f t="shared" si="110">E2558&lt;G2558</x:f>
        <x:v>1</x:v>
      </x:c>
    </x:row>
    <x:row r="2559">
      <x:c r="A2559" s="31">
        <x:v>40736</x:v>
      </x:c>
      <x:c r="B2559" s="32">
        <x:v>425.1</x:v>
      </x:c>
      <x:c r="C2559" s="32">
        <x:v>425.1</x:v>
      </x:c>
      <x:c r="D2559" s="32">
        <x:v>416.9</x:v>
      </x:c>
      <x:c r="E2559" s="32">
        <x:v>417.3</x:v>
      </x:c>
      <x:c r="F2559" s="33">
        <x:v>18044190</x:v>
      </x:c>
      <x:c r="G2559" s="32" t="n">
        <x:f t="shared" si="108">AVERAGE(E2360:E2559)</x:f>
        <x:v>460.74850000000015</x:v>
      </x:c>
      <x:c r="H2559" s="37" t="n">
        <x:f t="shared" si="109">IFERROR(E2559/G2559-1,"")</x:f>
        <x:v>-0.09429981866462966</x:v>
      </x:c>
      <x:c r="I2559" s="38" t="b">
        <x:f t="shared" si="110">E2559&lt;G2559</x:f>
        <x:v>1</x:v>
      </x:c>
    </x:row>
    <x:row r="2560">
      <x:c r="A2560" s="31">
        <x:v>40737</x:v>
      </x:c>
      <x:c r="B2560" s="32">
        <x:v>422.2</x:v>
      </x:c>
      <x:c r="C2560" s="32">
        <x:v>422.7</x:v>
      </x:c>
      <x:c r="D2560" s="32">
        <x:v>417.6</x:v>
      </x:c>
      <x:c r="E2560" s="32">
        <x:v>418.2</x:v>
      </x:c>
      <x:c r="F2560" s="33">
        <x:v>17240390</x:v>
      </x:c>
      <x:c r="G2560" s="32" t="n">
        <x:f t="shared" si="108">AVERAGE(E2361:E2560)</x:f>
        <x:v>460.5730000000001</x:v>
      </x:c>
      <x:c r="H2560" s="37" t="n">
        <x:f t="shared" si="109">IFERROR(E2560/G2560-1,"")</x:f>
        <x:v>-0.09200061662320647</x:v>
      </x:c>
      <x:c r="I2560" s="38" t="b">
        <x:f t="shared" si="110">E2560&lt;G2560</x:f>
        <x:v>1</x:v>
      </x:c>
    </x:row>
    <x:row r="2561">
      <x:c r="A2561" s="31">
        <x:v>40738</x:v>
      </x:c>
      <x:c r="B2561" s="32">
        <x:v>418.1</x:v>
      </x:c>
      <x:c r="C2561" s="32">
        <x:v>419.6</x:v>
      </x:c>
      <x:c r="D2561" s="32">
        <x:v>414.3</x:v>
      </x:c>
      <x:c r="E2561" s="32">
        <x:v>418.9</x:v>
      </x:c>
      <x:c r="F2561" s="33">
        <x:v>15529830</x:v>
      </x:c>
      <x:c r="G2561" s="32" t="n">
        <x:f t="shared" si="108">AVERAGE(E2362:E2561)</x:f>
        <x:v>460.3980000000001</x:v>
      </x:c>
      <x:c r="H2561" s="37" t="n">
        <x:f t="shared" si="109">IFERROR(E2561/G2561-1,"")</x:f>
        <x:v>-0.09013505705932712</x:v>
      </x:c>
      <x:c r="I2561" s="38" t="b">
        <x:f t="shared" si="110">E2561&lt;G2561</x:f>
        <x:v>1</x:v>
      </x:c>
    </x:row>
    <x:row r="2562">
      <x:c r="A2562" s="31">
        <x:v>40739</x:v>
      </x:c>
      <x:c r="B2562" s="32">
        <x:v>419.8</x:v>
      </x:c>
      <x:c r="C2562" s="32">
        <x:v>419.8</x:v>
      </x:c>
      <x:c r="D2562" s="32">
        <x:v>412.5</x:v>
      </x:c>
      <x:c r="E2562" s="32">
        <x:v>414.7</x:v>
      </x:c>
      <x:c r="F2562" s="33">
        <x:v>16688420</x:v>
      </x:c>
      <x:c r="G2562" s="32" t="n">
        <x:f t="shared" si="108">AVERAGE(E2363:E2562)</x:f>
        <x:v>460.2175</x:v>
      </x:c>
      <x:c r="H2562" s="37" t="n">
        <x:f t="shared" si="109">IFERROR(E2562/G2562-1,"")</x:f>
        <x:v>-0.09890432241277214</x:v>
      </x:c>
      <x:c r="I2562" s="38" t="b">
        <x:f t="shared" si="110">E2562&lt;G2562</x:f>
        <x:v>1</x:v>
      </x:c>
    </x:row>
    <x:row r="2563">
      <x:c r="A2563" s="31">
        <x:v>40742</x:v>
      </x:c>
      <x:c r="B2563" s="32">
        <x:v>412.9</x:v>
      </x:c>
      <x:c r="C2563" s="32">
        <x:v>415.8</x:v>
      </x:c>
      <x:c r="D2563" s="32">
        <x:v>411.2</x:v>
      </x:c>
      <x:c r="E2563" s="32">
        <x:v>415.8</x:v>
      </x:c>
      <x:c r="F2563" s="33">
        <x:v>15462900</x:v>
      </x:c>
      <x:c r="G2563" s="32" t="n">
        <x:f t="shared" si="108">AVERAGE(E2364:E2563)</x:f>
        <x:v>460.048</x:v>
      </x:c>
      <x:c r="H2563" s="37" t="n">
        <x:f t="shared" si="109">IFERROR(E2563/G2563-1,"")</x:f>
        <x:v>-0.09618126804159566</x:v>
      </x:c>
      <x:c r="I2563" s="38" t="b">
        <x:f t="shared" si="110">E2563&lt;G2563</x:f>
        <x:v>1</x:v>
      </x:c>
    </x:row>
    <x:row r="2564">
      <x:c r="A2564" s="31">
        <x:v>40743</x:v>
      </x:c>
      <x:c r="B2564" s="32">
        <x:v>415.8</x:v>
      </x:c>
      <x:c r="C2564" s="32">
        <x:v>415.4</x:v>
      </x:c>
      <x:c r="D2564" s="32">
        <x:v>409.2</x:v>
      </x:c>
      <x:c r="E2564" s="32">
        <x:v>410.1</x:v>
      </x:c>
      <x:c r="F2564" s="33">
        <x:v>12951780</x:v>
      </x:c>
      <x:c r="G2564" s="32" t="n">
        <x:f t="shared" si="108">AVERAGE(E2365:E2564)</x:f>
        <x:v>459.8475000000001</x:v>
      </x:c>
      <x:c r="H2564" s="37" t="n">
        <x:f t="shared" si="109">IFERROR(E2564/G2564-1,"")</x:f>
        <x:v>-0.10818260401546176</x:v>
      </x:c>
      <x:c r="I2564" s="38" t="b">
        <x:f t="shared" si="110">E2564&lt;G2564</x:f>
        <x:v>1</x:v>
      </x:c>
    </x:row>
    <x:row r="2565">
      <x:c r="A2565" s="31">
        <x:v>40744</x:v>
      </x:c>
      <x:c r="B2565" s="32">
        <x:v>410.1</x:v>
      </x:c>
      <x:c r="C2565" s="32">
        <x:v>416.8</x:v>
      </x:c>
      <x:c r="D2565" s="32">
        <x:v>410.1</x:v>
      </x:c>
      <x:c r="E2565" s="32">
        <x:v>416.8</x:v>
      </x:c>
      <x:c r="F2565" s="33">
        <x:v>16317620</x:v>
      </x:c>
      <x:c r="G2565" s="32" t="n">
        <x:f t="shared" si="108">AVERAGE(E2366:E2565)</x:f>
        <x:v>459.65600000000006</x:v>
      </x:c>
      <x:c r="H2565" s="37" t="n">
        <x:f t="shared" si="109">IFERROR(E2565/G2565-1,"")</x:f>
        <x:v>-0.09323494091233453</x:v>
      </x:c>
      <x:c r="I2565" s="38" t="b">
        <x:f t="shared" si="110">E2565&lt;G2565</x:f>
        <x:v>1</x:v>
      </x:c>
    </x:row>
    <x:row r="2566">
      <x:c r="A2566" s="31">
        <x:v>40745</x:v>
      </x:c>
      <x:c r="B2566" s="32">
        <x:v>416.8</x:v>
      </x:c>
      <x:c r="C2566" s="32">
        <x:v>417.1</x:v>
      </x:c>
      <x:c r="D2566" s="32">
        <x:v>412.2</x:v>
      </x:c>
      <x:c r="E2566" s="32">
        <x:v>413.1</x:v>
      </x:c>
      <x:c r="F2566" s="33">
        <x:v>15387640</x:v>
      </x:c>
      <x:c r="G2566" s="32" t="n">
        <x:f t="shared" si="108">AVERAGE(E2367:E2566)</x:f>
        <x:v>459.45700000000005</x:v>
      </x:c>
      <x:c r="H2566" s="37" t="n">
        <x:f t="shared" si="109">IFERROR(E2566/G2566-1,"")</x:f>
        <x:v>-0.10089518714482537</x:v>
      </x:c>
      <x:c r="I2566" s="38" t="b">
        <x:f t="shared" si="110">E2566&lt;G2566</x:f>
        <x:v>1</x:v>
      </x:c>
    </x:row>
    <x:row r="2567">
      <x:c r="A2567" s="31">
        <x:v>40746</x:v>
      </x:c>
      <x:c r="B2567" s="32">
        <x:v>413.06</x:v>
      </x:c>
      <x:c r="C2567" s="32">
        <x:v>413.06</x:v>
      </x:c>
      <x:c r="D2567" s="32">
        <x:v>408.96</x:v>
      </x:c>
      <x:c r="E2567" s="32">
        <x:v>409.2</x:v>
      </x:c>
      <x:c r="F2567" s="33">
        <x:v>12651350</x:v>
      </x:c>
      <x:c r="G2567" s="32" t="n">
        <x:f t="shared" si="108">AVERAGE(E2368:E2567)</x:f>
        <x:v>459.2305</x:v>
      </x:c>
      <x:c r="H2567" s="37" t="n">
        <x:f t="shared" si="109">IFERROR(E2567/G2567-1,"")</x:f>
        <x:v>-0.10894420122356863</x:v>
      </x:c>
      <x:c r="I2567" s="38" t="b">
        <x:f t="shared" si="110">E2567&lt;G2567</x:f>
        <x:v>1</x:v>
      </x:c>
    </x:row>
    <x:row r="2568">
      <x:c r="A2568" s="31">
        <x:v>40749</x:v>
      </x:c>
      <x:c r="B2568" s="32">
        <x:v>409.2</x:v>
      </x:c>
      <x:c r="C2568" s="32">
        <x:v>410.38</x:v>
      </x:c>
      <x:c r="D2568" s="32">
        <x:v>407.58</x:v>
      </x:c>
      <x:c r="E2568" s="32">
        <x:v>409.36</x:v>
      </x:c>
      <x:c r="F2568" s="33">
        <x:v>10512550</x:v>
      </x:c>
      <x:c r="G2568" s="32" t="n">
        <x:f t="shared" si="108">AVERAGE(E2369:E2568)</x:f>
        <x:v>459.0188000000001</x:v>
      </x:c>
      <x:c r="H2568" s="37" t="n">
        <x:f t="shared" si="109">IFERROR(E2568/G2568-1,"")</x:f>
        <x:v>-0.10818467566034351</x:v>
      </x:c>
      <x:c r="I2568" s="38" t="b">
        <x:f t="shared" si="110">E2568&lt;G2568</x:f>
        <x:v>1</x:v>
      </x:c>
    </x:row>
    <x:row r="2569">
      <x:c r="A2569" s="31">
        <x:v>40750</x:v>
      </x:c>
      <x:c r="B2569" s="32">
        <x:v>408.9</x:v>
      </x:c>
      <x:c r="C2569" s="32">
        <x:v>410.8</x:v>
      </x:c>
      <x:c r="D2569" s="32">
        <x:v>407.3</x:v>
      </x:c>
      <x:c r="E2569" s="32">
        <x:v>409.4</x:v>
      </x:c>
      <x:c r="F2569" s="33">
        <x:v>14611410</x:v>
      </x:c>
      <x:c r="G2569" s="32" t="n">
        <x:f t="shared" si="108">AVERAGE(E2370:E2569)</x:f>
        <x:v>458.8368000000001</x:v>
      </x:c>
      <x:c r="H2569" s="37" t="n">
        <x:f t="shared" si="109">IFERROR(E2569/G2569-1,"")</x:f>
        <x:v>-0.10774375551394333</x:v>
      </x:c>
      <x:c r="I2569" s="38" t="b">
        <x:f t="shared" si="110">E2569&lt;G2569</x:f>
        <x:v>1</x:v>
      </x:c>
    </x:row>
    <x:row r="2570">
      <x:c r="A2570" s="31">
        <x:v>40751</x:v>
      </x:c>
      <x:c r="B2570" s="32">
        <x:v>409.54</x:v>
      </x:c>
      <x:c r="C2570" s="32">
        <x:v>409.81</x:v>
      </x:c>
      <x:c r="D2570" s="32">
        <x:v>406.45</x:v>
      </x:c>
      <x:c r="E2570" s="32">
        <x:v>409.4</x:v>
      </x:c>
      <x:c r="F2570" s="33">
        <x:v>13990820</x:v>
      </x:c>
      <x:c r="G2570" s="32" t="n">
        <x:f t="shared" si="108">AVERAGE(E2371:E2570)</x:f>
        <x:v>458.62880000000007</x:v>
      </x:c>
      <x:c r="H2570" s="37" t="n">
        <x:f t="shared" si="109">IFERROR(E2570/G2570-1,"")</x:f>
        <x:v>-0.1073390942740623</x:v>
      </x:c>
      <x:c r="I2570" s="38" t="b">
        <x:f t="shared" si="110">E2570&lt;G2570</x:f>
        <x:v>1</x:v>
      </x:c>
    </x:row>
    <x:row r="2571">
      <x:c r="A2571" s="31">
        <x:v>40752</x:v>
      </x:c>
      <x:c r="B2571" s="32">
        <x:v>409.2</x:v>
      </x:c>
      <x:c r="C2571" s="32">
        <x:v>411.4</x:v>
      </x:c>
      <x:c r="D2571" s="32">
        <x:v>408.2</x:v>
      </x:c>
      <x:c r="E2571" s="32">
        <x:v>408.4</x:v>
      </x:c>
      <x:c r="F2571" s="33">
        <x:v>14569930</x:v>
      </x:c>
      <x:c r="G2571" s="32" t="n">
        <x:f t="shared" si="108">AVERAGE(E2372:E2571)</x:f>
        <x:v>458.36729999999994</x:v>
      </x:c>
      <x:c r="H2571" s="37" t="n">
        <x:f t="shared" si="109">IFERROR(E2571/G2571-1,"")</x:f>
        <x:v>-0.10901148489431944</x:v>
      </x:c>
      <x:c r="I2571" s="38" t="b">
        <x:f t="shared" si="110">E2571&lt;G2571</x:f>
        <x:v>1</x:v>
      </x:c>
    </x:row>
    <x:row r="2572">
      <x:c r="A2572" s="31">
        <x:v>40753</x:v>
      </x:c>
      <x:c r="B2572" s="32">
        <x:v>407.58</x:v>
      </x:c>
      <x:c r="C2572" s="32">
        <x:v>409.04</x:v>
      </x:c>
      <x:c r="D2572" s="32">
        <x:v>402.2</x:v>
      </x:c>
      <x:c r="E2572" s="32">
        <x:v>405.7</x:v>
      </x:c>
      <x:c r="F2572" s="33">
        <x:v>15606540</x:v>
      </x:c>
      <x:c r="G2572" s="32" t="n">
        <x:f t="shared" si="108">AVERAGE(E2373:E2572)</x:f>
        <x:v>458.08529999999996</x:v>
      </x:c>
      <x:c r="H2572" s="37" t="n">
        <x:f t="shared" si="109">IFERROR(E2572/G2572-1,"")</x:f>
        <x:v>-0.11435708589644766</x:v>
      </x:c>
      <x:c r="I2572" s="38" t="b">
        <x:f t="shared" si="110">E2572&lt;G2572</x:f>
        <x:v>1</x:v>
      </x:c>
    </x:row>
    <x:row r="2573">
      <x:c r="A2573" s="31">
        <x:v>40756</x:v>
      </x:c>
      <x:c r="B2573" s="32">
        <x:v>404.84</x:v>
      </x:c>
      <x:c r="C2573" s="32">
        <x:v>404.91</x:v>
      </x:c>
      <x:c r="D2573" s="32">
        <x:v>400.49</x:v>
      </x:c>
      <x:c r="E2573" s="32">
        <x:v>401.95</x:v>
      </x:c>
      <x:c r="F2573" s="33">
        <x:v>15828610</x:v>
      </x:c>
      <x:c r="G2573" s="32" t="n">
        <x:f t="shared" ref="G2573:G2636" si="111">AVERAGE(E2374:E2573)</x:f>
        <x:v>457.79855</x:v>
      </x:c>
      <x:c r="H2573" s="37" t="n">
        <x:f t="shared" ref="H2573:H2636" si="112">IFERROR(E2573/G2573-1,"")</x:f>
        <x:v>-0.12199372409545639</x:v>
      </x:c>
      <x:c r="I2573" s="38" t="b">
        <x:f t="shared" ref="I2573:I2636" si="113">E2573&lt;G2573</x:f>
        <x:v>1</x:v>
      </x:c>
    </x:row>
    <x:row r="2574">
      <x:c r="A2574" s="31">
        <x:v>40757</x:v>
      </x:c>
      <x:c r="B2574" s="32">
        <x:v>398.92</x:v>
      </x:c>
      <x:c r="C2574" s="32">
        <x:v>400.11</x:v>
      </x:c>
      <x:c r="D2574" s="32">
        <x:v>396.23</x:v>
      </x:c>
      <x:c r="E2574" s="32">
        <x:v>396.55</x:v>
      </x:c>
      <x:c r="F2574" s="33">
        <x:v>19056510</x:v>
      </x:c>
      <x:c r="G2574" s="32" t="n">
        <x:f t="shared" si="111">AVERAGE(E2375:E2574)</x:f>
        <x:v>457.48479999999995</x:v>
      </x:c>
      <x:c r="H2574" s="37" t="n">
        <x:f t="shared" si="112">IFERROR(E2574/G2574-1,"")</x:f>
        <x:v>-0.13319524495677226</x:v>
      </x:c>
      <x:c r="I2574" s="38" t="b">
        <x:f t="shared" si="113">E2574&lt;G2574</x:f>
        <x:v>1</x:v>
      </x:c>
    </x:row>
    <x:row r="2575">
      <x:c r="A2575" s="31">
        <x:v>40758</x:v>
      </x:c>
      <x:c r="B2575" s="32">
        <x:v>393.6</x:v>
      </x:c>
      <x:c r="C2575" s="32">
        <x:v>394.15</x:v>
      </x:c>
      <x:c r="D2575" s="32">
        <x:v>388.79</x:v>
      </x:c>
      <x:c r="E2575" s="32">
        <x:v>391.47</x:v>
      </x:c>
      <x:c r="F2575" s="33">
        <x:v>21451520</x:v>
      </x:c>
      <x:c r="G2575" s="32" t="n">
        <x:f t="shared" si="111">AVERAGE(E2376:E2575)</x:f>
        <x:v>457.17064999999997</x:v>
      </x:c>
      <x:c r="H2575" s="37" t="n">
        <x:f t="shared" si="112">IFERROR(E2575/G2575-1,"")</x:f>
        <x:v>-0.14371143466887026</x:v>
      </x:c>
      <x:c r="I2575" s="38" t="b">
        <x:f t="shared" si="113">E2575&lt;G2575</x:f>
        <x:v>1</x:v>
      </x:c>
    </x:row>
    <x:row r="2576">
      <x:c r="A2576" s="31">
        <x:v>40759</x:v>
      </x:c>
      <x:c r="B2576" s="32">
        <x:v>392.93</x:v>
      </x:c>
      <x:c r="C2576" s="32">
        <x:v>398.74</x:v>
      </x:c>
      <x:c r="D2576" s="32">
        <x:v>392.92</x:v>
      </x:c>
      <x:c r="E2576" s="32">
        <x:v>396.05</x:v>
      </x:c>
      <x:c r="F2576" s="33">
        <x:v>22740560</x:v>
      </x:c>
      <x:c r="G2576" s="32" t="n">
        <x:f t="shared" si="111">AVERAGE(E2377:E2576)</x:f>
        <x:v>456.8623999999999</x:v>
      </x:c>
      <x:c r="H2576" s="37" t="n">
        <x:f t="shared" si="112">IFERROR(E2576/G2576-1,"")</x:f>
        <x:v>-0.1331087872409722</x:v>
      </x:c>
      <x:c r="I2576" s="38" t="b">
        <x:f t="shared" si="113">E2576&lt;G2576</x:f>
        <x:v>1</x:v>
      </x:c>
    </x:row>
    <x:row r="2577">
      <x:c r="A2577" s="31">
        <x:v>40760</x:v>
      </x:c>
      <x:c r="B2577" s="32">
        <x:v>394.83</x:v>
      </x:c>
      <x:c r="C2577" s="32">
        <x:v>399.68</x:v>
      </x:c>
      <x:c r="D2577" s="32">
        <x:v>394.83</x:v>
      </x:c>
      <x:c r="E2577" s="32">
        <x:v>397.66</x:v>
      </x:c>
      <x:c r="F2577" s="33">
        <x:v>19998550</x:v>
      </x:c>
      <x:c r="G2577" s="32" t="n">
        <x:f t="shared" si="111">AVERAGE(E2378:E2577)</x:f>
        <x:v>456.55719999999997</x:v>
      </x:c>
      <x:c r="H2577" s="37" t="n">
        <x:f t="shared" si="112">IFERROR(E2577/G2577-1,"")</x:f>
        <x:v>-0.12900289383236085</x:v>
      </x:c>
      <x:c r="I2577" s="38" t="b">
        <x:f t="shared" si="113">E2577&lt;G2577</x:f>
        <x:v>1</x:v>
      </x:c>
    </x:row>
    <x:row r="2578">
      <x:c r="A2578" s="31">
        <x:v>40763</x:v>
      </x:c>
      <x:c r="B2578" s="32">
        <x:v>399.2</x:v>
      </x:c>
      <x:c r="C2578" s="32">
        <x:v>400.69</x:v>
      </x:c>
      <x:c r="D2578" s="32">
        <x:v>395.1</x:v>
      </x:c>
      <x:c r="E2578" s="32">
        <x:v>396.4</x:v>
      </x:c>
      <x:c r="F2578" s="33">
        <x:v>19929670</x:v>
      </x:c>
      <x:c r="G2578" s="32" t="n">
        <x:f t="shared" si="111">AVERAGE(E2379:E2578)</x:f>
        <x:v>456.24719999999996</x:v>
      </x:c>
      <x:c r="H2578" s="37" t="n">
        <x:f t="shared" si="112">IFERROR(E2578/G2578-1,"")</x:f>
        <x:v>-0.13117275021085062</x:v>
      </x:c>
      <x:c r="I2578" s="38" t="b">
        <x:f t="shared" si="113">E2578&lt;G2578</x:f>
        <x:v>1</x:v>
      </x:c>
    </x:row>
    <x:row r="2579">
      <x:c r="A2579" s="31">
        <x:v>40764</x:v>
      </x:c>
      <x:c r="B2579" s="32">
        <x:v>388.78</x:v>
      </x:c>
      <x:c r="C2579" s="32">
        <x:v>388.82</x:v>
      </x:c>
      <x:c r="D2579" s="32">
        <x:v>385.76</x:v>
      </x:c>
      <x:c r="E2579" s="32">
        <x:v>387.7</x:v>
      </x:c>
      <x:c r="F2579" s="33">
        <x:v>31784690</x:v>
      </x:c>
      <x:c r="G2579" s="32" t="n">
        <x:f t="shared" si="111">AVERAGE(E2380:E2579)</x:f>
        <x:v>455.8976999999999</x:v>
      </x:c>
      <x:c r="H2579" s="37" t="n">
        <x:f t="shared" si="112">IFERROR(E2579/G2579-1,"")</x:f>
        <x:v>-0.14958991896646967</x:v>
      </x:c>
      <x:c r="I2579" s="38" t="b">
        <x:f t="shared" si="113">E2579&lt;G2579</x:f>
        <x:v>1</x:v>
      </x:c>
    </x:row>
    <x:row r="2580">
      <x:c r="A2580" s="31">
        <x:v>40765</x:v>
      </x:c>
      <x:c r="B2580" s="32">
        <x:v>388.6</x:v>
      </x:c>
      <x:c r="C2580" s="32">
        <x:v>390.9</x:v>
      </x:c>
      <x:c r="D2580" s="32">
        <x:v>385.3</x:v>
      </x:c>
      <x:c r="E2580" s="32">
        <x:v>386</x:v>
      </x:c>
      <x:c r="F2580" s="33">
        <x:v>19474270</x:v>
      </x:c>
      <x:c r="G2580" s="32" t="n">
        <x:f t="shared" si="111">AVERAGE(E2381:E2580)</x:f>
        <x:v>455.55619999999993</x:v>
      </x:c>
      <x:c r="H2580" s="37" t="n">
        <x:f t="shared" si="112">IFERROR(E2580/G2580-1,"")</x:f>
        <x:v>-0.152684125471237</x:v>
      </x:c>
      <x:c r="I2580" s="38" t="b">
        <x:f t="shared" si="113">E2580&lt;G2580</x:f>
        <x:v>1</x:v>
      </x:c>
    </x:row>
    <x:row r="2581">
      <x:c r="A2581" s="31">
        <x:v>40766</x:v>
      </x:c>
      <x:c r="B2581" s="32">
        <x:v>381</x:v>
      </x:c>
      <x:c r="C2581" s="32">
        <x:v>386</x:v>
      </x:c>
      <x:c r="D2581" s="32">
        <x:v>379.8</x:v>
      </x:c>
      <x:c r="E2581" s="32">
        <x:v>384.4</x:v>
      </x:c>
      <x:c r="F2581" s="33">
        <x:v>15699460</x:v>
      </x:c>
      <x:c r="G2581" s="32" t="n">
        <x:f t="shared" si="111">AVERAGE(E2382:E2581)</x:f>
        <x:v>455.2672</x:v>
      </x:c>
      <x:c r="H2581" s="37" t="n">
        <x:f t="shared" si="112">IFERROR(E2581/G2581-1,"")</x:f>
        <x:v>-0.155660675752613</x:v>
      </x:c>
      <x:c r="I2581" s="38" t="b">
        <x:f t="shared" si="113">E2581&lt;G2581</x:f>
        <x:v>1</x:v>
      </x:c>
    </x:row>
    <x:row r="2582">
      <x:c r="A2582" s="31">
        <x:v>40767</x:v>
      </x:c>
      <x:c r="B2582" s="32">
        <x:v>385.16</x:v>
      </x:c>
      <x:c r="C2582" s="32">
        <x:v>387.13</x:v>
      </x:c>
      <x:c r="D2582" s="32">
        <x:v>383.58</x:v>
      </x:c>
      <x:c r="E2582" s="32">
        <x:v>383.92</x:v>
      </x:c>
      <x:c r="F2582" s="33">
        <x:v>13694020</x:v>
      </x:c>
      <x:c r="G2582" s="32" t="n">
        <x:f t="shared" si="111">AVERAGE(E2383:E2582)</x:f>
        <x:v>454.9613</x:v>
      </x:c>
      <x:c r="H2582" s="37" t="n">
        <x:f t="shared" si="112">IFERROR(E2582/G2582-1,"")</x:f>
        <x:v>-0.15614800643483295</x:v>
      </x:c>
      <x:c r="I2582" s="38" t="b">
        <x:f t="shared" si="113">E2582&lt;G2582</x:f>
        <x:v>1</x:v>
      </x:c>
    </x:row>
    <x:row r="2583">
      <x:c r="A2583" s="31">
        <x:v>40770</x:v>
      </x:c>
      <x:c r="B2583" s="32">
        <x:v>384.5</x:v>
      </x:c>
      <x:c r="C2583" s="32">
        <x:v>385</x:v>
      </x:c>
      <x:c r="D2583" s="32">
        <x:v>383.4</x:v>
      </x:c>
      <x:c r="E2583" s="32">
        <x:v>384.32</x:v>
      </x:c>
      <x:c r="F2583" s="33">
        <x:v>12784520</x:v>
      </x:c>
      <x:c r="G2583" s="32" t="n">
        <x:f t="shared" si="111">AVERAGE(E2384:E2583)</x:f>
        <x:v>454.6569</x:v>
      </x:c>
      <x:c r="H2583" s="37" t="n">
        <x:f t="shared" si="112">IFERROR(E2583/G2583-1,"")</x:f>
        <x:v>-0.15470324985720008</x:v>
      </x:c>
      <x:c r="I2583" s="38" t="b">
        <x:f t="shared" si="113">E2583&lt;G2583</x:f>
        <x:v>1</x:v>
      </x:c>
    </x:row>
    <x:row r="2584">
      <x:c r="A2584" s="31">
        <x:v>40771</x:v>
      </x:c>
      <x:c r="B2584" s="32">
        <x:v>383.66</x:v>
      </x:c>
      <x:c r="C2584" s="32">
        <x:v>388.48</x:v>
      </x:c>
      <x:c r="D2584" s="32">
        <x:v>383.66</x:v>
      </x:c>
      <x:c r="E2584" s="32">
        <x:v>386.48</x:v>
      </x:c>
      <x:c r="F2584" s="33">
        <x:v>13602570</x:v>
      </x:c>
      <x:c r="G2584" s="32" t="n">
        <x:f t="shared" si="111">AVERAGE(E2385:E2584)</x:f>
        <x:v>454.34630000000004</x:v>
      </x:c>
      <x:c r="H2584" s="37" t="n">
        <x:f t="shared" si="112">IFERROR(E2584/G2584-1,"")</x:f>
        <x:v>-0.14937130554381095</x:v>
      </x:c>
      <x:c r="I2584" s="38" t="b">
        <x:f t="shared" si="113">E2584&lt;G2584</x:f>
        <x:v>1</x:v>
      </x:c>
    </x:row>
    <x:row r="2585">
      <x:c r="A2585" s="31">
        <x:v>40772</x:v>
      </x:c>
      <x:c r="B2585" s="32">
        <x:v>387.65</x:v>
      </x:c>
      <x:c r="C2585" s="32">
        <x:v>393.46</x:v>
      </x:c>
      <x:c r="D2585" s="32">
        <x:v>387.65</x:v>
      </x:c>
      <x:c r="E2585" s="32">
        <x:v>393.46</x:v>
      </x:c>
      <x:c r="F2585" s="33">
        <x:v>21505730</x:v>
      </x:c>
      <x:c r="G2585" s="32" t="n">
        <x:f t="shared" si="111">AVERAGE(E2386:E2585)</x:f>
        <x:v>454.03810000000004</x:v>
      </x:c>
      <x:c r="H2585" s="37" t="n">
        <x:f t="shared" si="112">IFERROR(E2585/G2585-1,"")</x:f>
        <x:v>-0.1334207415633183</x:v>
      </x:c>
      <x:c r="I2585" s="38" t="b">
        <x:f t="shared" si="113">E2585&lt;G2585</x:f>
        <x:v>1</x:v>
      </x:c>
    </x:row>
    <x:row r="2586">
      <x:c r="A2586" s="31">
        <x:v>40773</x:v>
      </x:c>
      <x:c r="B2586" s="32">
        <x:v>398.21</x:v>
      </x:c>
      <x:c r="C2586" s="32">
        <x:v>402.89</x:v>
      </x:c>
      <x:c r="D2586" s="32">
        <x:v>397.7</x:v>
      </x:c>
      <x:c r="E2586" s="32">
        <x:v>402.89</x:v>
      </x:c>
      <x:c r="F2586" s="33">
        <x:v>27398650</x:v>
      </x:c>
      <x:c r="G2586" s="32" t="n">
        <x:f t="shared" si="111">AVERAGE(E2387:E2586)</x:f>
        <x:v>453.8025500000001</x:v>
      </x:c>
      <x:c r="H2586" s="37" t="n">
        <x:f t="shared" si="112">IFERROR(E2586/G2586-1,"")</x:f>
        <x:v>-0.11219097380567855</x:v>
      </x:c>
      <x:c r="I2586" s="38" t="b">
        <x:f t="shared" si="113">E2586&lt;G2586</x:f>
        <x:v>1</x:v>
      </x:c>
    </x:row>
    <x:row r="2587">
      <x:c r="A2587" s="31">
        <x:v>40774</x:v>
      </x:c>
      <x:c r="B2587" s="32">
        <x:v>399.98</x:v>
      </x:c>
      <x:c r="C2587" s="32">
        <x:v>400.76</x:v>
      </x:c>
      <x:c r="D2587" s="32">
        <x:v>396.2</x:v>
      </x:c>
      <x:c r="E2587" s="32">
        <x:v>400.76</x:v>
      </x:c>
      <x:c r="F2587" s="33">
        <x:v>21476780</x:v>
      </x:c>
      <x:c r="G2587" s="32" t="n">
        <x:f t="shared" si="111">AVERAGE(E2388:E2587)</x:f>
        <x:v>453.5558500000001</x:v>
      </x:c>
      <x:c r="H2587" s="37" t="n">
        <x:f t="shared" si="112">IFERROR(E2587/G2587-1,"")</x:f>
        <x:v>-0.11640429728775425</x:v>
      </x:c>
      <x:c r="I2587" s="38" t="b">
        <x:f t="shared" si="113">E2587&lt;G2587</x:f>
        <x:v>1</x:v>
      </x:c>
    </x:row>
    <x:row r="2588">
      <x:c r="A2588" s="31">
        <x:v>40777</x:v>
      </x:c>
      <x:c r="B2588" s="32">
        <x:v>401.87</x:v>
      </x:c>
      <x:c r="C2588" s="32">
        <x:v>406.75</x:v>
      </x:c>
      <x:c r="D2588" s="32">
        <x:v>401.87</x:v>
      </x:c>
      <x:c r="E2588" s="32">
        <x:v>406.03</x:v>
      </x:c>
      <x:c r="F2588" s="33">
        <x:v>27931820</x:v>
      </x:c>
      <x:c r="G2588" s="32" t="n">
        <x:f t="shared" si="111">AVERAGE(E2389:E2588)</x:f>
        <x:v>453.32300000000004</x:v>
      </x:c>
      <x:c r="H2588" s="37" t="n">
        <x:f t="shared" si="112">IFERROR(E2588/G2588-1,"")</x:f>
        <x:v>-0.10432517211789405</x:v>
      </x:c>
      <x:c r="I2588" s="38" t="b">
        <x:f t="shared" si="113">E2588&lt;G2588</x:f>
        <x:v>1</x:v>
      </x:c>
    </x:row>
    <x:row r="2589">
      <x:c r="A2589" s="31">
        <x:v>40778</x:v>
      </x:c>
      <x:c r="B2589" s="32">
        <x:v>405.19</x:v>
      </x:c>
      <x:c r="C2589" s="32">
        <x:v>405.19</x:v>
      </x:c>
      <x:c r="D2589" s="32">
        <x:v>401.23</x:v>
      </x:c>
      <x:c r="E2589" s="32">
        <x:v>401.28</x:v>
      </x:c>
      <x:c r="F2589" s="33">
        <x:v>25500990</x:v>
      </x:c>
      <x:c r="G2589" s="32" t="n">
        <x:f t="shared" si="111">AVERAGE(E2390:E2589)</x:f>
        <x:v>453.0739000000001</x:v>
      </x:c>
      <x:c r="H2589" s="37" t="n">
        <x:f t="shared" si="112">IFERROR(E2589/G2589-1,"")</x:f>
        <x:v>-0.11431667107727927</x:v>
      </x:c>
      <x:c r="I2589" s="38" t="b">
        <x:f t="shared" si="113">E2589&lt;G2589</x:f>
        <x:v>1</x:v>
      </x:c>
    </x:row>
    <x:row r="2590">
      <x:c r="A2590" s="31">
        <x:v>40779</x:v>
      </x:c>
      <x:c r="B2590" s="32">
        <x:v>403.21</x:v>
      </x:c>
      <x:c r="C2590" s="32">
        <x:v>406.29</x:v>
      </x:c>
      <x:c r="D2590" s="32">
        <x:v>396.68</x:v>
      </x:c>
      <x:c r="E2590" s="32">
        <x:v>396.68</x:v>
      </x:c>
      <x:c r="F2590" s="33">
        <x:v>25328760</x:v>
      </x:c>
      <x:c r="G2590" s="32" t="n">
        <x:f t="shared" si="111">AVERAGE(E2391:E2590)</x:f>
        <x:v>452.8258</x:v>
      </x:c>
      <x:c r="H2590" s="37" t="n">
        <x:f t="shared" si="112">IFERROR(E2590/G2590-1,"")</x:f>
        <x:v>-0.12398984333489838</x:v>
      </x:c>
      <x:c r="I2590" s="38" t="b">
        <x:f t="shared" si="113">E2590&lt;G2590</x:f>
        <x:v>1</x:v>
      </x:c>
    </x:row>
    <x:row r="2591">
      <x:c r="A2591" s="31">
        <x:v>40780</x:v>
      </x:c>
      <x:c r="B2591" s="32">
        <x:v>398.46</x:v>
      </x:c>
      <x:c r="C2591" s="32">
        <x:v>402.19</x:v>
      </x:c>
      <x:c r="D2591" s="32">
        <x:v>397.93</x:v>
      </x:c>
      <x:c r="E2591" s="32">
        <x:v>401.65</x:v>
      </x:c>
      <x:c r="F2591" s="33">
        <x:v>22937350</x:v>
      </x:c>
      <x:c r="G2591" s="32" t="n">
        <x:f t="shared" si="111">AVERAGE(E2392:E2591)</x:f>
        <x:v>452.61304999999993</x:v>
      </x:c>
      <x:c r="H2591" s="37" t="n">
        <x:f t="shared" si="112">IFERROR(E2591/G2591-1,"")</x:f>
        <x:v>-0.11259739417588588</x:v>
      </x:c>
      <x:c r="I2591" s="38" t="b">
        <x:f t="shared" si="113">E2591&lt;G2591</x:f>
        <x:v>1</x:v>
      </x:c>
    </x:row>
    <x:row r="2592">
      <x:c r="A2592" s="31">
        <x:v>40781</x:v>
      </x:c>
      <x:c r="B2592" s="32">
        <x:v>403.2</x:v>
      </x:c>
      <x:c r="C2592" s="32">
        <x:v>406</x:v>
      </x:c>
      <x:c r="D2592" s="32">
        <x:v>401.7</x:v>
      </x:c>
      <x:c r="E2592" s="32">
        <x:v>404.4</x:v>
      </x:c>
      <x:c r="F2592" s="33">
        <x:v>23144300</x:v>
      </x:c>
      <x:c r="G2592" s="32" t="n">
        <x:f t="shared" si="111">AVERAGE(E2393:E2592)</x:f>
        <x:v>452.3900499999999</x:v>
      </x:c>
      <x:c r="H2592" s="37" t="n">
        <x:f t="shared" si="112">IFERROR(E2592/G2592-1,"")</x:f>
        <x:v>-0.10608113507359396</x:v>
      </x:c>
      <x:c r="I2592" s="38" t="b">
        <x:f t="shared" si="113">E2592&lt;G2592</x:f>
        <x:v>1</x:v>
      </x:c>
    </x:row>
    <x:row r="2593">
      <x:c r="A2593" s="31">
        <x:v>40784</x:v>
      </x:c>
      <x:c r="B2593" s="32">
        <x:v>405.89</x:v>
      </x:c>
      <x:c r="C2593" s="32">
        <x:v>413.37</x:v>
      </x:c>
      <x:c r="D2593" s="32">
        <x:v>405.26</x:v>
      </x:c>
      <x:c r="E2593" s="32">
        <x:v>413.37</x:v>
      </x:c>
      <x:c r="F2593" s="33">
        <x:v>32266490</x:v>
      </x:c>
      <x:c r="G2593" s="32" t="n">
        <x:f t="shared" si="111">AVERAGE(E2394:E2593)</x:f>
        <x:v>452.1703999999999</x:v>
      </x:c>
      <x:c r="H2593" s="37" t="n">
        <x:f t="shared" si="112">IFERROR(E2593/G2593-1,"")</x:f>
        <x:v>-0.08580924359489239</x:v>
      </x:c>
      <x:c r="I2593" s="38" t="b">
        <x:f t="shared" si="113">E2593&lt;G2593</x:f>
        <x:v>1</x:v>
      </x:c>
    </x:row>
    <x:row r="2594">
      <x:c r="A2594" s="31">
        <x:v>40785</x:v>
      </x:c>
      <x:c r="B2594" s="32">
        <x:v>421.81</x:v>
      </x:c>
      <x:c r="C2594" s="32">
        <x:v>423.01</x:v>
      </x:c>
      <x:c r="D2594" s="32">
        <x:v>416.84</x:v>
      </x:c>
      <x:c r="E2594" s="32">
        <x:v>419.26</x:v>
      </x:c>
      <x:c r="F2594" s="33">
        <x:v>39535740</x:v>
      </x:c>
      <x:c r="G2594" s="32" t="n">
        <x:f t="shared" si="111">AVERAGE(E2395:E2594)</x:f>
        <x:v>451.9811999999999</x:v>
      </x:c>
      <x:c r="H2594" s="37" t="n">
        <x:f t="shared" si="112">IFERROR(E2594/G2594-1,"")</x:f>
        <x:v>-0.0723950465196338</x:v>
      </x:c>
      <x:c r="I2594" s="38" t="b">
        <x:f t="shared" si="113">E2594&lt;G2594</x:f>
        <x:v>1</x:v>
      </x:c>
    </x:row>
    <x:row r="2595">
      <x:c r="A2595" s="31">
        <x:v>40786</x:v>
      </x:c>
      <x:c r="B2595" s="32">
        <x:v>421.45</x:v>
      </x:c>
      <x:c r="C2595" s="32">
        <x:v>426.29</x:v>
      </x:c>
      <x:c r="D2595" s="32">
        <x:v>417.79</x:v>
      </x:c>
      <x:c r="E2595" s="32">
        <x:v>425.43</x:v>
      </x:c>
      <x:c r="F2595" s="33">
        <x:v>40622520</x:v>
      </x:c>
      <x:c r="G2595" s="32" t="n">
        <x:f t="shared" si="111">AVERAGE(E2396:E2595)</x:f>
        <x:v>451.8613499999999</x:v>
      </x:c>
      <x:c r="H2595" s="37" t="n">
        <x:f t="shared" si="112">IFERROR(E2595/G2595-1,"")</x:f>
        <x:v>-0.05849438107507954</x:v>
      </x:c>
      <x:c r="I2595" s="38" t="b">
        <x:f t="shared" si="113">E2595&lt;G2595</x:f>
        <x:v>1</x:v>
      </x:c>
    </x:row>
    <x:row r="2596">
      <x:c r="A2596" s="31">
        <x:v>40787</x:v>
      </x:c>
      <x:c r="B2596" s="32">
        <x:v>429.49</x:v>
      </x:c>
      <x:c r="C2596" s="32">
        <x:v>435.29</x:v>
      </x:c>
      <x:c r="D2596" s="32">
        <x:v>429.31</x:v>
      </x:c>
      <x:c r="E2596" s="32">
        <x:v>435.29</x:v>
      </x:c>
      <x:c r="F2596" s="33">
        <x:v>47176370</x:v>
      </x:c>
      <x:c r="G2596" s="32" t="n">
        <x:f t="shared" si="111">AVERAGE(E2397:E2596)</x:f>
        <x:v>451.7812999999998</x:v>
      </x:c>
      <x:c r="H2596" s="37" t="n">
        <x:f t="shared" si="112">IFERROR(E2596/G2596-1,"")</x:f>
        <x:v>-0.036502838873587296</x:v>
      </x:c>
      <x:c r="I2596" s="38" t="b">
        <x:f t="shared" si="113">E2596&lt;G2596</x:f>
        <x:v>1</x:v>
      </x:c>
    </x:row>
    <x:row r="2597">
      <x:c r="A2597" s="31">
        <x:v>40791</x:v>
      </x:c>
      <x:c r="B2597" s="32">
        <x:v>438.35</x:v>
      </x:c>
      <x:c r="C2597" s="32">
        <x:v>439.82</x:v>
      </x:c>
      <x:c r="D2597" s="32">
        <x:v>432.07</x:v>
      </x:c>
      <x:c r="E2597" s="32">
        <x:v>435.73</x:v>
      </x:c>
      <x:c r="F2597" s="33">
        <x:v>49711930</x:v>
      </x:c>
      <x:c r="G2597" s="32" t="n">
        <x:f t="shared" si="111">AVERAGE(E2398:E2597)</x:f>
        <x:v>451.72644999999983</x:v>
      </x:c>
      <x:c r="H2597" s="37" t="n">
        <x:f t="shared" si="112">IFERROR(E2597/G2597-1,"")</x:f>
        <x:v>-0.03541180730063476</x:v>
      </x:c>
      <x:c r="I2597" s="38" t="b">
        <x:f t="shared" si="113">E2597&lt;G2597</x:f>
        <x:v>1</x:v>
      </x:c>
    </x:row>
    <x:row r="2598">
      <x:c r="A2598" s="31">
        <x:v>40792</x:v>
      </x:c>
      <x:c r="B2598" s="32">
        <x:v>434.02</x:v>
      </x:c>
      <x:c r="C2598" s="32">
        <x:v>437.58</x:v>
      </x:c>
      <x:c r="D2598" s="32">
        <x:v>430.82</x:v>
      </x:c>
      <x:c r="E2598" s="32">
        <x:v>436.16</x:v>
      </x:c>
      <x:c r="F2598" s="33">
        <x:v>37011210</x:v>
      </x:c>
      <x:c r="G2598" s="32" t="n">
        <x:f t="shared" si="111">AVERAGE(E2399:E2598)</x:f>
        <x:v>451.69924999999984</x:v>
      </x:c>
      <x:c r="H2598" s="37" t="n">
        <x:f t="shared" si="112">IFERROR(E2598/G2598-1,"")</x:f>
        <x:v>-0.03440176179172272</x:v>
      </x:c>
      <x:c r="I2598" s="38" t="b">
        <x:f t="shared" si="113">E2598&lt;G2598</x:f>
        <x:v>1</x:v>
      </x:c>
    </x:row>
    <x:row r="2599">
      <x:c r="A2599" s="31">
        <x:v>40793</x:v>
      </x:c>
      <x:c r="B2599" s="32">
        <x:v>444.4</x:v>
      </x:c>
      <x:c r="C2599" s="32">
        <x:v>445.72</x:v>
      </x:c>
      <x:c r="D2599" s="32">
        <x:v>440.44</x:v>
      </x:c>
      <x:c r="E2599" s="32">
        <x:v>443.99</x:v>
      </x:c>
      <x:c r="F2599" s="33">
        <x:v>41854450</x:v>
      </x:c>
      <x:c r="G2599" s="32" t="n">
        <x:f t="shared" si="111">AVERAGE(E2400:E2599)</x:f>
        <x:v>451.75169999999986</x:v>
      </x:c>
      <x:c r="H2599" s="37" t="n">
        <x:f t="shared" si="112">IFERROR(E2599/G2599-1,"")</x:f>
        <x:v>-0.017181340988865923</x:v>
      </x:c>
      <x:c r="I2599" s="38" t="b">
        <x:f t="shared" si="113">E2599&lt;G2599</x:f>
        <x:v>1</x:v>
      </x:c>
    </x:row>
    <x:row r="2600">
      <x:c r="A2600" s="31">
        <x:v>40794</x:v>
      </x:c>
      <x:c r="B2600" s="32">
        <x:v>450.4</x:v>
      </x:c>
      <x:c r="C2600" s="32">
        <x:v>457.41</x:v>
      </x:c>
      <x:c r="D2600" s="32">
        <x:v>449.97</x:v>
      </x:c>
      <x:c r="E2600" s="32">
        <x:v>453.26</x:v>
      </x:c>
      <x:c r="F2600" s="33">
        <x:v>55809690</x:v>
      </x:c>
      <x:c r="G2600" s="32" t="n">
        <x:f t="shared" si="111">AVERAGE(E2401:E2600)</x:f>
        <x:v>451.88349999999986</x:v>
      </x:c>
      <x:c r="H2600" s="37" t="n">
        <x:f t="shared" si="112">IFERROR(E2600/G2600-1,"")</x:f>
        <x:v>0.0030461391044376285</x:v>
      </x:c>
      <x:c r="I2600" s="38" t="b">
        <x:f t="shared" si="113">E2600&lt;G2600</x:f>
        <x:v>0</x:v>
      </x:c>
    </x:row>
    <x:row r="2601">
      <x:c r="A2601" s="31">
        <x:v>40795</x:v>
      </x:c>
      <x:c r="B2601" s="32">
        <x:v>452.94</x:v>
      </x:c>
      <x:c r="C2601" s="32">
        <x:v>460.17</x:v>
      </x:c>
      <x:c r="D2601" s="32">
        <x:v>452.33</x:v>
      </x:c>
      <x:c r="E2601" s="32">
        <x:v>459.92</x:v>
      </x:c>
      <x:c r="F2601" s="33">
        <x:v>42499540</x:v>
      </x:c>
      <x:c r="G2601" s="32" t="n">
        <x:f t="shared" si="111">AVERAGE(E2402:E2601)</x:f>
        <x:v>452.05559999999974</x:v>
      </x:c>
      <x:c r="H2601" s="37" t="n">
        <x:f t="shared" si="112">IFERROR(E2601/G2601-1,"")</x:f>
        <x:v>0.017396975062360154</x:v>
      </x:c>
      <x:c r="I2601" s="38" t="b">
        <x:f t="shared" si="113">E2601&lt;G2601</x:f>
        <x:v>0</x:v>
      </x:c>
    </x:row>
    <x:row r="2602">
      <x:c r="A2602" s="31">
        <x:v>40798</x:v>
      </x:c>
      <x:c r="B2602" s="32">
        <x:v>461.14</x:v>
      </x:c>
      <x:c r="C2602" s="32">
        <x:v>465.41</x:v>
      </x:c>
      <x:c r="D2602" s="32">
        <x:v>460.49</x:v>
      </x:c>
      <x:c r="E2602" s="32">
        <x:v>462.93</x:v>
      </x:c>
      <x:c r="F2602" s="33">
        <x:v>45092230</x:v>
      </x:c>
      <x:c r="G2602" s="32" t="n">
        <x:f t="shared" si="111">AVERAGE(E2403:E2602)</x:f>
        <x:v>452.21674999999976</x:v>
      </x:c>
      <x:c r="H2602" s="37" t="n">
        <x:f t="shared" si="112">IFERROR(E2602/G2602-1,"")</x:f>
        <x:v>0.02369052008798933</x:v>
      </x:c>
      <x:c r="I2602" s="38" t="b">
        <x:f t="shared" si="113">E2602&lt;G2602</x:f>
        <x:v>0</x:v>
      </x:c>
    </x:row>
    <x:row r="2603">
      <x:c r="A2603" s="31">
        <x:v>40799</x:v>
      </x:c>
      <x:c r="B2603" s="32">
        <x:v>469.5</x:v>
      </x:c>
      <x:c r="C2603" s="32">
        <x:v>471.07</x:v>
      </x:c>
      <x:c r="D2603" s="32">
        <x:v>466.69</x:v>
      </x:c>
      <x:c r="E2603" s="32">
        <x:v>469.4</x:v>
      </x:c>
      <x:c r="F2603" s="33">
        <x:v>62235100</x:v>
      </x:c>
      <x:c r="G2603" s="32" t="n">
        <x:f t="shared" si="111">AVERAGE(E2404:E2603)</x:f>
        <x:v>452.4312499999997</x:v>
      </x:c>
      <x:c r="H2603" s="37" t="n">
        <x:f t="shared" si="112">IFERROR(E2603/G2603-1,"")</x:f>
        <x:v>0.037505698379588726</x:v>
      </x:c>
      <x:c r="I2603" s="38" t="b">
        <x:f t="shared" si="113">E2603&lt;G2603</x:f>
        <x:v>0</x:v>
      </x:c>
    </x:row>
    <x:row r="2604">
      <x:c r="A2604" s="31">
        <x:v>40800</x:v>
      </x:c>
      <x:c r="B2604" s="32">
        <x:v>469.33</x:v>
      </x:c>
      <x:c r="C2604" s="32">
        <x:v>475.45</x:v>
      </x:c>
      <x:c r="D2604" s="32">
        <x:v>466.99</x:v>
      </x:c>
      <x:c r="E2604" s="32">
        <x:v>466.99</x:v>
      </x:c>
      <x:c r="F2604" s="33">
        <x:v>73281320</x:v>
      </x:c>
      <x:c r="G2604" s="32" t="n">
        <x:f t="shared" si="111">AVERAGE(E2405:E2604)</x:f>
        <x:v>452.63519999999966</x:v>
      </x:c>
      <x:c r="H2604" s="37" t="n">
        <x:f t="shared" si="112">IFERROR(E2604/G2604-1,"")</x:f>
        <x:v>0.031713839312542014</x:v>
      </x:c>
      <x:c r="I2604" s="38" t="b">
        <x:f t="shared" si="113">E2604&lt;G2604</x:f>
        <x:v>0</x:v>
      </x:c>
    </x:row>
    <x:row r="2605">
      <x:c r="A2605" s="31">
        <x:v>40801</x:v>
      </x:c>
      <x:c r="B2605" s="32">
        <x:v>462.72</x:v>
      </x:c>
      <x:c r="C2605" s="32">
        <x:v>470.9</x:v>
      </x:c>
      <x:c r="D2605" s="32">
        <x:v>461.31</x:v>
      </x:c>
      <x:c r="E2605" s="32">
        <x:v>470.67</x:v>
      </x:c>
      <x:c r="F2605" s="33">
        <x:v>56292580</x:v>
      </x:c>
      <x:c r="G2605" s="32" t="n">
        <x:f t="shared" si="111">AVERAGE(E2406:E2605)</x:f>
        <x:v>452.83454999999964</x:v>
      </x:c>
      <x:c r="H2605" s="37" t="n">
        <x:f t="shared" si="112">IFERROR(E2605/G2605-1,"")</x:f>
        <x:v>0.0393862394112825</x:v>
      </x:c>
      <x:c r="I2605" s="38" t="b">
        <x:f t="shared" si="113">E2605&lt;G2605</x:f>
        <x:v>0</x:v>
      </x:c>
    </x:row>
    <x:row r="2606">
      <x:c r="A2606" s="31">
        <x:v>40802</x:v>
      </x:c>
      <x:c r="B2606" s="32">
        <x:v>470.87</x:v>
      </x:c>
      <x:c r="C2606" s="32">
        <x:v>473.56</x:v>
      </x:c>
      <x:c r="D2606" s="32">
        <x:v>457.11</x:v>
      </x:c>
      <x:c r="E2606" s="32">
        <x:v>457.11</x:v>
      </x:c>
      <x:c r="F2606" s="33">
        <x:v>51789700</x:v>
      </x:c>
      <x:c r="G2606" s="32" t="n">
        <x:f t="shared" si="111">AVERAGE(E2407:E2606)</x:f>
        <x:v>452.94759999999974</x:v>
      </x:c>
      <x:c r="H2606" s="37" t="n">
        <x:f t="shared" si="112">IFERROR(E2606/G2606-1,"")</x:f>
        <x:v>0.009189583960705905</x:v>
      </x:c>
      <x:c r="I2606" s="38" t="b">
        <x:f t="shared" si="113">E2606&lt;G2606</x:f>
        <x:v>0</x:v>
      </x:c>
    </x:row>
    <x:row r="2607">
      <x:c r="A2607" s="31">
        <x:v>40805</x:v>
      </x:c>
      <x:c r="B2607" s="32">
        <x:v>450.21</x:v>
      </x:c>
      <x:c r="C2607" s="32">
        <x:v>461.68</x:v>
      </x:c>
      <x:c r="D2607" s="32">
        <x:v>449.5</x:v>
      </x:c>
      <x:c r="E2607" s="32">
        <x:v>461.68</x:v>
      </x:c>
      <x:c r="F2607" s="33">
        <x:v>37011670</x:v>
      </x:c>
      <x:c r="G2607" s="32" t="n">
        <x:f t="shared" si="111">AVERAGE(E2408:E2607)</x:f>
        <x:v>453.05649999999974</x:v>
      </x:c>
      <x:c r="H2607" s="37" t="n">
        <x:f t="shared" si="112">IFERROR(E2607/G2607-1,"")</x:f>
        <x:v>0.019034049837051814</x:v>
      </x:c>
      <x:c r="I2607" s="38" t="b">
        <x:f t="shared" si="113">E2607&lt;G2607</x:f>
        <x:v>0</x:v>
      </x:c>
    </x:row>
    <x:row r="2608">
      <x:c r="A2608" s="31">
        <x:v>40806</x:v>
      </x:c>
      <x:c r="B2608" s="32">
        <x:v>459.32</x:v>
      </x:c>
      <x:c r="C2608" s="32">
        <x:v>459.32</x:v>
      </x:c>
      <x:c r="D2608" s="32">
        <x:v>454.17</x:v>
      </x:c>
      <x:c r="E2608" s="32">
        <x:v>454.37</x:v>
      </x:c>
      <x:c r="F2608" s="33">
        <x:v>38785810</x:v>
      </x:c>
      <x:c r="G2608" s="32" t="n">
        <x:f t="shared" si="111">AVERAGE(E2409:E2608)</x:f>
        <x:v>453.12884999999966</x:v>
      </x:c>
      <x:c r="H2608" s="37" t="n">
        <x:f t="shared" si="112">IFERROR(E2608/G2608-1,"")</x:f>
        <x:v>0.002739066382553945</x:v>
      </x:c>
      <x:c r="I2608" s="38" t="b">
        <x:f t="shared" si="113">E2608&lt;G2608</x:f>
        <x:v>0</x:v>
      </x:c>
    </x:row>
    <x:row r="2609">
      <x:c r="A2609" s="31">
        <x:v>40807</x:v>
      </x:c>
      <x:c r="B2609" s="32">
        <x:v>451.99</x:v>
      </x:c>
      <x:c r="C2609" s="32">
        <x:v>454.48</x:v>
      </x:c>
      <x:c r="D2609" s="32">
        <x:v>446.65</x:v>
      </x:c>
      <x:c r="E2609" s="32">
        <x:v>447.57</x:v>
      </x:c>
      <x:c r="F2609" s="33">
        <x:v>37266820</x:v>
      </x:c>
      <x:c r="G2609" s="32" t="n">
        <x:f t="shared" si="111">AVERAGE(E2410:E2609)</x:f>
        <x:v>453.13469999999967</x:v>
      </x:c>
      <x:c r="H2609" s="37" t="n">
        <x:f t="shared" si="112">IFERROR(E2609/G2609-1,"")</x:f>
        <x:v>-0.012280454354962611</x:v>
      </x:c>
      <x:c r="I2609" s="38" t="b">
        <x:f t="shared" si="113">E2609&lt;G2609</x:f>
        <x:v>1</x:v>
      </x:c>
    </x:row>
    <x:row r="2610">
      <x:c r="A2610" s="31">
        <x:v>40808</x:v>
      </x:c>
      <x:c r="B2610" s="32">
        <x:v>443.3</x:v>
      </x:c>
      <x:c r="C2610" s="32">
        <x:v>449.3</x:v>
      </x:c>
      <x:c r="D2610" s="32">
        <x:v>441.67</x:v>
      </x:c>
      <x:c r="E2610" s="32">
        <x:v>449.26</x:v>
      </x:c>
      <x:c r="F2610" s="33">
        <x:v>36814710</x:v>
      </x:c>
      <x:c r="G2610" s="32" t="n">
        <x:f t="shared" si="111">AVERAGE(E2411:E2610)</x:f>
        <x:v>453.1229999999996</x:v>
      </x:c>
      <x:c r="H2610" s="37" t="n">
        <x:f t="shared" si="112">IFERROR(E2610/G2610-1,"")</x:f>
        <x:v>-0.008525279008127162</x:v>
      </x:c>
      <x:c r="I2610" s="38" t="b">
        <x:f t="shared" si="113">E2610&lt;G2610</x:f>
        <x:v>1</x:v>
      </x:c>
    </x:row>
    <x:row r="2611">
      <x:c r="A2611" s="31">
        <x:v>40809</x:v>
      </x:c>
      <x:c r="B2611" s="32">
        <x:v>439.61</x:v>
      </x:c>
      <x:c r="C2611" s="32">
        <x:v>442.14</x:v>
      </x:c>
      <x:c r="D2611" s="32">
        <x:v>438.58</x:v>
      </x:c>
      <x:c r="E2611" s="32">
        <x:v>440.3</x:v>
      </x:c>
      <x:c r="F2611" s="33">
        <x:v>32491970</x:v>
      </x:c>
      <x:c r="G2611" s="32" t="n">
        <x:f t="shared" si="111">AVERAGE(E2412:E2611)</x:f>
        <x:v>453.07499999999965</x:v>
      </x:c>
      <x:c r="H2611" s="37" t="n">
        <x:f t="shared" si="112">IFERROR(E2611/G2611-1,"")</x:f>
        <x:v>-0.028196214754730775</x:v>
      </x:c>
      <x:c r="I2611" s="38" t="b">
        <x:f t="shared" si="113">E2611&lt;G2611</x:f>
        <x:v>1</x:v>
      </x:c>
    </x:row>
    <x:row r="2612">
      <x:c r="A2612" s="31">
        <x:v>40812</x:v>
      </x:c>
      <x:c r="B2612" s="32">
        <x:v>436.63</x:v>
      </x:c>
      <x:c r="C2612" s="32">
        <x:v>444.4</x:v>
      </x:c>
      <x:c r="D2612" s="32">
        <x:v>431.78</x:v>
      </x:c>
      <x:c r="E2612" s="32">
        <x:v>434.43</x:v>
      </x:c>
      <x:c r="F2612" s="33">
        <x:v>27404550</x:v>
      </x:c>
      <x:c r="G2612" s="32" t="n">
        <x:f t="shared" si="111">AVERAGE(E2413:E2612)</x:f>
        <x:v>452.96014999999966</x:v>
      </x:c>
      <x:c r="H2612" s="37" t="n">
        <x:f t="shared" si="112">IFERROR(E2612/G2612-1,"")</x:f>
        <x:v>-0.040909007116850526</x:v>
      </x:c>
      <x:c r="I2612" s="38" t="b">
        <x:f t="shared" si="113">E2612&lt;G2612</x:f>
        <x:v>1</x:v>
      </x:c>
    </x:row>
    <x:row r="2613">
      <x:c r="A2613" s="31">
        <x:v>40813</x:v>
      </x:c>
      <x:c r="B2613" s="32">
        <x:v>434.02</x:v>
      </x:c>
      <x:c r="C2613" s="32">
        <x:v>440.95</x:v>
      </x:c>
      <x:c r="D2613" s="32">
        <x:v>431.86</x:v>
      </x:c>
      <x:c r="E2613" s="32">
        <x:v>437.47</x:v>
      </x:c>
      <x:c r="F2613" s="33">
        <x:v>30068540</x:v>
      </x:c>
      <x:c r="G2613" s="32" t="n">
        <x:f t="shared" si="111">AVERAGE(E2414:E2613)</x:f>
        <x:v>452.82549999999975</x:v>
      </x:c>
      <x:c r="H2613" s="37" t="n">
        <x:f t="shared" si="112">IFERROR(E2613/G2613-1,"")</x:f>
        <x:v>-0.03391041361407365</x:v>
      </x:c>
      <x:c r="I2613" s="38" t="b">
        <x:f t="shared" si="113">E2613&lt;G2613</x:f>
        <x:v>1</x:v>
      </x:c>
    </x:row>
    <x:row r="2614">
      <x:c r="A2614" s="31">
        <x:v>40814</x:v>
      </x:c>
      <x:c r="B2614" s="32">
        <x:v>441.53</x:v>
      </x:c>
      <x:c r="C2614" s="32">
        <x:v>442.53</x:v>
      </x:c>
      <x:c r="D2614" s="32">
        <x:v>433.97</x:v>
      </x:c>
      <x:c r="E2614" s="32">
        <x:v>433.97</x:v>
      </x:c>
      <x:c r="F2614" s="33">
        <x:v>32160640</x:v>
      </x:c>
      <x:c r="G2614" s="32" t="n">
        <x:f t="shared" si="111">AVERAGE(E2415:E2614)</x:f>
        <x:v>452.66734999999966</x:v>
      </x:c>
      <x:c r="H2614" s="37" t="n">
        <x:f t="shared" si="112">IFERROR(E2614/G2614-1,"")</x:f>
        <x:v>-0.0413048345545568</x:v>
      </x:c>
      <x:c r="I2614" s="38" t="b">
        <x:f t="shared" si="113">E2614&lt;G2614</x:f>
        <x:v>1</x:v>
      </x:c>
    </x:row>
    <x:row r="2615">
      <x:c r="A2615" s="31">
        <x:v>40815</x:v>
      </x:c>
      <x:c r="B2615" s="32">
        <x:v>431.8</x:v>
      </x:c>
      <x:c r="C2615" s="32">
        <x:v>433.38</x:v>
      </x:c>
      <x:c r="D2615" s="32">
        <x:v>425.02</x:v>
      </x:c>
      <x:c r="E2615" s="32">
        <x:v>428.08</x:v>
      </x:c>
      <x:c r="F2615" s="33">
        <x:v>56543580</x:v>
      </x:c>
      <x:c r="G2615" s="32" t="n">
        <x:f t="shared" si="111">AVERAGE(E2416:E2615)</x:f>
        <x:v>452.5037499999997</x:v>
      </x:c>
      <x:c r="H2615" s="37" t="n">
        <x:f t="shared" si="112">IFERROR(E2615/G2615-1,"")</x:f>
        <x:v>-0.05397469081747874</x:v>
      </x:c>
      <x:c r="I2615" s="38" t="b">
        <x:f t="shared" si="113">E2615&lt;G2615</x:f>
        <x:v>1</x:v>
      </x:c>
    </x:row>
    <x:row r="2616">
      <x:c r="A2616" s="31">
        <x:v>40816</x:v>
      </x:c>
      <x:c r="B2616" s="32">
        <x:v>426.13</x:v>
      </x:c>
      <x:c r="C2616" s="32">
        <x:v>433.09</x:v>
      </x:c>
      <x:c r="D2616" s="32">
        <x:v>424.64</x:v>
      </x:c>
      <x:c r="E2616" s="32">
        <x:v>427.6</x:v>
      </x:c>
      <x:c r="F2616" s="33">
        <x:v>29289990</x:v>
      </x:c>
      <x:c r="G2616" s="32" t="n">
        <x:f t="shared" si="111">AVERAGE(E2417:E2616)</x:f>
        <x:v>452.37774999999965</x:v>
      </x:c>
      <x:c r="H2616" s="37" t="n">
        <x:f t="shared" si="112">IFERROR(E2616/G2616-1,"")</x:f>
        <x:v>-0.054772256150970366</x:v>
      </x:c>
      <x:c r="I2616" s="38" t="b">
        <x:f t="shared" si="113">E2616&lt;G2616</x:f>
        <x:v>1</x:v>
      </x:c>
    </x:row>
    <x:row r="2617">
      <x:c r="A2617" s="31">
        <x:v>40819</x:v>
      </x:c>
      <x:c r="B2617" s="32">
        <x:v>426.43</x:v>
      </x:c>
      <x:c r="C2617" s="32">
        <x:v>428.28</x:v>
      </x:c>
      <x:c r="D2617" s="32">
        <x:v>422.12</x:v>
      </x:c>
      <x:c r="E2617" s="32">
        <x:v>422.12</x:v>
      </x:c>
      <x:c r="F2617" s="33">
        <x:v>26605920</x:v>
      </x:c>
      <x:c r="G2617" s="32" t="n">
        <x:f t="shared" si="111">AVERAGE(E2418:E2617)</x:f>
        <x:v>452.1858499999996</x:v>
      </x:c>
      <x:c r="H2617" s="37" t="n">
        <x:f t="shared" si="112">IFERROR(E2617/G2617-1,"")</x:f>
        <x:v>-0.0664900283810288</x:v>
      </x:c>
      <x:c r="I2617" s="38" t="b">
        <x:f t="shared" si="113">E2617&lt;G2617</x:f>
        <x:v>1</x:v>
      </x:c>
    </x:row>
    <x:row r="2618">
      <x:c r="A2618" s="31">
        <x:v>40820</x:v>
      </x:c>
      <x:c r="B2618" s="32">
        <x:v>417.46</x:v>
      </x:c>
      <x:c r="C2618" s="32">
        <x:v>420.46</x:v>
      </x:c>
      <x:c r="D2618" s="32">
        <x:v>415.35</x:v>
      </x:c>
      <x:c r="E2618" s="32">
        <x:v>418.18</x:v>
      </x:c>
      <x:c r="F2618" s="33">
        <x:v>27141370</x:v>
      </x:c>
      <x:c r="G2618" s="32" t="n">
        <x:f t="shared" si="111">AVERAGE(E2419:E2618)</x:f>
        <x:v>451.91124999999954</x:v>
      </x:c>
      <x:c r="H2618" s="37" t="n">
        <x:f t="shared" si="112">IFERROR(E2618/G2618-1,"")</x:f>
        <x:v>-0.07464131508122351</x:v>
      </x:c>
      <x:c r="I2618" s="38" t="b">
        <x:f t="shared" si="113">E2618&lt;G2618</x:f>
        <x:v>1</x:v>
      </x:c>
    </x:row>
    <x:row r="2619">
      <x:c r="A2619" s="31">
        <x:v>40821</x:v>
      </x:c>
      <x:c r="B2619" s="32">
        <x:v>420.74</x:v>
      </x:c>
      <x:c r="C2619" s="32">
        <x:v>422.71</x:v>
      </x:c>
      <x:c r="D2619" s="32">
        <x:v>415.85</x:v>
      </x:c>
      <x:c r="E2619" s="32">
        <x:v>417.21</x:v>
      </x:c>
      <x:c r="F2619" s="33">
        <x:v>34989030</x:v>
      </x:c>
      <x:c r="G2619" s="32" t="n">
        <x:f t="shared" si="111">AVERAGE(E2420:E2619)</x:f>
        <x:v>451.54629999999963</x:v>
      </x:c>
      <x:c r="H2619" s="37" t="n">
        <x:f t="shared" si="112">IFERROR(E2619/G2619-1,"")</x:f>
        <x:v>-0.07604159307694403</x:v>
      </x:c>
      <x:c r="I2619" s="38" t="b">
        <x:f t="shared" si="113">E2619&lt;G2619</x:f>
        <x:v>1</x:v>
      </x:c>
    </x:row>
    <x:row r="2620">
      <x:c r="A2620" s="31">
        <x:v>40822</x:v>
      </x:c>
      <x:c r="B2620" s="32">
        <x:v>417.94</x:v>
      </x:c>
      <x:c r="C2620" s="32">
        <x:v>423.08</x:v>
      </x:c>
      <x:c r="D2620" s="32">
        <x:v>417.94</x:v>
      </x:c>
      <x:c r="E2620" s="32">
        <x:v>421.3</x:v>
      </x:c>
      <x:c r="F2620" s="33">
        <x:v>30463810</x:v>
      </x:c>
      <x:c r="G2620" s="32" t="n">
        <x:f t="shared" si="111">AVERAGE(E2421:E2620)</x:f>
        <x:v>451.2042999999997</x:v>
      </x:c>
      <x:c r="H2620" s="37" t="n">
        <x:f t="shared" si="112">IFERROR(E2620/G2620-1,"")</x:f>
        <x:v>-0.06627662901262177</x:v>
      </x:c>
      <x:c r="I2620" s="38" t="b">
        <x:f t="shared" si="113">E2620&lt;G2620</x:f>
        <x:v>1</x:v>
      </x:c>
    </x:row>
    <x:row r="2621">
      <x:c r="A2621" s="31">
        <x:v>40823</x:v>
      </x:c>
      <x:c r="B2621" s="32">
        <x:v>423.46</x:v>
      </x:c>
      <x:c r="C2621" s="32">
        <x:v>423.74</x:v>
      </x:c>
      <x:c r="D2621" s="32">
        <x:v>417.96</x:v>
      </x:c>
      <x:c r="E2621" s="32">
        <x:v>417.96</x:v>
      </x:c>
      <x:c r="F2621" s="33">
        <x:v>27044370</x:v>
      </x:c>
      <x:c r="G2621" s="32" t="n">
        <x:f t="shared" si="111">AVERAGE(E2422:E2621)</x:f>
        <x:v>450.82659999999964</x:v>
      </x:c>
      <x:c r="H2621" s="37" t="n">
        <x:f t="shared" si="112">IFERROR(E2621/G2621-1,"")</x:f>
        <x:v>-0.07290297422556635</x:v>
      </x:c>
      <x:c r="I2621" s="38" t="b">
        <x:f t="shared" si="113">E2621&lt;G2621</x:f>
        <x:v>1</x:v>
      </x:c>
    </x:row>
    <x:row r="2622">
      <x:c r="A2622" s="31">
        <x:v>40826</x:v>
      </x:c>
      <x:c r="B2622" s="32">
        <x:v>416.77</x:v>
      </x:c>
      <x:c r="C2622" s="32">
        <x:v>421.52</x:v>
      </x:c>
      <x:c r="D2622" s="32">
        <x:v>415.73</x:v>
      </x:c>
      <x:c r="E2622" s="32">
        <x:v>419.66</x:v>
      </x:c>
      <x:c r="F2622" s="33">
        <x:v>20138130</x:v>
      </x:c>
      <x:c r="G2622" s="32" t="n">
        <x:f t="shared" si="111">AVERAGE(E2423:E2622)</x:f>
        <x:v>450.5238999999997</x:v>
      </x:c>
      <x:c r="H2622" s="37" t="n">
        <x:f t="shared" si="112">IFERROR(E2622/G2622-1,"")</x:f>
        <x:v>-0.0685066874365593</x:v>
      </x:c>
      <x:c r="I2622" s="38" t="b">
        <x:f t="shared" si="113">E2622&lt;G2622</x:f>
        <x:v>1</x:v>
      </x:c>
    </x:row>
    <x:row r="2623">
      <x:c r="A2623" s="31">
        <x:v>40827</x:v>
      </x:c>
      <x:c r="B2623" s="32">
        <x:v>421</x:v>
      </x:c>
      <x:c r="C2623" s="32">
        <x:v>421.29</x:v>
      </x:c>
      <x:c r="D2623" s="32">
        <x:v>417.35</x:v>
      </x:c>
      <x:c r="E2623" s="32">
        <x:v>417.73</x:v>
      </x:c>
      <x:c r="F2623" s="33">
        <x:v>23093700</x:v>
      </x:c>
      <x:c r="G2623" s="32" t="n">
        <x:f t="shared" si="111">AVERAGE(E2424:E2623)</x:f>
        <x:v>450.1860499999997</x:v>
      </x:c>
      <x:c r="H2623" s="37" t="n">
        <x:f t="shared" si="112">IFERROR(E2623/G2623-1,"")</x:f>
        <x:v>-0.07209474838236252</x:v>
      </x:c>
      <x:c r="I2623" s="38" t="b">
        <x:f t="shared" si="113">E2623&lt;G2623</x:f>
        <x:v>1</x:v>
      </x:c>
    </x:row>
    <x:row r="2624">
      <x:c r="A2624" s="31">
        <x:v>40828</x:v>
      </x:c>
      <x:c r="B2624" s="32">
        <x:v>414.41</x:v>
      </x:c>
      <x:c r="C2624" s="32">
        <x:v>415.37</x:v>
      </x:c>
      <x:c r="D2624" s="32">
        <x:v>409.3</x:v>
      </x:c>
      <x:c r="E2624" s="32">
        <x:v>410.91</x:v>
      </x:c>
      <x:c r="F2624" s="33">
        <x:v>32519160</x:v>
      </x:c>
      <x:c r="G2624" s="32" t="n">
        <x:f t="shared" si="111">AVERAGE(E2425:E2624)</x:f>
        <x:v>449.8490999999997</x:v>
      </x:c>
      <x:c r="H2624" s="37" t="n">
        <x:f t="shared" si="112">IFERROR(E2624/G2624-1,"")</x:f>
        <x:v>-0.08656035990735489</x:v>
      </x:c>
      <x:c r="I2624" s="38" t="b">
        <x:f t="shared" si="113">E2624&lt;G2624</x:f>
        <x:v>1</x:v>
      </x:c>
    </x:row>
    <x:row r="2625">
      <x:c r="A2625" s="31">
        <x:v>40829</x:v>
      </x:c>
      <x:c r="B2625" s="32">
        <x:v>411.17</x:v>
      </x:c>
      <x:c r="C2625" s="32">
        <x:v>413.71</x:v>
      </x:c>
      <x:c r="D2625" s="32">
        <x:v>407.61</x:v>
      </x:c>
      <x:c r="E2625" s="32">
        <x:v>412.59</x:v>
      </x:c>
      <x:c r="F2625" s="33">
        <x:v>24413930</x:v>
      </x:c>
      <x:c r="G2625" s="32" t="n">
        <x:f t="shared" si="111">AVERAGE(E2426:E2625)</x:f>
        <x:v>449.50304999999963</x:v>
      </x:c>
      <x:c r="H2625" s="37" t="n">
        <x:f t="shared" si="112">IFERROR(E2625/G2625-1,"")</x:f>
        <x:v>-0.08211968750823762</x:v>
      </x:c>
      <x:c r="I2625" s="38" t="b">
        <x:f t="shared" si="113">E2625&lt;G2625</x:f>
        <x:v>1</x:v>
      </x:c>
    </x:row>
    <x:row r="2626">
      <x:c r="A2626" s="31">
        <x:v>40830</x:v>
      </x:c>
      <x:c r="B2626" s="32">
        <x:v>413.12</x:v>
      </x:c>
      <x:c r="C2626" s="32">
        <x:v>415.62</x:v>
      </x:c>
      <x:c r="D2626" s="32">
        <x:v>412.59</x:v>
      </x:c>
      <x:c r="E2626" s="32">
        <x:v>414.49</x:v>
      </x:c>
      <x:c r="F2626" s="33">
        <x:v>21794230</x:v>
      </x:c>
      <x:c r="G2626" s="32" t="n">
        <x:f t="shared" si="111">AVERAGE(E2427:E2626)</x:f>
        <x:v>449.16799999999967</x:v>
      </x:c>
      <x:c r="H2626" s="37" t="n">
        <x:f t="shared" si="112">IFERROR(E2626/G2626-1,"")</x:f>
        <x:v>-0.07720496562533319</x:v>
      </x:c>
      <x:c r="I2626" s="38" t="b">
        <x:f t="shared" si="113">E2626&lt;G2626</x:f>
        <x:v>1</x:v>
      </x:c>
    </x:row>
    <x:row r="2627">
      <x:c r="A2627" s="31">
        <x:v>40833</x:v>
      </x:c>
      <x:c r="B2627" s="32">
        <x:v>415.52</x:v>
      </x:c>
      <x:c r="C2627" s="32">
        <x:v>415.52</x:v>
      </x:c>
      <x:c r="D2627" s="32">
        <x:v>410.33</x:v>
      </x:c>
      <x:c r="E2627" s="32">
        <x:v>410.84</x:v>
      </x:c>
      <x:c r="F2627" s="33">
        <x:v>20921590</x:v>
      </x:c>
      <x:c r="G2627" s="32" t="n">
        <x:f t="shared" si="111">AVERAGE(E2428:E2627)</x:f>
        <x:v>448.84519999999975</x:v>
      </x:c>
      <x:c r="H2627" s="37" t="n">
        <x:f t="shared" si="112">IFERROR(E2627/G2627-1,"")</x:f>
        <x:v>-0.0846732904796571</x:v>
      </x:c>
      <x:c r="I2627" s="38" t="b">
        <x:f t="shared" si="113">E2627&lt;G2627</x:f>
        <x:v>1</x:v>
      </x:c>
    </x:row>
    <x:row r="2628">
      <x:c r="A2628" s="31">
        <x:v>40834</x:v>
      </x:c>
      <x:c r="B2628" s="32">
        <x:v>407.44</x:v>
      </x:c>
      <x:c r="C2628" s="32">
        <x:v>408.11</x:v>
      </x:c>
      <x:c r="D2628" s="32">
        <x:v>404.32</x:v>
      </x:c>
      <x:c r="E2628" s="32">
        <x:v>404.32</x:v>
      </x:c>
      <x:c r="F2628" s="33">
        <x:v>21473490</x:v>
      </x:c>
      <x:c r="G2628" s="32" t="n">
        <x:f t="shared" si="111">AVERAGE(E2429:E2628)</x:f>
        <x:v>448.50279999999975</x:v>
      </x:c>
      <x:c r="H2628" s="37" t="n">
        <x:f t="shared" si="112">IFERROR(E2628/G2628-1,"")</x:f>
        <x:v>-0.09851175956983949</x:v>
      </x:c>
      <x:c r="I2628" s="38" t="b">
        <x:f t="shared" si="113">E2628&lt;G2628</x:f>
        <x:v>1</x:v>
      </x:c>
    </x:row>
    <x:row r="2629">
      <x:c r="A2629" s="31">
        <x:v>40835</x:v>
      </x:c>
      <x:c r="B2629" s="32">
        <x:v>404.32</x:v>
      </x:c>
      <x:c r="C2629" s="32">
        <x:v>407.02</x:v>
      </x:c>
      <x:c r="D2629" s="32">
        <x:v>399.08</x:v>
      </x:c>
      <x:c r="E2629" s="32">
        <x:v>401.15</x:v>
      </x:c>
      <x:c r="F2629" s="33">
        <x:v>19786910</x:v>
      </x:c>
      <x:c r="G2629" s="32" t="n">
        <x:f t="shared" si="111">AVERAGE(E2430:E2629)</x:f>
        <x:v>448.1430499999998</x:v>
      </x:c>
      <x:c r="H2629" s="37" t="n">
        <x:f t="shared" si="112">IFERROR(E2629/G2629-1,"")</x:f>
        <x:v>-0.10486171770375519</x:v>
      </x:c>
      <x:c r="I2629" s="38" t="b">
        <x:f t="shared" si="113">E2629&lt;G2629</x:f>
        <x:v>1</x:v>
      </x:c>
    </x:row>
    <x:row r="2630">
      <x:c r="A2630" s="31">
        <x:v>40836</x:v>
      </x:c>
      <x:c r="B2630" s="32">
        <x:v>402.86</x:v>
      </x:c>
      <x:c r="C2630" s="32">
        <x:v>404.85</x:v>
      </x:c>
      <x:c r="D2630" s="32">
        <x:v>401.62</x:v>
      </x:c>
      <x:c r="E2630" s="32">
        <x:v>403.73</x:v>
      </x:c>
      <x:c r="F2630" s="33">
        <x:v>13655790</x:v>
      </x:c>
      <x:c r="G2630" s="32" t="n">
        <x:f t="shared" si="111">AVERAGE(E2431:E2630)</x:f>
        <x:v>447.76519999999977</x:v>
      </x:c>
      <x:c r="H2630" s="37" t="n">
        <x:f t="shared" si="112">IFERROR(E2630/G2630-1,"")</x:f>
        <x:v>-0.09834440014543289</x:v>
      </x:c>
      <x:c r="I2630" s="38" t="b">
        <x:f t="shared" si="113">E2630&lt;G2630</x:f>
        <x:v>1</x:v>
      </x:c>
    </x:row>
    <x:row r="2631">
      <x:c r="A2631" s="31">
        <x:v>40837</x:v>
      </x:c>
      <x:c r="B2631" s="32">
        <x:v>405.44</x:v>
      </x:c>
      <x:c r="C2631" s="32">
        <x:v>411.79</x:v>
      </x:c>
      <x:c r="D2631" s="32">
        <x:v>405.44</x:v>
      </x:c>
      <x:c r="E2631" s="32">
        <x:v>411.03</x:v>
      </x:c>
      <x:c r="F2631" s="33">
        <x:v>22498990</x:v>
      </x:c>
      <x:c r="G2631" s="32" t="n">
        <x:f t="shared" si="111">AVERAGE(E2432:E2631)</x:f>
        <x:v>447.42634999999973</x:v>
      </x:c>
      <x:c r="H2631" s="37" t="n">
        <x:f t="shared" si="112">IFERROR(E2631/G2631-1,"")</x:f>
        <x:v>-0.08134601370705985</x:v>
      </x:c>
      <x:c r="I2631" s="38" t="b">
        <x:f t="shared" si="113">E2631&lt;G2631</x:f>
        <x:v>1</x:v>
      </x:c>
    </x:row>
    <x:row r="2632">
      <x:c r="A2632" s="31">
        <x:v>40840</x:v>
      </x:c>
      <x:c r="B2632" s="32">
        <x:v>415.9</x:v>
      </x:c>
      <x:c r="C2632" s="32">
        <x:v>418.34</x:v>
      </x:c>
      <x:c r="D2632" s="32">
        <x:v>414.46</x:v>
      </x:c>
      <x:c r="E2632" s="32">
        <x:v>414.46</x:v>
      </x:c>
      <x:c r="F2632" s="33">
        <x:v>19773030</x:v>
      </x:c>
      <x:c r="G2632" s="32" t="n">
        <x:f t="shared" si="111">AVERAGE(E2433:E2632)</x:f>
        <x:v>447.0916499999998</x:v>
      </x:c>
      <x:c r="H2632" s="37" t="n">
        <x:f t="shared" si="112">IFERROR(E2632/G2632-1,"")</x:f>
        <x:v>-0.07298648945915187</x:v>
      </x:c>
      <x:c r="I2632" s="38" t="b">
        <x:f t="shared" si="113">E2632&lt;G2632</x:f>
        <x:v>1</x:v>
      </x:c>
    </x:row>
    <x:row r="2633">
      <x:c r="A2633" s="31">
        <x:v>40841</x:v>
      </x:c>
      <x:c r="B2633" s="32">
        <x:v>416.06</x:v>
      </x:c>
      <x:c r="C2633" s="32">
        <x:v>417.07</x:v>
      </x:c>
      <x:c r="D2633" s="32">
        <x:v>409.38</x:v>
      </x:c>
      <x:c r="E2633" s="32">
        <x:v>409.38</x:v>
      </x:c>
      <x:c r="F2633" s="33">
        <x:v>17956640</x:v>
      </x:c>
      <x:c r="G2633" s="32" t="n">
        <x:f t="shared" si="111">AVERAGE(E2434:E2633)</x:f>
        <x:v>446.71504999999974</x:v>
      </x:c>
      <x:c r="H2633" s="37" t="n">
        <x:f t="shared" si="112">IFERROR(E2633/G2633-1,"")</x:f>
        <x:v>-0.0835768797133648</x:v>
      </x:c>
      <x:c r="I2633" s="38" t="b">
        <x:f t="shared" si="113">E2633&lt;G2633</x:f>
        <x:v>1</x:v>
      </x:c>
    </x:row>
    <x:row r="2634">
      <x:c r="A2634" s="31">
        <x:v>40842</x:v>
      </x:c>
      <x:c r="B2634" s="32">
        <x:v>410.42</x:v>
      </x:c>
      <x:c r="C2634" s="32">
        <x:v>413.66</x:v>
      </x:c>
      <x:c r="D2634" s="32">
        <x:v>410.35</x:v>
      </x:c>
      <x:c r="E2634" s="32">
        <x:v>412.1</x:v>
      </x:c>
      <x:c r="F2634" s="33">
        <x:v>18505100</x:v>
      </x:c>
      <x:c r="G2634" s="32" t="n">
        <x:f t="shared" si="111">AVERAGE(E2435:E2634)</x:f>
        <x:v>446.34554999999983</x:v>
      </x:c>
      <x:c r="H2634" s="37" t="n">
        <x:f t="shared" si="112">IFERROR(E2634/G2634-1,"")</x:f>
        <x:v>-0.07672430026467125</x:v>
      </x:c>
      <x:c r="I2634" s="38" t="b">
        <x:f t="shared" si="113">E2634&lt;G2634</x:f>
        <x:v>1</x:v>
      </x:c>
    </x:row>
    <x:row r="2635">
      <x:c r="A2635" s="31">
        <x:v>40843</x:v>
      </x:c>
      <x:c r="B2635" s="32">
        <x:v>414.63</x:v>
      </x:c>
      <x:c r="C2635" s="32">
        <x:v>415.59</x:v>
      </x:c>
      <x:c r="D2635" s="32">
        <x:v>412.79</x:v>
      </x:c>
      <x:c r="E2635" s="32">
        <x:v>414.75</x:v>
      </x:c>
      <x:c r="F2635" s="33">
        <x:v>18063250</x:v>
      </x:c>
      <x:c r="G2635" s="32" t="n">
        <x:f t="shared" si="111">AVERAGE(E2436:E2635)</x:f>
        <x:v>446.00979999999987</x:v>
      </x:c>
      <x:c r="H2635" s="37" t="n">
        <x:f t="shared" si="112">IFERROR(E2635/G2635-1,"")</x:f>
        <x:v>-0.07008769762458111</x:v>
      </x:c>
      <x:c r="I2635" s="38" t="b">
        <x:f t="shared" si="113">E2635&lt;G2635</x:f>
        <x:v>1</x:v>
      </x:c>
    </x:row>
    <x:row r="2636">
      <x:c r="A2636" s="31">
        <x:v>40844</x:v>
      </x:c>
      <x:c r="B2636" s="32">
        <x:v>418.83</x:v>
      </x:c>
      <x:c r="C2636" s="32">
        <x:v>422.45</x:v>
      </x:c>
      <x:c r="D2636" s="32">
        <x:v>415.52</x:v>
      </x:c>
      <x:c r="E2636" s="32">
        <x:v>422.07</x:v>
      </x:c>
      <x:c r="F2636" s="33">
        <x:v>36267220</x:v>
      </x:c>
      <x:c r="G2636" s="32" t="n">
        <x:f t="shared" si="111">AVERAGE(E2437:E2636)</x:f>
        <x:v>445.7086499999999</x:v>
      </x:c>
      <x:c r="H2636" s="37" t="n">
        <x:f t="shared" si="112">IFERROR(E2636/G2636-1,"")</x:f>
        <x:v>-0.05303610329303665</x:v>
      </x:c>
      <x:c r="I2636" s="38" t="b">
        <x:f t="shared" si="113">E2636&lt;G2636</x:f>
        <x:v>1</x:v>
      </x:c>
    </x:row>
    <x:row r="2637">
      <x:c r="A2637" s="31">
        <x:v>40847</x:v>
      </x:c>
      <x:c r="B2637" s="32">
        <x:v>418.83</x:v>
      </x:c>
      <x:c r="C2637" s="32">
        <x:v>428.86</x:v>
      </x:c>
      <x:c r="D2637" s="32">
        <x:v>420.81</x:v>
      </x:c>
      <x:c r="E2637" s="32">
        <x:v>420.81</x:v>
      </x:c>
      <x:c r="F2637" s="33">
        <x:v>35210550</x:v>
      </x:c>
      <x:c r="G2637" s="32" t="n">
        <x:f t="shared" ref="G2637:G2700" si="114">AVERAGE(E2438:E2637)</x:f>
        <x:v>445.4031999999999</x:v>
      </x:c>
      <x:c r="H2637" s="37" t="n">
        <x:f t="shared" ref="H2637:H2700" si="115">IFERROR(E2637/G2637-1,"")</x:f>
        <x:v>-0.05521558893155665</x:v>
      </x:c>
      <x:c r="I2637" s="38" t="b">
        <x:f t="shared" ref="I2637:I2700" si="116">E2637&lt;G2637</x:f>
        <x:v>1</x:v>
      </x:c>
    </x:row>
    <x:row r="2638">
      <x:c r="A2638" s="31">
        <x:v>40848</x:v>
      </x:c>
      <x:c r="B2638" s="32">
        <x:v>418.77</x:v>
      </x:c>
      <x:c r="C2638" s="32">
        <x:v>419.16</x:v>
      </x:c>
      <x:c r="D2638" s="32">
        <x:v>412.6</x:v>
      </x:c>
      <x:c r="E2638" s="32">
        <x:v>413.82</x:v>
      </x:c>
      <x:c r="F2638" s="33">
        <x:v>27176620</x:v>
      </x:c>
      <x:c r="G2638" s="32" t="n">
        <x:f t="shared" si="114">AVERAGE(E2439:E2638)</x:f>
        <x:v>445.0627999999999</x:v>
      </x:c>
      <x:c r="H2638" s="37" t="n">
        <x:f t="shared" si="115">IFERROR(E2638/G2638-1,"")</x:f>
        <x:v>-0.07019863264240445</x:v>
      </x:c>
      <x:c r="I2638" s="38" t="b">
        <x:f t="shared" si="116">E2638&lt;G2638</x:f>
        <x:v>1</x:v>
      </x:c>
    </x:row>
    <x:row r="2639">
      <x:c r="A2639" s="31">
        <x:v>40849</x:v>
      </x:c>
      <x:c r="B2639" s="32">
        <x:v>410.02</x:v>
      </x:c>
      <x:c r="C2639" s="32">
        <x:v>412.06</x:v>
      </x:c>
      <x:c r="D2639" s="32">
        <x:v>407.07</x:v>
      </x:c>
      <x:c r="E2639" s="32">
        <x:v>407.79</x:v>
      </x:c>
      <x:c r="F2639" s="33">
        <x:v>24418500</x:v>
      </x:c>
      <x:c r="G2639" s="32" t="n">
        <x:f t="shared" si="114">AVERAGE(E2440:E2639)</x:f>
        <x:v>444.71474999999987</x:v>
      </x:c>
      <x:c r="H2639" s="37" t="n">
        <x:f t="shared" si="115">IFERROR(E2639/G2639-1,"")</x:f>
        <x:v>-0.0830301895765766</x:v>
      </x:c>
      <x:c r="I2639" s="38" t="b">
        <x:f t="shared" si="116">E2639&lt;G2639</x:f>
        <x:v>1</x:v>
      </x:c>
    </x:row>
    <x:row r="2640">
      <x:c r="A2640" s="31">
        <x:v>40850</x:v>
      </x:c>
      <x:c r="B2640" s="32">
        <x:v>408.18</x:v>
      </x:c>
      <x:c r="C2640" s="32">
        <x:v>410.48</x:v>
      </x:c>
      <x:c r="D2640" s="32">
        <x:v>405.72</x:v>
      </x:c>
      <x:c r="E2640" s="32">
        <x:v>408.44</x:v>
      </x:c>
      <x:c r="F2640" s="33">
        <x:v>21944380</x:v>
      </x:c>
      <x:c r="G2640" s="32" t="n">
        <x:f t="shared" si="114">AVERAGE(E2441:E2640)</x:f>
        <x:v>444.36444999999986</x:v>
      </x:c>
      <x:c r="H2640" s="37" t="n">
        <x:f t="shared" si="115">IFERROR(E2640/G2640-1,"")</x:f>
        <x:v>-0.08084456351087466</x:v>
      </x:c>
      <x:c r="I2640" s="38" t="b">
        <x:f t="shared" si="116">E2640&lt;G2640</x:f>
        <x:v>1</x:v>
      </x:c>
    </x:row>
    <x:row r="2641">
      <x:c r="A2641" s="31">
        <x:v>40851</x:v>
      </x:c>
      <x:c r="B2641" s="32">
        <x:v>411.22</x:v>
      </x:c>
      <x:c r="C2641" s="32">
        <x:v>412.79</x:v>
      </x:c>
      <x:c r="D2641" s="32">
        <x:v>410.37</x:v>
      </x:c>
      <x:c r="E2641" s="32">
        <x:v>410.57</x:v>
      </x:c>
      <x:c r="F2641" s="33">
        <x:v>21569560</x:v>
      </x:c>
      <x:c r="G2641" s="32" t="n">
        <x:f t="shared" si="114">AVERAGE(E2442:E2641)</x:f>
        <x:v>443.99679999999995</x:v>
      </x:c>
      <x:c r="H2641" s="37" t="n">
        <x:f t="shared" si="115">IFERROR(E2641/G2641-1,"")</x:f>
        <x:v>-0.07528612818831115</x:v>
      </x:c>
      <x:c r="I2641" s="38" t="b">
        <x:f t="shared" si="116">E2641&lt;G2641</x:f>
        <x:v>1</x:v>
      </x:c>
    </x:row>
    <x:row r="2642">
      <x:c r="A2642" s="31">
        <x:v>40854</x:v>
      </x:c>
      <x:c r="B2642" s="32">
        <x:v>409.78</x:v>
      </x:c>
      <x:c r="C2642" s="32">
        <x:v>413.94</x:v>
      </x:c>
      <x:c r="D2642" s="32">
        <x:v>408.66</x:v>
      </x:c>
      <x:c r="E2642" s="32">
        <x:v>410.52</x:v>
      </x:c>
      <x:c r="F2642" s="33">
        <x:v>25581440</x:v>
      </x:c>
      <x:c r="G2642" s="32" t="n">
        <x:f t="shared" si="114">AVERAGE(E2443:E2642)</x:f>
        <x:v>443.60339999999997</x:v>
      </x:c>
      <x:c r="H2642" s="37" t="n">
        <x:f t="shared" si="115">IFERROR(E2642/G2642-1,"")</x:f>
        <x:v>-0.07457877915272959</x:v>
      </x:c>
      <x:c r="I2642" s="38" t="b">
        <x:f t="shared" si="116">E2642&lt;G2642</x:f>
        <x:v>1</x:v>
      </x:c>
    </x:row>
    <x:row r="2643">
      <x:c r="A2643" s="31">
        <x:v>40855</x:v>
      </x:c>
      <x:c r="B2643" s="32">
        <x:v>408.36</x:v>
      </x:c>
      <x:c r="C2643" s="32">
        <x:v>409.76</x:v>
      </x:c>
      <x:c r="D2643" s="32">
        <x:v>405.17</x:v>
      </x:c>
      <x:c r="E2643" s="32">
        <x:v>408.6</x:v>
      </x:c>
      <x:c r="F2643" s="33">
        <x:v>21847320</x:v>
      </x:c>
      <x:c r="G2643" s="32" t="n">
        <x:f t="shared" si="114">AVERAGE(E2444:E2643)</x:f>
        <x:v>443.17040000000003</x:v>
      </x:c>
      <x:c r="H2643" s="37" t="n">
        <x:f t="shared" si="115">IFERROR(E2643/G2643-1,"")</x:f>
        <x:v>-0.07800701490893802</x:v>
      </x:c>
      <x:c r="I2643" s="38" t="b">
        <x:f t="shared" si="116">E2643&lt;G2643</x:f>
        <x:v>1</x:v>
      </x:c>
    </x:row>
    <x:row r="2644">
      <x:c r="A2644" s="31">
        <x:v>40856</x:v>
      </x:c>
      <x:c r="B2644" s="32">
        <x:v>409.19</x:v>
      </x:c>
      <x:c r="C2644" s="32">
        <x:v>410.21</x:v>
      </x:c>
      <x:c r="D2644" s="32">
        <x:v>404.18</x:v>
      </x:c>
      <x:c r="E2644" s="32">
        <x:v>405.19</x:v>
      </x:c>
      <x:c r="F2644" s="33">
        <x:v>17097170</x:v>
      </x:c>
      <x:c r="G2644" s="32" t="n">
        <x:f t="shared" si="114">AVERAGE(E2445:E2644)</x:f>
        <x:v>442.70935000000003</x:v>
      </x:c>
      <x:c r="H2644" s="37" t="n">
        <x:f t="shared" si="115">IFERROR(E2644/G2644-1,"")</x:f>
        <x:v>-0.0847493959637402</x:v>
      </x:c>
      <x:c r="I2644" s="38" t="b">
        <x:f t="shared" si="116">E2644&lt;G2644</x:f>
        <x:v>1</x:v>
      </x:c>
    </x:row>
    <x:row r="2645">
      <x:c r="A2645" s="31">
        <x:v>40857</x:v>
      </x:c>
      <x:c r="B2645" s="32">
        <x:v>402.47</x:v>
      </x:c>
      <x:c r="C2645" s="32">
        <x:v>402.47</x:v>
      </x:c>
      <x:c r="D2645" s="32">
        <x:v>399.29</x:v>
      </x:c>
      <x:c r="E2645" s="32">
        <x:v>401.03</x:v>
      </x:c>
      <x:c r="F2645" s="33">
        <x:v>20710210</x:v>
      </x:c>
      <x:c r="G2645" s="32" t="n">
        <x:f t="shared" si="114">AVERAGE(E2446:E2645)</x:f>
        <x:v>442.18500000000006</x:v>
      </x:c>
      <x:c r="H2645" s="37" t="n">
        <x:f t="shared" si="115">IFERROR(E2645/G2645-1,"")</x:f>
        <x:v>-0.09307190429345202</x:v>
      </x:c>
      <x:c r="I2645" s="38" t="b">
        <x:f t="shared" si="116">E2645&lt;G2645</x:f>
        <x:v>1</x:v>
      </x:c>
    </x:row>
    <x:row r="2646">
      <x:c r="A2646" s="31">
        <x:v>40858</x:v>
      </x:c>
      <x:c r="B2646" s="32">
        <x:v>399.67</x:v>
      </x:c>
      <x:c r="C2646" s="32">
        <x:v>403.4</x:v>
      </x:c>
      <x:c r="D2646" s="32">
        <x:v>396.3</x:v>
      </x:c>
      <x:c r="E2646" s="32">
        <x:v>396.3</x:v>
      </x:c>
      <x:c r="F2646" s="33">
        <x:v>21875250</x:v>
      </x:c>
      <x:c r="G2646" s="32" t="n">
        <x:f t="shared" si="114">AVERAGE(E2447:E2646)</x:f>
        <x:v>441.6065000000001</x:v>
      </x:c>
      <x:c r="H2646" s="37" t="n">
        <x:f t="shared" si="115">IFERROR(E2646/G2646-1,"")</x:f>
        <x:v>-0.10259473082936976</x:v>
      </x:c>
      <x:c r="I2646" s="38" t="b">
        <x:f t="shared" si="116">E2646&lt;G2646</x:f>
        <x:v>1</x:v>
      </x:c>
    </x:row>
    <x:row r="2647">
      <x:c r="A2647" s="31">
        <x:v>40861</x:v>
      </x:c>
      <x:c r="B2647" s="32">
        <x:v>397.52</x:v>
      </x:c>
      <x:c r="C2647" s="32">
        <x:v>397.7</x:v>
      </x:c>
      <x:c r="D2647" s="32">
        <x:v>389.04</x:v>
      </x:c>
      <x:c r="E2647" s="32">
        <x:v>391.74</x:v>
      </x:c>
      <x:c r="F2647" s="33">
        <x:v>27130240</x:v>
      </x:c>
      <x:c r="G2647" s="32" t="n">
        <x:f t="shared" si="114">AVERAGE(E2448:E2647)</x:f>
        <x:v>440.9677000000002</x:v>
      </x:c>
      <x:c r="H2647" s="37" t="n">
        <x:f t="shared" si="115">IFERROR(E2647/G2647-1,"")</x:f>
        <x:v>-0.11163561412774714</x:v>
      </x:c>
      <x:c r="I2647" s="38" t="b">
        <x:f t="shared" si="116">E2647&lt;G2647</x:f>
        <x:v>1</x:v>
      </x:c>
    </x:row>
    <x:row r="2648">
      <x:c r="A2648" s="31">
        <x:v>40862</x:v>
      </x:c>
      <x:c r="B2648" s="32">
        <x:v>391.63</x:v>
      </x:c>
      <x:c r="C2648" s="32">
        <x:v>393.46</x:v>
      </x:c>
      <x:c r="D2648" s="32">
        <x:v>386.47</x:v>
      </x:c>
      <x:c r="E2648" s="32">
        <x:v>387.87</x:v>
      </x:c>
      <x:c r="F2648" s="33">
        <x:v>26963620</x:v>
      </x:c>
      <x:c r="G2648" s="32" t="n">
        <x:f t="shared" si="114">AVERAGE(E2449:E2648)</x:f>
        <x:v>440.3575500000003</x:v>
      </x:c>
      <x:c r="H2648" s="37" t="n">
        <x:f t="shared" si="115">IFERROR(E2648/G2648-1,"")</x:f>
        <x:v>-0.11919302848333191</x:v>
      </x:c>
      <x:c r="I2648" s="38" t="b">
        <x:f t="shared" si="116">E2648&lt;G2648</x:f>
        <x:v>1</x:v>
      </x:c>
    </x:row>
    <x:row r="2649">
      <x:c r="A2649" s="31">
        <x:v>40863</x:v>
      </x:c>
      <x:c r="B2649" s="32">
        <x:v>389.25</x:v>
      </x:c>
      <x:c r="C2649" s="32">
        <x:v>392.98</x:v>
      </x:c>
      <x:c r="D2649" s="32">
        <x:v>388.51</x:v>
      </x:c>
      <x:c r="E2649" s="32">
        <x:v>390.89</x:v>
      </x:c>
      <x:c r="F2649" s="33">
        <x:v>25943180</x:v>
      </x:c>
      <x:c r="G2649" s="32" t="n">
        <x:f t="shared" si="114">AVERAGE(E2450:E2649)</x:f>
        <x:v>439.80200000000036</x:v>
      </x:c>
      <x:c r="H2649" s="37" t="n">
        <x:f t="shared" si="115">IFERROR(E2649/G2649-1,"")</x:f>
        <x:v>-0.11121368252077146</x:v>
      </x:c>
      <x:c r="I2649" s="38" t="b">
        <x:f t="shared" si="116">E2649&lt;G2649</x:f>
        <x:v>1</x:v>
      </x:c>
    </x:row>
    <x:row r="2650">
      <x:c r="A2650" s="31">
        <x:v>40864</x:v>
      </x:c>
      <x:c r="B2650" s="32">
        <x:v>390.91</x:v>
      </x:c>
      <x:c r="C2650" s="32">
        <x:v>392.23</x:v>
      </x:c>
      <x:c r="D2650" s="32">
        <x:v>385.86</x:v>
      </x:c>
      <x:c r="E2650" s="32">
        <x:v>385.86</x:v>
      </x:c>
      <x:c r="F2650" s="33">
        <x:v>21918840</x:v>
      </x:c>
      <x:c r="G2650" s="32" t="n">
        <x:f t="shared" si="114">AVERAGE(E2451:E2650)</x:f>
        <x:v>439.2248000000003</x:v>
      </x:c>
      <x:c r="H2650" s="37" t="n">
        <x:f t="shared" si="115">IFERROR(E2650/G2650-1,"")</x:f>
        <x:v>-0.12149769320858073</x:v>
      </x:c>
      <x:c r="I2650" s="38" t="b">
        <x:f t="shared" si="116">E2650&lt;G2650</x:f>
        <x:v>1</x:v>
      </x:c>
    </x:row>
    <x:row r="2651">
      <x:c r="A2651" s="31">
        <x:v>40865</x:v>
      </x:c>
      <x:c r="B2651" s="32">
        <x:v>383.14</x:v>
      </x:c>
      <x:c r="C2651" s="32">
        <x:v>383.45</x:v>
      </x:c>
      <x:c r="D2651" s="32">
        <x:v>377.46</x:v>
      </x:c>
      <x:c r="E2651" s="32">
        <x:v>379.62</x:v>
      </x:c>
      <x:c r="F2651" s="33">
        <x:v>27391450</x:v>
      </x:c>
      <x:c r="G2651" s="32" t="n">
        <x:f t="shared" si="114">AVERAGE(E2452:E2651)</x:f>
        <x:v>438.60940000000033</x:v>
      </x:c>
      <x:c r="H2651" s="37" t="n">
        <x:f t="shared" si="115">IFERROR(E2651/G2651-1,"")</x:f>
        <x:v>-0.13449187363517578</x:v>
      </x:c>
      <x:c r="I2651" s="38" t="b">
        <x:f t="shared" si="116">E2651&lt;G2651</x:f>
        <x:v>1</x:v>
      </x:c>
    </x:row>
    <x:row r="2652">
      <x:c r="A2652" s="31">
        <x:v>40868</x:v>
      </x:c>
      <x:c r="B2652" s="32">
        <x:v>380.4</x:v>
      </x:c>
      <x:c r="C2652" s="32">
        <x:v>382.71</x:v>
      </x:c>
      <x:c r="D2652" s="32">
        <x:v>377.92</x:v>
      </x:c>
      <x:c r="E2652" s="32">
        <x:v>379.14</x:v>
      </x:c>
      <x:c r="F2652" s="33">
        <x:v>18436530</x:v>
      </x:c>
      <x:c r="G2652" s="32" t="n">
        <x:f t="shared" si="114">AVERAGE(E2453:E2652)</x:f>
        <x:v>437.95210000000026</x:v>
      </x:c>
      <x:c r="H2652" s="37" t="n">
        <x:f t="shared" si="115">IFERROR(E2652/G2652-1,"")</x:f>
        <x:v>-0.1342888868440184</x:v>
      </x:c>
      <x:c r="I2652" s="38" t="b">
        <x:f t="shared" si="116">E2652&lt;G2652</x:f>
        <x:v>1</x:v>
      </x:c>
    </x:row>
    <x:row r="2653">
      <x:c r="A2653" s="31">
        <x:v>40869</x:v>
      </x:c>
      <x:c r="B2653" s="32">
        <x:v>377.46</x:v>
      </x:c>
      <x:c r="C2653" s="32">
        <x:v>382.62</x:v>
      </x:c>
      <x:c r="D2653" s="32">
        <x:v>375.93</x:v>
      </x:c>
      <x:c r="E2653" s="32">
        <x:v>381.76</x:v>
      </x:c>
      <x:c r="F2653" s="33">
        <x:v>22470270</x:v>
      </x:c>
      <x:c r="G2653" s="32" t="n">
        <x:f t="shared" si="114">AVERAGE(E2454:E2653)</x:f>
        <x:v>437.25740000000025</x:v>
      </x:c>
      <x:c r="H2653" s="37" t="n">
        <x:f t="shared" si="115">IFERROR(E2653/G2653-1,"")</x:f>
        <x:v>-0.12692157982918117</x:v>
      </x:c>
      <x:c r="I2653" s="38" t="b">
        <x:f t="shared" si="116">E2653&lt;G2653</x:f>
        <x:v>1</x:v>
      </x:c>
    </x:row>
    <x:row r="2654">
      <x:c r="A2654" s="31">
        <x:v>40870</x:v>
      </x:c>
      <x:c r="B2654" s="32">
        <x:v>385.15</x:v>
      </x:c>
      <x:c r="C2654" s="32">
        <x:v>388.57</x:v>
      </x:c>
      <x:c r="D2654" s="32">
        <x:v>384.84</x:v>
      </x:c>
      <x:c r="E2654" s="32">
        <x:v>388.57</x:v>
      </x:c>
      <x:c r="F2654" s="33">
        <x:v>21175900</x:v>
      </x:c>
      <x:c r="G2654" s="32" t="n">
        <x:f t="shared" si="114">AVERAGE(E2455:E2654)</x:f>
        <x:v>436.5872500000003</x:v>
      </x:c>
      <x:c r="H2654" s="37" t="n">
        <x:f t="shared" si="115">IFERROR(E2654/G2654-1,"")</x:f>
        <x:v>-0.1099831706033566</x:v>
      </x:c>
      <x:c r="I2654" s="38" t="b">
        <x:f t="shared" si="116">E2654&lt;G2654</x:f>
        <x:v>1</x:v>
      </x:c>
    </x:row>
    <x:row r="2655">
      <x:c r="A2655" s="31">
        <x:v>40871</x:v>
      </x:c>
      <x:c r="B2655" s="32">
        <x:v>387.26</x:v>
      </x:c>
      <x:c r="C2655" s="32">
        <x:v>389.29</x:v>
      </x:c>
      <x:c r="D2655" s="32">
        <x:v>381.78</x:v>
      </x:c>
      <x:c r="E2655" s="32">
        <x:v>381.78</x:v>
      </x:c>
      <x:c r="F2655" s="33">
        <x:v>19812290</x:v>
      </x:c>
      <x:c r="G2655" s="32" t="n">
        <x:f t="shared" si="114">AVERAGE(E2456:E2655)</x:f>
        <x:v>435.89515000000034</x:v>
      </x:c>
      <x:c r="H2655" s="37" t="n">
        <x:f t="shared" si="115">IFERROR(E2655/G2655-1,"")</x:f>
        <x:v>-0.12414717163060962</x:v>
      </x:c>
      <x:c r="I2655" s="38" t="b">
        <x:f t="shared" si="116">E2655&lt;G2655</x:f>
        <x:v>1</x:v>
      </x:c>
    </x:row>
    <x:row r="2656">
      <x:c r="A2656" s="31">
        <x:v>40872</x:v>
      </x:c>
      <x:c r="B2656" s="32">
        <x:v>381.78</x:v>
      </x:c>
      <x:c r="C2656" s="32">
        <x:v>383.74</x:v>
      </x:c>
      <x:c r="D2656" s="32">
        <x:v>379.38</x:v>
      </x:c>
      <x:c r="E2656" s="32">
        <x:v>383.35</x:v>
      </x:c>
      <x:c r="F2656" s="33">
        <x:v>17112220</x:v>
      </x:c>
      <x:c r="G2656" s="32" t="n">
        <x:f t="shared" si="114">AVERAGE(E2457:E2656)</x:f>
        <x:v>435.2119000000004</x:v>
      </x:c>
      <x:c r="H2656" s="37" t="n">
        <x:f t="shared" si="115">IFERROR(E2656/G2656-1,"")</x:f>
        <x:v>-0.11916471033995246</x:v>
      </x:c>
      <x:c r="I2656" s="38" t="b">
        <x:f t="shared" si="116">E2656&lt;G2656</x:f>
        <x:v>1</x:v>
      </x:c>
    </x:row>
    <x:row r="2657">
      <x:c r="A2657" s="31">
        <x:v>40875</x:v>
      </x:c>
      <x:c r="B2657" s="32">
        <x:v>386.04</x:v>
      </x:c>
      <x:c r="C2657" s="32">
        <x:v>388.98</x:v>
      </x:c>
      <x:c r="D2657" s="32">
        <x:v>383.05</x:v>
      </x:c>
      <x:c r="E2657" s="32">
        <x:v>383.31</x:v>
      </x:c>
      <x:c r="F2657" s="33">
        <x:v>23924210</x:v>
      </x:c>
      <x:c r="G2657" s="32" t="n">
        <x:f t="shared" si="114">AVERAGE(E2458:E2657)</x:f>
        <x:v>434.55795000000035</x:v>
      </x:c>
      <x:c r="H2657" s="37" t="n">
        <x:f t="shared" si="115">IFERROR(E2657/G2657-1,"")</x:f>
        <x:v>-0.11793122183128923</x:v>
      </x:c>
      <x:c r="I2657" s="38" t="b">
        <x:f t="shared" si="116">E2657&lt;G2657</x:f>
        <x:v>1</x:v>
      </x:c>
    </x:row>
    <x:row r="2658">
      <x:c r="A2658" s="31">
        <x:v>40876</x:v>
      </x:c>
      <x:c r="B2658" s="32">
        <x:v>385.78</x:v>
      </x:c>
      <x:c r="C2658" s="32">
        <x:v>386.55</x:v>
      </x:c>
      <x:c r="D2658" s="32">
        <x:v>382.9</x:v>
      </x:c>
      <x:c r="E2658" s="32">
        <x:v>382.9</x:v>
      </x:c>
      <x:c r="F2658" s="33">
        <x:v>17443900</x:v>
      </x:c>
      <x:c r="G2658" s="32" t="n">
        <x:f t="shared" si="114">AVERAGE(E2459:E2658)</x:f>
        <x:v>433.8829500000003</x:v>
      </x:c>
      <x:c r="H2658" s="37" t="n">
        <x:f t="shared" si="115">IFERROR(E2658/G2658-1,"")</x:f>
        <x:v>-0.11750392588600278</x:v>
      </x:c>
      <x:c r="I2658" s="38" t="b">
        <x:f t="shared" si="116">E2658&lt;G2658</x:f>
        <x:v>1</x:v>
      </x:c>
    </x:row>
    <x:row r="2659">
      <x:c r="A2659" s="31">
        <x:v>40877</x:v>
      </x:c>
      <x:c r="B2659" s="32">
        <x:v>381.88</x:v>
      </x:c>
      <x:c r="C2659" s="32">
        <x:v>382.62</x:v>
      </x:c>
      <x:c r="D2659" s="32">
        <x:v>378.78</x:v>
      </x:c>
      <x:c r="E2659" s="32">
        <x:v>380.69</x:v>
      </x:c>
      <x:c r="F2659" s="33">
        <x:v>21187010</x:v>
      </x:c>
      <x:c r="G2659" s="32" t="n">
        <x:f t="shared" si="114">AVERAGE(E2460:E2659)</x:f>
        <x:v>433.2214000000004</x:v>
      </x:c>
      <x:c r="H2659" s="37" t="n">
        <x:f t="shared" si="115">IFERROR(E2659/G2659-1,"")</x:f>
        <x:v>-0.1212576294707518</x:v>
      </x:c>
      <x:c r="I2659" s="38" t="b">
        <x:f t="shared" si="116">E2659&lt;G2659</x:f>
        <x:v>1</x:v>
      </x:c>
    </x:row>
    <x:row r="2660">
      <x:c r="A2660" s="31">
        <x:v>40878</x:v>
      </x:c>
      <x:c r="B2660" s="32">
        <x:v>380.47</x:v>
      </x:c>
      <x:c r="C2660" s="32">
        <x:v>382.87</x:v>
      </x:c>
      <x:c r="D2660" s="32">
        <x:v>377.03</x:v>
      </x:c>
      <x:c r="E2660" s="32">
        <x:v>380.1</x:v>
      </x:c>
      <x:c r="F2660" s="33">
        <x:v>17643450</x:v>
      </x:c>
      <x:c r="G2660" s="32" t="n">
        <x:f t="shared" si="114">AVERAGE(E2461:E2660)</x:f>
        <x:v>432.57290000000035</x:v>
      </x:c>
      <x:c r="H2660" s="37" t="n">
        <x:f t="shared" si="115">IFERROR(E2660/G2660-1,"")</x:f>
        <x:v>-0.12130417786227543</x:v>
      </x:c>
      <x:c r="I2660" s="38" t="b">
        <x:f t="shared" si="116">E2660&lt;G2660</x:f>
        <x:v>1</x:v>
      </x:c>
    </x:row>
    <x:row r="2661">
      <x:c r="A2661" s="31">
        <x:v>40879</x:v>
      </x:c>
      <x:c r="B2661" s="32">
        <x:v>380.92</x:v>
      </x:c>
      <x:c r="C2661" s="32">
        <x:v>383.88</x:v>
      </x:c>
      <x:c r="D2661" s="32">
        <x:v>380.36</x:v>
      </x:c>
      <x:c r="E2661" s="32">
        <x:v>383.88</x:v>
      </x:c>
      <x:c r="F2661" s="33">
        <x:v>19808870</x:v>
      </x:c>
      <x:c r="G2661" s="32" t="n">
        <x:f t="shared" si="114">AVERAGE(E2462:E2661)</x:f>
        <x:v>431.9728000000004</x:v>
      </x:c>
      <x:c r="H2661" s="37" t="n">
        <x:f t="shared" si="115">IFERROR(E2661/G2661-1,"")</x:f>
        <x:v>-0.11133293577743864</x:v>
      </x:c>
      <x:c r="I2661" s="38" t="b">
        <x:f t="shared" si="116">E2661&lt;G2661</x:f>
        <x:v>1</x:v>
      </x:c>
    </x:row>
    <x:row r="2662">
      <x:c r="A2662" s="31">
        <x:v>40882</x:v>
      </x:c>
      <x:c r="B2662" s="32">
        <x:v>385.82</x:v>
      </x:c>
      <x:c r="C2662" s="32">
        <x:v>391.71</x:v>
      </x:c>
      <x:c r="D2662" s="32">
        <x:v>385.82</x:v>
      </x:c>
      <x:c r="E2662" s="32">
        <x:v>391.19</x:v>
      </x:c>
      <x:c r="F2662" s="33">
        <x:v>31626940</x:v>
      </x:c>
      <x:c r="G2662" s="32" t="n">
        <x:f t="shared" si="114">AVERAGE(E2463:E2662)</x:f>
        <x:v>431.51025000000044</x:v>
      </x:c>
      <x:c r="H2662" s="37" t="n">
        <x:f t="shared" si="115">IFERROR(E2662/G2662-1,"")</x:f>
        <x:v>-0.09343984297012742</x:v>
      </x:c>
      <x:c r="I2662" s="38" t="b">
        <x:f t="shared" si="116">E2662&lt;G2662</x:f>
        <x:v>1</x:v>
      </x:c>
    </x:row>
    <x:row r="2663">
      <x:c r="A2663" s="31">
        <x:v>40883</x:v>
      </x:c>
      <x:c r="B2663" s="32">
        <x:v>393.92</x:v>
      </x:c>
      <x:c r="C2663" s="32">
        <x:v>396.29</x:v>
      </x:c>
      <x:c r="D2663" s="32">
        <x:v>390.2</x:v>
      </x:c>
      <x:c r="E2663" s="32">
        <x:v>390.2</x:v>
      </x:c>
      <x:c r="F2663" s="33">
        <x:v>33816160</x:v>
      </x:c>
      <x:c r="G2663" s="32" t="n">
        <x:f t="shared" si="114">AVERAGE(E2464:E2663)</x:f>
        <x:v>431.1112500000005</x:v>
      </x:c>
      <x:c r="H2663" s="37" t="n">
        <x:f t="shared" si="115">IFERROR(E2663/G2663-1,"")</x:f>
        <x:v>-0.09489719880889325</x:v>
      </x:c>
      <x:c r="I2663" s="38" t="b">
        <x:f t="shared" si="116">E2663&lt;G2663</x:f>
        <x:v>1</x:v>
      </x:c>
    </x:row>
    <x:row r="2664">
      <x:c r="A2664" s="31">
        <x:v>40884</x:v>
      </x:c>
      <x:c r="B2664" s="32">
        <x:v>389.15</x:v>
      </x:c>
      <x:c r="C2664" s="32">
        <x:v>389.69</x:v>
      </x:c>
      <x:c r="D2664" s="32">
        <x:v>386.71</x:v>
      </x:c>
      <x:c r="E2664" s="32">
        <x:v>387.21</x:v>
      </x:c>
      <x:c r="F2664" s="33">
        <x:v>25848200</x:v>
      </x:c>
      <x:c r="G2664" s="32" t="n">
        <x:f t="shared" si="114">AVERAGE(E2465:E2664)</x:f>
        <x:v>430.69380000000046</x:v>
      </x:c>
      <x:c r="H2664" s="37" t="n">
        <x:f t="shared" si="115">IFERROR(E2664/G2664-1,"")</x:f>
        <x:v>-0.10096221491927782</x:v>
      </x:c>
      <x:c r="I2664" s="38" t="b">
        <x:f t="shared" si="116">E2664&lt;G2664</x:f>
        <x:v>1</x:v>
      </x:c>
    </x:row>
    <x:row r="2665">
      <x:c r="A2665" s="31">
        <x:v>40885</x:v>
      </x:c>
      <x:c r="B2665" s="32">
        <x:v>387.02</x:v>
      </x:c>
      <x:c r="C2665" s="32">
        <x:v>388.35</x:v>
      </x:c>
      <x:c r="D2665" s="32">
        <x:v>381.63</x:v>
      </x:c>
      <x:c r="E2665" s="32">
        <x:v>381.63</x:v>
      </x:c>
      <x:c r="F2665" s="33">
        <x:v>24726570</x:v>
      </x:c>
      <x:c r="G2665" s="32" t="n">
        <x:f t="shared" si="114">AVERAGE(E2466:E2665)</x:f>
        <x:v>430.29545000000047</x:v>
      </x:c>
      <x:c r="H2665" s="37" t="n">
        <x:f t="shared" si="115">IFERROR(E2665/G2665-1,"")</x:f>
        <x:v>-0.11309775643688635</x:v>
      </x:c>
      <x:c r="I2665" s="38" t="b">
        <x:f t="shared" si="116">E2665&lt;G2665</x:f>
        <x:v>1</x:v>
      </x:c>
    </x:row>
    <x:row r="2666">
      <x:c r="A2666" s="31">
        <x:v>40886</x:v>
      </x:c>
      <x:c r="B2666" s="32">
        <x:v>381.28</x:v>
      </x:c>
      <x:c r="C2666" s="32">
        <x:v>382.13</x:v>
      </x:c>
      <x:c r="D2666" s="32">
        <x:v>375.67</x:v>
      </x:c>
      <x:c r="E2666" s="32">
        <x:v>377.16</x:v>
      </x:c>
      <x:c r="F2666" s="33">
        <x:v>26815380</x:v>
      </x:c>
      <x:c r="G2666" s="32" t="n">
        <x:f t="shared" si="114">AVERAGE(E2467:E2666)</x:f>
        <x:v>429.84625000000057</x:v>
      </x:c>
      <x:c r="H2666" s="37" t="n">
        <x:f t="shared" si="115">IFERROR(E2666/G2666-1,"")</x:f>
        <x:v>-0.12256998868781677</x:v>
      </x:c>
      <x:c r="I2666" s="38" t="b">
        <x:f t="shared" si="116">E2666&lt;G2666</x:f>
        <x:v>1</x:v>
      </x:c>
    </x:row>
    <x:row r="2667">
      <x:c r="A2667" s="31">
        <x:v>40889</x:v>
      </x:c>
      <x:c r="B2667" s="32">
        <x:v>376.97</x:v>
      </x:c>
      <x:c r="C2667" s="32">
        <x:v>378.82</x:v>
      </x:c>
      <x:c r="D2667" s="32">
        <x:v>373.89</x:v>
      </x:c>
      <x:c r="E2667" s="32">
        <x:v>375.3</x:v>
      </x:c>
      <x:c r="F2667" s="33">
        <x:v>25025490</x:v>
      </x:c>
      <x:c r="G2667" s="32" t="n">
        <x:f t="shared" si="114">AVERAGE(E2468:E2667)</x:f>
        <x:v>429.41575000000057</x:v>
      </x:c>
      <x:c r="H2667" s="37" t="n">
        <x:f t="shared" si="115">IFERROR(E2667/G2667-1,"")</x:f>
        <x:v>-0.1260218098660808</x:v>
      </x:c>
      <x:c r="I2667" s="38" t="b">
        <x:f t="shared" si="116">E2667&lt;G2667</x:f>
        <x:v>1</x:v>
      </x:c>
    </x:row>
    <x:row r="2668">
      <x:c r="A2668" s="31">
        <x:v>40890</x:v>
      </x:c>
      <x:c r="B2668" s="32">
        <x:v>374.11</x:v>
      </x:c>
      <x:c r="C2668" s="32">
        <x:v>377.17</x:v>
      </x:c>
      <x:c r="D2668" s="32">
        <x:v>371.75</x:v>
      </x:c>
      <x:c r="E2668" s="32">
        <x:v>371.75</x:v>
      </x:c>
      <x:c r="F2668" s="33">
        <x:v>24121800</x:v>
      </x:c>
      <x:c r="G2668" s="32" t="n">
        <x:f t="shared" si="114">AVERAGE(E2469:E2668)</x:f>
        <x:v>428.9440000000006</x:v>
      </x:c>
      <x:c r="H2668" s="37" t="n">
        <x:f t="shared" si="115">IFERROR(E2668/G2668-1,"")</x:f>
        <x:v>-0.13333675258308897</x:v>
      </x:c>
      <x:c r="I2668" s="38" t="b">
        <x:f t="shared" si="116">E2668&lt;G2668</x:f>
        <x:v>1</x:v>
      </x:c>
    </x:row>
    <x:row r="2669">
      <x:c r="A2669" s="31">
        <x:v>40891</x:v>
      </x:c>
      <x:c r="B2669" s="32">
        <x:v>371.75</x:v>
      </x:c>
      <x:c r="C2669" s="32">
        <x:v>374.42</x:v>
      </x:c>
      <x:c r="D2669" s="32">
        <x:v>366.64</x:v>
      </x:c>
      <x:c r="E2669" s="32">
        <x:v>367.55</x:v>
      </x:c>
      <x:c r="F2669" s="33">
        <x:v>32579780</x:v>
      </x:c>
      <x:c r="G2669" s="32" t="n">
        <x:f t="shared" si="114">AVERAGE(E2470:E2669)</x:f>
        <x:v>428.4927500000007</x:v>
      </x:c>
      <x:c r="H2669" s="37" t="n">
        <x:f t="shared" si="115">IFERROR(E2669/G2669-1,"")</x:f>
        <x:v>-0.14222586029752093</x:v>
      </x:c>
      <x:c r="I2669" s="38" t="b">
        <x:f t="shared" si="116">E2669&lt;G2669</x:f>
        <x:v>1</x:v>
      </x:c>
    </x:row>
    <x:row r="2670">
      <x:c r="A2670" s="31">
        <x:v>40892</x:v>
      </x:c>
      <x:c r="B2670" s="32">
        <x:v>364.14</x:v>
      </x:c>
      <x:c r="C2670" s="32">
        <x:v>365.09</x:v>
      </x:c>
      <x:c r="D2670" s="32">
        <x:v>360.16</x:v>
      </x:c>
      <x:c r="E2670" s="32">
        <x:v>364.48</x:v>
      </x:c>
      <x:c r="F2670" s="33">
        <x:v>33685980</x:v>
      </x:c>
      <x:c r="G2670" s="32" t="n">
        <x:f t="shared" si="114">AVERAGE(E2471:E2670)</x:f>
        <x:v>428.0536500000006</x:v>
      </x:c>
      <x:c r="H2670" s="37" t="n">
        <x:f t="shared" si="115">IFERROR(E2670/G2670-1,"")</x:f>
        <x:v>-0.14851794862630063</x:v>
      </x:c>
      <x:c r="I2670" s="38" t="b">
        <x:f t="shared" si="116">E2670&lt;G2670</x:f>
        <x:v>1</x:v>
      </x:c>
    </x:row>
    <x:row r="2671">
      <x:c r="A2671" s="31">
        <x:v>40893</x:v>
      </x:c>
      <x:c r="B2671" s="32">
        <x:v>364.37</x:v>
      </x:c>
      <x:c r="C2671" s="32">
        <x:v>369.65</x:v>
      </x:c>
      <x:c r="D2671" s="32">
        <x:v>363.8</x:v>
      </x:c>
      <x:c r="E2671" s="32">
        <x:v>366.03</x:v>
      </x:c>
      <x:c r="F2671" s="33">
        <x:v>31830080</x:v>
      </x:c>
      <x:c r="G2671" s="32" t="n">
        <x:f t="shared" si="114">AVERAGE(E2472:E2671)</x:f>
        <x:v>427.5878000000006</x:v>
      </x:c>
      <x:c r="H2671" s="37" t="n">
        <x:f t="shared" si="115">IFERROR(E2671/G2671-1,"")</x:f>
        <x:v>-0.1439652861938543</x:v>
      </x:c>
      <x:c r="I2671" s="38" t="b">
        <x:f t="shared" si="116">E2671&lt;G2671</x:f>
        <x:v>1</x:v>
      </x:c>
    </x:row>
    <x:row r="2672">
      <x:c r="A2672" s="31">
        <x:v>40896</x:v>
      </x:c>
      <x:c r="B2672" s="32">
        <x:v>365.71</x:v>
      </x:c>
      <x:c r="C2672" s="32">
        <x:v>367.95</x:v>
      </x:c>
      <x:c r="D2672" s="32">
        <x:v>364.73</x:v>
      </x:c>
      <x:c r="E2672" s="32">
        <x:v>367.4</x:v>
      </x:c>
      <x:c r="F2672" s="33">
        <x:v>20977830</x:v>
      </x:c>
      <x:c r="G2672" s="32" t="n">
        <x:f t="shared" si="114">AVERAGE(E2473:E2672)</x:f>
        <x:v>427.08380000000056</x:v>
      </x:c>
      <x:c r="H2672" s="37" t="n">
        <x:f t="shared" si="115">IFERROR(E2672/G2672-1,"")</x:f>
        <x:v>-0.1397472814468741</x:v>
      </x:c>
      <x:c r="I2672" s="38" t="b">
        <x:f t="shared" si="116">E2672&lt;G2672</x:f>
        <x:v>1</x:v>
      </x:c>
    </x:row>
    <x:row r="2673">
      <x:c r="A2673" s="31">
        <x:v>40897</x:v>
      </x:c>
      <x:c r="B2673" s="32">
        <x:v>365.5</x:v>
      </x:c>
      <x:c r="C2673" s="32">
        <x:v>369.09</x:v>
      </x:c>
      <x:c r="D2673" s="32">
        <x:v>363.22</x:v>
      </x:c>
      <x:c r="E2673" s="32">
        <x:v>365.67</x:v>
      </x:c>
      <x:c r="F2673" s="33">
        <x:v>21369910</x:v>
      </x:c>
      <x:c r="G2673" s="32" t="n">
        <x:f t="shared" si="114">AVERAGE(E2474:E2673)</x:f>
        <x:v>426.53515000000056</x:v>
      </x:c>
      <x:c r="H2673" s="37" t="n">
        <x:f t="shared" si="115">IFERROR(E2673/G2673-1,"")</x:f>
        <x:v>-0.14269668044943185</x:v>
      </x:c>
      <x:c r="I2673" s="38" t="b">
        <x:f t="shared" si="116">E2673&lt;G2673</x:f>
        <x:v>1</x:v>
      </x:c>
    </x:row>
    <x:row r="2674">
      <x:c r="A2674" s="31">
        <x:v>40898</x:v>
      </x:c>
      <x:c r="B2674" s="32">
        <x:v>368.8</x:v>
      </x:c>
      <x:c r="C2674" s="32">
        <x:v>369.48</x:v>
      </x:c>
      <x:c r="D2674" s="32">
        <x:v>366.96</x:v>
      </x:c>
      <x:c r="E2674" s="32">
        <x:v>367.72</x:v>
      </x:c>
      <x:c r="F2674" s="33">
        <x:v>23306380</x:v>
      </x:c>
      <x:c r="G2674" s="32" t="n">
        <x:f t="shared" si="114">AVERAGE(E2475:E2674)</x:f>
        <x:v>426.0212500000006</x:v>
      </x:c>
      <x:c r="H2674" s="37" t="n">
        <x:f t="shared" si="115">IFERROR(E2674/G2674-1,"")</x:f>
        <x:v>-0.13685056790007655</x:v>
      </x:c>
      <x:c r="I2674" s="38" t="b">
        <x:f t="shared" si="116">E2674&lt;G2674</x:f>
        <x:v>1</x:v>
      </x:c>
    </x:row>
    <x:row r="2675">
      <x:c r="A2675" s="31">
        <x:v>40899</x:v>
      </x:c>
      <x:c r="B2675" s="32">
        <x:v>366.68</x:v>
      </x:c>
      <x:c r="C2675" s="32">
        <x:v>366.78</x:v>
      </x:c>
      <x:c r="D2675" s="32">
        <x:v>359.12</x:v>
      </x:c>
      <x:c r="E2675" s="32">
        <x:v>360.37</x:v>
      </x:c>
      <x:c r="F2675" s="33">
        <x:v>31386790</x:v>
      </x:c>
      <x:c r="G2675" s="32" t="n">
        <x:f t="shared" si="114">AVERAGE(E2476:E2675)</x:f>
        <x:v>425.41060000000056</x:v>
      </x:c>
      <x:c r="H2675" s="37" t="n">
        <x:f t="shared" si="115">IFERROR(E2675/G2675-1,"")</x:f>
        <x:v>-0.15288899712419124</x:v>
      </x:c>
      <x:c r="I2675" s="38" t="b">
        <x:f t="shared" si="116">E2675&lt;G2675</x:f>
        <x:v>1</x:v>
      </x:c>
    </x:row>
    <x:row r="2676">
      <x:c r="A2676" s="31">
        <x:v>40900</x:v>
      </x:c>
      <x:c r="B2676" s="32">
        <x:v>352.48</x:v>
      </x:c>
      <x:c r="C2676" s="32">
        <x:v>356.97</x:v>
      </x:c>
      <x:c r="D2676" s="32">
        <x:v>352.21</x:v>
      </x:c>
      <x:c r="E2676" s="32">
        <x:v>356.21</x:v>
      </x:c>
      <x:c r="F2676" s="33">
        <x:v>21736880</x:v>
      </x:c>
      <x:c r="G2676" s="32" t="n">
        <x:f t="shared" si="114">AVERAGE(E2477:E2676)</x:f>
        <x:v>424.71615000000054</x:v>
      </x:c>
      <x:c r="H2676" s="37" t="n">
        <x:f t="shared" si="115">IFERROR(E2676/G2676-1,"")</x:f>
        <x:v>-0.16129866971152496</x:v>
      </x:c>
      <x:c r="I2676" s="38" t="b">
        <x:f t="shared" si="116">E2676&lt;G2676</x:f>
        <x:v>1</x:v>
      </x:c>
    </x:row>
    <x:row r="2677">
      <x:c r="A2677" s="31">
        <x:v>40903</x:v>
      </x:c>
      <x:c r="B2677" s="32">
        <x:v>356.15</x:v>
      </x:c>
      <x:c r="C2677" s="32">
        <x:v>356.15</x:v>
      </x:c>
      <x:c r="D2677" s="32">
        <x:v>349.7</x:v>
      </x:c>
      <x:c r="E2677" s="32">
        <x:v>352.68</x:v>
      </x:c>
      <x:c r="F2677" s="33">
        <x:v>19421120</x:v>
      </x:c>
      <x:c r="G2677" s="32" t="n">
        <x:f t="shared" si="114">AVERAGE(E2478:E2677)</x:f>
        <x:v>424.0800500000005</x:v>
      </x:c>
      <x:c r="H2677" s="37" t="n">
        <x:f t="shared" si="115">IFERROR(E2677/G2677-1,"")</x:f>
        <x:v>-0.16836455758765445</x:v>
      </x:c>
      <x:c r="I2677" s="38" t="b">
        <x:f t="shared" si="116">E2677&lt;G2677</x:f>
        <x:v>1</x:v>
      </x:c>
    </x:row>
    <x:row r="2678">
      <x:c r="A2678" s="31">
        <x:v>40904</x:v>
      </x:c>
      <x:c r="B2678" s="32">
        <x:v>348.42</x:v>
      </x:c>
      <x:c r="C2678" s="32">
        <x:v>348.83</x:v>
      </x:c>
      <x:c r="D2678" s="32">
        <x:v>346.48</x:v>
      </x:c>
      <x:c r="E2678" s="32">
        <x:v>347.8</x:v>
      </x:c>
      <x:c r="F2678" s="33">
        <x:v>26464690</x:v>
      </x:c>
      <x:c r="G2678" s="32" t="n">
        <x:f t="shared" si="114">AVERAGE(E2479:E2678)</x:f>
        <x:v>423.47555000000045</x:v>
      </x:c>
      <x:c r="H2678" s="37" t="n">
        <x:f t="shared" si="115">IFERROR(E2678/G2678-1,"")</x:f>
        <x:v>-0.17870110800966044</x:v>
      </x:c>
      <x:c r="I2678" s="38" t="b">
        <x:f t="shared" si="116">E2678&lt;G2678</x:f>
        <x:v>1</x:v>
      </x:c>
    </x:row>
    <x:row r="2679">
      <x:c r="A2679" s="31">
        <x:v>40905</x:v>
      </x:c>
      <x:c r="B2679" s="32">
        <x:v>347.59</x:v>
      </x:c>
      <x:c r="C2679" s="32">
        <x:v>351.34</x:v>
      </x:c>
      <x:c r="D2679" s="32">
        <x:v>347.17</x:v>
      </x:c>
      <x:c r="E2679" s="32">
        <x:v>350.66</x:v>
      </x:c>
      <x:c r="F2679" s="33">
        <x:v>26615560</x:v>
      </x:c>
      <x:c r="G2679" s="32" t="n">
        <x:f t="shared" si="114">AVERAGE(E2480:E2679)</x:f>
        <x:v>422.9108500000005</x:v>
      </x:c>
      <x:c r="H2679" s="37" t="n">
        <x:f t="shared" si="115">IFERROR(E2679/G2679-1,"")</x:f>
        <x:v>-0.17084179798177412</x:v>
      </x:c>
      <x:c r="I2679" s="38" t="b">
        <x:f t="shared" si="116">E2679&lt;G2679</x:f>
        <x:v>1</x:v>
      </x:c>
    </x:row>
    <x:row r="2680">
      <x:c r="A2680" s="31">
        <x:v>40906</x:v>
      </x:c>
      <x:c r="B2680" s="32">
        <x:v>349.06</x:v>
      </x:c>
      <x:c r="C2680" s="32">
        <x:v>350.51</x:v>
      </x:c>
      <x:c r="D2680" s="32">
        <x:v>347.39</x:v>
      </x:c>
      <x:c r="E2680" s="32">
        <x:v>350.51</x:v>
      </x:c>
      <x:c r="F2680" s="33">
        <x:v>21775300</x:v>
      </x:c>
      <x:c r="G2680" s="32" t="n">
        <x:f t="shared" si="114">AVERAGE(E2481:E2680)</x:f>
        <x:v>422.3609000000005</x:v>
      </x:c>
      <x:c r="H2680" s="37" t="n">
        <x:f t="shared" si="115">IFERROR(E2680/G2680-1,"")</x:f>
        <x:v>-0.1701173096278572</x:v>
      </x:c>
      <x:c r="I2680" s="38" t="b">
        <x:f t="shared" si="116">E2680&lt;G2680</x:f>
        <x:v>1</x:v>
      </x:c>
    </x:row>
    <x:row r="2681">
      <x:c r="A2681" s="31">
        <x:v>40907</x:v>
      </x:c>
      <x:c r="B2681" s="32">
        <x:v>351.83</x:v>
      </x:c>
      <x:c r="C2681" s="32">
        <x:v>352.46</x:v>
      </x:c>
      <x:c r="D2681" s="32">
        <x:v>348.3</x:v>
      </x:c>
      <x:c r="E2681" s="32">
        <x:v>351.55</x:v>
      </x:c>
      <x:c r="F2681" s="33">
        <x:v>26441080</x:v>
      </x:c>
      <x:c r="G2681" s="32" t="n">
        <x:f t="shared" si="114">AVERAGE(E2482:E2681)</x:f>
        <x:v>421.81315000000046</x:v>
      </x:c>
      <x:c r="H2681" s="37" t="n">
        <x:f t="shared" si="115">IFERROR(E2681/G2681-1,"")</x:f>
        <x:v>-0.1665741098872815</x:v>
      </x:c>
      <x:c r="I2681" s="38" t="b">
        <x:f t="shared" si="116">E2681&lt;G2681</x:f>
        <x:v>1</x:v>
      </x:c>
    </x:row>
    <x:row r="2682">
      <x:c r="A2682" s="31">
        <x:v>40911</x:v>
      </x:c>
      <x:c r="B2682" s="32">
        <x:v>351.37</x:v>
      </x:c>
      <x:c r="C2682" s="32">
        <x:v>354.02</x:v>
      </x:c>
      <x:c r="D2682" s="32">
        <x:v>349.31</x:v>
      </x:c>
      <x:c r="E2682" s="32">
        <x:v>350</x:v>
      </x:c>
      <x:c r="F2682" s="33">
        <x:v>13737030</x:v>
      </x:c>
      <x:c r="G2682" s="32" t="n">
        <x:f t="shared" si="114">AVERAGE(E2483:E2682)</x:f>
        <x:v>421.22165000000047</x:v>
      </x:c>
      <x:c r="H2682" s="37" t="n">
        <x:f t="shared" si="115">IFERROR(E2682/G2682-1,"")</x:f>
        <x:v>-0.16908354544454296</x:v>
      </x:c>
      <x:c r="I2682" s="38" t="b">
        <x:f t="shared" si="116">E2682&lt;G2682</x:f>
        <x:v>1</x:v>
      </x:c>
    </x:row>
    <x:row r="2683">
      <x:c r="A2683" s="31">
        <x:v>40912</x:v>
      </x:c>
      <x:c r="B2683" s="32">
        <x:v>349.22</x:v>
      </x:c>
      <x:c r="C2683" s="32">
        <x:v>349.92</x:v>
      </x:c>
      <x:c r="D2683" s="32">
        <x:v>348.24</x:v>
      </x:c>
      <x:c r="E2683" s="32">
        <x:v>348.84</x:v>
      </x:c>
      <x:c r="F2683" s="33">
        <x:v>19643360</x:v>
      </x:c>
      <x:c r="G2683" s="32" t="n">
        <x:f t="shared" si="114">AVERAGE(E2484:E2683)</x:f>
        <x:v>420.64185000000043</x:v>
      </x:c>
      <x:c r="H2683" s="37" t="n">
        <x:f t="shared" si="115">IFERROR(E2683/G2683-1,"")</x:f>
        <x:v>-0.17069592576202386</x:v>
      </x:c>
      <x:c r="I2683" s="38" t="b">
        <x:f t="shared" si="116">E2683&lt;G2683</x:f>
        <x:v>1</x:v>
      </x:c>
    </x:row>
    <x:row r="2684">
      <x:c r="A2684" s="31">
        <x:v>40913</x:v>
      </x:c>
      <x:c r="B2684" s="32">
        <x:v>346.42</x:v>
      </x:c>
      <x:c r="C2684" s="32">
        <x:v>347.13</x:v>
      </x:c>
      <x:c r="D2684" s="32">
        <x:v>340.94</x:v>
      </x:c>
      <x:c r="E2684" s="32">
        <x:v>340.94</x:v>
      </x:c>
      <x:c r="F2684" s="33">
        <x:v>17221570</x:v>
      </x:c>
      <x:c r="G2684" s="32" t="n">
        <x:f t="shared" si="114">AVERAGE(E2485:E2684)</x:f>
        <x:v>420.0085500000003</x:v>
      </x:c>
      <x:c r="H2684" s="37" t="n">
        <x:f t="shared" si="115">IFERROR(E2684/G2684-1,"")</x:f>
        <x:v>-0.18825462005475901</x:v>
      </x:c>
      <x:c r="I2684" s="38" t="b">
        <x:f t="shared" si="116">E2684&lt;G2684</x:f>
        <x:v>1</x:v>
      </x:c>
    </x:row>
    <x:row r="2685">
      <x:c r="A2685" s="31">
        <x:v>40914</x:v>
      </x:c>
      <x:c r="B2685" s="32">
        <x:v>340.19</x:v>
      </x:c>
      <x:c r="C2685" s="32">
        <x:v>340.19</x:v>
      </x:c>
      <x:c r="D2685" s="32">
        <x:v>336.49</x:v>
      </x:c>
      <x:c r="E2685" s="32">
        <x:v>336.73</x:v>
      </x:c>
      <x:c r="F2685" s="33">
        <x:v>19779270</x:v>
      </x:c>
      <x:c r="G2685" s="32" t="n">
        <x:f t="shared" si="114">AVERAGE(E2486:E2685)</x:f>
        <x:v>419.38570000000027</x:v>
      </x:c>
      <x:c r="H2685" s="37" t="n">
        <x:f t="shared" si="115">IFERROR(E2685/G2685-1,"")</x:f>
        <x:v>-0.19708754971855313</x:v>
      </x:c>
      <x:c r="I2685" s="38" t="b">
        <x:f t="shared" si="116">E2685&lt;G2685</x:f>
        <x:v>1</x:v>
      </x:c>
    </x:row>
    <x:row r="2686">
      <x:c r="A2686" s="31">
        <x:v>40917</x:v>
      </x:c>
      <x:c r="B2686" s="32">
        <x:v>334.93</x:v>
      </x:c>
      <x:c r="C2686" s="32">
        <x:v>339.32</x:v>
      </x:c>
      <x:c r="D2686" s="32">
        <x:v>332.28</x:v>
      </x:c>
      <x:c r="E2686" s="32">
        <x:v>339.32</x:v>
      </x:c>
      <x:c r="F2686" s="33">
        <x:v>19198950</x:v>
      </x:c>
      <x:c r="G2686" s="32" t="n">
        <x:f t="shared" si="114">AVERAGE(E2487:E2686)</x:f>
        <x:v>418.79380000000026</x:v>
      </x:c>
      <x:c r="H2686" s="37" t="n">
        <x:f t="shared" si="115">IFERROR(E2686/G2686-1,"")</x:f>
        <x:v>-0.18976832990364279</x:v>
      </x:c>
      <x:c r="I2686" s="38" t="b">
        <x:f t="shared" si="116">E2686&lt;G2686</x:f>
        <x:v>1</x:v>
      </x:c>
    </x:row>
    <x:row r="2687">
      <x:c r="A2687" s="31">
        <x:v>40918</x:v>
      </x:c>
      <x:c r="B2687" s="32">
        <x:v>336.84</x:v>
      </x:c>
      <x:c r="C2687" s="32">
        <x:v>345.25</x:v>
      </x:c>
      <x:c r="D2687" s="32">
        <x:v>336.84</x:v>
      </x:c>
      <x:c r="E2687" s="32">
        <x:v>344.68</x:v>
      </x:c>
      <x:c r="F2687" s="33">
        <x:v>24725890</x:v>
      </x:c>
      <x:c r="G2687" s="32" t="n">
        <x:f t="shared" si="114">AVERAGE(E2488:E2687)</x:f>
        <x:v>418.2197000000002</x:v>
      </x:c>
      <x:c r="H2687" s="37" t="n">
        <x:f t="shared" si="115">IFERROR(E2687/G2687-1,"")</x:f>
        <x:v>-0.17583987554866543</x:v>
      </x:c>
      <x:c r="I2687" s="38" t="b">
        <x:f t="shared" si="116">E2687&lt;G2687</x:f>
        <x:v>1</x:v>
      </x:c>
    </x:row>
    <x:row r="2688">
      <x:c r="A2688" s="31">
        <x:v>40919</x:v>
      </x:c>
      <x:c r="B2688" s="32">
        <x:v>347.98</x:v>
      </x:c>
      <x:c r="C2688" s="32">
        <x:v>349.45</x:v>
      </x:c>
      <x:c r="D2688" s="32">
        <x:v>346.71</x:v>
      </x:c>
      <x:c r="E2688" s="32">
        <x:v>347.43</x:v>
      </x:c>
      <x:c r="F2688" s="33">
        <x:v>20793880</x:v>
      </x:c>
      <x:c r="G2688" s="32" t="n">
        <x:f t="shared" si="114">AVERAGE(E2489:E2688)</x:f>
        <x:v>417.6673500000002</x:v>
      </x:c>
      <x:c r="H2688" s="37" t="n">
        <x:f t="shared" si="115">IFERROR(E2688/G2688-1,"")</x:f>
        <x:v>-0.16816576636885838</x:v>
      </x:c>
      <x:c r="I2688" s="38" t="b">
        <x:f t="shared" si="116">E2688&lt;G2688</x:f>
        <x:v>1</x:v>
      </x:c>
    </x:row>
    <x:row r="2689">
      <x:c r="A2689" s="31">
        <x:v>40920</x:v>
      </x:c>
      <x:c r="B2689" s="32">
        <x:v>347.78</x:v>
      </x:c>
      <x:c r="C2689" s="32">
        <x:v>349.44</x:v>
      </x:c>
      <x:c r="D2689" s="32">
        <x:v>347.22</x:v>
      </x:c>
      <x:c r="E2689" s="32">
        <x:v>348.11</x:v>
      </x:c>
      <x:c r="F2689" s="33">
        <x:v>18662540</x:v>
      </x:c>
      <x:c r="G2689" s="32" t="n">
        <x:f t="shared" si="114">AVERAGE(E2490:E2689)</x:f>
        <x:v>417.1079000000002</x:v>
      </x:c>
      <x:c r="H2689" s="37" t="n">
        <x:f t="shared" si="115">IFERROR(E2689/G2689-1,"")</x:f>
        <x:v>-0.16541978706229288</x:v>
      </x:c>
      <x:c r="I2689" s="38" t="b">
        <x:f t="shared" si="116">E2689&lt;G2689</x:f>
        <x:v>1</x:v>
      </x:c>
    </x:row>
    <x:row r="2690">
      <x:c r="A2690" s="31">
        <x:v>40921</x:v>
      </x:c>
      <x:c r="B2690" s="32">
        <x:v>349.31</x:v>
      </x:c>
      <x:c r="C2690" s="32">
        <x:v>354.33</x:v>
      </x:c>
      <x:c r="D2690" s="32">
        <x:v>349.31</x:v>
      </x:c>
      <x:c r="E2690" s="32">
        <x:v>354.33</x:v>
      </x:c>
      <x:c r="F2690" s="33">
        <x:v>16398250</x:v>
      </x:c>
      <x:c r="G2690" s="32" t="n">
        <x:f t="shared" si="114">AVERAGE(E2491:E2690)</x:f>
        <x:v>416.5740500000002</x:v>
      </x:c>
      <x:c r="H2690" s="37" t="n">
        <x:f t="shared" si="115">IFERROR(E2690/G2690-1,"")</x:f>
        <x:v>-0.14941893284039232</x:v>
      </x:c>
      <x:c r="I2690" s="38" t="b">
        <x:f t="shared" si="116">E2690&lt;G2690</x:f>
        <x:v>1</x:v>
      </x:c>
    </x:row>
    <x:row r="2691">
      <x:c r="A2691" s="31">
        <x:v>40924</x:v>
      </x:c>
      <x:c r="B2691" s="32">
        <x:v>356.77</x:v>
      </x:c>
      <x:c r="C2691" s="32">
        <x:v>360.08</x:v>
      </x:c>
      <x:c r="D2691" s="32">
        <x:v>355.97</x:v>
      </x:c>
      <x:c r="E2691" s="32">
        <x:v>357.87</x:v>
      </x:c>
      <x:c r="F2691" s="33">
        <x:v>20302930</x:v>
      </x:c>
      <x:c r="G2691" s="32" t="n">
        <x:f t="shared" si="114">AVERAGE(E2492:E2691)</x:f>
        <x:v>416.06740000000013</x:v>
      </x:c>
      <x:c r="H2691" s="37" t="n">
        <x:f t="shared" si="115">IFERROR(E2691/G2691-1,"")</x:f>
        <x:v>-0.1398749337246804</x:v>
      </x:c>
      <x:c r="I2691" s="38" t="b">
        <x:f t="shared" si="116">E2691&lt;G2691</x:f>
        <x:v>1</x:v>
      </x:c>
    </x:row>
    <x:row r="2692">
      <x:c r="A2692" s="31">
        <x:v>40925</x:v>
      </x:c>
      <x:c r="B2692" s="32">
        <x:v>357.52</x:v>
      </x:c>
      <x:c r="C2692" s="32">
        <x:v>363.5</x:v>
      </x:c>
      <x:c r="D2692" s="32">
        <x:v>357.1</x:v>
      </x:c>
      <x:c r="E2692" s="32">
        <x:v>358.86</x:v>
      </x:c>
      <x:c r="F2692" s="33">
        <x:v>16112970</x:v>
      </x:c>
      <x:c r="G2692" s="32" t="n">
        <x:f t="shared" si="114">AVERAGE(E2493:E2692)</x:f>
        <x:v>415.5752000000001</x:v>
      </x:c>
      <x:c r="H2692" s="37" t="n">
        <x:f t="shared" si="115">IFERROR(E2692/G2692-1,"")</x:f>
        <x:v>-0.1364739763104249</x:v>
      </x:c>
      <x:c r="I2692" s="38" t="b">
        <x:f t="shared" si="116">E2692&lt;G2692</x:f>
        <x:v>1</x:v>
      </x:c>
    </x:row>
    <x:row r="2693">
      <x:c r="A2693" s="31">
        <x:v>40926</x:v>
      </x:c>
      <x:c r="B2693" s="32">
        <x:v>360.81</x:v>
      </x:c>
      <x:c r="C2693" s="32">
        <x:v>363.3</x:v>
      </x:c>
      <x:c r="D2693" s="32">
        <x:v>360.47</x:v>
      </x:c>
      <x:c r="E2693" s="32">
        <x:v>362.66</x:v>
      </x:c>
      <x:c r="F2693" s="33">
        <x:v>13022720</x:v>
      </x:c>
      <x:c r="G2693" s="32" t="n">
        <x:f t="shared" si="114">AVERAGE(E2494:E2693)</x:f>
        <x:v>415.10250000000013</x:v>
      </x:c>
      <x:c r="H2693" s="37" t="n">
        <x:f t="shared" si="115">IFERROR(E2693/G2693-1,"")</x:f>
        <x:v>-0.12633626634385509</x:v>
      </x:c>
      <x:c r="I2693" s="38" t="b">
        <x:f t="shared" si="116">E2693&lt;G2693</x:f>
        <x:v>1</x:v>
      </x:c>
    </x:row>
    <x:row r="2694">
      <x:c r="A2694" s="31">
        <x:v>40927</x:v>
      </x:c>
      <x:c r="B2694" s="32">
        <x:v>363.15</x:v>
      </x:c>
      <x:c r="C2694" s="32">
        <x:v>373.43</x:v>
      </x:c>
      <x:c r="D2694" s="32">
        <x:v>363.04</x:v>
      </x:c>
      <x:c r="E2694" s="32">
        <x:v>373.43</x:v>
      </x:c>
      <x:c r="F2694" s="33">
        <x:v>19593160</x:v>
      </x:c>
      <x:c r="G2694" s="32" t="n">
        <x:f t="shared" si="114">AVERAGE(E2495:E2694)</x:f>
        <x:v>414.64515000000006</x:v>
      </x:c>
      <x:c r="H2694" s="37" t="n">
        <x:f t="shared" si="115">IFERROR(E2694/G2694-1,"")</x:f>
        <x:v>-0.0993986062540465</x:v>
      </x:c>
      <x:c r="I2694" s="38" t="b">
        <x:f t="shared" si="116">E2694&lt;G2694</x:f>
        <x:v>1</x:v>
      </x:c>
    </x:row>
    <x:row r="2695">
      <x:c r="A2695" s="31">
        <x:v>40928</x:v>
      </x:c>
      <x:c r="B2695" s="32">
        <x:v>378.07</x:v>
      </x:c>
      <x:c r="C2695" s="32">
        <x:v>378.07</x:v>
      </x:c>
      <x:c r="D2695" s="32">
        <x:v>373</x:v>
      </x:c>
      <x:c r="E2695" s="32">
        <x:v>373</x:v>
      </x:c>
      <x:c r="F2695" s="33">
        <x:v>20282210</x:v>
      </x:c>
      <x:c r="G2695" s="32" t="n">
        <x:f t="shared" si="114">AVERAGE(E2496:E2695)</x:f>
        <x:v>414.19265000000007</x:v>
      </x:c>
      <x:c r="H2695" s="37" t="n">
        <x:f t="shared" si="115">IFERROR(E2695/G2695-1,"")</x:f>
        <x:v>-0.09945287537091752</x:v>
      </x:c>
      <x:c r="I2695" s="38" t="b">
        <x:f t="shared" si="116">E2695&lt;G2695</x:f>
        <x:v>1</x:v>
      </x:c>
    </x:row>
    <x:row r="2696">
      <x:c r="A2696" s="31">
        <x:v>40938</x:v>
      </x:c>
      <x:c r="B2696" s="32">
        <x:v>375.1</x:v>
      </x:c>
      <x:c r="C2696" s="32">
        <x:v>384.94</x:v>
      </x:c>
      <x:c r="D2696" s="32">
        <x:v>373.1</x:v>
      </x:c>
      <x:c r="E2696" s="32">
        <x:v>384.94</x:v>
      </x:c>
      <x:c r="F2696" s="33">
        <x:v>18491240</x:v>
      </x:c>
      <x:c r="G2696" s="32" t="n">
        <x:f t="shared" si="114">AVERAGE(E2497:E2696)</x:f>
        <x:v>413.79585000000014</x:v>
      </x:c>
      <x:c r="H2696" s="37" t="n">
        <x:f t="shared" si="115">IFERROR(E2696/G2696-1,"")</x:f>
        <x:v>-0.06973450797053704</x:v>
      </x:c>
      <x:c r="I2696" s="38" t="b">
        <x:f t="shared" si="116">E2696&lt;G2696</x:f>
        <x:v>1</x:v>
      </x:c>
    </x:row>
    <x:row r="2697">
      <x:c r="A2697" s="31">
        <x:v>40939</x:v>
      </x:c>
      <x:c r="B2697" s="32">
        <x:v>390.43</x:v>
      </x:c>
      <x:c r="C2697" s="32">
        <x:v>393.92</x:v>
      </x:c>
      <x:c r="D2697" s="32">
        <x:v>387.97</x:v>
      </x:c>
      <x:c r="E2697" s="32">
        <x:v>387.97</x:v>
      </x:c>
      <x:c r="F2697" s="33">
        <x:v>37141730</x:v>
      </x:c>
      <x:c r="G2697" s="32" t="n">
        <x:f t="shared" si="114">AVERAGE(E2498:E2697)</x:f>
        <x:v>413.4307000000001</x:v>
      </x:c>
      <x:c r="H2697" s="37" t="n">
        <x:f t="shared" si="115">IFERROR(E2697/G2697-1,"")</x:f>
        <x:v>-0.06158396074602124</x:v>
      </x:c>
      <x:c r="I2697" s="38" t="b">
        <x:f t="shared" si="116">E2697&lt;G2697</x:f>
        <x:v>1</x:v>
      </x:c>
    </x:row>
    <x:row r="2698">
      <x:c r="A2698" s="31">
        <x:v>40940</x:v>
      </x:c>
      <x:c r="B2698" s="32">
        <x:v>388.7</x:v>
      </x:c>
      <x:c r="C2698" s="32">
        <x:v>390.67</x:v>
      </x:c>
      <x:c r="D2698" s="32">
        <x:v>383.05</x:v>
      </x:c>
      <x:c r="E2698" s="32">
        <x:v>390.67</x:v>
      </x:c>
      <x:c r="F2698" s="33">
        <x:v>30800590</x:v>
      </x:c>
      <x:c r="G2698" s="32" t="n">
        <x:f t="shared" si="114">AVERAGE(E2499:E2698)</x:f>
        <x:v>413.0810500000002</x:v>
      </x:c>
      <x:c r="H2698" s="37" t="n">
        <x:f t="shared" si="115">IFERROR(E2698/G2698-1,"")</x:f>
        <x:v>-0.05425339651867389</x:v>
      </x:c>
      <x:c r="I2698" s="38" t="b">
        <x:f t="shared" si="116">E2698&lt;G2698</x:f>
        <x:v>1</x:v>
      </x:c>
    </x:row>
    <x:row r="2699">
      <x:c r="A2699" s="31">
        <x:v>40941</x:v>
      </x:c>
      <x:c r="B2699" s="32">
        <x:v>393.89</x:v>
      </x:c>
      <x:c r="C2699" s="32">
        <x:v>401.61</x:v>
      </x:c>
      <x:c r="D2699" s="32">
        <x:v>393.82</x:v>
      </x:c>
      <x:c r="E2699" s="32">
        <x:v>401.61</x:v>
      </x:c>
      <x:c r="F2699" s="33">
        <x:v>39209510</x:v>
      </x:c>
      <x:c r="G2699" s="32" t="n">
        <x:f t="shared" si="114">AVERAGE(E2500:E2699)</x:f>
        <x:v>412.7841000000002</x:v>
      </x:c>
      <x:c r="H2699" s="37" t="n">
        <x:f t="shared" si="115">IFERROR(E2699/G2699-1,"")</x:f>
        <x:v>-0.02707008336803718</x:v>
      </x:c>
      <x:c r="I2699" s="38" t="b">
        <x:f t="shared" si="116">E2699&lt;G2699</x:f>
        <x:v>1</x:v>
      </x:c>
    </x:row>
    <x:row r="2700">
      <x:c r="A2700" s="31">
        <x:v>40942</x:v>
      </x:c>
      <x:c r="B2700" s="32">
        <x:v>408.95</x:v>
      </x:c>
      <x:c r="C2700" s="32">
        <x:v>411.38</x:v>
      </x:c>
      <x:c r="D2700" s="32">
        <x:v>401.74</x:v>
      </x:c>
      <x:c r="E2700" s="32">
        <x:v>401.74</x:v>
      </x:c>
      <x:c r="F2700" s="33">
        <x:v>55293290</x:v>
      </x:c>
      <x:c r="G2700" s="32" t="n">
        <x:f t="shared" si="114">AVERAGE(E2501:E2700)</x:f>
        <x:v>412.5153000000002</x:v>
      </x:c>
      <x:c r="H2700" s="37" t="n">
        <x:f t="shared" si="115">IFERROR(E2700/G2700-1,"")</x:f>
        <x:v>-0.026120970543396016</x:v>
      </x:c>
      <x:c r="I2700" s="38" t="b">
        <x:f t="shared" si="116">E2700&lt;G2700</x:f>
        <x:v>1</x:v>
      </x:c>
    </x:row>
    <x:row r="2701">
      <x:c r="A2701" s="31">
        <x:v>40945</x:v>
      </x:c>
      <x:c r="B2701" s="32">
        <x:v>402.36</x:v>
      </x:c>
      <x:c r="C2701" s="32">
        <x:v>402.38</x:v>
      </x:c>
      <x:c r="D2701" s="32">
        <x:v>394.91</x:v>
      </x:c>
      <x:c r="E2701" s="32">
        <x:v>399.73</x:v>
      </x:c>
      <x:c r="F2701" s="33">
        <x:v>28639550</x:v>
      </x:c>
      <x:c r="G2701" s="32" t="n">
        <x:f t="shared" ref="G2701:G2764" si="117">AVERAGE(E2502:E2701)</x:f>
        <x:v>412.2454500000001</x:v>
      </x:c>
      <x:c r="H2701" s="37" t="n">
        <x:f t="shared" ref="H2701:H2764" si="118">IFERROR(E2701/G2701-1,"")</x:f>
        <x:v>-0.030359219246689273</x:v>
      </x:c>
      <x:c r="I2701" s="38" t="b">
        <x:f t="shared" ref="I2701:I2764" si="119">E2701&lt;G2701</x:f>
        <x:v>1</x:v>
      </x:c>
    </x:row>
    <x:row r="2702">
      <x:c r="A2702" s="31">
        <x:v>40946</x:v>
      </x:c>
      <x:c r="B2702" s="32">
        <x:v>400.43</x:v>
      </x:c>
      <x:c r="C2702" s="32">
        <x:v>402.5</x:v>
      </x:c>
      <x:c r="D2702" s="32">
        <x:v>396.02</x:v>
      </x:c>
      <x:c r="E2702" s="32">
        <x:v>401.08</x:v>
      </x:c>
      <x:c r="F2702" s="33">
        <x:v>32063940</x:v>
      </x:c>
      <x:c r="G2702" s="32" t="n">
        <x:f t="shared" si="117">AVERAGE(E2503:E2702)</x:f>
        <x:v>411.9583500000001</x:v>
      </x:c>
      <x:c r="H2702" s="37" t="n">
        <x:f t="shared" si="118">IFERROR(E2702/G2702-1,"")</x:f>
        <x:v>-0.026406431621061044</x:v>
      </x:c>
      <x:c r="I2702" s="38" t="b">
        <x:f t="shared" si="119">E2702&lt;G2702</x:f>
        <x:v>1</x:v>
      </x:c>
    </x:row>
    <x:row r="2703">
      <x:c r="A2703" s="31">
        <x:v>40947</x:v>
      </x:c>
      <x:c r="B2703" s="32">
        <x:v>403.74</x:v>
      </x:c>
      <x:c r="C2703" s="32">
        <x:v>409.74</x:v>
      </x:c>
      <x:c r="D2703" s="32">
        <x:v>401.51</x:v>
      </x:c>
      <x:c r="E2703" s="32">
        <x:v>409.53</x:v>
      </x:c>
      <x:c r="F2703" s="33">
        <x:v>41644860</x:v>
      </x:c>
      <x:c r="G2703" s="32" t="n">
        <x:f t="shared" si="117">AVERAGE(E2504:E2703)</x:f>
        <x:v>411.70450000000017</x:v>
      </x:c>
      <x:c r="H2703" s="37" t="n">
        <x:f t="shared" si="118">IFERROR(E2703/G2703-1,"")</x:f>
        <x:v>-0.0052817008315434455</x:v>
      </x:c>
      <x:c r="I2703" s="38" t="b">
        <x:f t="shared" si="119">E2703&lt;G2703</x:f>
        <x:v>1</x:v>
      </x:c>
    </x:row>
    <x:row r="2704">
      <x:c r="A2704" s="31">
        <x:v>40948</x:v>
      </x:c>
      <x:c r="B2704" s="32">
        <x:v>412.98</x:v>
      </x:c>
      <x:c r="C2704" s="32">
        <x:v>414.6</x:v>
      </x:c>
      <x:c r="D2704" s="32">
        <x:v>409.18</x:v>
      </x:c>
      <x:c r="E2704" s="32">
        <x:v>411.39</x:v>
      </x:c>
      <x:c r="F2704" s="33">
        <x:v>41021360</x:v>
      </x:c>
      <x:c r="G2704" s="32" t="n">
        <x:f t="shared" si="117">AVERAGE(E2505:E2704)</x:f>
        <x:v>411.4789500000001</x:v>
      </x:c>
      <x:c r="H2704" s="37" t="n">
        <x:f t="shared" si="118">IFERROR(E2704/G2704-1,"")</x:f>
        <x:v>-0.00021617144692365198</x:v>
      </x:c>
      <x:c r="I2704" s="38" t="b">
        <x:f t="shared" si="119">E2704&lt;G2704</x:f>
        <x:v>1</x:v>
      </x:c>
    </x:row>
    <x:row r="2705">
      <x:c r="A2705" s="31">
        <x:v>40949</x:v>
      </x:c>
      <x:c r="B2705" s="32">
        <x:v>410.11</x:v>
      </x:c>
      <x:c r="C2705" s="32">
        <x:v>409.97</x:v>
      </x:c>
      <x:c r="D2705" s="32">
        <x:v>403.65</x:v>
      </x:c>
      <x:c r="E2705" s="32">
        <x:v>405.02</x:v>
      </x:c>
      <x:c r="F2705" s="33">
        <x:v>45896610</x:v>
      </x:c>
      <x:c r="G2705" s="32" t="n">
        <x:f t="shared" si="117">AVERAGE(E2506:E2705)</x:f>
        <x:v>411.1760500000002</x:v>
      </x:c>
      <x:c r="H2705" s="37" t="n">
        <x:f t="shared" si="118">IFERROR(E2705/G2705-1,"")</x:f>
        <x:v>-0.014971810736545077</x:v>
      </x:c>
      <x:c r="I2705" s="38" t="b">
        <x:f t="shared" si="119">E2705&lt;G2705</x:f>
        <x:v>1</x:v>
      </x:c>
    </x:row>
    <x:row r="2706">
      <x:c r="A2706" s="31">
        <x:v>40952</x:v>
      </x:c>
      <x:c r="B2706" s="32">
        <x:v>402.37</x:v>
      </x:c>
      <x:c r="C2706" s="32">
        <x:v>405.02</x:v>
      </x:c>
      <x:c r="D2706" s="32">
        <x:v>395.54</x:v>
      </x:c>
      <x:c r="E2706" s="32">
        <x:v>395.54</x:v>
      </x:c>
      <x:c r="F2706" s="33">
        <x:v>28103480</x:v>
      </x:c>
      <x:c r="G2706" s="32" t="n">
        <x:f t="shared" si="117">AVERAGE(E2507:E2706)</x:f>
        <x:v>410.8442500000001</x:v>
      </x:c>
      <x:c r="H2706" s="37" t="n">
        <x:f t="shared" si="118">IFERROR(E2706/G2706-1,"")</x:f>
        <x:v>-0.03725073431111692</x:v>
      </x:c>
      <x:c r="I2706" s="38" t="b">
        <x:f t="shared" si="119">E2706&lt;G2706</x:f>
        <x:v>1</x:v>
      </x:c>
    </x:row>
    <x:row r="2707">
      <x:c r="A2707" s="31">
        <x:v>40953</x:v>
      </x:c>
      <x:c r="B2707" s="32">
        <x:v>391.08</x:v>
      </x:c>
      <x:c r="C2707" s="32">
        <x:v>400.26</x:v>
      </x:c>
      <x:c r="D2707" s="32">
        <x:v>391.08</x:v>
      </x:c>
      <x:c r="E2707" s="32">
        <x:v>400.26</x:v>
      </x:c>
      <x:c r="F2707" s="33">
        <x:v>28107570</x:v>
      </x:c>
      <x:c r="G2707" s="32" t="n">
        <x:f t="shared" si="117">AVERAGE(E2508:E2707)</x:f>
        <x:v>410.49905000000007</x:v>
      </x:c>
      <x:c r="H2707" s="37" t="n">
        <x:f t="shared" si="118">IFERROR(E2707/G2707-1,"")</x:f>
        <x:v>-0.02494293226744393</x:v>
      </x:c>
      <x:c r="I2707" s="38" t="b">
        <x:f t="shared" si="119">E2707&lt;G2707</x:f>
        <x:v>1</x:v>
      </x:c>
    </x:row>
    <x:row r="2708">
      <x:c r="A2708" s="31">
        <x:v>40954</x:v>
      </x:c>
      <x:c r="B2708" s="32">
        <x:v>398.61</x:v>
      </x:c>
      <x:c r="C2708" s="32">
        <x:v>400.66</x:v>
      </x:c>
      <x:c r="D2708" s="32">
        <x:v>394.38</x:v>
      </x:c>
      <x:c r="E2708" s="32">
        <x:v>397.41</x:v>
      </x:c>
      <x:c r="F2708" s="33">
        <x:v>29091950</x:v>
      </x:c>
      <x:c r="G2708" s="32" t="n">
        <x:f t="shared" si="117">AVERAGE(E2509:E2708)</x:f>
        <x:v>410.12160000000006</x:v>
      </x:c>
      <x:c r="H2708" s="37" t="n">
        <x:f t="shared" si="118">IFERROR(E2708/G2708-1,"")</x:f>
        <x:v>-0.03099470986166064</x:v>
      </x:c>
      <x:c r="I2708" s="38" t="b">
        <x:f t="shared" si="119">E2708&lt;G2708</x:f>
        <x:v>1</x:v>
      </x:c>
    </x:row>
    <x:row r="2709">
      <x:c r="A2709" s="31">
        <x:v>40955</x:v>
      </x:c>
      <x:c r="B2709" s="32">
        <x:v>395.2</x:v>
      </x:c>
      <x:c r="C2709" s="32">
        <x:v>398.44</x:v>
      </x:c>
      <x:c r="D2709" s="32">
        <x:v>393.66</x:v>
      </x:c>
      <x:c r="E2709" s="32">
        <x:v>396.51</x:v>
      </x:c>
      <x:c r="F2709" s="33">
        <x:v>31249860</x:v>
      </x:c>
      <x:c r="G2709" s="32" t="n">
        <x:f t="shared" si="117">AVERAGE(E2510:E2709)</x:f>
        <x:v>409.70365</x:v>
      </x:c>
      <x:c r="H2709" s="37" t="n">
        <x:f t="shared" si="118">IFERROR(E2709/G2709-1,"")</x:f>
        <x:v>-0.03220291056718683</x:v>
      </x:c>
      <x:c r="I2709" s="38" t="b">
        <x:f t="shared" si="119">E2709&lt;G2709</x:f>
        <x:v>1</x:v>
      </x:c>
    </x:row>
    <x:row r="2710">
      <x:c r="A2710" s="31">
        <x:v>40956</x:v>
      </x:c>
      <x:c r="B2710" s="32">
        <x:v>397.98</x:v>
      </x:c>
      <x:c r="C2710" s="32">
        <x:v>403.3</x:v>
      </x:c>
      <x:c r="D2710" s="32">
        <x:v>397.98</x:v>
      </x:c>
      <x:c r="E2710" s="32">
        <x:v>403.3</x:v>
      </x:c>
      <x:c r="F2710" s="33">
        <x:v>29820360</x:v>
      </x:c>
      <x:c r="G2710" s="32" t="n">
        <x:f t="shared" si="117">AVERAGE(E2511:E2710)</x:f>
        <x:v>409.28714999999994</x:v>
      </x:c>
      <x:c r="H2710" s="37" t="n">
        <x:f t="shared" si="118">IFERROR(E2710/G2710-1,"")</x:f>
        <x:v>-0.014628238389599924</x:v>
      </x:c>
      <x:c r="I2710" s="38" t="b">
        <x:f t="shared" si="119">E2710&lt;G2710</x:f>
        <x:v>1</x:v>
      </x:c>
    </x:row>
    <x:row r="2711">
      <x:c r="A2711" s="31">
        <x:v>40959</x:v>
      </x:c>
      <x:c r="B2711" s="32">
        <x:v>409.83</x:v>
      </x:c>
      <x:c r="C2711" s="32">
        <x:v>414.5</x:v>
      </x:c>
      <x:c r="D2711" s="32">
        <x:v>408.98</x:v>
      </x:c>
      <x:c r="E2711" s="32">
        <x:v>413.98</x:v>
      </x:c>
      <x:c r="F2711" s="33">
        <x:v>42285070</x:v>
      </x:c>
      <x:c r="G2711" s="32" t="n">
        <x:f t="shared" si="117">AVERAGE(E2512:E2711)</x:f>
        <x:v>408.96055</x:v>
      </x:c>
      <x:c r="H2711" s="37" t="n">
        <x:f t="shared" si="118">IFERROR(E2711/G2711-1,"")</x:f>
        <x:v>0.012273677742266287</x:v>
      </x:c>
      <x:c r="I2711" s="38" t="b">
        <x:f t="shared" si="119">E2711&lt;G2711</x:f>
        <x:v>0</x:v>
      </x:c>
    </x:row>
    <x:row r="2712">
      <x:c r="A2712" s="31">
        <x:v>40960</x:v>
      </x:c>
      <x:c r="B2712" s="32">
        <x:v>421.81</x:v>
      </x:c>
      <x:c r="C2712" s="32">
        <x:v>422.19</x:v>
      </x:c>
      <x:c r="D2712" s="32">
        <x:v>410.32</x:v>
      </x:c>
      <x:c r="E2712" s="32">
        <x:v>410.91</x:v>
      </x:c>
      <x:c r="F2712" s="33">
        <x:v>56654590</x:v>
      </x:c>
      <x:c r="G2712" s="32" t="n">
        <x:f t="shared" si="117">AVERAGE(E2513:E2712)</x:f>
        <x:v>408.6516</x:v>
      </x:c>
      <x:c r="H2712" s="37" t="n">
        <x:f t="shared" si="118">IFERROR(E2712/G2712-1,"")</x:f>
        <x:v>0.005526468023127951</x:v>
      </x:c>
      <x:c r="I2712" s="38" t="b">
        <x:f t="shared" si="119">E2712&lt;G2712</x:f>
        <x:v>0</x:v>
      </x:c>
    </x:row>
    <x:row r="2713">
      <x:c r="A2713" s="31">
        <x:v>40961</x:v>
      </x:c>
      <x:c r="B2713" s="32">
        <x:v>410.63</x:v>
      </x:c>
      <x:c r="C2713" s="32">
        <x:v>418.41</x:v>
      </x:c>
      <x:c r="D2713" s="32">
        <x:v>410.63</x:v>
      </x:c>
      <x:c r="E2713" s="32">
        <x:v>418.41</x:v>
      </x:c>
      <x:c r="F2713" s="33">
        <x:v>47041290</x:v>
      </x:c>
      <x:c r="G2713" s="32" t="n">
        <x:f t="shared" si="117">AVERAGE(E2514:E2713)</x:f>
        <x:v>408.35614999999996</x:v>
      </x:c>
      <x:c r="H2713" s="37" t="n">
        <x:f t="shared" si="118">IFERROR(E2713/G2713-1,"")</x:f>
        <x:v>0.024620297747444342</x:v>
      </x:c>
      <x:c r="I2713" s="38" t="b">
        <x:f t="shared" si="119">E2713&lt;G2713</x:f>
        <x:v>0</x:v>
      </x:c>
    </x:row>
    <x:row r="2714">
      <x:c r="A2714" s="31">
        <x:v>40962</x:v>
      </x:c>
      <x:c r="B2714" s="32">
        <x:v>419.49</x:v>
      </x:c>
      <x:c r="C2714" s="32">
        <x:v>423.89</x:v>
      </x:c>
      <x:c r="D2714" s="32">
        <x:v>416.45</x:v>
      </x:c>
      <x:c r="E2714" s="32">
        <x:v>423.89</x:v>
      </x:c>
      <x:c r="F2714" s="33">
        <x:v>60216010</x:v>
      </x:c>
      <x:c r="G2714" s="32" t="n">
        <x:f t="shared" si="117">AVERAGE(E2515:E2714)</x:f>
        <x:v>408.06910000000005</x:v>
      </x:c>
      <x:c r="H2714" s="37" t="n">
        <x:f t="shared" si="118">IFERROR(E2714/G2714-1,"")</x:f>
        <x:v>0.038770149467332704</x:v>
      </x:c>
      <x:c r="I2714" s="38" t="b">
        <x:f t="shared" si="119">E2714&lt;G2714</x:f>
        <x:v>0</x:v>
      </x:c>
    </x:row>
    <x:row r="2715">
      <x:c r="A2715" s="31">
        <x:v>40963</x:v>
      </x:c>
      <x:c r="B2715" s="32">
        <x:v>427.1</x:v>
      </x:c>
      <x:c r="C2715" s="32">
        <x:v>429.42</x:v>
      </x:c>
      <x:c r="D2715" s="32">
        <x:v>423.43</x:v>
      </x:c>
      <x:c r="E2715" s="32">
        <x:v>423.43</x:v>
      </x:c>
      <x:c r="F2715" s="33">
        <x:v>68663810</x:v>
      </x:c>
      <x:c r="G2715" s="32" t="n">
        <x:f t="shared" si="117">AVERAGE(E2516:E2715)</x:f>
        <x:v>407.77025000000003</x:v>
      </x:c>
      <x:c r="H2715" s="37" t="n">
        <x:f t="shared" si="118">IFERROR(E2715/G2715-1,"")</x:f>
        <x:v>0.038403365620714114</x:v>
      </x:c>
      <x:c r="I2715" s="38" t="b">
        <x:f t="shared" si="119">E2715&lt;G2715</x:f>
        <x:v>0</x:v>
      </x:c>
    </x:row>
    <x:row r="2716">
      <x:c r="A2716" s="31">
        <x:v>40966</x:v>
      </x:c>
      <x:c r="B2716" s="32">
        <x:v>426.03</x:v>
      </x:c>
      <x:c r="C2716" s="32">
        <x:v>430.75</x:v>
      </x:c>
      <x:c r="D2716" s="32">
        <x:v>425.66</x:v>
      </x:c>
      <x:c r="E2716" s="32">
        <x:v>428.41</x:v>
      </x:c>
      <x:c r="F2716" s="33">
        <x:v>61428800</x:v>
      </x:c>
      <x:c r="G2716" s="32" t="n">
        <x:f t="shared" si="117">AVERAGE(E2517:E2716)</x:f>
        <x:v>407.5018</x:v>
      </x:c>
      <x:c r="H2716" s="37" t="n">
        <x:f t="shared" si="118">IFERROR(E2716/G2716-1,"")</x:f>
        <x:v>0.05130823962004594</x:v>
      </x:c>
      <x:c r="I2716" s="38" t="b">
        <x:f t="shared" si="119">E2716&lt;G2716</x:f>
        <x:v>0</x:v>
      </x:c>
    </x:row>
    <x:row r="2717">
      <x:c r="A2717" s="31">
        <x:v>40967</x:v>
      </x:c>
      <x:c r="B2717" s="32">
        <x:v>429.26</x:v>
      </x:c>
      <x:c r="C2717" s="32">
        <x:v>431.11</x:v>
      </x:c>
      <x:c r="D2717" s="32">
        <x:v>421.65</x:v>
      </x:c>
      <x:c r="E2717" s="32">
        <x:v>422.22</x:v>
      </x:c>
      <x:c r="F2717" s="33">
        <x:v>84449500</x:v>
      </x:c>
      <x:c r="G2717" s="32" t="n">
        <x:f t="shared" si="117">AVERAGE(E2518:E2717)</x:f>
        <x:v>407.2144</x:v>
      </x:c>
      <x:c r="H2717" s="37" t="n">
        <x:f t="shared" si="118">IFERROR(E2717/G2717-1,"")</x:f>
        <x:v>0.036849384501137505</x:v>
      </x:c>
      <x:c r="I2717" s="38" t="b">
        <x:f t="shared" si="119">E2717&lt;G2717</x:f>
        <x:v>0</x:v>
      </x:c>
    </x:row>
    <x:row r="2718">
      <x:c r="A2718" s="31">
        <x:v>40968</x:v>
      </x:c>
      <x:c r="B2718" s="32">
        <x:v>420.02</x:v>
      </x:c>
      <x:c r="C2718" s="32">
        <x:v>423.64</x:v>
      </x:c>
      <x:c r="D2718" s="32">
        <x:v>418.01</x:v>
      </x:c>
      <x:c r="E2718" s="32">
        <x:v>423.64</x:v>
      </x:c>
      <x:c r="F2718" s="33">
        <x:v>69107950</x:v>
      </x:c>
      <x:c r="G2718" s="32" t="n">
        <x:f t="shared" si="117">AVERAGE(E2519:E2718)</x:f>
        <x:v>406.9751</x:v>
      </x:c>
      <x:c r="H2718" s="37" t="n">
        <x:f t="shared" si="118">IFERROR(E2718/G2718-1,"")</x:f>
        <x:v>0.04094820543074995</x:v>
      </x:c>
      <x:c r="I2718" s="38" t="b">
        <x:f t="shared" si="119">E2718&lt;G2718</x:f>
        <x:v>0</x:v>
      </x:c>
    </x:row>
    <x:row r="2719">
      <x:c r="A2719" s="31">
        <x:v>40969</x:v>
      </x:c>
      <x:c r="B2719" s="32">
        <x:v>426.48</x:v>
      </x:c>
      <x:c r="C2719" s="32">
        <x:v>427.95</x:v>
      </x:c>
      <x:c r="D2719" s="32">
        <x:v>422.65</x:v>
      </x:c>
      <x:c r="E2719" s="32">
        <x:v>427.95</x:v>
      </x:c>
      <x:c r="F2719" s="33">
        <x:v>58982220</x:v>
      </x:c>
      <x:c r="G2719" s="32" t="n">
        <x:f t="shared" si="117">AVERAGE(E2520:E2719)</x:f>
        <x:v>406.79285</x:v>
      </x:c>
      <x:c r="H2719" s="37" t="n">
        <x:f t="shared" si="118">IFERROR(E2719/G2719-1,"")</x:f>
        <x:v>0.05200964077908443</x:v>
      </x:c>
      <x:c r="I2719" s="38" t="b">
        <x:f t="shared" si="119">E2719&lt;G2719</x:f>
        <x:v>0</x:v>
      </x:c>
    </x:row>
    <x:row r="2720">
      <x:c r="A2720" s="31">
        <x:v>40970</x:v>
      </x:c>
      <x:c r="B2720" s="32">
        <x:v>432.32</x:v>
      </x:c>
      <x:c r="C2720" s="32">
        <x:v>439.6</x:v>
      </x:c>
      <x:c r="D2720" s="32">
        <x:v>431.79</x:v>
      </x:c>
      <x:c r="E2720" s="32">
        <x:v>439.6</x:v>
      </x:c>
      <x:c r="F2720" s="33">
        <x:v>74979590</x:v>
      </x:c>
      <x:c r="G2720" s="32" t="n">
        <x:f t="shared" si="117">AVERAGE(E2521:E2720)</x:f>
        <x:v>406.7163500000001</x:v>
      </x:c>
      <x:c r="H2720" s="37" t="n">
        <x:f t="shared" si="118">IFERROR(E2720/G2720-1,"")</x:f>
        <x:v>0.08085155661925048</x:v>
      </x:c>
      <x:c r="I2720" s="38" t="b">
        <x:f t="shared" si="119">E2720&lt;G2720</x:f>
        <x:v>0</x:v>
      </x:c>
    </x:row>
    <x:row r="2721">
      <x:c r="A2721" s="31">
        <x:v>40973</x:v>
      </x:c>
      <x:c r="B2721" s="32">
        <x:v>448.66</x:v>
      </x:c>
      <x:c r="C2721" s="32">
        <x:v>459.8</x:v>
      </x:c>
      <x:c r="D2721" s="32">
        <x:v>448.66</x:v>
      </x:c>
      <x:c r="E2721" s="32">
        <x:v>457.21</x:v>
      </x:c>
      <x:c r="F2721" s="33">
        <x:v>65544530</x:v>
      </x:c>
      <x:c r="G2721" s="32" t="n">
        <x:f t="shared" si="117">AVERAGE(E2522:E2721)</x:f>
        <x:v>406.7779000000001</x:v>
      </x:c>
      <x:c r="H2721" s="37" t="n">
        <x:f t="shared" si="118">IFERROR(E2721/G2721-1,"")</x:f>
        <x:v>0.12397944922769866</x:v>
      </x:c>
      <x:c r="I2721" s="38" t="b">
        <x:f t="shared" si="119">E2721&lt;G2721</x:f>
        <x:v>0</x:v>
      </x:c>
    </x:row>
    <x:row r="2722">
      <x:c r="A2722" s="31">
        <x:v>40974</x:v>
      </x:c>
      <x:c r="B2722" s="32">
        <x:v>465.63</x:v>
      </x:c>
      <x:c r="C2722" s="32">
        <x:v>468.15</x:v>
      </x:c>
      <x:c r="D2722" s="32">
        <x:v>444.99</x:v>
      </x:c>
      <x:c r="E2722" s="32">
        <x:v>445</x:v>
      </x:c>
      <x:c r="F2722" s="33">
        <x:v>143229740</x:v>
      </x:c>
      <x:c r="G2722" s="32" t="n">
        <x:f t="shared" si="117">AVERAGE(E2523:E2722)</x:f>
        <x:v>406.8384000000001</x:v>
      </x:c>
      <x:c r="H2722" s="37" t="n">
        <x:f t="shared" si="118">IFERROR(E2722/G2722-1,"")</x:f>
        <x:v>0.09380038855722539</x:v>
      </x:c>
      <x:c r="I2722" s="38" t="b">
        <x:f t="shared" si="119">E2722&lt;G2722</x:f>
        <x:v>0</x:v>
      </x:c>
    </x:row>
    <x:row r="2723">
      <x:c r="A2723" s="31">
        <x:v>40975</x:v>
      </x:c>
      <x:c r="B2723" s="32">
        <x:v>442.74</x:v>
      </x:c>
      <x:c r="C2723" s="32">
        <x:v>444.25</x:v>
      </x:c>
      <x:c r="D2723" s="32">
        <x:v>433.69</x:v>
      </x:c>
      <x:c r="E2723" s="32">
        <x:v>444.02</x:v>
      </x:c>
      <x:c r="F2723" s="33">
        <x:v>97945750</x:v>
      </x:c>
      <x:c r="G2723" s="32" t="n">
        <x:f t="shared" si="117">AVERAGE(E2524:E2723)</x:f>
        <x:v>406.9695000000001</x:v>
      </x:c>
      <x:c r="H2723" s="37" t="n">
        <x:f t="shared" si="118">IFERROR(E2723/G2723-1,"")</x:f>
        <x:v>0.09103999194042767</x:v>
      </x:c>
      <x:c r="I2723" s="38" t="b">
        <x:f t="shared" si="119">E2723&lt;G2723</x:f>
        <x:v>0</x:v>
      </x:c>
    </x:row>
    <x:row r="2724">
      <x:c r="A2724" s="31">
        <x:v>40976</x:v>
      </x:c>
      <x:c r="B2724" s="32">
        <x:v>436.44</x:v>
      </x:c>
      <x:c r="C2724" s="32">
        <x:v>443.5</x:v>
      </x:c>
      <x:c r="D2724" s="32">
        <x:v>431.66</x:v>
      </x:c>
      <x:c r="E2724" s="32">
        <x:v>431.66</x:v>
      </x:c>
      <x:c r="F2724" s="33">
        <x:v>83407280</x:v>
      </x:c>
      <x:c r="G2724" s="32" t="n">
        <x:f t="shared" si="117">AVERAGE(E2525:E2724)</x:f>
        <x:v>407.1148000000001</x:v>
      </x:c>
      <x:c r="H2724" s="37" t="n">
        <x:f t="shared" si="118">IFERROR(E2724/G2724-1,"")</x:f>
        <x:v>0.060290610903853015</x:v>
      </x:c>
      <x:c r="I2724" s="38" t="b">
        <x:f t="shared" si="119">E2724&lt;G2724</x:f>
        <x:v>0</x:v>
      </x:c>
    </x:row>
    <x:row r="2725">
      <x:c r="A2725" s="31">
        <x:v>40977</x:v>
      </x:c>
      <x:c r="B2725" s="32">
        <x:v>429.2</x:v>
      </x:c>
      <x:c r="C2725" s="32">
        <x:v>435.27</x:v>
      </x:c>
      <x:c r="D2725" s="32">
        <x:v>424.43</x:v>
      </x:c>
      <x:c r="E2725" s="32">
        <x:v>432.11</x:v>
      </x:c>
      <x:c r="F2725" s="33">
        <x:v>71638930</x:v>
      </x:c>
      <x:c r="G2725" s="32" t="n">
        <x:f t="shared" si="117">AVERAGE(E2526:E2725)</x:f>
        <x:v>407.34335000000016</x:v>
      </x:c>
      <x:c r="H2725" s="37" t="n">
        <x:f t="shared" si="118">IFERROR(E2725/G2725-1,"")</x:f>
        <x:v>0.06080042794364959</x:v>
      </x:c>
      <x:c r="I2725" s="38" t="b">
        <x:f t="shared" si="119">E2725&lt;G2725</x:f>
        <x:v>0</x:v>
      </x:c>
    </x:row>
    <x:row r="2726">
      <x:c r="A2726" s="31">
        <x:v>40980</x:v>
      </x:c>
      <x:c r="B2726" s="32">
        <x:v>429.83</x:v>
      </x:c>
      <x:c r="C2726" s="32">
        <x:v>432.61</x:v>
      </x:c>
      <x:c r="D2726" s="32">
        <x:v>423.43</x:v>
      </x:c>
      <x:c r="E2726" s="32">
        <x:v>428.02</x:v>
      </x:c>
      <x:c r="F2726" s="33">
        <x:v>68630700</x:v>
      </x:c>
      <x:c r="G2726" s="32" t="n">
        <x:f t="shared" si="117">AVERAGE(E2527:E2726)</x:f>
        <x:v>407.49345000000017</x:v>
      </x:c>
      <x:c r="H2726" s="37" t="n">
        <x:f t="shared" si="118">IFERROR(E2726/G2726-1,"")</x:f>
        <x:v>0.05037271151229494</x:v>
      </x:c>
      <x:c r="I2726" s="38" t="b">
        <x:f t="shared" si="119">E2726&lt;G2726</x:f>
        <x:v>0</x:v>
      </x:c>
    </x:row>
    <x:row r="2727">
      <x:c r="A2727" s="31">
        <x:v>40981</x:v>
      </x:c>
      <x:c r="B2727" s="32">
        <x:v>429.73</x:v>
      </x:c>
      <x:c r="C2727" s="32">
        <x:v>433.66</x:v>
      </x:c>
      <x:c r="D2727" s="32">
        <x:v>427.76</x:v>
      </x:c>
      <x:c r="E2727" s="32">
        <x:v>429.39</x:v>
      </x:c>
      <x:c r="F2727" s="33">
        <x:v>58475180</x:v>
      </x:c>
      <x:c r="G2727" s="32" t="n">
        <x:f t="shared" si="117">AVERAGE(E2528:E2727)</x:f>
        <x:v>407.5864000000002</x:v>
      </x:c>
      <x:c r="H2727" s="37" t="n">
        <x:f t="shared" si="118">IFERROR(E2727/G2727-1,"")</x:f>
        <x:v>0.05349442474037347</x:v>
      </x:c>
      <x:c r="I2727" s="38" t="b">
        <x:f t="shared" si="119">E2727&lt;G2727</x:f>
        <x:v>0</x:v>
      </x:c>
    </x:row>
    <x:row r="2728">
      <x:c r="A2728" s="31">
        <x:v>40982</x:v>
      </x:c>
      <x:c r="B2728" s="32">
        <x:v>435.73</x:v>
      </x:c>
      <x:c r="C2728" s="32">
        <x:v>437.23</x:v>
      </x:c>
      <x:c r="D2728" s="32">
        <x:v>429.22</x:v>
      </x:c>
      <x:c r="E2728" s="32">
        <x:v>433.86</x:v>
      </x:c>
      <x:c r="F2728" s="33">
        <x:v>59926960</x:v>
      </x:c>
      <x:c r="G2728" s="32" t="n">
        <x:f t="shared" si="117">AVERAGE(E2529:E2728)</x:f>
        <x:v>407.69520000000017</x:v>
      </x:c>
      <x:c r="H2728" s="37" t="n">
        <x:f t="shared" si="118">IFERROR(E2728/G2728-1,"")</x:f>
        <x:v>0.06417735602479469</x:v>
      </x:c>
      <x:c r="I2728" s="38" t="b">
        <x:f t="shared" si="119">E2728&lt;G2728</x:f>
        <x:v>0</x:v>
      </x:c>
    </x:row>
    <x:row r="2729">
      <x:c r="A2729" s="31">
        <x:v>40983</x:v>
      </x:c>
      <x:c r="B2729" s="32">
        <x:v>433.47</x:v>
      </x:c>
      <x:c r="C2729" s="32">
        <x:v>442.55</x:v>
      </x:c>
      <x:c r="D2729" s="32">
        <x:v>430.39</x:v>
      </x:c>
      <x:c r="E2729" s="32">
        <x:v>441.85</x:v>
      </x:c>
      <x:c r="F2729" s="33">
        <x:v>88589620</x:v>
      </x:c>
      <x:c r="G2729" s="32" t="n">
        <x:f t="shared" si="117">AVERAGE(E2530:E2729)</x:f>
        <x:v>407.79745000000025</x:v>
      </x:c>
      <x:c r="H2729" s="37" t="n">
        <x:f t="shared" si="118">IFERROR(E2729/G2729-1,"")</x:f>
        <x:v>0.08350358738143093</x:v>
      </x:c>
      <x:c r="I2729" s="38" t="b">
        <x:f t="shared" si="119">E2729&lt;G2729</x:f>
        <x:v>0</x:v>
      </x:c>
    </x:row>
    <x:row r="2730">
      <x:c r="A2730" s="31">
        <x:v>40984</x:v>
      </x:c>
      <x:c r="B2730" s="32">
        <x:v>449.66</x:v>
      </x:c>
      <x:c r="C2730" s="32">
        <x:v>450.32</x:v>
      </x:c>
      <x:c r="D2730" s="32">
        <x:v>438.52</x:v>
      </x:c>
      <x:c r="E2730" s="32">
        <x:v>438.52</x:v>
      </x:c>
      <x:c r="F2730" s="33">
        <x:v>105559940</x:v>
      </x:c>
      <x:c r="G2730" s="32" t="n">
        <x:f t="shared" si="117">AVERAGE(E2531:E2730)</x:f>
        <x:v>407.8115500000003</x:v>
      </x:c>
      <x:c r="H2730" s="37" t="n">
        <x:f t="shared" si="118">IFERROR(E2730/G2730-1,"")</x:f>
        <x:v>0.07530058920596949</x:v>
      </x:c>
      <x:c r="I2730" s="38" t="b">
        <x:f t="shared" si="119">E2730&lt;G2730</x:f>
        <x:v>0</x:v>
      </x:c>
    </x:row>
    <x:row r="2731">
      <x:c r="A2731" s="31">
        <x:v>40987</x:v>
      </x:c>
      <x:c r="B2731" s="32">
        <x:v>435.82</x:v>
      </x:c>
      <x:c r="C2731" s="32">
        <x:v>440.92</x:v>
      </x:c>
      <x:c r="D2731" s="32">
        <x:v>433.6</x:v>
      </x:c>
      <x:c r="E2731" s="32">
        <x:v>438.07</x:v>
      </x:c>
      <x:c r="F2731" s="33">
        <x:v>51449420</x:v>
      </x:c>
      <x:c r="G2731" s="32" t="n">
        <x:f t="shared" si="117">AVERAGE(E2532:E2731)</x:f>
        <x:v>407.74890000000033</x:v>
      </x:c>
      <x:c r="H2731" s="37" t="n">
        <x:f t="shared" si="118">IFERROR(E2731/G2731-1,"")</x:f>
        <x:v>0.07436218712055287</x:v>
      </x:c>
      <x:c r="I2731" s="38" t="b">
        <x:f t="shared" si="119">E2731&lt;G2731</x:f>
        <x:v>0</x:v>
      </x:c>
    </x:row>
    <x:row r="2732">
      <x:c r="A2732" s="31">
        <x:v>40988</x:v>
      </x:c>
      <x:c r="B2732" s="32">
        <x:v>435.2</x:v>
      </x:c>
      <x:c r="C2732" s="32">
        <x:v>441.73</x:v>
      </x:c>
      <x:c r="D2732" s="32">
        <x:v>435.2</x:v>
      </x:c>
      <x:c r="E2732" s="32">
        <x:v>440.29</x:v>
      </x:c>
      <x:c r="F2732" s="33">
        <x:v>56347500</x:v>
      </x:c>
      <x:c r="G2732" s="32" t="n">
        <x:f t="shared" si="117">AVERAGE(E2533:E2732)</x:f>
        <x:v>407.73335000000026</x:v>
      </x:c>
      <x:c r="H2732" s="37" t="n">
        <x:f t="shared" si="118">IFERROR(E2732/G2732-1,"")</x:f>
        <x:v>0.07984789568966999</x:v>
      </x:c>
      <x:c r="I2732" s="38" t="b">
        <x:f t="shared" si="119">E2732&lt;G2732</x:f>
        <x:v>0</x:v>
      </x:c>
    </x:row>
    <x:row r="2733">
      <x:c r="A2733" s="31">
        <x:v>40989</x:v>
      </x:c>
      <x:c r="B2733" s="32">
        <x:v>443.43</x:v>
      </x:c>
      <x:c r="C2733" s="32">
        <x:v>450.25</x:v>
      </x:c>
      <x:c r="D2733" s="32">
        <x:v>443.13</x:v>
      </x:c>
      <x:c r="E2733" s="32">
        <x:v>445.77</x:v>
      </x:c>
      <x:c r="F2733" s="33">
        <x:v>95897770</x:v>
      </x:c>
      <x:c r="G2733" s="32" t="n">
        <x:f t="shared" si="117">AVERAGE(E2534:E2733)</x:f>
        <x:v>407.79320000000035</x:v>
      </x:c>
      <x:c r="H2733" s="37" t="n">
        <x:f t="shared" si="118">IFERROR(E2733/G2733-1,"")</x:f>
        <x:v>0.09312759506534096</x:v>
      </x:c>
      <x:c r="I2733" s="38" t="b">
        <x:f t="shared" si="119">E2733&lt;G2733</x:f>
        <x:v>0</x:v>
      </x:c>
    </x:row>
    <x:row r="2734">
      <x:c r="A2734" s="31">
        <x:v>40990</x:v>
      </x:c>
      <x:c r="B2734" s="32">
        <x:v>442.77</x:v>
      </x:c>
      <x:c r="C2734" s="32">
        <x:v>448.92</x:v>
      </x:c>
      <x:c r="D2734" s="32">
        <x:v>442.44</x:v>
      </x:c>
      <x:c r="E2734" s="32">
        <x:v>445.67</x:v>
      </x:c>
      <x:c r="F2734" s="33">
        <x:v>76082270</x:v>
      </x:c>
      <x:c r="G2734" s="32" t="n">
        <x:f t="shared" si="117">AVERAGE(E2535:E2734)</x:f>
        <x:v>407.80305000000027</x:v>
      </x:c>
      <x:c r="H2734" s="37" t="n">
        <x:f t="shared" si="118">IFERROR(E2734/G2734-1,"")</x:f>
        <x:v>0.09285597545187496</x:v>
      </x:c>
      <x:c r="I2734" s="38" t="b">
        <x:f t="shared" si="119">E2734&lt;G2734</x:f>
        <x:v>0</x:v>
      </x:c>
    </x:row>
    <x:row r="2735">
      <x:c r="A2735" s="31">
        <x:v>40991</x:v>
      </x:c>
      <x:c r="B2735" s="32">
        <x:v>448.93</x:v>
      </x:c>
      <x:c r="C2735" s="32">
        <x:v>455.16</x:v>
      </x:c>
      <x:c r="D2735" s="32">
        <x:v>448.85</x:v>
      </x:c>
      <x:c r="E2735" s="32">
        <x:v>454.1</x:v>
      </x:c>
      <x:c r="F2735" s="33">
        <x:v>85360500</x:v>
      </x:c>
      <x:c r="G2735" s="32" t="n">
        <x:f t="shared" si="117">AVERAGE(E2536:E2735)</x:f>
        <x:v>407.8755500000004</x:v>
      </x:c>
      <x:c r="H2735" s="37" t="n">
        <x:f t="shared" si="118">IFERROR(E2735/G2735-1,"")</x:f>
        <x:v>0.11332978895155543</x:v>
      </x:c>
      <x:c r="I2735" s="38" t="b">
        <x:f t="shared" si="119">E2735&lt;G2735</x:f>
        <x:v>0</x:v>
      </x:c>
    </x:row>
    <x:row r="2736">
      <x:c r="A2736" s="31">
        <x:v>40994</x:v>
      </x:c>
      <x:c r="B2736" s="32">
        <x:v>458.21</x:v>
      </x:c>
      <x:c r="C2736" s="32">
        <x:v>459.26</x:v>
      </x:c>
      <x:c r="D2736" s="32">
        <x:v>451.46</x:v>
      </x:c>
      <x:c r="E2736" s="32">
        <x:v>459.26</x:v>
      </x:c>
      <x:c r="F2736" s="33">
        <x:v>89726030</x:v>
      </x:c>
      <x:c r="G2736" s="32" t="n">
        <x:f t="shared" si="117">AVERAGE(E2537:E2736)</x:f>
        <x:v>407.95185000000026</x:v>
      </x:c>
      <x:c r="H2736" s="37" t="n">
        <x:f t="shared" si="118">IFERROR(E2736/G2736-1,"")</x:f>
        <x:v>0.12577011233065782</x:v>
      </x:c>
      <x:c r="I2736" s="38" t="b">
        <x:f t="shared" si="119">E2736&lt;G2736</x:f>
        <x:v>0</x:v>
      </x:c>
    </x:row>
    <x:row r="2737">
      <x:c r="A2737" s="31">
        <x:v>40995</x:v>
      </x:c>
      <x:c r="B2737" s="32">
        <x:v>459.3</x:v>
      </x:c>
      <x:c r="C2737" s="32">
        <x:v>445.9</x:v>
      </x:c>
      <x:c r="D2737" s="32">
        <x:v>445.9</x:v>
      </x:c>
      <x:c r="E2737" s="32">
        <x:v>445.9</x:v>
      </x:c>
      <x:c r="F2737" s="33">
        <x:v>115772320</x:v>
      </x:c>
      <x:c r="G2737" s="32" t="n">
        <x:f t="shared" si="117">AVERAGE(E2538:E2737)</x:f>
        <x:v>407.9563500000002</x:v>
      </x:c>
      <x:c r="H2737" s="37" t="n">
        <x:f t="shared" si="118">IFERROR(E2737/G2737-1,"")</x:f>
        <x:v>0.09300909276200686</x:v>
      </x:c>
      <x:c r="I2737" s="38" t="b">
        <x:f t="shared" si="119">E2737&lt;G2737</x:f>
        <x:v>0</x:v>
      </x:c>
    </x:row>
    <x:row r="2738">
      <x:c r="A2738" s="31">
        <x:v>40996</x:v>
      </x:c>
      <x:c r="B2738" s="32">
        <x:v>443.2</x:v>
      </x:c>
      <x:c r="C2738" s="32">
        <x:v>447.14</x:v>
      </x:c>
      <x:c r="D2738" s="32">
        <x:v>437.05</x:v>
      </x:c>
      <x:c r="E2738" s="32">
        <x:v>446.32</x:v>
      </x:c>
      <x:c r="F2738" s="33">
        <x:v>76397450</x:v>
      </x:c>
      <x:c r="G2738" s="32" t="n">
        <x:f t="shared" si="117">AVERAGE(E2539:E2738)</x:f>
        <x:v>407.9744500000003</x:v>
      </x:c>
      <x:c r="H2738" s="37" t="n">
        <x:f t="shared" si="118">IFERROR(E2738/G2738-1,"")</x:f>
        <x:v>0.09399007707467888</x:v>
      </x:c>
      <x:c r="I2738" s="38" t="b">
        <x:f t="shared" si="119">E2738&lt;G2738</x:f>
        <x:v>0</x:v>
      </x:c>
    </x:row>
    <x:row r="2739">
      <x:c r="A2739" s="31">
        <x:v>40997</x:v>
      </x:c>
      <x:c r="B2739" s="32">
        <x:v>449.01</x:v>
      </x:c>
      <x:c r="C2739" s="32">
        <x:v>449.01</x:v>
      </x:c>
      <x:c r="D2739" s="32">
        <x:v>439.47</x:v>
      </x:c>
      <x:c r="E2739" s="32">
        <x:v>439.63</x:v>
      </x:c>
      <x:c r="F2739" s="33">
        <x:v>71130040</x:v>
      </x:c>
      <x:c r="G2739" s="32" t="n">
        <x:f t="shared" si="117">AVERAGE(E2540:E2739)</x:f>
        <x:v>407.9651000000003</x:v>
      </x:c>
      <x:c r="H2739" s="37" t="n">
        <x:f t="shared" si="118">IFERROR(E2739/G2739-1,"")</x:f>
        <x:v>0.07761668829024759</x:v>
      </x:c>
      <x:c r="I2739" s="38" t="b">
        <x:f t="shared" si="119">E2739&lt;G2739</x:f>
        <x:v>0</x:v>
      </x:c>
    </x:row>
    <x:row r="2740">
      <x:c r="A2740" s="31">
        <x:v>40998</x:v>
      </x:c>
      <x:c r="B2740" s="32">
        <x:v>442.57</x:v>
      </x:c>
      <x:c r="C2740" s="32">
        <x:v>443.74</x:v>
      </x:c>
      <x:c r="D2740" s="32">
        <x:v>437.62</x:v>
      </x:c>
      <x:c r="E2740" s="32">
        <x:v>441.03</x:v>
      </x:c>
      <x:c r="F2740" s="33">
        <x:v>61661900</x:v>
      </x:c>
      <x:c r="G2740" s="32" t="n">
        <x:f t="shared" si="117">AVERAGE(E2541:E2740)</x:f>
        <x:v>407.9627500000003</x:v>
      </x:c>
      <x:c r="H2740" s="37" t="n">
        <x:f t="shared" si="118">IFERROR(E2740/G2740-1,"")</x:f>
        <x:v>0.08105458157638079</x:v>
      </x:c>
      <x:c r="I2740" s="38" t="b">
        <x:f t="shared" si="119">E2740&lt;G2740</x:f>
        <x:v>0</x:v>
      </x:c>
    </x:row>
    <x:row r="2741">
      <x:c r="A2741" s="31">
        <x:v>41002</x:v>
      </x:c>
      <x:c r="B2741" s="32">
        <x:v>440.95</x:v>
      </x:c>
      <x:c r="C2741" s="32">
        <x:v>446.14</x:v>
      </x:c>
      <x:c r="D2741" s="32">
        <x:v>440.23</x:v>
      </x:c>
      <x:c r="E2741" s="32">
        <x:v>445.77</x:v>
      </x:c>
      <x:c r="F2741" s="33">
        <x:v>54047250</x:v>
      </x:c>
      <x:c r="G2741" s="32" t="n">
        <x:f t="shared" si="117">AVERAGE(E2542:E2741)</x:f>
        <x:v>407.96560000000034</x:v>
      </x:c>
      <x:c r="H2741" s="37" t="n">
        <x:f t="shared" si="118">IFERROR(E2741/G2741-1,"")</x:f>
        <x:v>0.09266565612394673</x:v>
      </x:c>
      <x:c r="I2741" s="38" t="b">
        <x:f t="shared" si="119">E2741&lt;G2741</x:f>
        <x:v>0</x:v>
      </x:c>
    </x:row>
    <x:row r="2742">
      <x:c r="A2742" s="31">
        <x:v>41003</x:v>
      </x:c>
      <x:c r="B2742" s="32">
        <x:v>446.02</x:v>
      </x:c>
      <x:c r="C2742" s="32">
        <x:v>447.02</x:v>
      </x:c>
      <x:c r="D2742" s="32">
        <x:v>439.27</x:v>
      </x:c>
      <x:c r="E2742" s="32">
        <x:v>439.77</x:v>
      </x:c>
      <x:c r="F2742" s="33">
        <x:v>48957860</x:v>
      </x:c>
      <x:c r="G2742" s="32" t="n">
        <x:f t="shared" si="117">AVERAGE(E2543:E2742)</x:f>
        <x:v>407.9699500000003</x:v>
      </x:c>
      <x:c r="H2742" s="37" t="n">
        <x:f t="shared" si="118">IFERROR(E2742/G2742-1,"")</x:f>
        <x:v>0.07794703997193819</x:v>
      </x:c>
      <x:c r="I2742" s="38" t="b">
        <x:f t="shared" si="119">E2742&lt;G2742</x:f>
        <x:v>0</x:v>
      </x:c>
    </x:row>
    <x:row r="2743">
      <x:c r="A2743" s="31">
        <x:v>41004</x:v>
      </x:c>
      <x:c r="B2743" s="32">
        <x:v>439</x:v>
      </x:c>
      <x:c r="C2743" s="32">
        <x:v>445.8</x:v>
      </x:c>
      <x:c r="D2743" s="32">
        <x:v>436.67</x:v>
      </x:c>
      <x:c r="E2743" s="32">
        <x:v>444.93</x:v>
      </x:c>
      <x:c r="F2743" s="33">
        <x:v>55823460</x:v>
      </x:c>
      <x:c r="G2743" s="32" t="n">
        <x:f t="shared" si="117">AVERAGE(E2544:E2743)</x:f>
        <x:v>408.0366000000003</x:v>
      </x:c>
      <x:c r="H2743" s="37" t="n">
        <x:f t="shared" si="118">IFERROR(E2743/G2743-1,"")</x:f>
        <x:v>0.09041688907318535</x:v>
      </x:c>
      <x:c r="I2743" s="38" t="b">
        <x:f t="shared" si="119">E2743&lt;G2743</x:f>
        <x:v>0</x:v>
      </x:c>
    </x:row>
    <x:row r="2744">
      <x:c r="A2744" s="31">
        <x:v>41005</x:v>
      </x:c>
      <x:c r="B2744" s="32">
        <x:v>447.08</x:v>
      </x:c>
      <x:c r="C2744" s="32">
        <x:v>450.23</x:v>
      </x:c>
      <x:c r="D2744" s="32">
        <x:v>445.87</x:v>
      </x:c>
      <x:c r="E2744" s="32">
        <x:v>447.44</x:v>
      </x:c>
      <x:c r="F2744" s="33">
        <x:v>69734180</x:v>
      </x:c>
      <x:c r="G2744" s="32" t="n">
        <x:f t="shared" si="117">AVERAGE(E2545:E2744)</x:f>
        <x:v>408.0603000000003</x:v>
      </x:c>
      <x:c r="H2744" s="37" t="n">
        <x:f t="shared" si="118">IFERROR(E2744/G2744-1,"")</x:f>
        <x:v>0.09650460973537411</x:v>
      </x:c>
      <x:c r="I2744" s="38" t="b">
        <x:f t="shared" si="119">E2744&lt;G2744</x:f>
        <x:v>0</x:v>
      </x:c>
    </x:row>
    <x:row r="2745">
      <x:c r="A2745" s="31">
        <x:v>41008</x:v>
      </x:c>
      <x:c r="B2745" s="32">
        <x:v>450.55</x:v>
      </x:c>
      <x:c r="C2745" s="32">
        <x:v>452.06</x:v>
      </x:c>
      <x:c r="D2745" s="32">
        <x:v>448.17</x:v>
      </x:c>
      <x:c r="E2745" s="32">
        <x:v>450.73</x:v>
      </x:c>
      <x:c r="F2745" s="33">
        <x:v>63077480</x:v>
      </x:c>
      <x:c r="G2745" s="32" t="n">
        <x:f t="shared" si="117">AVERAGE(E2546:E2745)</x:f>
        <x:v>408.1159500000003</x:v>
      </x:c>
      <x:c r="H2745" s="37" t="n">
        <x:f t="shared" si="118">IFERROR(E2745/G2745-1,"")</x:f>
        <x:v>0.10441652672481849</x:v>
      </x:c>
      <x:c r="I2745" s="38" t="b">
        <x:f t="shared" si="119">E2745&lt;G2745</x:f>
        <x:v>0</x:v>
      </x:c>
    </x:row>
    <x:row r="2746">
      <x:c r="A2746" s="31">
        <x:v>41009</x:v>
      </x:c>
      <x:c r="B2746" s="32">
        <x:v>451.01</x:v>
      </x:c>
      <x:c r="C2746" s="32">
        <x:v>455.86</x:v>
      </x:c>
      <x:c r="D2746" s="32">
        <x:v>448.91</x:v>
      </x:c>
      <x:c r="E2746" s="32">
        <x:v>450.85</x:v>
      </x:c>
      <x:c r="F2746" s="33">
        <x:v>80453480</x:v>
      </x:c>
      <x:c r="G2746" s="32" t="n">
        <x:f t="shared" si="117">AVERAGE(E2547:E2746)</x:f>
        <x:v>408.1962000000003</x:v>
      </x:c>
      <x:c r="H2746" s="37" t="n">
        <x:f t="shared" si="118">IFERROR(E2746/G2746-1,"")</x:f>
        <x:v>0.10449337842929385</x:v>
      </x:c>
      <x:c r="I2746" s="38" t="b">
        <x:f t="shared" si="119">E2746&lt;G2746</x:f>
        <x:v>0</x:v>
      </x:c>
    </x:row>
    <x:row r="2747">
      <x:c r="A2747" s="31">
        <x:v>41010</x:v>
      </x:c>
      <x:c r="B2747" s="32">
        <x:v>457.56</x:v>
      </x:c>
      <x:c r="C2747" s="32">
        <x:v>458.74</x:v>
      </x:c>
      <x:c r="D2747" s="32">
        <x:v>452.69</x:v>
      </x:c>
      <x:c r="E2747" s="32">
        <x:v>458.74</x:v>
      </x:c>
      <x:c r="F2747" s="33">
        <x:v>88529490</x:v>
      </x:c>
      <x:c r="G2747" s="32" t="n">
        <x:f t="shared" si="117">AVERAGE(E2548:E2747)</x:f>
        <x:v>408.32290000000035</x:v>
      </x:c>
      <x:c r="H2747" s="37" t="n">
        <x:f t="shared" si="118">IFERROR(E2747/G2747-1,"")</x:f>
        <x:v>0.12347360385616302</x:v>
      </x:c>
      <x:c r="I2747" s="38" t="b">
        <x:f t="shared" si="119">E2747&lt;G2747</x:f>
        <x:v>0</x:v>
      </x:c>
    </x:row>
    <x:row r="2748">
      <x:c r="A2748" s="31">
        <x:v>41011</x:v>
      </x:c>
      <x:c r="B2748" s="32">
        <x:v>462.22</x:v>
      </x:c>
      <x:c r="C2748" s="32">
        <x:v>468.14</x:v>
      </x:c>
      <x:c r="D2748" s="32">
        <x:v>460.79</x:v>
      </x:c>
      <x:c r="E2748" s="32">
        <x:v>465.26</x:v>
      </x:c>
      <x:c r="F2748" s="33">
        <x:v>97343440</x:v>
      </x:c>
      <x:c r="G2748" s="32" t="n">
        <x:f t="shared" si="117">AVERAGE(E2549:E2748)</x:f>
        <x:v>408.4777000000004</x:v>
      </x:c>
      <x:c r="H2748" s="37" t="n">
        <x:f t="shared" si="118">IFERROR(E2748/G2748-1,"")</x:f>
        <x:v>0.13900954691039313</x:v>
      </x:c>
      <x:c r="I2748" s="38" t="b">
        <x:f t="shared" si="119">E2748&lt;G2748</x:f>
        <x:v>0</x:v>
      </x:c>
    </x:row>
    <x:row r="2749">
      <x:c r="A2749" s="31">
        <x:v>41012</x:v>
      </x:c>
      <x:c r="B2749" s="32">
        <x:v>467.48</x:v>
      </x:c>
      <x:c r="C2749" s="32">
        <x:v>468.38</x:v>
      </x:c>
      <x:c r="D2749" s="32">
        <x:v>462.52</x:v>
      </x:c>
      <x:c r="E2749" s="32">
        <x:v>462.52</x:v>
      </x:c>
      <x:c r="F2749" s="33">
        <x:v>118550280</x:v>
      </x:c>
      <x:c r="G2749" s="32" t="n">
        <x:f t="shared" si="117">AVERAGE(E2550:E2749)</x:f>
        <x:v>408.6288000000004</x:v>
      </x:c>
      <x:c r="H2749" s="37" t="n">
        <x:f t="shared" si="118">IFERROR(E2749/G2749-1,"")</x:f>
        <x:v>0.13188301950327408</x:v>
      </x:c>
      <x:c r="I2749" s="38" t="b">
        <x:f t="shared" si="119">E2749&lt;G2749</x:f>
        <x:v>0</x:v>
      </x:c>
    </x:row>
    <x:row r="2750">
      <x:c r="A2750" s="31">
        <x:v>41015</x:v>
      </x:c>
      <x:c r="B2750" s="32">
        <x:v>465.06</x:v>
      </x:c>
      <x:c r="C2750" s="32">
        <x:v>470.7</x:v>
      </x:c>
      <x:c r="D2750" s="32">
        <x:v>461.76</x:v>
      </x:c>
      <x:c r="E2750" s="32">
        <x:v>468.26</x:v>
      </x:c>
      <x:c r="F2750" s="33">
        <x:v>81922480</x:v>
      </x:c>
      <x:c r="G2750" s="32" t="n">
        <x:f t="shared" si="117">AVERAGE(E2551:E2750)</x:f>
        <x:v>408.79710000000046</x:v>
      </x:c>
      <x:c r="H2750" s="37" t="n">
        <x:f t="shared" si="118">IFERROR(E2750/G2750-1,"")</x:f>
        <x:v>0.14545822365178096</x:v>
      </x:c>
      <x:c r="I2750" s="38" t="b">
        <x:f t="shared" si="119">E2750&lt;G2750</x:f>
        <x:v>0</x:v>
      </x:c>
    </x:row>
    <x:row r="2751">
      <x:c r="A2751" s="31">
        <x:v>41016</x:v>
      </x:c>
      <x:c r="B2751" s="32">
        <x:v>471.54</x:v>
      </x:c>
      <x:c r="C2751" s="32">
        <x:v>474.92</x:v>
      </x:c>
      <x:c r="D2751" s="32">
        <x:v>467.58</x:v>
      </x:c>
      <x:c r="E2751" s="32">
        <x:v>472.84</x:v>
      </x:c>
      <x:c r="F2751" s="33">
        <x:v>95743250</x:v>
      </x:c>
      <x:c r="G2751" s="32" t="n">
        <x:f t="shared" si="117">AVERAGE(E2552:E2751)</x:f>
        <x:v>408.9988000000004</x:v>
      </x:c>
      <x:c r="H2751" s="37" t="n">
        <x:f t="shared" si="118">IFERROR(E2751/G2751-1,"")</x:f>
        <x:v>0.1560914115151426</x:v>
      </x:c>
      <x:c r="I2751" s="38" t="b">
        <x:f t="shared" si="119">E2751&lt;G2751</x:f>
        <x:v>0</x:v>
      </x:c>
    </x:row>
    <x:row r="2752">
      <x:c r="A2752" s="31">
        <x:v>41017</x:v>
      </x:c>
      <x:c r="B2752" s="32">
        <x:v>475.1</x:v>
      </x:c>
      <x:c r="C2752" s="32">
        <x:v>478.87</x:v>
      </x:c>
      <x:c r="D2752" s="32">
        <x:v>471.36</x:v>
      </x:c>
      <x:c r="E2752" s="32">
        <x:v>472.16</x:v>
      </x:c>
      <x:c r="F2752" s="33">
        <x:v>119699530</x:v>
      </x:c>
      <x:c r="G2752" s="32" t="n">
        <x:f t="shared" si="117">AVERAGE(E2553:E2752)</x:f>
        <x:v>409.23310000000043</x:v>
      </x:c>
      <x:c r="H2752" s="37" t="n">
        <x:f t="shared" si="118">IFERROR(E2752/G2752-1,"")</x:f>
        <x:v>0.1537678648183627</x:v>
      </x:c>
      <x:c r="I2752" s="38" t="b">
        <x:f t="shared" si="119">E2752&lt;G2752</x:f>
        <x:v>0</x:v>
      </x:c>
    </x:row>
    <x:row r="2753">
      <x:c r="A2753" s="31">
        <x:v>41018</x:v>
      </x:c>
      <x:c r="B2753" s="32">
        <x:v>470.81</x:v>
      </x:c>
      <x:c r="C2753" s="32">
        <x:v>473.31</x:v>
      </x:c>
      <x:c r="D2753" s="32">
        <x:v>465.29</x:v>
      </x:c>
      <x:c r="E2753" s="32">
        <x:v>467.08</x:v>
      </x:c>
      <x:c r="F2753" s="33">
        <x:v>119923140</x:v>
      </x:c>
      <x:c r="G2753" s="32" t="n">
        <x:f t="shared" si="117">AVERAGE(E2554:E2753)</x:f>
        <x:v>409.4415000000005</x:v>
      </x:c>
      <x:c r="H2753" s="37" t="n">
        <x:f t="shared" si="118">IFERROR(E2753/G2753-1,"")</x:f>
        <x:v>0.14077346824882042</x:v>
      </x:c>
      <x:c r="I2753" s="38" t="b">
        <x:f t="shared" si="119">E2753&lt;G2753</x:f>
        <x:v>0</x:v>
      </x:c>
    </x:row>
    <x:row r="2754">
      <x:c r="A2754" s="31">
        <x:v>41019</x:v>
      </x:c>
      <x:c r="B2754" s="32">
        <x:v>467.4</x:v>
      </x:c>
      <x:c r="C2754" s="32">
        <x:v>470.5</x:v>
      </x:c>
      <x:c r="D2754" s="32">
        <x:v>462.91</x:v>
      </x:c>
      <x:c r="E2754" s="32">
        <x:v>465.72</x:v>
      </x:c>
      <x:c r="F2754" s="33">
        <x:v>82431400</x:v>
      </x:c>
      <x:c r="G2754" s="32" t="n">
        <x:f t="shared" si="117">AVERAGE(E2555:E2754)</x:f>
        <x:v>409.61510000000044</x:v>
      </x:c>
      <x:c r="H2754" s="37" t="n">
        <x:f t="shared" si="118">IFERROR(E2754/G2754-1,"")</x:f>
        <x:v>0.1369698040916938</x:v>
      </x:c>
      <x:c r="I2754" s="38" t="b">
        <x:f t="shared" si="119">E2754&lt;G2754</x:f>
        <x:v>0</x:v>
      </x:c>
    </x:row>
    <x:row r="2755">
      <x:c r="A2755" s="31">
        <x:v>41022</x:v>
      </x:c>
      <x:c r="B2755" s="32">
        <x:v>466.8</x:v>
      </x:c>
      <x:c r="C2755" s="32">
        <x:v>469.2</x:v>
      </x:c>
      <x:c r="D2755" s="32">
        <x:v>464.61</x:v>
      </x:c>
      <x:c r="E2755" s="32">
        <x:v>465.17</x:v>
      </x:c>
      <x:c r="F2755" s="33">
        <x:v>60229240</x:v>
      </x:c>
      <x:c r="G2755" s="32" t="n">
        <x:f t="shared" si="117">AVERAGE(E2556:E2755)</x:f>
        <x:v>409.7994500000005</x:v>
      </x:c>
      <x:c r="H2755" s="37" t="n">
        <x:f t="shared" si="118">IFERROR(E2755/G2755-1,"")</x:f>
        <x:v>0.13511621355274994</x:v>
      </x:c>
      <x:c r="I2755" s="38" t="b">
        <x:f t="shared" si="119">E2755&lt;G2755</x:f>
        <x:v>0</x:v>
      </x:c>
    </x:row>
    <x:row r="2756">
      <x:c r="A2756" s="31">
        <x:v>41023</x:v>
      </x:c>
      <x:c r="B2756" s="32">
        <x:v>465.67</x:v>
      </x:c>
      <x:c r="C2756" s="32">
        <x:v>466.23</x:v>
      </x:c>
      <x:c r="D2756" s="32">
        <x:v>460.6</x:v>
      </x:c>
      <x:c r="E2756" s="32">
        <x:v>465.65</x:v>
      </x:c>
      <x:c r="F2756" s="33">
        <x:v>69115350</x:v>
      </x:c>
      <x:c r="G2756" s="32" t="n">
        <x:f t="shared" si="117">AVERAGE(E2557:E2756)</x:f>
        <x:v>409.9777000000004</x:v>
      </x:c>
      <x:c r="H2756" s="37" t="n">
        <x:f t="shared" si="118">IFERROR(E2756/G2756-1,"")</x:f>
        <x:v>0.13579348340165698</x:v>
      </x:c>
      <x:c r="I2756" s="38" t="b">
        <x:f t="shared" si="119">E2756&lt;G2756</x:f>
        <x:v>0</x:v>
      </x:c>
    </x:row>
    <x:row r="2757">
      <x:c r="A2757" s="31">
        <x:v>41024</x:v>
      </x:c>
      <x:c r="B2757" s="32">
        <x:v>471.39</x:v>
      </x:c>
      <x:c r="C2757" s="32">
        <x:v>473.22</x:v>
      </x:c>
      <x:c r="D2757" s="32">
        <x:v>468.89</x:v>
      </x:c>
      <x:c r="E2757" s="32">
        <x:v>472.87</x:v>
      </x:c>
      <x:c r="F2757" s="33">
        <x:v>83805110</x:v>
      </x:c>
      <x:c r="G2757" s="32" t="n">
        <x:f t="shared" si="117">AVERAGE(E2558:E2757)</x:f>
        <x:v>410.19055000000037</x:v>
      </x:c>
      <x:c r="H2757" s="37" t="n">
        <x:f t="shared" si="118">IFERROR(E2757/G2757-1,"")</x:f>
        <x:v>0.15280568994093002</x:v>
      </x:c>
      <x:c r="I2757" s="38" t="b">
        <x:f t="shared" si="119">E2757&lt;G2757</x:f>
        <x:v>0</x:v>
      </x:c>
    </x:row>
    <x:row r="2758">
      <x:c r="A2758" s="31">
        <x:v>41025</x:v>
      </x:c>
      <x:c r="B2758" s="32">
        <x:v>472.82</x:v>
      </x:c>
      <x:c r="C2758" s="32">
        <x:v>475.44</x:v>
      </x:c>
      <x:c r="D2758" s="32">
        <x:v>470.21</x:v>
      </x:c>
      <x:c r="E2758" s="32">
        <x:v>470.21</x:v>
      </x:c>
      <x:c r="F2758" s="33">
        <x:v>89707640</x:v>
      </x:c>
      <x:c r="G2758" s="32" t="n">
        <x:f t="shared" si="117">AVERAGE(E2559:E2758)</x:f>
        <x:v>410.4161000000004</x:v>
      </x:c>
      <x:c r="H2758" s="37" t="n">
        <x:f t="shared" si="118">IFERROR(E2758/G2758-1,"")</x:f>
        <x:v>0.14569092196919042</x:v>
      </x:c>
      <x:c r="I2758" s="38" t="b">
        <x:f t="shared" si="119">E2758&lt;G2758</x:f>
        <x:v>0</x:v>
      </x:c>
    </x:row>
    <x:row r="2759">
      <x:c r="A2759" s="31">
        <x:v>41026</x:v>
      </x:c>
      <x:c r="B2759" s="32">
        <x:v>473.43</x:v>
      </x:c>
      <x:c r="C2759" s="32">
        <x:v>475.22</x:v>
      </x:c>
      <x:c r="D2759" s="32">
        <x:v>470.43</x:v>
      </x:c>
      <x:c r="E2759" s="32">
        <x:v>473.77</x:v>
      </x:c>
      <x:c r="F2759" s="33">
        <x:v>80076110</x:v>
      </x:c>
      <x:c r="G2759" s="32" t="n">
        <x:f t="shared" si="117">AVERAGE(E2560:E2759)</x:f>
        <x:v>410.69845000000043</x:v>
      </x:c>
      <x:c r="H2759" s="37" t="n">
        <x:f t="shared" si="118">IFERROR(E2759/G2759-1,"")</x:f>
        <x:v>0.15357143422381925</x:v>
      </x:c>
      <x:c r="I2759" s="38" t="b">
        <x:f t="shared" si="119">E2759&lt;G2759</x:f>
        <x:v>0</x:v>
      </x:c>
    </x:row>
    <x:row r="2760">
      <x:c r="A2760" s="31">
        <x:v>41031</x:v>
      </x:c>
      <x:c r="B2760" s="32">
        <x:v>476.02</x:v>
      </x:c>
      <x:c r="C2760" s="32">
        <x:v>478.44</x:v>
      </x:c>
      <x:c r="D2760" s="32">
        <x:v>471.07</x:v>
      </x:c>
      <x:c r="E2760" s="32">
        <x:v>472.46</x:v>
      </x:c>
      <x:c r="F2760" s="33">
        <x:v>114884980</x:v>
      </x:c>
      <x:c r="G2760" s="32" t="n">
        <x:f t="shared" si="117">AVERAGE(E2561:E2760)</x:f>
        <x:v>410.96975000000043</x:v>
      </x:c>
      <x:c r="H2760" s="37" t="n">
        <x:f t="shared" si="118">IFERROR(E2760/G2760-1,"")</x:f>
        <x:v>0.14962232621743943</x:v>
      </x:c>
      <x:c r="I2760" s="38" t="b">
        <x:f t="shared" si="119">E2760&lt;G2760</x:f>
        <x:v>0</x:v>
      </x:c>
    </x:row>
    <x:row r="2761">
      <x:c r="A2761" s="31">
        <x:v>41032</x:v>
      </x:c>
      <x:c r="B2761" s="32">
        <x:v>470.54</x:v>
      </x:c>
      <x:c r="C2761" s="32">
        <x:v>473.07</x:v>
      </x:c>
      <x:c r="D2761" s="32">
        <x:v>465</x:v>
      </x:c>
      <x:c r="E2761" s="32">
        <x:v>468.8</x:v>
      </x:c>
      <x:c r="F2761" s="33">
        <x:v>100543120</x:v>
      </x:c>
      <x:c r="G2761" s="32" t="n">
        <x:f t="shared" si="117">AVERAGE(E2562:E2761)</x:f>
        <x:v>411.2192500000004</x:v>
      </x:c>
      <x:c r="H2761" s="37" t="n">
        <x:f t="shared" si="118">IFERROR(E2761/G2761-1,"")</x:f>
        <x:v>0.14002445167632493</x:v>
      </x:c>
      <x:c r="I2761" s="38" t="b">
        <x:f t="shared" si="119">E2761&lt;G2761</x:f>
        <x:v>0</x:v>
      </x:c>
    </x:row>
    <x:row r="2762">
      <x:c r="A2762" s="31">
        <x:v>41033</x:v>
      </x:c>
      <x:c r="B2762" s="32">
        <x:v>470.53</x:v>
      </x:c>
      <x:c r="C2762" s="32">
        <x:v>477.72</x:v>
      </x:c>
      <x:c r="D2762" s="32">
        <x:v>470.53</x:v>
      </x:c>
      <x:c r="E2762" s="32">
        <x:v>476.32</x:v>
      </x:c>
      <x:c r="F2762" s="33">
        <x:v>97867600</x:v>
      </x:c>
      <x:c r="G2762" s="32" t="n">
        <x:f t="shared" si="117">AVERAGE(E2563:E2762)</x:f>
        <x:v>411.52735000000047</x:v>
      </x:c>
      <x:c r="H2762" s="37" t="n">
        <x:f t="shared" si="118">IFERROR(E2762/G2762-1,"")</x:f>
        <x:v>0.1574443351091961</x:v>
      </x:c>
      <x:c r="I2762" s="38" t="b">
        <x:f t="shared" si="119">E2762&lt;G2762</x:f>
        <x:v>0</x:v>
      </x:c>
    </x:row>
    <x:row r="2763">
      <x:c r="A2763" s="31">
        <x:v>41036</x:v>
      </x:c>
      <x:c r="B2763" s="32">
        <x:v>481.95</x:v>
      </x:c>
      <x:c r="C2763" s="32">
        <x:v>486.31</x:v>
      </x:c>
      <x:c r="D2763" s="32">
        <x:v>481.05</x:v>
      </x:c>
      <x:c r="E2763" s="32">
        <x:v>486.31</x:v>
      </x:c>
      <x:c r="F2763" s="33">
        <x:v>92055910</x:v>
      </x:c>
      <x:c r="G2763" s="32" t="n">
        <x:f t="shared" si="117">AVERAGE(E2564:E2763)</x:f>
        <x:v>411.8799000000004</x:v>
      </x:c>
      <x:c r="H2763" s="37" t="n">
        <x:f t="shared" si="118">IFERROR(E2763/G2763-1,"")</x:f>
        <x:v>0.1807082598592442</x:v>
      </x:c>
      <x:c r="I2763" s="38" t="b">
        <x:f t="shared" si="119">E2763&lt;G2763</x:f>
        <x:v>0</x:v>
      </x:c>
    </x:row>
    <x:row r="2764">
      <x:c r="A2764" s="31">
        <x:v>41037</x:v>
      </x:c>
      <x:c r="B2764" s="32">
        <x:v>488.6</x:v>
      </x:c>
      <x:c r="C2764" s="32">
        <x:v>492.44</x:v>
      </x:c>
      <x:c r="D2764" s="32">
        <x:v>486.25</x:v>
      </x:c>
      <x:c r="E2764" s="32">
        <x:v>488.07</x:v>
      </x:c>
      <x:c r="F2764" s="33">
        <x:v>126988850</x:v>
      </x:c>
      <x:c r="G2764" s="32" t="n">
        <x:f t="shared" si="117">AVERAGE(E2565:E2764)</x:f>
        <x:v>412.26975000000044</x:v>
      </x:c>
      <x:c r="H2764" s="37" t="n">
        <x:f t="shared" si="118">IFERROR(E2764/G2764-1,"")</x:f>
        <x:v>0.18386080957916384</x:v>
      </x:c>
      <x:c r="I2764" s="38" t="b">
        <x:f t="shared" si="119">E2764&lt;G2764</x:f>
        <x:v>0</x:v>
      </x:c>
    </x:row>
    <x:row r="2765">
      <x:c r="A2765" s="31">
        <x:v>41038</x:v>
      </x:c>
      <x:c r="B2765" s="32">
        <x:v>488.19</x:v>
      </x:c>
      <x:c r="C2765" s="32">
        <x:v>490.49</x:v>
      </x:c>
      <x:c r="D2765" s="32">
        <x:v>485.33</x:v>
      </x:c>
      <x:c r="E2765" s="32">
        <x:v>487.62</x:v>
      </x:c>
      <x:c r="F2765" s="33">
        <x:v>109813000</x:v>
      </x:c>
      <x:c r="G2765" s="32" t="n">
        <x:f t="shared" ref="G2765:G2828" si="120">AVERAGE(E2566:E2765)</x:f>
        <x:v>412.62385000000046</x:v>
      </x:c>
      <x:c r="H2765" s="37" t="n">
        <x:f t="shared" ref="H2765:H2828" si="121">IFERROR(E2765/G2765-1,"")</x:f>
        <x:v>0.18175427813976208</x:v>
      </x:c>
      <x:c r="I2765" s="38" t="b">
        <x:f t="shared" ref="I2765:I2828" si="122">E2765&lt;G2765</x:f>
        <x:v>0</x:v>
      </x:c>
    </x:row>
    <x:row r="2766">
      <x:c r="A2766" s="31">
        <x:v>41039</x:v>
      </x:c>
      <x:c r="B2766" s="32">
        <x:v>490.03</x:v>
      </x:c>
      <x:c r="C2766" s="32">
        <x:v>491.35</x:v>
      </x:c>
      <x:c r="D2766" s="32">
        <x:v>482.68</x:v>
      </x:c>
      <x:c r="E2766" s="32">
        <x:v>486.07</x:v>
      </x:c>
      <x:c r="F2766" s="33">
        <x:v>124478310</x:v>
      </x:c>
      <x:c r="G2766" s="32" t="n">
        <x:f t="shared" si="120">AVERAGE(E2567:E2766)</x:f>
        <x:v>412.98870000000045</x:v>
      </x:c>
      <x:c r="H2766" s="37" t="n">
        <x:f t="shared" si="121">IFERROR(E2766/G2766-1,"")</x:f>
        <x:v>0.17695714192664225</x:v>
      </x:c>
      <x:c r="I2766" s="38" t="b">
        <x:f t="shared" si="122">E2766&lt;G2766</x:f>
        <x:v>0</x:v>
      </x:c>
    </x:row>
    <x:row r="2767">
      <x:c r="A2767" s="31">
        <x:v>41040</x:v>
      </x:c>
      <x:c r="B2767" s="32">
        <x:v>487.68</x:v>
      </x:c>
      <x:c r="C2767" s="32">
        <x:v>488.13</x:v>
      </x:c>
      <x:c r="D2767" s="32">
        <x:v>479.87</x:v>
      </x:c>
      <x:c r="E2767" s="32">
        <x:v>480.1</x:v>
      </x:c>
      <x:c r="F2767" s="33">
        <x:v>110416050</x:v>
      </x:c>
      <x:c r="G2767" s="32" t="n">
        <x:f t="shared" si="120">AVERAGE(E2568:E2767)</x:f>
        <x:v>413.3432000000004</x:v>
      </x:c>
      <x:c r="H2767" s="37" t="n">
        <x:f t="shared" si="121">IFERROR(E2767/G2767-1,"")</x:f>
        <x:v>0.16150453182730362</x:v>
      </x:c>
      <x:c r="I2767" s="38" t="b">
        <x:f t="shared" si="122">E2767&lt;G2767</x:f>
        <x:v>0</x:v>
      </x:c>
    </x:row>
    <x:row r="2768">
      <x:c r="A2768" s="31">
        <x:v>41043</x:v>
      </x:c>
      <x:c r="B2768" s="32">
        <x:v>477.73</x:v>
      </x:c>
      <x:c r="C2768" s="32">
        <x:v>483.15</x:v>
      </x:c>
      <x:c r="D2768" s="32">
        <x:v>469.69</x:v>
      </x:c>
      <x:c r="E2768" s="32">
        <x:v>469.69</x:v>
      </x:c>
      <x:c r="F2768" s="33">
        <x:v>88313720</x:v>
      </x:c>
      <x:c r="G2768" s="32" t="n">
        <x:f t="shared" si="120">AVERAGE(E2569:E2768)</x:f>
        <x:v>413.6448500000004</x:v>
      </x:c>
      <x:c r="H2768" s="37" t="n">
        <x:f t="shared" si="121">IFERROR(E2768/G2768-1,"")</x:f>
        <x:v>0.1354909894321168</x:v>
      </x:c>
      <x:c r="I2768" s="38" t="b">
        <x:f t="shared" si="122">E2768&lt;G2768</x:f>
        <x:v>0</x:v>
      </x:c>
    </x:row>
    <x:row r="2769">
      <x:c r="A2769" s="31">
        <x:v>41044</x:v>
      </x:c>
      <x:c r="B2769" s="32">
        <x:v>462.97</x:v>
      </x:c>
      <x:c r="C2769" s="32">
        <x:v>467.63</x:v>
      </x:c>
      <x:c r="D2769" s="32">
        <x:v>455.47</x:v>
      </x:c>
      <x:c r="E2769" s="32">
        <x:v>455.65</x:v>
      </x:c>
      <x:c r="F2769" s="33">
        <x:v>91695260</x:v>
      </x:c>
      <x:c r="G2769" s="32" t="n">
        <x:f t="shared" si="120">AVERAGE(E2570:E2769)</x:f>
        <x:v>413.87610000000035</x:v>
      </x:c>
      <x:c r="H2769" s="37" t="n">
        <x:f t="shared" si="121">IFERROR(E2769/G2769-1,"")</x:f>
        <x:v>0.10093334696059908</x:v>
      </x:c>
      <x:c r="I2769" s="38" t="b">
        <x:f t="shared" si="122">E2769&lt;G2769</x:f>
        <x:v>0</x:v>
      </x:c>
    </x:row>
    <x:row r="2770">
      <x:c r="A2770" s="31">
        <x:v>41045</x:v>
      </x:c>
      <x:c r="B2770" s="32">
        <x:v>455.75</x:v>
      </x:c>
      <x:c r="C2770" s="32">
        <x:v>458.57</x:v>
      </x:c>
      <x:c r="D2770" s="32">
        <x:v>446.38</x:v>
      </x:c>
      <x:c r="E2770" s="32">
        <x:v>449.91</x:v>
      </x:c>
      <x:c r="F2770" s="33">
        <x:v>83065900</x:v>
      </x:c>
      <x:c r="G2770" s="32" t="n">
        <x:f t="shared" si="120">AVERAGE(E2571:E2770)</x:f>
        <x:v>414.07865000000044</x:v>
      </x:c>
      <x:c r="H2770" s="37" t="n">
        <x:f t="shared" si="121">IFERROR(E2770/G2770-1,"")</x:f>
        <x:v>0.08653271546359509</x:v>
      </x:c>
      <x:c r="I2770" s="38" t="b">
        <x:f t="shared" si="122">E2770&lt;G2770</x:f>
        <x:v>0</x:v>
      </x:c>
    </x:row>
    <x:row r="2771">
      <x:c r="A2771" s="31">
        <x:v>41046</x:v>
      </x:c>
      <x:c r="B2771" s="32">
        <x:v>449.77</x:v>
      </x:c>
      <x:c r="C2771" s="32">
        <x:v>453.72</x:v>
      </x:c>
      <x:c r="D2771" s="32">
        <x:v>442.58</x:v>
      </x:c>
      <x:c r="E2771" s="32">
        <x:v>442.58</x:v>
      </x:c>
      <x:c r="F2771" s="33">
        <x:v>69652870</x:v>
      </x:c>
      <x:c r="G2771" s="32" t="n">
        <x:f t="shared" si="120">AVERAGE(E2572:E2771)</x:f>
        <x:v>414.2495500000004</x:v>
      </x:c>
      <x:c r="H2771" s="37" t="n">
        <x:f t="shared" si="121">IFERROR(E2771/G2771-1,"")</x:f>
        <x:v>0.0683898147867621</x:v>
      </x:c>
      <x:c r="I2771" s="38" t="b">
        <x:f t="shared" si="122">E2771&lt;G2771</x:f>
        <x:v>0</x:v>
      </x:c>
    </x:row>
    <x:row r="2772">
      <x:c r="A2772" s="31">
        <x:v>41047</x:v>
      </x:c>
      <x:c r="B2772" s="32">
        <x:v>439.69</x:v>
      </x:c>
      <x:c r="C2772" s="32">
        <x:v>440.24</x:v>
      </x:c>
      <x:c r="D2772" s="32">
        <x:v>430.29</x:v>
      </x:c>
      <x:c r="E2772" s="32">
        <x:v>434.95</x:v>
      </x:c>
      <x:c r="F2772" s="33">
        <x:v>76373980</x:v>
      </x:c>
      <x:c r="G2772" s="32" t="n">
        <x:f t="shared" si="120">AVERAGE(E2573:E2772)</x:f>
        <x:v>414.3958000000004</x:v>
      </x:c>
      <x:c r="H2772" s="37" t="n">
        <x:f t="shared" si="121">IFERROR(E2772/G2772-1,"")</x:f>
        <x:v>0.0496004061817219</x:v>
      </x:c>
      <x:c r="I2772" s="38" t="b">
        <x:f t="shared" si="122">E2772&lt;G2772</x:f>
        <x:v>0</x:v>
      </x:c>
    </x:row>
    <x:row r="2773">
      <x:c r="A2773" s="31">
        <x:v>41050</x:v>
      </x:c>
      <x:c r="B2773" s="32">
        <x:v>438.53</x:v>
      </x:c>
      <x:c r="C2773" s="32">
        <x:v>448.19</x:v>
      </x:c>
      <x:c r="D2773" s="32">
        <x:v>437.72</x:v>
      </x:c>
      <x:c r="E2773" s="32">
        <x:v>448.02</x:v>
      </x:c>
      <x:c r="F2773" s="33">
        <x:v>63857990</x:v>
      </x:c>
      <x:c r="G2773" s="32" t="n">
        <x:f t="shared" si="120">AVERAGE(E2574:E2773)</x:f>
        <x:v>414.62615000000034</x:v>
      </x:c>
      <x:c r="H2773" s="37" t="n">
        <x:f t="shared" si="121">IFERROR(E2773/G2773-1,"")</x:f>
        <x:v>0.08053966205459928</x:v>
      </x:c>
      <x:c r="I2773" s="38" t="b">
        <x:f t="shared" si="122">E2773&lt;G2773</x:f>
        <x:v>0</x:v>
      </x:c>
    </x:row>
    <x:row r="2774">
      <x:c r="A2774" s="31">
        <x:v>41051</x:v>
      </x:c>
      <x:c r="B2774" s="32">
        <x:v>451.32</x:v>
      </x:c>
      <x:c r="C2774" s="32">
        <x:v>453.7</x:v>
      </x:c>
      <x:c r="D2774" s="32">
        <x:v>446.84</x:v>
      </x:c>
      <x:c r="E2774" s="32">
        <x:v>447.94</x:v>
      </x:c>
      <x:c r="F2774" s="33">
        <x:v>60518060</x:v>
      </x:c>
      <x:c r="G2774" s="32" t="n">
        <x:f t="shared" si="120">AVERAGE(E2575:E2774)</x:f>
        <x:v>414.8831000000004</x:v>
      </x:c>
      <x:c r="H2774" s="37" t="n">
        <x:f t="shared" si="121">IFERROR(E2774/G2774-1,"")</x:f>
        <x:v>0.07967762485384333</x:v>
      </x:c>
      <x:c r="I2774" s="38" t="b">
        <x:f t="shared" si="122">E2774&lt;G2774</x:f>
        <x:v>0</x:v>
      </x:c>
    </x:row>
    <x:row r="2775">
      <x:c r="A2775" s="31">
        <x:v>41052</x:v>
      </x:c>
      <x:c r="B2775" s="32">
        <x:v>443.6</x:v>
      </x:c>
      <x:c r="C2775" s="32">
        <x:v>446.2</x:v>
      </x:c>
      <x:c r="D2775" s="32">
        <x:v>436.75</x:v>
      </x:c>
      <x:c r="E2775" s="32">
        <x:v>436.75</x:v>
      </x:c>
      <x:c r="F2775" s="33">
        <x:v>56528440</x:v>
      </x:c>
      <x:c r="G2775" s="32" t="n">
        <x:f t="shared" si="120">AVERAGE(E2576:E2775)</x:f>
        <x:v>415.1095000000004</x:v>
      </x:c>
      <x:c r="H2775" s="37" t="n">
        <x:f t="shared" si="121">IFERROR(E2775/G2775-1,"")</x:f>
        <x:v>0.05213202781434667</x:v>
      </x:c>
      <x:c r="I2775" s="38" t="b">
        <x:f t="shared" si="122">E2775&lt;G2775</x:f>
        <x:v>0</x:v>
      </x:c>
    </x:row>
    <x:row r="2776">
      <x:c r="A2776" s="31">
        <x:v>41053</x:v>
      </x:c>
      <x:c r="B2776" s="32">
        <x:v>431.39</x:v>
      </x:c>
      <x:c r="C2776" s="32">
        <x:v>435.59</x:v>
      </x:c>
      <x:c r="D2776" s="32">
        <x:v>425.65</x:v>
      </x:c>
      <x:c r="E2776" s="32">
        <x:v>426.92</x:v>
      </x:c>
      <x:c r="F2776" s="33">
        <x:v>52125440</x:v>
      </x:c>
      <x:c r="G2776" s="32" t="n">
        <x:f t="shared" si="120">AVERAGE(E2577:E2776)</x:f>
        <x:v>415.2638500000004</x:v>
      </x:c>
      <x:c r="H2776" s="37" t="n">
        <x:f t="shared" si="121">IFERROR(E2776/G2776-1,"")</x:f>
        <x:v>0.028069262470112877</x:v>
      </x:c>
      <x:c r="I2776" s="38" t="b">
        <x:f t="shared" si="122">E2776&lt;G2776</x:f>
        <x:v>0</x:v>
      </x:c>
    </x:row>
    <x:row r="2777">
      <x:c r="A2777" s="31">
        <x:v>41054</x:v>
      </x:c>
      <x:c r="B2777" s="32">
        <x:v>432.62</x:v>
      </x:c>
      <x:c r="C2777" s="32">
        <x:v>438.42</x:v>
      </x:c>
      <x:c r="D2777" s="32">
        <x:v>431.01</x:v>
      </x:c>
      <x:c r="E2777" s="32">
        <x:v>437.38</x:v>
      </x:c>
      <x:c r="F2777" s="33">
        <x:v>57164750</x:v>
      </x:c>
      <x:c r="G2777" s="32" t="n">
        <x:f t="shared" si="120">AVERAGE(E2578:E2777)</x:f>
        <x:v>415.46245000000033</x:v>
      </x:c>
      <x:c r="H2777" s="37" t="n">
        <x:f t="shared" si="121">IFERROR(E2777/G2777-1,"")</x:f>
        <x:v>0.052754587087231686</x:v>
      </x:c>
      <x:c r="I2777" s="38" t="b">
        <x:f t="shared" si="122">E2777&lt;G2777</x:f>
        <x:v>0</x:v>
      </x:c>
    </x:row>
    <x:row r="2778">
      <x:c r="A2778" s="31">
        <x:v>41057</x:v>
      </x:c>
      <x:c r="B2778" s="32">
        <x:v>443.24</x:v>
      </x:c>
      <x:c r="C2778" s="32">
        <x:v>443.24</x:v>
      </x:c>
      <x:c r="D2778" s="32">
        <x:v>433.42</x:v>
      </x:c>
      <x:c r="E2778" s="32">
        <x:v>435.48</x:v>
      </x:c>
      <x:c r="F2778" s="33">
        <x:v>64208990</x:v>
      </x:c>
      <x:c r="G2778" s="32" t="n">
        <x:f t="shared" si="120">AVERAGE(E2579:E2778)</x:f>
        <x:v>415.65785000000034</x:v>
      </x:c>
      <x:c r="H2778" s="37" t="n">
        <x:f t="shared" si="121">IFERROR(E2778/G2778-1,"")</x:f>
        <x:v>0.04768862178351663</x:v>
      </x:c>
      <x:c r="I2778" s="38" t="b">
        <x:f t="shared" si="122">E2778&lt;G2778</x:f>
        <x:v>0</x:v>
      </x:c>
    </x:row>
    <x:row r="2779">
      <x:c r="A2779" s="31">
        <x:v>41058</x:v>
      </x:c>
      <x:c r="B2779" s="32">
        <x:v>431.75</x:v>
      </x:c>
      <x:c r="C2779" s="32">
        <x:v>432.91</x:v>
      </x:c>
      <x:c r="D2779" s="32">
        <x:v>429.11</x:v>
      </x:c>
      <x:c r="E2779" s="32">
        <x:v>431.44</x:v>
      </x:c>
      <x:c r="F2779" s="33">
        <x:v>45872090</x:v>
      </x:c>
      <x:c r="G2779" s="32" t="n">
        <x:f t="shared" si="120">AVERAGE(E2580:E2779)</x:f>
        <x:v>415.8765500000003</x:v>
      </x:c>
      <x:c r="H2779" s="37" t="n">
        <x:f t="shared" si="121">IFERROR(E2779/G2779-1,"")</x:f>
        <x:v>0.03742324495093485</x:v>
      </x:c>
      <x:c r="I2779" s="38" t="b">
        <x:f t="shared" si="122">E2779&lt;G2779</x:f>
        <x:v>0</x:v>
      </x:c>
    </x:row>
    <x:row r="2780">
      <x:c r="A2780" s="31">
        <x:v>41059</x:v>
      </x:c>
      <x:c r="B2780" s="32">
        <x:v>433.29</x:v>
      </x:c>
      <x:c r="C2780" s="32">
        <x:v>437.31</x:v>
      </x:c>
      <x:c r="D2780" s="32">
        <x:v>432.39</x:v>
      </x:c>
      <x:c r="E2780" s="32">
        <x:v>435.34</x:v>
      </x:c>
      <x:c r="F2780" s="33">
        <x:v>43279360</x:v>
      </x:c>
      <x:c r="G2780" s="32" t="n">
        <x:f t="shared" si="120">AVERAGE(E2581:E2780)</x:f>
        <x:v>416.12325000000027</x:v>
      </x:c>
      <x:c r="H2780" s="37" t="n">
        <x:f t="shared" si="121">IFERROR(E2780/G2780-1,"")</x:f>
        <x:v>0.046180428514868366</x:v>
      </x:c>
      <x:c r="I2780" s="38" t="b">
        <x:f t="shared" si="122">E2780&lt;G2780</x:f>
        <x:v>0</x:v>
      </x:c>
    </x:row>
    <x:row r="2781">
      <x:c r="A2781" s="31">
        <x:v>41060</x:v>
      </x:c>
      <x:c r="B2781" s="32">
        <x:v>431.84</x:v>
      </x:c>
      <x:c r="C2781" s="32">
        <x:v>433.94</x:v>
      </x:c>
      <x:c r="D2781" s="32">
        <x:v>428.52</x:v>
      </x:c>
      <x:c r="E2781" s="32">
        <x:v>429.2</x:v>
      </x:c>
      <x:c r="F2781" s="33">
        <x:v>45434610</x:v>
      </x:c>
      <x:c r="G2781" s="32" t="n">
        <x:f t="shared" si="120">AVERAGE(E2582:E2781)</x:f>
        <x:v>416.34725000000026</x:v>
      </x:c>
      <x:c r="H2781" s="37" t="n">
        <x:f t="shared" si="121">IFERROR(E2781/G2781-1,"")</x:f>
        <x:v>0.0308702651452597</x:v>
      </x:c>
      <x:c r="I2781" s="38" t="b">
        <x:f t="shared" si="122">E2781&lt;G2781</x:f>
        <x:v>0</x:v>
      </x:c>
    </x:row>
    <x:row r="2782">
      <x:c r="A2782" s="31">
        <x:v>41061</x:v>
      </x:c>
      <x:c r="B2782" s="32">
        <x:v>430.75</x:v>
      </x:c>
      <x:c r="C2782" s="32">
        <x:v>432.27</x:v>
      </x:c>
      <x:c r="D2782" s="32">
        <x:v>427.98</x:v>
      </x:c>
      <x:c r="E2782" s="32">
        <x:v>428.8</x:v>
      </x:c>
      <x:c r="F2782" s="33">
        <x:v>40392570</x:v>
      </x:c>
      <x:c r="G2782" s="32" t="n">
        <x:f t="shared" si="120">AVERAGE(E2583:E2782)</x:f>
        <x:v>416.5716500000003</x:v>
      </x:c>
      <x:c r="H2782" s="37" t="n">
        <x:f t="shared" si="121">IFERROR(E2782/G2782-1,"")</x:f>
        <x:v>0.02935473405355271</x:v>
      </x:c>
      <x:c r="I2782" s="38" t="b">
        <x:f t="shared" si="122">E2782&lt;G2782</x:f>
        <x:v>0</x:v>
      </x:c>
    </x:row>
    <x:row r="2783">
      <x:c r="A2783" s="31">
        <x:v>41064</x:v>
      </x:c>
      <x:c r="B2783" s="32">
        <x:v>426.91</x:v>
      </x:c>
      <x:c r="C2783" s="32">
        <x:v>427.58</x:v>
      </x:c>
      <x:c r="D2783" s="32">
        <x:v>416.65</x:v>
      </x:c>
      <x:c r="E2783" s="32">
        <x:v>416.65</x:v>
      </x:c>
      <x:c r="F2783" s="33">
        <x:v>62960500</x:v>
      </x:c>
      <x:c r="G2783" s="32" t="n">
        <x:f t="shared" si="120">AVERAGE(E2584:E2783)</x:f>
        <x:v>416.7333000000003</x:v>
      </x:c>
      <x:c r="H2783" s="37" t="n">
        <x:f t="shared" si="121">IFERROR(E2783/G2783-1,"")</x:f>
        <x:v>-0.00019988803390647014</x:v>
      </x:c>
      <x:c r="I2783" s="38" t="b">
        <x:f t="shared" si="122">E2783&lt;G2783</x:f>
        <x:v>1</x:v>
      </x:c>
    </x:row>
    <x:row r="2784">
      <x:c r="A2784" s="31">
        <x:v>41065</x:v>
      </x:c>
      <x:c r="B2784" s="32">
        <x:v>413.96</x:v>
      </x:c>
      <x:c r="C2784" s="32">
        <x:v>421.02</x:v>
      </x:c>
      <x:c r="D2784" s="32">
        <x:v>413.58</x:v>
      </x:c>
      <x:c r="E2784" s="32">
        <x:v>421.02</x:v>
      </x:c>
      <x:c r="F2784" s="33">
        <x:v>44526700</x:v>
      </x:c>
      <x:c r="G2784" s="32" t="n">
        <x:f t="shared" si="120">AVERAGE(E2585:E2784)</x:f>
        <x:v>416.9060000000003</x:v>
      </x:c>
      <x:c r="H2784" s="37" t="n">
        <x:f t="shared" si="121">IFERROR(E2784/G2784-1,"")</x:f>
        <x:v>0.009867931859938839</x:v>
      </x:c>
      <x:c r="I2784" s="38" t="b">
        <x:f t="shared" si="122">E2784&lt;G2784</x:f>
        <x:v>0</x:v>
      </x:c>
    </x:row>
    <x:row r="2785">
      <x:c r="A2785" s="31">
        <x:v>41066</x:v>
      </x:c>
      <x:c r="B2785" s="32">
        <x:v>421.09</x:v>
      </x:c>
      <x:c r="C2785" s="32">
        <x:v>427.17</x:v>
      </x:c>
      <x:c r="D2785" s="32">
        <x:v>420.81</x:v>
      </x:c>
      <x:c r="E2785" s="32">
        <x:v>426.39</x:v>
      </x:c>
      <x:c r="F2785" s="33">
        <x:v>43022010</x:v>
      </x:c>
      <x:c r="G2785" s="32" t="n">
        <x:f t="shared" si="120">AVERAGE(E2586:E2785)</x:f>
        <x:v>417.07065000000034</x:v>
      </x:c>
      <x:c r="H2785" s="37" t="n">
        <x:f t="shared" si="121">IFERROR(E2785/G2785-1,"")</x:f>
        <x:v>0.0223447753995627</x:v>
      </x:c>
      <x:c r="I2785" s="38" t="b">
        <x:f t="shared" si="122">E2785&lt;G2785</x:f>
        <x:v>0</x:v>
      </x:c>
    </x:row>
    <x:row r="2786">
      <x:c r="A2786" s="31">
        <x:v>41067</x:v>
      </x:c>
      <x:c r="B2786" s="32">
        <x:v>431.14</x:v>
      </x:c>
      <x:c r="C2786" s="32">
        <x:v>436.68</x:v>
      </x:c>
      <x:c r="D2786" s="32">
        <x:v>428.61</x:v>
      </x:c>
      <x:c r="E2786" s="32">
        <x:v>434.41</x:v>
      </x:c>
      <x:c r="F2786" s="33">
        <x:v>63449670</x:v>
      </x:c>
      <x:c r="G2786" s="32" t="n">
        <x:f t="shared" si="120">AVERAGE(E2587:E2786)</x:f>
        <x:v>417.22825000000034</x:v>
      </x:c>
      <x:c r="H2786" s="37" t="n">
        <x:f t="shared" si="121">IFERROR(E2786/G2786-1,"")</x:f>
        <x:v>0.041180696657044935</x:v>
      </x:c>
      <x:c r="I2786" s="38" t="b">
        <x:f t="shared" si="122">E2786&lt;G2786</x:f>
        <x:v>0</x:v>
      </x:c>
    </x:row>
    <x:row r="2787">
      <x:c r="A2787" s="31">
        <x:v>41068</x:v>
      </x:c>
      <x:c r="B2787" s="32">
        <x:v>439.02</x:v>
      </x:c>
      <x:c r="C2787" s="32">
        <x:v>441.46</x:v>
      </x:c>
      <x:c r="D2787" s="32">
        <x:v>432.9</x:v>
      </x:c>
      <x:c r="E2787" s="32">
        <x:v>432.9</x:v>
      </x:c>
      <x:c r="F2787" s="33">
        <x:v>80032950</x:v>
      </x:c>
      <x:c r="G2787" s="32" t="n">
        <x:f t="shared" si="120">AVERAGE(E2588:E2787)</x:f>
        <x:v>417.38895000000025</x:v>
      </x:c>
      <x:c r="H2787" s="37" t="n">
        <x:f t="shared" si="121">IFERROR(E2787/G2787-1,"")</x:f>
        <x:v>0.03716210024247091</x:v>
      </x:c>
      <x:c r="I2787" s="38" t="b">
        <x:f t="shared" si="122">E2787&lt;G2787</x:f>
        <x:v>0</x:v>
      </x:c>
    </x:row>
    <x:row r="2788">
      <x:c r="A2788" s="31">
        <x:v>41071</x:v>
      </x:c>
      <x:c r="B2788" s="32">
        <x:v>432.15</x:v>
      </x:c>
      <x:c r="C2788" s="32">
        <x:v>435.86</x:v>
      </x:c>
      <x:c r="D2788" s="32">
        <x:v>430.28</x:v>
      </x:c>
      <x:c r="E2788" s="32">
        <x:v>432.5</x:v>
      </x:c>
      <x:c r="F2788" s="33">
        <x:v>53036630</x:v>
      </x:c>
      <x:c r="G2788" s="32" t="n">
        <x:f t="shared" si="120">AVERAGE(E2589:E2788)</x:f>
        <x:v>417.52130000000017</x:v>
      </x:c>
      <x:c r="H2788" s="37" t="n">
        <x:f t="shared" si="121">IFERROR(E2788/G2788-1,"")</x:f>
        <x:v>0.035875295463967616</x:v>
      </x:c>
      <x:c r="I2788" s="38" t="b">
        <x:f t="shared" si="122">E2788&lt;G2788</x:f>
        <x:v>0</x:v>
      </x:c>
    </x:row>
    <x:row r="2789">
      <x:c r="A2789" s="31">
        <x:v>41072</x:v>
      </x:c>
      <x:c r="B2789" s="32">
        <x:v>432.89</x:v>
      </x:c>
      <x:c r="C2789" s="32">
        <x:v>432.89</x:v>
      </x:c>
      <x:c r="D2789" s="32">
        <x:v>428.04</x:v>
      </x:c>
      <x:c r="E2789" s="32">
        <x:v>428.16</x:v>
      </x:c>
      <x:c r="F2789" s="33">
        <x:v>51907140</x:v>
      </x:c>
      <x:c r="G2789" s="32" t="n">
        <x:f t="shared" si="120">AVERAGE(E2590:E2789)</x:f>
        <x:v>417.6557000000002</x:v>
      </x:c>
      <x:c r="H2789" s="37" t="n">
        <x:f t="shared" si="121">IFERROR(E2789/G2789-1,"")</x:f>
        <x:v>0.025150620475190122</x:v>
      </x:c>
      <x:c r="I2789" s="38" t="b">
        <x:f t="shared" si="122">E2789&lt;G2789</x:f>
        <x:v>0</x:v>
      </x:c>
    </x:row>
    <x:row r="2790">
      <x:c r="A2790" s="31">
        <x:v>41073</x:v>
      </x:c>
      <x:c r="B2790" s="32">
        <x:v>429.73</x:v>
      </x:c>
      <x:c r="C2790" s="32">
        <x:v>429.73</x:v>
      </x:c>
      <x:c r="D2790" s="32">
        <x:v>424.86</x:v>
      </x:c>
      <x:c r="E2790" s="32">
        <x:v>427.61</x:v>
      </x:c>
      <x:c r="F2790" s="33">
        <x:v>45700390</x:v>
      </x:c>
      <x:c r="G2790" s="32" t="n">
        <x:f t="shared" si="120">AVERAGE(E2591:E2790)</x:f>
        <x:v>417.81035000000026</x:v>
      </x:c>
      <x:c r="H2790" s="37" t="n">
        <x:f t="shared" si="121">IFERROR(E2790/G2790-1,"")</x:f>
        <x:v>0.023454780380619544</x:v>
      </x:c>
      <x:c r="I2790" s="38" t="b">
        <x:f t="shared" si="122">E2790&lt;G2790</x:f>
        <x:v>0</x:v>
      </x:c>
    </x:row>
    <x:row r="2791">
      <x:c r="A2791" s="31">
        <x:v>41074</x:v>
      </x:c>
      <x:c r="B2791" s="32">
        <x:v>425.74</x:v>
      </x:c>
      <x:c r="C2791" s="32">
        <x:v>428.59</x:v>
      </x:c>
      <x:c r="D2791" s="32">
        <x:v>424.05</x:v>
      </x:c>
      <x:c r="E2791" s="32">
        <x:v>425.28</x:v>
      </x:c>
      <x:c r="F2791" s="33">
        <x:v>42057240</x:v>
      </x:c>
      <x:c r="G2791" s="32" t="n">
        <x:f t="shared" si="120">AVERAGE(E2592:E2791)</x:f>
        <x:v>417.9285000000002</x:v>
      </x:c>
      <x:c r="H2791" s="37" t="n">
        <x:f t="shared" si="121">IFERROR(E2791/G2791-1,"")</x:f>
        <x:v>0.01759032944630423</x:v>
      </x:c>
      <x:c r="I2791" s="38" t="b">
        <x:f t="shared" si="122">E2791&lt;G2791</x:f>
        <x:v>0</x:v>
      </x:c>
    </x:row>
    <x:row r="2792">
      <x:c r="A2792" s="31">
        <x:v>41075</x:v>
      </x:c>
      <x:c r="B2792" s="32">
        <x:v>425.62</x:v>
      </x:c>
      <x:c r="C2792" s="32">
        <x:v>433.09</x:v>
      </x:c>
      <x:c r="D2792" s="32">
        <x:v>425.62</x:v>
      </x:c>
      <x:c r="E2792" s="32">
        <x:v>433.09</x:v>
      </x:c>
      <x:c r="F2792" s="33">
        <x:v>69270580</x:v>
      </x:c>
      <x:c r="G2792" s="32" t="n">
        <x:f t="shared" si="120">AVERAGE(E2593:E2792)</x:f>
        <x:v>418.07195000000013</x:v>
      </x:c>
      <x:c r="H2792" s="37" t="n">
        <x:f t="shared" si="121">IFERROR(E2792/G2792-1,"")</x:f>
        <x:v>0.03592216602907672</x:v>
      </x:c>
      <x:c r="I2792" s="38" t="b">
        <x:f t="shared" si="122">E2792&lt;G2792</x:f>
        <x:v>0</x:v>
      </x:c>
    </x:row>
    <x:row r="2793">
      <x:c r="A2793" s="31">
        <x:v>41078</x:v>
      </x:c>
      <x:c r="B2793" s="32">
        <x:v>436.89</x:v>
      </x:c>
      <x:c r="C2793" s="32">
        <x:v>439.29</x:v>
      </x:c>
      <x:c r="D2793" s="32">
        <x:v>433.75</x:v>
      </x:c>
      <x:c r="E2793" s="32">
        <x:v>435.59</x:v>
      </x:c>
      <x:c r="F2793" s="33">
        <x:v>56097120</x:v>
      </x:c>
      <x:c r="G2793" s="32" t="n">
        <x:f t="shared" si="120">AVERAGE(E2594:E2793)</x:f>
        <x:v>418.18305000000015</x:v>
      </x:c>
      <x:c r="H2793" s="37" t="n">
        <x:f t="shared" si="121">IFERROR(E2793/G2793-1,"")</x:f>
        <x:v>0.04162519260405184</x:v>
      </x:c>
      <x:c r="I2793" s="38" t="b">
        <x:f t="shared" si="122">E2793&lt;G2793</x:f>
        <x:v>0</x:v>
      </x:c>
    </x:row>
    <x:row r="2794">
      <x:c r="A2794" s="31">
        <x:v>41079</x:v>
      </x:c>
      <x:c r="B2794" s="32">
        <x:v>434.04</x:v>
      </x:c>
      <x:c r="C2794" s="32">
        <x:v>435.11</x:v>
      </x:c>
      <x:c r="D2794" s="32">
        <x:v>430.23</x:v>
      </x:c>
      <x:c r="E2794" s="32">
        <x:v>431.08</x:v>
      </x:c>
      <x:c r="F2794" s="33">
        <x:v>38876360</x:v>
      </x:c>
      <x:c r="G2794" s="32" t="n">
        <x:f t="shared" si="120">AVERAGE(E2595:E2794)</x:f>
        <x:v>418.2421500000002</x:v>
      </x:c>
      <x:c r="H2794" s="37" t="n">
        <x:f t="shared" si="121">IFERROR(E2794/G2794-1,"")</x:f>
        <x:v>0.03069477813271515</x:v>
      </x:c>
      <x:c r="I2794" s="38" t="b">
        <x:f t="shared" si="122">E2794&lt;G2794</x:f>
        <x:v>0</x:v>
      </x:c>
    </x:row>
    <x:row r="2795">
      <x:c r="A2795" s="31">
        <x:v>41080</x:v>
      </x:c>
      <x:c r="B2795" s="32">
        <x:v>431.8</x:v>
      </x:c>
      <x:c r="C2795" s="32">
        <x:v>434.16</x:v>
      </x:c>
      <x:c r="D2795" s="32">
        <x:v>429.2</x:v>
      </x:c>
      <x:c r="E2795" s="32">
        <x:v>432.89</x:v>
      </x:c>
      <x:c r="F2795" s="33">
        <x:v>29000090</x:v>
      </x:c>
      <x:c r="G2795" s="32" t="n">
        <x:f t="shared" si="120">AVERAGE(E2596:E2795)</x:f>
        <x:v>418.2794500000002</x:v>
      </x:c>
      <x:c r="H2795" s="37" t="n">
        <x:f t="shared" si="121">IFERROR(E2795/G2795-1,"")</x:f>
        <x:v>0.03493011669590684</x:v>
      </x:c>
      <x:c r="I2795" s="38" t="b">
        <x:f t="shared" si="122">E2795&lt;G2795</x:f>
        <x:v>0</x:v>
      </x:c>
    </x:row>
    <x:row r="2796">
      <x:c r="A2796" s="31">
        <x:v>41081</x:v>
      </x:c>
      <x:c r="B2796" s="32">
        <x:v>432.27</x:v>
      </x:c>
      <x:c r="C2796" s="32">
        <x:v>433.49</x:v>
      </x:c>
      <x:c r="D2796" s="32">
        <x:v>430.83</x:v>
      </x:c>
      <x:c r="E2796" s="32">
        <x:v>431.14</x:v>
      </x:c>
      <x:c r="F2796" s="33">
        <x:v>37060530</x:v>
      </x:c>
      <x:c r="G2796" s="32" t="n">
        <x:f t="shared" si="120">AVERAGE(E2597:E2796)</x:f>
        <x:v>418.25870000000015</x:v>
      </x:c>
      <x:c r="H2796" s="37" t="n">
        <x:f t="shared" si="121">IFERROR(E2796/G2796-1,"")</x:f>
        <x:v>0.030797446652035765</x:v>
      </x:c>
      <x:c r="I2796" s="38" t="b">
        <x:f t="shared" si="122">E2796&lt;G2796</x:f>
        <x:v>0</x:v>
      </x:c>
    </x:row>
    <x:row r="2797">
      <x:c r="A2797" s="31">
        <x:v>41082</x:v>
      </x:c>
      <x:c r="B2797" s="32">
        <x:v>429.95</x:v>
      </x:c>
      <x:c r="C2797" s="32">
        <x:v>430.19</x:v>
      </x:c>
      <x:c r="D2797" s="32">
        <x:v>426.5</x:v>
      </x:c>
      <x:c r="E2797" s="32">
        <x:v>427.17</x:v>
      </x:c>
      <x:c r="F2797" s="33">
        <x:v>48829270</x:v>
      </x:c>
      <x:c r="G2797" s="32" t="n">
        <x:f t="shared" si="120">AVERAGE(E2598:E2797)</x:f>
        <x:v>418.21590000000026</x:v>
      </x:c>
      <x:c r="H2797" s="37" t="n">
        <x:f t="shared" si="121">IFERROR(E2797/G2797-1,"")</x:f>
        <x:v>0.02141023332685288</x:v>
      </x:c>
      <x:c r="I2797" s="38" t="b">
        <x:f t="shared" si="122">E2797&lt;G2797</x:f>
        <x:v>0</x:v>
      </x:c>
    </x:row>
    <x:row r="2798">
      <x:c r="A2798" s="31">
        <x:v>41085</x:v>
      </x:c>
      <x:c r="B2798" s="32">
        <x:v>426.54</x:v>
      </x:c>
      <x:c r="C2798" s="32">
        <x:v>429.81</x:v>
      </x:c>
      <x:c r="D2798" s="32">
        <x:v>422.95</x:v>
      </x:c>
      <x:c r="E2798" s="32">
        <x:v>424.12</x:v>
      </x:c>
      <x:c r="F2798" s="33">
        <x:v>46964430</x:v>
      </x:c>
      <x:c r="G2798" s="32" t="n">
        <x:f t="shared" si="120">AVERAGE(E2599:E2798)</x:f>
        <x:v>418.15570000000014</x:v>
      </x:c>
      <x:c r="H2798" s="37" t="n">
        <x:f t="shared" si="121">IFERROR(E2798/G2798-1,"")</x:f>
        <x:v>0.014263347360803369</x:v>
      </x:c>
      <x:c r="I2798" s="38" t="b">
        <x:f t="shared" si="122">E2798&lt;G2798</x:f>
        <x:v>0</x:v>
      </x:c>
    </x:row>
    <x:row r="2799">
      <x:c r="A2799" s="31">
        <x:v>41086</x:v>
      </x:c>
      <x:c r="B2799" s="32">
        <x:v>421.17</x:v>
      </x:c>
      <x:c r="C2799" s="32">
        <x:v>421.76</x:v>
      </x:c>
      <x:c r="D2799" s="32">
        <x:v>417.92</x:v>
      </x:c>
      <x:c r="E2799" s="32">
        <x:v>419.19</x:v>
      </x:c>
      <x:c r="F2799" s="33">
        <x:v>45757250</x:v>
      </x:c>
      <x:c r="G2799" s="32" t="n">
        <x:f t="shared" si="120">AVERAGE(E2600:E2799)</x:f>
        <x:v>418.0317000000001</x:v>
      </x:c>
      <x:c r="H2799" s="37" t="n">
        <x:f t="shared" si="121">IFERROR(E2799/G2799-1,"")</x:f>
        <x:v>0.002770842498307946</x:v>
      </x:c>
      <x:c r="I2799" s="38" t="b">
        <x:f t="shared" si="122">E2799&lt;G2799</x:f>
        <x:v>0</x:v>
      </x:c>
    </x:row>
    <x:row r="2800">
      <x:c r="A2800" s="31">
        <x:v>41087</x:v>
      </x:c>
      <x:c r="B2800" s="32">
        <x:v>419.78</x:v>
      </x:c>
      <x:c r="C2800" s="32">
        <x:v>422.17</x:v>
      </x:c>
      <x:c r="D2800" s="32">
        <x:v>418.04</x:v>
      </x:c>
      <x:c r="E2800" s="32">
        <x:v>418.04</x:v>
      </x:c>
      <x:c r="F2800" s="33">
        <x:v>38165550</x:v>
      </x:c>
      <x:c r="G2800" s="32" t="n">
        <x:f t="shared" si="120">AVERAGE(E2601:E2800)</x:f>
        <x:v>417.8556</x:v>
      </x:c>
      <x:c r="H2800" s="37" t="n">
        <x:f t="shared" si="121">IFERROR(E2800/G2800-1,"")</x:f>
        <x:v>0.0004413007747174902</x:v>
      </x:c>
      <x:c r="I2800" s="38" t="b">
        <x:f t="shared" si="122">E2800&lt;G2800</x:f>
        <x:v>0</x:v>
      </x:c>
    </x:row>
    <x:row r="2801">
      <x:c r="A2801" s="31">
        <x:v>41088</x:v>
      </x:c>
      <x:c r="B2801" s="32">
        <x:v>418.74</x:v>
      </x:c>
      <x:c r="C2801" s="32">
        <x:v>418.78</x:v>
      </x:c>
      <x:c r="D2801" s="32">
        <x:v>415.34</x:v>
      </x:c>
      <x:c r="E2801" s="32">
        <x:v>418.16</x:v>
      </x:c>
      <x:c r="F2801" s="33">
        <x:v>34918150</x:v>
      </x:c>
      <x:c r="G2801" s="32" t="n">
        <x:f t="shared" si="120">AVERAGE(E2602:E2801)</x:f>
        <x:v>417.6468</x:v>
      </x:c>
      <x:c r="H2801" s="37" t="n">
        <x:f t="shared" si="121">IFERROR(E2801/G2801-1,"")</x:f>
        <x:v>0.0012287894938978194</x:v>
      </x:c>
      <x:c r="I2801" s="38" t="b">
        <x:f t="shared" si="122">E2801&lt;G2801</x:f>
        <x:v>0</x:v>
      </x:c>
    </x:row>
    <x:row r="2802">
      <x:c r="A2802" s="31">
        <x:v>41089</x:v>
      </x:c>
      <x:c r="B2802" s="32">
        <x:v>420.76</x:v>
      </x:c>
      <x:c r="C2802" s="32">
        <x:v>422.37</x:v>
      </x:c>
      <x:c r="D2802" s="32">
        <x:v>418.49</x:v>
      </x:c>
      <x:c r="E2802" s="32">
        <x:v>422.37</x:v>
      </x:c>
      <x:c r="F2802" s="33">
        <x:v>28907980</x:v>
      </x:c>
      <x:c r="G2802" s="32" t="n">
        <x:f t="shared" si="120">AVERAGE(E2603:E2802)</x:f>
        <x:v>417.444</x:v>
      </x:c>
      <x:c r="H2802" s="37" t="n">
        <x:f t="shared" si="121">IFERROR(E2802/G2802-1,"")</x:f>
        <x:v>0.01180038520136839</x:v>
      </x:c>
      <x:c r="I2802" s="38" t="b">
        <x:f t="shared" si="122">E2802&lt;G2802</x:f>
        <x:v>0</x:v>
      </x:c>
    </x:row>
    <x:row r="2803">
      <x:c r="A2803" s="31">
        <x:v>41092</x:v>
      </x:c>
      <x:c r="B2803" s="32">
        <x:v>421.94</x:v>
      </x:c>
      <x:c r="C2803" s="32">
        <x:v>424.95</x:v>
      </x:c>
      <x:c r="D2803" s="32">
        <x:v>418.18</x:v>
      </x:c>
      <x:c r="E2803" s="32">
        <x:v>419.3</x:v>
      </x:c>
      <x:c r="F2803" s="33">
        <x:v>29566340</x:v>
      </x:c>
      <x:c r="G2803" s="32" t="n">
        <x:f t="shared" si="120">AVERAGE(E2604:E2803)</x:f>
        <x:v>417.1935</x:v>
      </x:c>
      <x:c r="H2803" s="37" t="n">
        <x:f t="shared" si="121">IFERROR(E2803/G2803-1,"")</x:f>
        <x:v>0.005049215771578464</x:v>
      </x:c>
      <x:c r="I2803" s="38" t="b">
        <x:f t="shared" si="122">E2803&lt;G2803</x:f>
        <x:v>0</x:v>
      </x:c>
    </x:row>
    <x:row r="2804">
      <x:c r="A2804" s="31">
        <x:v>41093</x:v>
      </x:c>
      <x:c r="B2804" s="32">
        <x:v>416.47</x:v>
      </x:c>
      <x:c r="C2804" s="32">
        <x:v>417.21</x:v>
      </x:c>
      <x:c r="D2804" s="32">
        <x:v>411.86</x:v>
      </x:c>
      <x:c r="E2804" s="32">
        <x:v>413.09</x:v>
      </x:c>
      <x:c r="F2804" s="33">
        <x:v>39604310</x:v>
      </x:c>
      <x:c r="G2804" s="32" t="n">
        <x:f t="shared" si="120">AVERAGE(E2605:E2804)</x:f>
        <x:v>416.9239999999999</x:v>
      </x:c>
      <x:c r="H2804" s="37" t="n">
        <x:f t="shared" si="121">IFERROR(E2804/G2804-1,"")</x:f>
        <x:v>-0.009195920599437635</x:v>
      </x:c>
      <x:c r="I2804" s="38" t="b">
        <x:f t="shared" si="122">E2804&lt;G2804</x:f>
        <x:v>1</x:v>
      </x:c>
    </x:row>
    <x:row r="2805">
      <x:c r="A2805" s="31">
        <x:v>41094</x:v>
      </x:c>
      <x:c r="B2805" s="32">
        <x:v>413.41</x:v>
      </x:c>
      <x:c r="C2805" s="32">
        <x:v>416.03</x:v>
      </x:c>
      <x:c r="D2805" s="32">
        <x:v>410.73</x:v>
      </x:c>
      <x:c r="E2805" s="32">
        <x:v>410.73</x:v>
      </x:c>
      <x:c r="F2805" s="33">
        <x:v>26185920</x:v>
      </x:c>
      <x:c r="G2805" s="32" t="n">
        <x:f t="shared" si="120">AVERAGE(E2606:E2805)</x:f>
        <x:v>416.62429999999995</x:v>
      </x:c>
      <x:c r="H2805" s="37" t="n">
        <x:f t="shared" si="121">IFERROR(E2805/G2805-1,"")</x:f>
        <x:v>-0.014147758544088562</x:v>
      </x:c>
      <x:c r="I2805" s="38" t="b">
        <x:f t="shared" si="122">E2805&lt;G2805</x:f>
        <x:v>1</x:v>
      </x:c>
    </x:row>
    <x:row r="2806">
      <x:c r="A2806" s="31">
        <x:v>41095</x:v>
      </x:c>
      <x:c r="B2806" s="32">
        <x:v>410.85</x:v>
      </x:c>
      <x:c r="C2806" s="32">
        <x:v>413.83</x:v>
      </x:c>
      <x:c r="D2806" s="32">
        <x:v>408.43</x:v>
      </x:c>
      <x:c r="E2806" s="32">
        <x:v>413.83</x:v>
      </x:c>
      <x:c r="F2806" s="33">
        <x:v>28260180</x:v>
      </x:c>
      <x:c r="G2806" s="32" t="n">
        <x:f t="shared" si="120">AVERAGE(E2607:E2806)</x:f>
        <x:v>416.4078999999999</x:v>
      </x:c>
      <x:c r="H2806" s="37" t="n">
        <x:f t="shared" si="121">IFERROR(E2806/G2806-1,"")</x:f>
        <x:v>-0.006190804737373989</x:v>
      </x:c>
      <x:c r="I2806" s="38" t="b">
        <x:f t="shared" si="122">E2806&lt;G2806</x:f>
        <x:v>1</x:v>
      </x:c>
    </x:row>
    <x:row r="2807">
      <x:c r="A2807" s="31">
        <x:v>41096</x:v>
      </x:c>
      <x:c r="B2807" s="32">
        <x:v>414.01</x:v>
      </x:c>
      <x:c r="C2807" s="32">
        <x:v>417.97</x:v>
      </x:c>
      <x:c r="D2807" s="32">
        <x:v>413.53</x:v>
      </x:c>
      <x:c r="E2807" s="32">
        <x:v>415.44</x:v>
      </x:c>
      <x:c r="F2807" s="33">
        <x:v>35761520</x:v>
      </x:c>
      <x:c r="G2807" s="32" t="n">
        <x:f t="shared" si="120">AVERAGE(E2608:E2807)</x:f>
        <x:v>416.1766999999999</x:v>
      </x:c>
      <x:c r="H2807" s="37" t="n">
        <x:f t="shared" si="121">IFERROR(E2807/G2807-1,"")</x:f>
        <x:v>-0.0017701615683913818</x:v>
      </x:c>
      <x:c r="I2807" s="38" t="b">
        <x:f t="shared" si="122">E2807&lt;G2807</x:f>
        <x:v>1</x:v>
      </x:c>
    </x:row>
    <x:row r="2808">
      <x:c r="A2808" s="31">
        <x:v>41099</x:v>
      </x:c>
      <x:c r="B2808" s="32">
        <x:v>413.59</x:v>
      </x:c>
      <x:c r="C2808" s="32">
        <x:v>414.39</x:v>
      </x:c>
      <x:c r="D2808" s="32">
        <x:v>407.51</x:v>
      </x:c>
      <x:c r="E2808" s="32">
        <x:v>408.12</x:v>
      </x:c>
      <x:c r="F2808" s="33">
        <x:v>28468730</x:v>
      </x:c>
      <x:c r="G2808" s="32" t="n">
        <x:f t="shared" si="120">AVERAGE(E2609:E2808)</x:f>
        <x:v>415.94544999999994</x:v>
      </x:c>
      <x:c r="H2808" s="37" t="n">
        <x:f t="shared" si="121">IFERROR(E2808/G2808-1,"")</x:f>
        <x:v>-0.018813644914254857</x:v>
      </x:c>
      <x:c r="I2808" s="38" t="b">
        <x:f t="shared" si="122">E2808&lt;G2808</x:f>
        <x:v>1</x:v>
      </x:c>
    </x:row>
    <x:row r="2809">
      <x:c r="A2809" s="31">
        <x:v>41100</x:v>
      </x:c>
      <x:c r="B2809" s="32">
        <x:v>406.4</x:v>
      </x:c>
      <x:c r="C2809" s="32">
        <x:v>409.86</x:v>
      </x:c>
      <x:c r="D2809" s="32">
        <x:v>405.39</x:v>
      </x:c>
      <x:c r="E2809" s="32">
        <x:v>405.39</x:v>
      </x:c>
      <x:c r="F2809" s="33">
        <x:v>23787430</x:v>
      </x:c>
      <x:c r="G2809" s="32" t="n">
        <x:f t="shared" si="120">AVERAGE(E2610:E2809)</x:f>
        <x:v>415.7345499999998</x:v>
      </x:c>
      <x:c r="H2809" s="37" t="n">
        <x:f t="shared" si="121">IFERROR(E2809/G2809-1,"")</x:f>
        <x:v>-0.024882584331756386</x:v>
      </x:c>
      <x:c r="I2809" s="38" t="b">
        <x:f t="shared" si="122">E2809&lt;G2809</x:f>
        <x:v>1</x:v>
      </x:c>
    </x:row>
    <x:row r="2810">
      <x:c r="A2810" s="31">
        <x:v>41101</x:v>
      </x:c>
      <x:c r="B2810" s="32">
        <x:v>405.29</x:v>
      </x:c>
      <x:c r="C2810" s="32">
        <x:v>408.21</x:v>
      </x:c>
      <x:c r="D2810" s="32">
        <x:v>405.07</x:v>
      </x:c>
      <x:c r="E2810" s="32">
        <x:v>407.28</x:v>
      </x:c>
      <x:c r="F2810" s="33">
        <x:v>19661440</x:v>
      </x:c>
      <x:c r="G2810" s="32" t="n">
        <x:f t="shared" si="120">AVERAGE(E2611:E2810)</x:f>
        <x:v>415.5246499999999</x:v>
      </x:c>
      <x:c r="H2810" s="37" t="n">
        <x:f t="shared" si="121">IFERROR(E2810/G2810-1,"")</x:f>
        <x:v>-0.019841542493327258</x:v>
      </x:c>
      <x:c r="I2810" s="38" t="b">
        <x:f t="shared" si="122">E2810&lt;G2810</x:f>
        <x:v>1</x:v>
      </x:c>
    </x:row>
    <x:row r="2811">
      <x:c r="A2811" s="31">
        <x:v>41102</x:v>
      </x:c>
      <x:c r="B2811" s="32">
        <x:v>406.5</x:v>
      </x:c>
      <x:c r="C2811" s="32">
        <x:v>409.7</x:v>
      </x:c>
      <x:c r="D2811" s="32">
        <x:v>406.18</x:v>
      </x:c>
      <x:c r="E2811" s="32">
        <x:v>408.72</x:v>
      </x:c>
      <x:c r="F2811" s="33">
        <x:v>24196650</x:v>
      </x:c>
      <x:c r="G2811" s="32" t="n">
        <x:f t="shared" si="120">AVERAGE(E2612:E2811)</x:f>
        <x:v>415.3667499999999</x:v>
      </x:c>
      <x:c r="H2811" s="37" t="n">
        <x:f t="shared" si="121">IFERROR(E2811/G2811-1,"")</x:f>
        <x:v>-0.01600212342466001</x:v>
      </x:c>
      <x:c r="I2811" s="38" t="b">
        <x:f t="shared" si="122">E2811&lt;G2811</x:f>
        <x:v>1</x:v>
      </x:c>
    </x:row>
    <x:row r="2812">
      <x:c r="A2812" s="31">
        <x:v>41103</x:v>
      </x:c>
      <x:c r="B2812" s="32">
        <x:v>409.85</x:v>
      </x:c>
      <x:c r="C2812" s="32">
        <x:v>416.98</x:v>
      </x:c>
      <x:c r="D2812" s="32">
        <x:v>409.85</x:v>
      </x:c>
      <x:c r="E2812" s="32">
        <x:v>416.98</x:v>
      </x:c>
      <x:c r="F2812" s="33">
        <x:v>52081490</x:v>
      </x:c>
      <x:c r="G2812" s="32" t="n">
        <x:f t="shared" si="120">AVERAGE(E2613:E2812)</x:f>
        <x:v>415.2794999999998</x:v>
      </x:c>
      <x:c r="H2812" s="37" t="n">
        <x:f t="shared" si="121">IFERROR(E2812/G2812-1,"")</x:f>
        <x:v>0.004094832516414071</x:v>
      </x:c>
      <x:c r="I2812" s="38" t="b">
        <x:f t="shared" si="122">E2812&lt;G2812</x:f>
        <x:v>0</x:v>
      </x:c>
    </x:row>
    <x:row r="2813">
      <x:c r="A2813" s="31">
        <x:v>41106</x:v>
      </x:c>
      <x:c r="B2813" s="32">
        <x:v>417.54</x:v>
      </x:c>
      <x:c r="C2813" s="32">
        <x:v>418.78</x:v>
      </x:c>
      <x:c r="D2813" s="32">
        <x:v>413.28</x:v>
      </x:c>
      <x:c r="E2813" s="32">
        <x:v>413.98</x:v>
      </x:c>
      <x:c r="F2813" s="33">
        <x:v>39131160</x:v>
      </x:c>
      <x:c r="G2813" s="32" t="n">
        <x:f t="shared" si="120">AVERAGE(E2614:E2813)</x:f>
        <x:v>415.16204999999985</x:v>
      </x:c>
      <x:c r="H2813" s="37" t="n">
        <x:f t="shared" si="121">IFERROR(E2813/G2813-1,"")</x:f>
        <x:v>-0.0028472014722921157</x:v>
      </x:c>
      <x:c r="I2813" s="38" t="b">
        <x:f t="shared" si="122">E2813&lt;G2813</x:f>
        <x:v>1</x:v>
      </x:c>
    </x:row>
    <x:row r="2814">
      <x:c r="A2814" s="31">
        <x:v>41107</x:v>
      </x:c>
      <x:c r="B2814" s="32">
        <x:v>411.72</x:v>
      </x:c>
      <x:c r="C2814" s="32">
        <x:v>418.43</x:v>
      </x:c>
      <x:c r="D2814" s="32">
        <x:v>411.72</x:v>
      </x:c>
      <x:c r="E2814" s="32">
        <x:v>417.55</x:v>
      </x:c>
      <x:c r="F2814" s="33">
        <x:v>35729970</x:v>
      </x:c>
      <x:c r="G2814" s="32" t="n">
        <x:f t="shared" si="120">AVERAGE(E2615:E2814)</x:f>
        <x:v>415.0799499999998</x:v>
      </x:c>
      <x:c r="H2814" s="37" t="n">
        <x:f t="shared" si="121">IFERROR(E2814/G2814-1,"")</x:f>
        <x:v>0.005950781289243645</x:v>
      </x:c>
      <x:c r="I2814" s="38" t="b">
        <x:f t="shared" si="122">E2814&lt;G2814</x:f>
        <x:v>0</x:v>
      </x:c>
    </x:row>
    <x:row r="2815">
      <x:c r="A2815" s="31">
        <x:v>41108</x:v>
      </x:c>
      <x:c r="B2815" s="32">
        <x:v>418.19</x:v>
      </x:c>
      <x:c r="C2815" s="32">
        <x:v>419.91</x:v>
      </x:c>
      <x:c r="D2815" s="32">
        <x:v>416.1</x:v>
      </x:c>
      <x:c r="E2815" s="32">
        <x:v>418.83</x:v>
      </x:c>
      <x:c r="F2815" s="33">
        <x:v>37431400</x:v>
      </x:c>
      <x:c r="G2815" s="32" t="n">
        <x:f t="shared" si="120">AVERAGE(E2616:E2815)</x:f>
        <x:v>415.0336999999998</x:v>
      </x:c>
      <x:c r="H2815" s="37" t="n">
        <x:f t="shared" si="121">IFERROR(E2815/G2815-1,"")</x:f>
        <x:v>0.009146968065485206</x:v>
      </x:c>
      <x:c r="I2815" s="38" t="b">
        <x:f t="shared" si="122">E2815&lt;G2815</x:f>
        <x:v>0</x:v>
      </x:c>
    </x:row>
    <x:row r="2816">
      <x:c r="A2816" s="31">
        <x:v>41109</x:v>
      </x:c>
      <x:c r="B2816" s="32">
        <x:v>417.77</x:v>
      </x:c>
      <x:c r="C2816" s="32">
        <x:v>428.38</x:v>
      </x:c>
      <x:c r="D2816" s="32">
        <x:v>417.77</x:v>
      </x:c>
      <x:c r="E2816" s="32">
        <x:v>428.38</x:v>
      </x:c>
      <x:c r="F2816" s="33">
        <x:v>72870070</x:v>
      </x:c>
      <x:c r="G2816" s="32" t="n">
        <x:f t="shared" si="120">AVERAGE(E2617:E2816)</x:f>
        <x:v>415.0375999999999</x:v>
      </x:c>
      <x:c r="H2816" s="37" t="n">
        <x:f t="shared" si="121">IFERROR(E2816/G2816-1,"")</x:f>
        <x:v>0.032147448809457524</x:v>
      </x:c>
      <x:c r="I2816" s="38" t="b">
        <x:f t="shared" si="122">E2816&lt;G2816</x:f>
        <x:v>0</x:v>
      </x:c>
    </x:row>
    <x:row r="2817">
      <x:c r="A2817" s="31">
        <x:v>41110</x:v>
      </x:c>
      <x:c r="B2817" s="32">
        <x:v>432.1</x:v>
      </x:c>
      <x:c r="C2817" s="32">
        <x:v>432.46</x:v>
      </x:c>
      <x:c r="D2817" s="32">
        <x:v>424.47</x:v>
      </x:c>
      <x:c r="E2817" s="32">
        <x:v>424.47</x:v>
      </x:c>
      <x:c r="F2817" s="33">
        <x:v>66737560</x:v>
      </x:c>
      <x:c r="G2817" s="32" t="n">
        <x:f t="shared" si="120">AVERAGE(E2618:E2817)</x:f>
        <x:v>415.0493499999999</x:v>
      </x:c>
      <x:c r="H2817" s="37" t="n">
        <x:f t="shared" si="121">IFERROR(E2817/G2817-1,"")</x:f>
        <x:v>0.022697662338225788</x:v>
      </x:c>
      <x:c r="I2817" s="38" t="b">
        <x:f t="shared" si="122">E2817&lt;G2817</x:f>
        <x:v>0</x:v>
      </x:c>
    </x:row>
    <x:row r="2818">
      <x:c r="A2818" s="31">
        <x:v>41113</x:v>
      </x:c>
      <x:c r="B2818" s="32">
        <x:v>423.31</x:v>
      </x:c>
      <x:c r="C2818" s="32">
        <x:v>426.13</x:v>
      </x:c>
      <x:c r="D2818" s="32">
        <x:v>421.42</x:v>
      </x:c>
      <x:c r="E2818" s="32">
        <x:v>421.99</x:v>
      </x:c>
      <x:c r="F2818" s="33">
        <x:v>46579310</x:v>
      </x:c>
      <x:c r="G2818" s="32" t="n">
        <x:f t="shared" si="120">AVERAGE(E2619:E2818)</x:f>
        <x:v>415.0683999999999</x:v>
      </x:c>
      <x:c r="H2818" s="37" t="n">
        <x:f t="shared" si="121">IFERROR(E2818/G2818-1,"")</x:f>
        <x:v>0.016675805722623283</x:v>
      </x:c>
      <x:c r="I2818" s="38" t="b">
        <x:f t="shared" si="122">E2818&lt;G2818</x:f>
        <x:v>0</x:v>
      </x:c>
    </x:row>
    <x:row r="2819">
      <x:c r="A2819" s="31">
        <x:v>41114</x:v>
      </x:c>
      <x:c r="B2819" s="32">
        <x:v>420.19</x:v>
      </x:c>
      <x:c r="C2819" s="32">
        <x:v>420.62</x:v>
      </x:c>
      <x:c r="D2819" s="32">
        <x:v>414.6</x:v>
      </x:c>
      <x:c r="E2819" s="32">
        <x:v>415.63</x:v>
      </x:c>
      <x:c r="F2819" s="33">
        <x:v>41476390</x:v>
      </x:c>
      <x:c r="G2819" s="32" t="n">
        <x:f t="shared" si="120">AVERAGE(E2620:E2819)</x:f>
        <x:v>415.06049999999993</x:v>
      </x:c>
      <x:c r="H2819" s="37" t="n">
        <x:f t="shared" si="121">IFERROR(E2819/G2819-1,"")</x:f>
        <x:v>0.0013720891291753023</x:v>
      </x:c>
      <x:c r="I2819" s="38" t="b">
        <x:f t="shared" si="122">E2819&lt;G2819</x:f>
        <x:v>0</x:v>
      </x:c>
    </x:row>
    <x:row r="2820">
      <x:c r="A2820" s="31">
        <x:v>41115</x:v>
      </x:c>
      <x:c r="B2820" s="32">
        <x:v>412.94</x:v>
      </x:c>
      <x:c r="C2820" s="32">
        <x:v>415.71</x:v>
      </x:c>
      <x:c r="D2820" s="32">
        <x:v>412.56</x:v>
      </x:c>
      <x:c r="E2820" s="32">
        <x:v>412.91</x:v>
      </x:c>
      <x:c r="F2820" s="33">
        <x:v>39084070</x:v>
      </x:c>
      <x:c r="G2820" s="32" t="n">
        <x:f t="shared" si="120">AVERAGE(E2621:E2820)</x:f>
        <x:v>415.01854999999995</x:v>
      </x:c>
      <x:c r="H2820" s="37" t="n">
        <x:f t="shared" si="121">IFERROR(E2820/G2820-1,"")</x:f>
        <x:v>-0.0050806162760674844</x:v>
      </x:c>
      <x:c r="I2820" s="38" t="b">
        <x:f t="shared" si="122">E2820&lt;G2820</x:f>
        <x:v>1</x:v>
      </x:c>
    </x:row>
    <x:row r="2821">
      <x:c r="A2821" s="31">
        <x:v>41116</x:v>
      </x:c>
      <x:c r="B2821" s="32">
        <x:v>413.78</x:v>
      </x:c>
      <x:c r="C2821" s="32">
        <x:v>416.63</x:v>
      </x:c>
      <x:c r="D2821" s="32">
        <x:v>412.89</x:v>
      </x:c>
      <x:c r="E2821" s="32">
        <x:v>414.8</x:v>
      </x:c>
      <x:c r="F2821" s="33">
        <x:v>29726580</x:v>
      </x:c>
      <x:c r="G2821" s="32" t="n">
        <x:f t="shared" si="120">AVERAGE(E2622:E2821)</x:f>
        <x:v>415.00275</x:v>
      </x:c>
      <x:c r="H2821" s="37" t="n">
        <x:f t="shared" si="121">IFERROR(E2821/G2821-1,"")</x:f>
        <x:v>-0.0004885509794814169</x:v>
      </x:c>
      <x:c r="I2821" s="38" t="b">
        <x:f t="shared" si="122">E2821&lt;G2821</x:f>
        <x:v>1</x:v>
      </x:c>
    </x:row>
    <x:row r="2822">
      <x:c r="A2822" s="31">
        <x:v>41117</x:v>
      </x:c>
      <x:c r="B2822" s="32">
        <x:v>416.43</x:v>
      </x:c>
      <x:c r="C2822" s="32">
        <x:v>417.68</x:v>
      </x:c>
      <x:c r="D2822" s="32">
        <x:v>412.47</x:v>
      </x:c>
      <x:c r="E2822" s="32">
        <x:v>413.16</x:v>
      </x:c>
      <x:c r="F2822" s="33">
        <x:v>34240000</x:v>
      </x:c>
      <x:c r="G2822" s="32" t="n">
        <x:f t="shared" si="120">AVERAGE(E2623:E2822)</x:f>
        <x:v>414.97025</x:v>
      </x:c>
      <x:c r="H2822" s="37" t="n">
        <x:f t="shared" si="121">IFERROR(E2822/G2822-1,"")</x:f>
        <x:v>-0.00436236091623432</x:v>
      </x:c>
      <x:c r="I2822" s="38" t="b">
        <x:f t="shared" si="122">E2822&lt;G2822</x:f>
        <x:v>1</x:v>
      </x:c>
    </x:row>
    <x:row r="2823">
      <x:c r="A2823" s="31">
        <x:v>41120</x:v>
      </x:c>
      <x:c r="B2823" s="32">
        <x:v>410.57</x:v>
      </x:c>
      <x:c r="C2823" s="32">
        <x:v>415.31</x:v>
      </x:c>
      <x:c r="D2823" s="32">
        <x:v>410.08</x:v>
      </x:c>
      <x:c r="E2823" s="32">
        <x:v>415</x:v>
      </x:c>
      <x:c r="F2823" s="33">
        <x:v>23591670</x:v>
      </x:c>
      <x:c r="G2823" s="32" t="n">
        <x:f t="shared" si="120">AVERAGE(E2624:E2823)</x:f>
        <x:v>414.9566</x:v>
      </x:c>
      <x:c r="H2823" s="37" t="n">
        <x:f t="shared" si="121">IFERROR(E2823/G2823-1,"")</x:f>
        <x:v>0.00010458925102052596</x:v>
      </x:c>
      <x:c r="I2823" s="38" t="b">
        <x:f t="shared" si="122">E2823&lt;G2823</x:f>
        <x:v>0</x:v>
      </x:c>
    </x:row>
    <x:row r="2824">
      <x:c r="A2824" s="31">
        <x:v>41121</x:v>
      </x:c>
      <x:c r="B2824" s="32">
        <x:v>415.7</x:v>
      </x:c>
      <x:c r="C2824" s="32">
        <x:v>416.57</x:v>
      </x:c>
      <x:c r="D2824" s="32">
        <x:v>414.22</x:v>
      </x:c>
      <x:c r="E2824" s="32">
        <x:v>414.48</x:v>
      </x:c>
      <x:c r="F2824" s="33">
        <x:v>20631280</x:v>
      </x:c>
      <x:c r="G2824" s="32" t="n">
        <x:f t="shared" si="120">AVERAGE(E2625:E2824)</x:f>
        <x:v>414.97444999999993</x:v>
      </x:c>
      <x:c r="H2824" s="37" t="n">
        <x:f t="shared" si="121">IFERROR(E2824/G2824-1,"")</x:f>
        <x:v>-0.0011915191405155179</x:v>
      </x:c>
      <x:c r="I2824" s="38" t="b">
        <x:f t="shared" si="122">E2824&lt;G2824</x:f>
        <x:v>1</x:v>
      </x:c>
    </x:row>
    <x:row r="2825">
      <x:c r="A2825" s="31">
        <x:v>41122</x:v>
      </x:c>
      <x:c r="B2825" s="32">
        <x:v>413.73</x:v>
      </x:c>
      <x:c r="C2825" s="32">
        <x:v>413.99</x:v>
      </x:c>
      <x:c r="D2825" s="32">
        <x:v>410.54</x:v>
      </x:c>
      <x:c r="E2825" s="32">
        <x:v>412.55</x:v>
      </x:c>
      <x:c r="F2825" s="33">
        <x:v>25901500</x:v>
      </x:c>
      <x:c r="G2825" s="32" t="n">
        <x:f t="shared" si="120">AVERAGE(E2626:E2825)</x:f>
        <x:v>414.97424999999987</x:v>
      </x:c>
      <x:c r="H2825" s="37" t="n">
        <x:f t="shared" si="121">IFERROR(E2825/G2825-1,"")</x:f>
        <x:v>-0.005841928746180947</x:v>
      </x:c>
      <x:c r="I2825" s="38" t="b">
        <x:f t="shared" si="122">E2825&lt;G2825</x:f>
        <x:v>1</x:v>
      </x:c>
    </x:row>
    <x:row r="2826">
      <x:c r="A2826" s="31">
        <x:v>41123</x:v>
      </x:c>
      <x:c r="B2826" s="32">
        <x:v>414.23</x:v>
      </x:c>
      <x:c r="C2826" s="32">
        <x:v>417.96</x:v>
      </x:c>
      <x:c r="D2826" s="32">
        <x:v>414.23</x:v>
      </x:c>
      <x:c r="E2826" s="32">
        <x:v>416.1</x:v>
      </x:c>
      <x:c r="F2826" s="33">
        <x:v>18712110</x:v>
      </x:c>
      <x:c r="G2826" s="32" t="n">
        <x:f t="shared" si="120">AVERAGE(E2627:E2826)</x:f>
        <x:v>414.98229999999995</x:v>
      </x:c>
      <x:c r="H2826" s="37" t="n">
        <x:f t="shared" si="121">IFERROR(E2826/G2826-1,"")</x:f>
        <x:v>0.0026933678858112042</x:v>
      </x:c>
      <x:c r="I2826" s="38" t="b">
        <x:f t="shared" si="122">E2826&lt;G2826</x:f>
        <x:v>0</x:v>
      </x:c>
    </x:row>
    <x:row r="2827">
      <x:c r="A2827" s="31">
        <x:v>41124</x:v>
      </x:c>
      <x:c r="B2827" s="32">
        <x:v>417.63</x:v>
      </x:c>
      <x:c r="C2827" s="32">
        <x:v>419.26</x:v>
      </x:c>
      <x:c r="D2827" s="32">
        <x:v>417.09</x:v>
      </x:c>
      <x:c r="E2827" s="32">
        <x:v>418.21</x:v>
      </x:c>
      <x:c r="F2827" s="33">
        <x:v>21684750</x:v>
      </x:c>
      <x:c r="G2827" s="32" t="n">
        <x:f t="shared" si="120">AVERAGE(E2628:E2827)</x:f>
        <x:v>415.0191499999999</x:v>
      </x:c>
      <x:c r="H2827" s="37" t="n">
        <x:f t="shared" si="121">IFERROR(E2827/G2827-1,"")</x:f>
        <x:v>0.00768844040088279</x:v>
      </x:c>
      <x:c r="I2827" s="38" t="b">
        <x:f t="shared" si="122">E2827&lt;G2827</x:f>
        <x:v>0</x:v>
      </x:c>
    </x:row>
    <x:row r="2828">
      <x:c r="A2828" s="31">
        <x:v>41127</x:v>
      </x:c>
      <x:c r="B2828" s="32">
        <x:v>419.29</x:v>
      </x:c>
      <x:c r="C2828" s="32">
        <x:v>423.77</x:v>
      </x:c>
      <x:c r="D2828" s="32">
        <x:v>419.29</x:v>
      </x:c>
      <x:c r="E2828" s="32">
        <x:v>423.16</x:v>
      </x:c>
      <x:c r="F2828" s="33">
        <x:v>39532210</x:v>
      </x:c>
      <x:c r="G2828" s="32" t="n">
        <x:f t="shared" si="120">AVERAGE(E2629:E2828)</x:f>
        <x:v>415.11334999999997</x:v>
      </x:c>
      <x:c r="H2828" s="37" t="n">
        <x:f t="shared" si="121">IFERROR(E2828/G2828-1,"")</x:f>
        <x:v>0.019384223610250162</x:v>
      </x:c>
      <x:c r="I2828" s="38" t="b">
        <x:f t="shared" si="122">E2828&lt;G2828</x:f>
        <x:v>0</x:v>
      </x:c>
    </x:row>
    <x:row r="2829">
      <x:c r="A2829" s="31">
        <x:v>41128</x:v>
      </x:c>
      <x:c r="B2829" s="32">
        <x:v>423.72</x:v>
      </x:c>
      <x:c r="C2829" s="32">
        <x:v>425.46</x:v>
      </x:c>
      <x:c r="D2829" s="32">
        <x:v>422.44</x:v>
      </x:c>
      <x:c r="E2829" s="32">
        <x:v>422.5</x:v>
      </x:c>
      <x:c r="F2829" s="33">
        <x:v>29412990</x:v>
      </x:c>
      <x:c r="G2829" s="32" t="n">
        <x:f t="shared" ref="G2829:G2892" si="123">AVERAGE(E2630:E2829)</x:f>
        <x:v>415.22009999999995</x:v>
      </x:c>
      <x:c r="H2829" s="37" t="n">
        <x:f t="shared" ref="H2829:H2892" si="124">IFERROR(E2829/G2829-1,"")</x:f>
        <x:v>0.01753262908033615</x:v>
      </x:c>
      <x:c r="I2829" s="38" t="b">
        <x:f t="shared" ref="I2829:I2892" si="125">E2829&lt;G2829</x:f>
        <x:v>0</x:v>
      </x:c>
    </x:row>
    <x:row r="2830">
      <x:c r="A2830" s="31">
        <x:v>41129</x:v>
      </x:c>
      <x:c r="B2830" s="32">
        <x:v>422.74</x:v>
      </x:c>
      <x:c r="C2830" s="32">
        <x:v>424.52</x:v>
      </x:c>
      <x:c r="D2830" s="32">
        <x:v>421.31</x:v>
      </x:c>
      <x:c r="E2830" s="32">
        <x:v>423.57</x:v>
      </x:c>
      <x:c r="F2830" s="33">
        <x:v>22369090</x:v>
      </x:c>
      <x:c r="G2830" s="32" t="n">
        <x:f t="shared" si="123">AVERAGE(E2631:E2830)</x:f>
        <x:v>415.3193</x:v>
      </x:c>
      <x:c r="H2830" s="37" t="n">
        <x:f t="shared" si="124">IFERROR(E2830/G2830-1,"")</x:f>
        <x:v>0.019865920028276918</x:v>
      </x:c>
      <x:c r="I2830" s="38" t="b">
        <x:f t="shared" si="125">E2830&lt;G2830</x:f>
        <x:v>0</x:v>
      </x:c>
    </x:row>
    <x:row r="2831">
      <x:c r="A2831" s="31">
        <x:v>41130</x:v>
      </x:c>
      <x:c r="B2831" s="32">
        <x:v>424.43</x:v>
      </x:c>
      <x:c r="C2831" s="32">
        <x:v>428.21</x:v>
      </x:c>
      <x:c r="D2831" s="32">
        <x:v>424.43</x:v>
      </x:c>
      <x:c r="E2831" s="32">
        <x:v>426.98</x:v>
      </x:c>
      <x:c r="F2831" s="33">
        <x:v>37482300</x:v>
      </x:c>
      <x:c r="G2831" s="32" t="n">
        <x:f t="shared" si="123">AVERAGE(E2632:E2831)</x:f>
        <x:v>415.39904999999993</x:v>
      </x:c>
      <x:c r="H2831" s="37" t="n">
        <x:f t="shared" si="124">IFERROR(E2831/G2831-1,"")</x:f>
        <x:v>0.02787909601622851</x:v>
      </x:c>
      <x:c r="I2831" s="38" t="b">
        <x:f t="shared" si="125">E2831&lt;G2831</x:f>
        <x:v>0</x:v>
      </x:c>
    </x:row>
    <x:row r="2832">
      <x:c r="A2832" s="31">
        <x:v>41131</x:v>
      </x:c>
      <x:c r="B2832" s="32">
        <x:v>427.49</x:v>
      </x:c>
      <x:c r="C2832" s="32">
        <x:v>427.93</x:v>
      </x:c>
      <x:c r="D2832" s="32">
        <x:v>425.06</x:v>
      </x:c>
      <x:c r="E2832" s="32">
        <x:v>425.56</x:v>
      </x:c>
      <x:c r="F2832" s="33">
        <x:v>31538750</x:v>
      </x:c>
      <x:c r="G2832" s="32" t="n">
        <x:f t="shared" si="123">AVERAGE(E2633:E2832)</x:f>
        <x:v>415.45455000000004</x:v>
      </x:c>
      <x:c r="H2832" s="37" t="n">
        <x:f t="shared" si="124">IFERROR(E2832/G2832-1,"")</x:f>
        <x:v>0.02432383999645671</x:v>
      </x:c>
      <x:c r="I2832" s="38" t="b">
        <x:f t="shared" si="125">E2832&lt;G2832</x:f>
        <x:v>0</x:v>
      </x:c>
    </x:row>
    <x:row r="2833">
      <x:c r="A2833" s="31">
        <x:v>41134</x:v>
      </x:c>
      <x:c r="B2833" s="32">
        <x:v>423.79</x:v>
      </x:c>
      <x:c r="C2833" s="32">
        <x:v>426.38</x:v>
      </x:c>
      <x:c r="D2833" s="32">
        <x:v>423.44</x:v>
      </x:c>
      <x:c r="E2833" s="32">
        <x:v>426.17</x:v>
      </x:c>
      <x:c r="F2833" s="33">
        <x:v>23477000</x:v>
      </x:c>
      <x:c r="G2833" s="32" t="n">
        <x:f t="shared" si="123">AVERAGE(E2634:E2833)</x:f>
        <x:v>415.5385</x:v>
      </x:c>
      <x:c r="H2833" s="37" t="n">
        <x:f t="shared" si="124">IFERROR(E2833/G2833-1,"")</x:f>
        <x:v>0.025584873603769598</x:v>
      </x:c>
      <x:c r="I2833" s="38" t="b">
        <x:f t="shared" si="125">E2833&lt;G2833</x:f>
        <x:v>0</x:v>
      </x:c>
    </x:row>
    <x:row r="2834">
      <x:c r="A2834" s="31">
        <x:v>41135</x:v>
      </x:c>
      <x:c r="B2834" s="32">
        <x:v>425.79</x:v>
      </x:c>
      <x:c r="C2834" s="32">
        <x:v>430.89</x:v>
      </x:c>
      <x:c r="D2834" s="32">
        <x:v>425.79</x:v>
      </x:c>
      <x:c r="E2834" s="32">
        <x:v>429.47</x:v>
      </x:c>
      <x:c r="F2834" s="33">
        <x:v>44659470</x:v>
      </x:c>
      <x:c r="G2834" s="32" t="n">
        <x:f t="shared" si="123">AVERAGE(E2635:E2834)</x:f>
        <x:v>415.62534999999997</x:v>
      </x:c>
      <x:c r="H2834" s="37" t="n">
        <x:f t="shared" si="124">IFERROR(E2834/G2834-1,"")</x:f>
        <x:v>0.03331040803935581</x:v>
      </x:c>
      <x:c r="I2834" s="38" t="b">
        <x:f t="shared" si="125">E2834&lt;G2834</x:f>
        <x:v>0</x:v>
      </x:c>
    </x:row>
    <x:row r="2835">
      <x:c r="A2835" s="31">
        <x:v>41136</x:v>
      </x:c>
      <x:c r="B2835" s="32">
        <x:v>429.96</x:v>
      </x:c>
      <x:c r="C2835" s="32">
        <x:v>432.44</x:v>
      </x:c>
      <x:c r="D2835" s="32">
        <x:v>429.96</x:v>
      </x:c>
      <x:c r="E2835" s="32">
        <x:v>430.77</x:v>
      </x:c>
      <x:c r="F2835" s="33">
        <x:v>31649990</x:v>
      </x:c>
      <x:c r="G2835" s="32" t="n">
        <x:f t="shared" si="123">AVERAGE(E2636:E2835)</x:f>
        <x:v>415.70545</x:v>
      </x:c>
      <x:c r="H2835" s="37" t="n">
        <x:f t="shared" si="124">IFERROR(E2835/G2835-1,"")</x:f>
        <x:v>0.03623851936509381</x:v>
      </x:c>
      <x:c r="I2835" s="38" t="b">
        <x:f t="shared" si="125">E2835&lt;G2835</x:f>
        <x:v>0</x:v>
      </x:c>
    </x:row>
    <x:row r="2836">
      <x:c r="A2836" s="31">
        <x:v>41137</x:v>
      </x:c>
      <x:c r="B2836" s="32">
        <x:v>431.58</x:v>
      </x:c>
      <x:c r="C2836" s="32">
        <x:v>433.63</x:v>
      </x:c>
      <x:c r="D2836" s="32">
        <x:v>429.43</x:v>
      </x:c>
      <x:c r="E2836" s="32">
        <x:v>430.83</x:v>
      </x:c>
      <x:c r="F2836" s="33">
        <x:v>24219370</x:v>
      </x:c>
      <x:c r="G2836" s="32" t="n">
        <x:f t="shared" si="123">AVERAGE(E2637:E2836)</x:f>
        <x:v>415.74925</x:v>
      </x:c>
      <x:c r="H2836" s="37" t="n">
        <x:f t="shared" si="124">IFERROR(E2836/G2836-1,"")</x:f>
        <x:v>0.03627366736079485</x:v>
      </x:c>
      <x:c r="I2836" s="38" t="b">
        <x:f t="shared" si="125">E2836&lt;G2836</x:f>
        <x:v>0</x:v>
      </x:c>
    </x:row>
    <x:row r="2837">
      <x:c r="A2837" s="31">
        <x:v>41138</x:v>
      </x:c>
      <x:c r="B2837" s="32">
        <x:v>432.31</x:v>
      </x:c>
      <x:c r="C2837" s="32">
        <x:v>434.72</x:v>
      </x:c>
      <x:c r="D2837" s="32">
        <x:v>431.56</x:v>
      </x:c>
      <x:c r="E2837" s="32">
        <x:v>433.45</x:v>
      </x:c>
      <x:c r="F2837" s="33">
        <x:v>32943250</x:v>
      </x:c>
      <x:c r="G2837" s="32" t="n">
        <x:f t="shared" si="123">AVERAGE(E2638:E2837)</x:f>
        <x:v>415.81245</x:v>
      </x:c>
      <x:c r="H2837" s="37" t="n">
        <x:f t="shared" si="124">IFERROR(E2837/G2837-1,"")</x:f>
        <x:v>0.04241708010426337</x:v>
      </x:c>
      <x:c r="I2837" s="38" t="b">
        <x:f t="shared" si="125">E2837&lt;G2837</x:f>
        <x:v>0</x:v>
      </x:c>
    </x:row>
    <x:row r="2838">
      <x:c r="A2838" s="31">
        <x:v>41141</x:v>
      </x:c>
      <x:c r="B2838" s="32">
        <x:v>435.33</x:v>
      </x:c>
      <x:c r="C2838" s="32">
        <x:v>437.61</x:v>
      </x:c>
      <x:c r="D2838" s="32">
        <x:v>434.92</x:v>
      </x:c>
      <x:c r="E2838" s="32">
        <x:v>437.28</x:v>
      </x:c>
      <x:c r="F2838" s="33">
        <x:v>32299370</x:v>
      </x:c>
      <x:c r="G2838" s="32" t="n">
        <x:f t="shared" si="123">AVERAGE(E2639:E2838)</x:f>
        <x:v>415.92975</x:v>
      </x:c>
      <x:c r="H2838" s="37" t="n">
        <x:f t="shared" si="124">IFERROR(E2838/G2838-1,"")</x:f>
        <x:v>0.05133138468695719</x:v>
      </x:c>
      <x:c r="I2838" s="38" t="b">
        <x:f t="shared" si="125">E2838&lt;G2838</x:f>
        <x:v>0</x:v>
      </x:c>
    </x:row>
    <x:row r="2839">
      <x:c r="A2839" s="31">
        <x:v>41142</x:v>
      </x:c>
      <x:c r="B2839" s="32">
        <x:v>430.79</x:v>
      </x:c>
      <x:c r="C2839" s="32">
        <x:v>430.79</x:v>
      </x:c>
      <x:c r="D2839" s="32">
        <x:v>416.23</x:v>
      </x:c>
      <x:c r="E2839" s="32">
        <x:v>416.84</x:v>
      </x:c>
      <x:c r="F2839" s="33">
        <x:v>61664400</x:v>
      </x:c>
      <x:c r="G2839" s="32" t="n">
        <x:f t="shared" si="123">AVERAGE(E2640:E2839)</x:f>
        <x:v>415.975</x:v>
      </x:c>
      <x:c r="H2839" s="37" t="n">
        <x:f t="shared" si="124">IFERROR(E2839/G2839-1,"")</x:f>
        <x:v>0.0020794518901374737</x:v>
      </x:c>
      <x:c r="I2839" s="38" t="b">
        <x:f t="shared" si="125">E2839&lt;G2839</x:f>
        <x:v>0</x:v>
      </x:c>
    </x:row>
    <x:row r="2840">
      <x:c r="A2840" s="31">
        <x:v>41143</x:v>
      </x:c>
      <x:c r="B2840" s="32">
        <x:v>404.22</x:v>
      </x:c>
      <x:c r="C2840" s="32">
        <x:v>413.42</x:v>
      </x:c>
      <x:c r="D2840" s="32">
        <x:v>404.17</x:v>
      </x:c>
      <x:c r="E2840" s="32">
        <x:v>410.23</x:v>
      </x:c>
      <x:c r="F2840" s="33">
        <x:v>67225530</x:v>
      </x:c>
      <x:c r="G2840" s="32" t="n">
        <x:f t="shared" si="123">AVERAGE(E2641:E2840)</x:f>
        <x:v>415.98395</x:v>
      </x:c>
      <x:c r="H2840" s="37" t="n">
        <x:f t="shared" si="124">IFERROR(E2840/G2840-1,"")</x:f>
        <x:v>-0.013832144244988243</x:v>
      </x:c>
      <x:c r="I2840" s="38" t="b">
        <x:f t="shared" si="125">E2840&lt;G2840</x:f>
        <x:v>1</x:v>
      </x:c>
    </x:row>
    <x:row r="2841">
      <x:c r="A2841" s="31">
        <x:v>41144</x:v>
      </x:c>
      <x:c r="B2841" s="32">
        <x:v>400.03</x:v>
      </x:c>
      <x:c r="C2841" s="32">
        <x:v>400.07</x:v>
      </x:c>
      <x:c r="D2841" s="32">
        <x:v>391.54</x:v>
      </x:c>
      <x:c r="E2841" s="32">
        <x:v>392.82</x:v>
      </x:c>
      <x:c r="F2841" s="33">
        <x:v>37075710</x:v>
      </x:c>
      <x:c r="G2841" s="32" t="n">
        <x:f t="shared" si="123">AVERAGE(E2642:E2841)</x:f>
        <x:v>415.89520000000005</x:v>
      </x:c>
      <x:c r="H2841" s="37" t="n">
        <x:f t="shared" si="124">IFERROR(E2841/G2841-1,"")</x:f>
        <x:v>-0.05548320826977582</x:v>
      </x:c>
      <x:c r="I2841" s="38" t="b">
        <x:f t="shared" si="125">E2841&lt;G2841</x:f>
        <x:v>1</x:v>
      </x:c>
    </x:row>
    <x:row r="2842">
      <x:c r="A2842" s="31">
        <x:v>41145</x:v>
      </x:c>
      <x:c r="B2842" s="32">
        <x:v>379.45</x:v>
      </x:c>
      <x:c r="C2842" s="32">
        <x:v>402.22</x:v>
      </x:c>
      <x:c r="D2842" s="32">
        <x:v>378.17</x:v>
      </x:c>
      <x:c r="E2842" s="32">
        <x:v>399.72</x:v>
      </x:c>
      <x:c r="F2842" s="33">
        <x:v>88370910</x:v>
      </x:c>
      <x:c r="G2842" s="32" t="n">
        <x:f t="shared" si="123">AVERAGE(E2643:E2842)</x:f>
        <x:v>415.8412000000001</x:v>
      </x:c>
      <x:c r="H2842" s="37" t="n">
        <x:f t="shared" si="124">IFERROR(E2842/G2842-1,"")</x:f>
        <x:v>-0.03876768343300285</x:v>
      </x:c>
      <x:c r="I2842" s="38" t="b">
        <x:f t="shared" si="125">E2842&lt;G2842</x:f>
        <x:v>1</x:v>
      </x:c>
    </x:row>
    <x:row r="2843">
      <x:c r="A2843" s="31">
        <x:v>41148</x:v>
      </x:c>
      <x:c r="B2843" s="32">
        <x:v>395.37</x:v>
      </x:c>
      <x:c r="C2843" s="32">
        <x:v>399.72</x:v>
      </x:c>
      <x:c r="D2843" s="32">
        <x:v>385.05</x:v>
      </x:c>
      <x:c r="E2843" s="32">
        <x:v>386.19</x:v>
      </x:c>
      <x:c r="F2843" s="33">
        <x:v>39922570</x:v>
      </x:c>
      <x:c r="G2843" s="32" t="n">
        <x:f t="shared" si="123">AVERAGE(E2644:E2843)</x:f>
        <x:v>415.72915000000006</x:v>
      </x:c>
      <x:c r="H2843" s="37" t="n">
        <x:f t="shared" si="124">IFERROR(E2843/G2843-1,"")</x:f>
        <x:v>-0.07105383396858278</x:v>
      </x:c>
      <x:c r="I2843" s="38" t="b">
        <x:f t="shared" si="125">E2843&lt;G2843</x:f>
        <x:v>1</x:v>
      </x:c>
    </x:row>
    <x:row r="2844">
      <x:c r="A2844" s="31">
        <x:v>41149</x:v>
      </x:c>
      <x:c r="B2844" s="32">
        <x:v>381.06</x:v>
      </x:c>
      <x:c r="C2844" s="32">
        <x:v>386.05</x:v>
      </x:c>
      <x:c r="D2844" s="32">
        <x:v>379.61</x:v>
      </x:c>
      <x:c r="E2844" s="32">
        <x:v>385.78</x:v>
      </x:c>
      <x:c r="F2844" s="33">
        <x:v>36811080</x:v>
      </x:c>
      <x:c r="G2844" s="32" t="n">
        <x:f t="shared" si="123">AVERAGE(E2645:E2844)</x:f>
        <x:v>415.63210000000015</x:v>
      </x:c>
      <x:c r="H2844" s="37" t="n">
        <x:f t="shared" si="124">IFERROR(E2844/G2844-1,"")</x:f>
        <x:v>-0.0718233745661131</x:v>
      </x:c>
      <x:c r="I2844" s="38" t="b">
        <x:f t="shared" si="125">E2844&lt;G2844</x:f>
        <x:v>1</x:v>
      </x:c>
    </x:row>
    <x:row r="2845">
      <x:c r="A2845" s="31">
        <x:v>41150</x:v>
      </x:c>
      <x:c r="B2845" s="32">
        <x:v>389.85</x:v>
      </x:c>
      <x:c r="C2845" s="32">
        <x:v>394.04</x:v>
      </x:c>
      <x:c r="D2845" s="32">
        <x:v>389.85</x:v>
      </x:c>
      <x:c r="E2845" s="32">
        <x:v>393.06</x:v>
      </x:c>
      <x:c r="F2845" s="33">
        <x:v>35739900</x:v>
      </x:c>
      <x:c r="G2845" s="32" t="n">
        <x:f t="shared" si="123">AVERAGE(E2646:E2845)</x:f>
        <x:v>415.59225000000015</x:v>
      </x:c>
      <x:c r="H2845" s="37" t="n">
        <x:f t="shared" si="124">IFERROR(E2845/G2845-1,"")</x:f>
        <x:v>-0.05421720448348144</x:v>
      </x:c>
      <x:c r="I2845" s="38" t="b">
        <x:f t="shared" si="125">E2845&lt;G2845</x:f>
        <x:v>1</x:v>
      </x:c>
    </x:row>
    <x:row r="2846">
      <x:c r="A2846" s="31">
        <x:v>41151</x:v>
      </x:c>
      <x:c r="B2846" s="32">
        <x:v>394.9</x:v>
      </x:c>
      <x:c r="C2846" s="32">
        <x:v>399.44</x:v>
      </x:c>
      <x:c r="D2846" s="32">
        <x:v>393.37</x:v>
      </x:c>
      <x:c r="E2846" s="32">
        <x:v>397.25</x:v>
      </x:c>
      <x:c r="F2846" s="33">
        <x:v>35280940</x:v>
      </x:c>
      <x:c r="G2846" s="32" t="n">
        <x:f t="shared" si="123">AVERAGE(E2647:E2846)</x:f>
        <x:v>415.5970000000002</x:v>
      </x:c>
      <x:c r="H2846" s="37" t="n">
        <x:f t="shared" si="124">IFERROR(E2846/G2846-1,"")</x:f>
        <x:v>-0.044146131949942324</x:v>
      </x:c>
      <x:c r="I2846" s="38" t="b">
        <x:f t="shared" si="125">E2846&lt;G2846</x:f>
        <x:v>1</x:v>
      </x:c>
    </x:row>
    <x:row r="2847">
      <x:c r="A2847" s="31">
        <x:v>41152</x:v>
      </x:c>
      <x:c r="B2847" s="32">
        <x:v>396.88</x:v>
      </x:c>
      <x:c r="C2847" s="32">
        <x:v>398.19</x:v>
      </x:c>
      <x:c r="D2847" s="32">
        <x:v>394.35</x:v>
      </x:c>
      <x:c r="E2847" s="32">
        <x:v>396.02</x:v>
      </x:c>
      <x:c r="F2847" s="33">
        <x:v>26853510</x:v>
      </x:c>
      <x:c r="G2847" s="32" t="n">
        <x:f t="shared" si="123">AVERAGE(E2648:E2847)</x:f>
        <x:v>415.6184000000002</x:v>
      </x:c>
      <x:c r="H2847" s="37" t="n">
        <x:f t="shared" si="124">IFERROR(E2847/G2847-1,"")</x:f>
        <x:v>-0.047154793916727944</x:v>
      </x:c>
      <x:c r="I2847" s="38" t="b">
        <x:f t="shared" si="125">E2847&lt;G2847</x:f>
        <x:v>1</x:v>
      </x:c>
    </x:row>
    <x:row r="2848">
      <x:c r="A2848" s="31">
        <x:v>41156</x:v>
      </x:c>
      <x:c r="B2848" s="32">
        <x:v>397.37</x:v>
      </x:c>
      <x:c r="C2848" s="32">
        <x:v>403.25</x:v>
      </x:c>
      <x:c r="D2848" s="32">
        <x:v>397.37</x:v>
      </x:c>
      <x:c r="E2848" s="32">
        <x:v>402.08</x:v>
      </x:c>
      <x:c r="F2848" s="33">
        <x:v>23083200</x:v>
      </x:c>
      <x:c r="G2848" s="32" t="n">
        <x:f t="shared" si="123">AVERAGE(E2649:E2848)</x:f>
        <x:v>415.6894500000002</x:v>
      </x:c>
      <x:c r="H2848" s="37" t="n">
        <x:f t="shared" si="124">IFERROR(E2848/G2848-1,"")</x:f>
        <x:v>-0.03273946452093068</x:v>
      </x:c>
      <x:c r="I2848" s="38" t="b">
        <x:f t="shared" si="125">E2848&lt;G2848</x:f>
        <x:v>1</x:v>
      </x:c>
    </x:row>
    <x:row r="2849">
      <x:c r="A2849" s="31">
        <x:v>41157</x:v>
      </x:c>
      <x:c r="B2849" s="32">
        <x:v>402.56</x:v>
      </x:c>
      <x:c r="C2849" s="32">
        <x:v>404.87</x:v>
      </x:c>
      <x:c r="D2849" s="32">
        <x:v>396.31</x:v>
      </x:c>
      <x:c r="E2849" s="32">
        <x:v>398.92</x:v>
      </x:c>
      <x:c r="F2849" s="33">
        <x:v>38133340</x:v>
      </x:c>
      <x:c r="G2849" s="32" t="n">
        <x:f t="shared" si="123">AVERAGE(E2650:E2849)</x:f>
        <x:v>415.72960000000023</x:v>
      </x:c>
      <x:c r="H2849" s="37" t="n">
        <x:f t="shared" si="124">IFERROR(E2849/G2849-1,"")</x:f>
        <x:v>-0.04043397439104701</x:v>
      </x:c>
      <x:c r="I2849" s="38" t="b">
        <x:f t="shared" si="125">E2849&lt;G2849</x:f>
        <x:v>1</x:v>
      </x:c>
    </x:row>
    <x:row r="2850">
      <x:c r="A2850" s="31">
        <x:v>41158</x:v>
      </x:c>
      <x:c r="B2850" s="32">
        <x:v>396.41</x:v>
      </x:c>
      <x:c r="C2850" s="32">
        <x:v>398.77</x:v>
      </x:c>
      <x:c r="D2850" s="32">
        <x:v>393.41</x:v>
      </x:c>
      <x:c r="E2850" s="32">
        <x:v>393.41</x:v>
      </x:c>
      <x:c r="F2850" s="33">
        <x:v>27130310</x:v>
      </x:c>
      <x:c r="G2850" s="32" t="n">
        <x:f t="shared" si="123">AVERAGE(E2651:E2850)</x:f>
        <x:v>415.7673500000003</x:v>
      </x:c>
      <x:c r="H2850" s="37" t="n">
        <x:f t="shared" si="124">IFERROR(E2850/G2850-1,"")</x:f>
        <x:v>-0.05377370300962847</x:v>
      </x:c>
      <x:c r="I2850" s="38" t="b">
        <x:f t="shared" si="125">E2850&lt;G2850</x:f>
        <x:v>1</x:v>
      </x:c>
    </x:row>
    <x:row r="2851">
      <x:c r="A2851" s="31">
        <x:v>41159</x:v>
      </x:c>
      <x:c r="B2851" s="32">
        <x:v>395.25</x:v>
      </x:c>
      <x:c r="C2851" s="32">
        <x:v>397.51</x:v>
      </x:c>
      <x:c r="D2851" s="32">
        <x:v>392.56</x:v>
      </x:c>
      <x:c r="E2851" s="32">
        <x:v>397.51</x:v>
      </x:c>
      <x:c r="F2851" s="33">
        <x:v>29329820</x:v>
      </x:c>
      <x:c r="G2851" s="32" t="n">
        <x:f t="shared" si="123">AVERAGE(E2652:E2851)</x:f>
        <x:v>415.8568000000003</x:v>
      </x:c>
      <x:c r="H2851" s="37" t="n">
        <x:f t="shared" si="124">IFERROR(E2851/G2851-1,"")</x:f>
        <x:v>-0.0441180714130448</x:v>
      </x:c>
      <x:c r="I2851" s="38" t="b">
        <x:f t="shared" si="125">E2851&lt;G2851</x:f>
        <x:v>1</x:v>
      </x:c>
    </x:row>
    <x:row r="2852">
      <x:c r="A2852" s="31">
        <x:v>41162</x:v>
      </x:c>
      <x:c r="B2852" s="32">
        <x:v>395.72</x:v>
      </x:c>
      <x:c r="C2852" s="32">
        <x:v>396.27</x:v>
      </x:c>
      <x:c r="D2852" s="32">
        <x:v>386.19</x:v>
      </x:c>
      <x:c r="E2852" s="32">
        <x:v>388.88</x:v>
      </x:c>
      <x:c r="F2852" s="33">
        <x:v>40663290</x:v>
      </x:c>
      <x:c r="G2852" s="32" t="n">
        <x:f t="shared" si="123">AVERAGE(E2653:E2852)</x:f>
        <x:v>415.9055000000003</x:v>
      </x:c>
      <x:c r="H2852" s="37" t="n">
        <x:f t="shared" si="124">IFERROR(E2852/G2852-1,"")</x:f>
        <x:v>-0.0649799052909863</x:v>
      </x:c>
      <x:c r="I2852" s="38" t="b">
        <x:f t="shared" si="125">E2852&lt;G2852</x:f>
        <x:v>1</x:v>
      </x:c>
    </x:row>
    <x:row r="2853">
      <x:c r="A2853" s="31">
        <x:v>41163</x:v>
      </x:c>
      <x:c r="B2853" s="32">
        <x:v>383.87</x:v>
      </x:c>
      <x:c r="C2853" s="32">
        <x:v>388.02</x:v>
      </x:c>
      <x:c r="D2853" s="32">
        <x:v>383.87</x:v>
      </x:c>
      <x:c r="E2853" s="32">
        <x:v>386.62</x:v>
      </x:c>
      <x:c r="F2853" s="33">
        <x:v>33882860</x:v>
      </x:c>
      <x:c r="G2853" s="32" t="n">
        <x:f t="shared" si="123">AVERAGE(E2654:E2853)</x:f>
        <x:v>415.9298000000002</x:v>
      </x:c>
      <x:c r="H2853" s="37" t="n">
        <x:f t="shared" si="124">IFERROR(E2853/G2853-1,"")</x:f>
        <x:v>-0.07046814149887848</x:v>
      </x:c>
      <x:c r="I2853" s="38" t="b">
        <x:f t="shared" si="125">E2853&lt;G2853</x:f>
        <x:v>1</x:v>
      </x:c>
    </x:row>
    <x:row r="2854">
      <x:c r="A2854" s="31">
        <x:v>41164</x:v>
      </x:c>
      <x:c r="B2854" s="32">
        <x:v>387.03</x:v>
      </x:c>
      <x:c r="C2854" s="32">
        <x:v>390.3</x:v>
      </x:c>
      <x:c r="D2854" s="32">
        <x:v>387.03</x:v>
      </x:c>
      <x:c r="E2854" s="32">
        <x:v>388.35</x:v>
      </x:c>
      <x:c r="F2854" s="33">
        <x:v>29879350</x:v>
      </x:c>
      <x:c r="G2854" s="32" t="n">
        <x:f t="shared" si="123">AVERAGE(E2655:E2854)</x:f>
        <x:v>415.92870000000033</x:v>
      </x:c>
      <x:c r="H2854" s="37" t="n">
        <x:f t="shared" si="124">IFERROR(E2854/G2854-1,"")</x:f>
        <x:v>-0.06630631644317952</x:v>
      </x:c>
      <x:c r="I2854" s="38" t="b">
        <x:f t="shared" si="125">E2854&lt;G2854</x:f>
        <x:v>1</x:v>
      </x:c>
    </x:row>
    <x:row r="2855">
      <x:c r="A2855" s="31">
        <x:v>41165</x:v>
      </x:c>
      <x:c r="B2855" s="32">
        <x:v>388.55</x:v>
      </x:c>
      <x:c r="C2855" s="32">
        <x:v>391.36</x:v>
      </x:c>
      <x:c r="D2855" s="32">
        <x:v>387.68</x:v>
      </x:c>
      <x:c r="E2855" s="32">
        <x:v>391.36</x:v>
      </x:c>
      <x:c r="F2855" s="33">
        <x:v>28938490</x:v>
      </x:c>
      <x:c r="G2855" s="32" t="n">
        <x:f t="shared" si="123">AVERAGE(E2656:E2855)</x:f>
        <x:v>415.9766000000003</x:v>
      </x:c>
      <x:c r="H2855" s="37" t="n">
        <x:f t="shared" si="124">IFERROR(E2855/G2855-1,"")</x:f>
        <x:v>-0.059177847984719034</x:v>
      </x:c>
      <x:c r="I2855" s="38" t="b">
        <x:f t="shared" si="125">E2855&lt;G2855</x:f>
        <x:v>1</x:v>
      </x:c>
    </x:row>
    <x:row r="2856">
      <x:c r="A2856" s="31">
        <x:v>41166</x:v>
      </x:c>
      <x:c r="B2856" s="32">
        <x:v>398.13</x:v>
      </x:c>
      <x:c r="C2856" s="32">
        <x:v>400.09</x:v>
      </x:c>
      <x:c r="D2856" s="32">
        <x:v>395.14</x:v>
      </x:c>
      <x:c r="E2856" s="32">
        <x:v>398.87</x:v>
      </x:c>
      <x:c r="F2856" s="33">
        <x:v>42312440</x:v>
      </x:c>
      <x:c r="G2856" s="32" t="n">
        <x:f t="shared" si="123">AVERAGE(E2657:E2856)</x:f>
        <x:v>416.0542000000003</x:v>
      </x:c>
      <x:c r="H2856" s="37" t="n">
        <x:f t="shared" si="124">IFERROR(E2856/G2856-1,"")</x:f>
        <x:v>-0.04130279179972296</x:v>
      </x:c>
      <x:c r="I2856" s="38" t="b">
        <x:f t="shared" si="125">E2856&lt;G2856</x:f>
        <x:v>1</x:v>
      </x:c>
    </x:row>
    <x:row r="2857">
      <x:c r="A2857" s="31">
        <x:v>41169</x:v>
      </x:c>
      <x:c r="B2857" s="32">
        <x:v>400.55</x:v>
      </x:c>
      <x:c r="C2857" s="32">
        <x:v>405.27</x:v>
      </x:c>
      <x:c r="D2857" s="32">
        <x:v>400.07</x:v>
      </x:c>
      <x:c r="E2857" s="32">
        <x:v>401.75</x:v>
      </x:c>
      <x:c r="F2857" s="33">
        <x:v>30647860</x:v>
      </x:c>
      <x:c r="G2857" s="32" t="n">
        <x:f t="shared" si="123">AVERAGE(E2658:E2857)</x:f>
        <x:v>416.14640000000037</x:v>
      </x:c>
      <x:c r="H2857" s="37" t="n">
        <x:f t="shared" si="124">IFERROR(E2857/G2857-1,"")</x:f>
        <x:v>-0.034594556146587685</x:v>
      </x:c>
      <x:c r="I2857" s="38" t="b">
        <x:f t="shared" si="125">E2857&lt;G2857</x:f>
        <x:v>1</x:v>
      </x:c>
    </x:row>
    <x:row r="2858">
      <x:c r="A2858" s="31">
        <x:v>41170</x:v>
      </x:c>
      <x:c r="B2858" s="32">
        <x:v>403.48</x:v>
      </x:c>
      <x:c r="C2858" s="32">
        <x:v>405.05</x:v>
      </x:c>
      <x:c r="D2858" s="32">
        <x:v>392.98</x:v>
      </x:c>
      <x:c r="E2858" s="32">
        <x:v>394.51</x:v>
      </x:c>
      <x:c r="F2858" s="33">
        <x:v>39909580</x:v>
      </x:c>
      <x:c r="G2858" s="32" t="n">
        <x:f t="shared" si="123">AVERAGE(E2659:E2858)</x:f>
        <x:v>416.2044500000003</x:v>
      </x:c>
      <x:c r="H2858" s="37" t="n">
        <x:f t="shared" si="124">IFERROR(E2858/G2858-1,"")</x:f>
        <x:v>-0.052124502753395086</x:v>
      </x:c>
      <x:c r="I2858" s="38" t="b">
        <x:f t="shared" si="125">E2858&lt;G2858</x:f>
        <x:v>1</x:v>
      </x:c>
    </x:row>
    <x:row r="2859">
      <x:c r="A2859" s="31">
        <x:v>41171</x:v>
      </x:c>
      <x:c r="B2859" s="32">
        <x:v>391.05</x:v>
      </x:c>
      <x:c r="C2859" s="32">
        <x:v>396.17</x:v>
      </x:c>
      <x:c r="D2859" s="32">
        <x:v>390.89</x:v>
      </x:c>
      <x:c r="E2859" s="32">
        <x:v>394.55</x:v>
      </x:c>
      <x:c r="F2859" s="33">
        <x:v>37098740</x:v>
      </x:c>
      <x:c r="G2859" s="32" t="n">
        <x:f t="shared" si="123">AVERAGE(E2660:E2859)</x:f>
        <x:v>416.27375000000035</x:v>
      </x:c>
      <x:c r="H2859" s="37" t="n">
        <x:f t="shared" si="124">IFERROR(E2859/G2859-1,"")</x:f>
        <x:v>-0.052186211597537224</x:v>
      </x:c>
      <x:c r="I2859" s="38" t="b">
        <x:f t="shared" si="125">E2859&lt;G2859</x:f>
        <x:v>1</x:v>
      </x:c>
    </x:row>
    <x:row r="2860">
      <x:c r="A2860" s="31">
        <x:v>41172</x:v>
      </x:c>
      <x:c r="B2860" s="32">
        <x:v>393.05</x:v>
      </x:c>
      <x:c r="C2860" s="32">
        <x:v>393.42</x:v>
      </x:c>
      <x:c r="D2860" s="32">
        <x:v>385.9</x:v>
      </x:c>
      <x:c r="E2860" s="32">
        <x:v>389.28</x:v>
      </x:c>
      <x:c r="F2860" s="33">
        <x:v>41727780</x:v>
      </x:c>
      <x:c r="G2860" s="32" t="n">
        <x:f t="shared" si="123">AVERAGE(E2661:E2860)</x:f>
        <x:v>416.3196500000003</x:v>
      </x:c>
      <x:c r="H2860" s="37" t="n">
        <x:f t="shared" si="124">IFERROR(E2860/G2860-1,"")</x:f>
        <x:v>-0.06494925233531568</x:v>
      </x:c>
      <x:c r="I2860" s="38" t="b">
        <x:f t="shared" si="125">E2860&lt;G2860</x:f>
        <x:v>1</x:v>
      </x:c>
    </x:row>
    <x:row r="2861">
      <x:c r="A2861" s="31">
        <x:v>41173</x:v>
      </x:c>
      <x:c r="B2861" s="32">
        <x:v>391</x:v>
      </x:c>
      <x:c r="C2861" s="32">
        <x:v>395.55</x:v>
      </x:c>
      <x:c r="D2861" s="32">
        <x:v>391</x:v>
      </x:c>
      <x:c r="E2861" s="32">
        <x:v>395.48</x:v>
      </x:c>
      <x:c r="F2861" s="33">
        <x:v>49705410</x:v>
      </x:c>
      <x:c r="G2861" s="32" t="n">
        <x:f t="shared" si="123">AVERAGE(E2662:E2861)</x:f>
        <x:v>416.3776500000003</x:v>
      </x:c>
      <x:c r="H2861" s="37" t="n">
        <x:f t="shared" si="124">IFERROR(E2861/G2861-1,"")</x:f>
        <x:v>-0.05018917321811167</x:v>
      </x:c>
      <x:c r="I2861" s="38" t="b">
        <x:f t="shared" si="125">E2861&lt;G2861</x:f>
        <x:v>1</x:v>
      </x:c>
    </x:row>
    <x:row r="2862">
      <x:c r="A2862" s="31">
        <x:v>41176</x:v>
      </x:c>
      <x:c r="B2862" s="32">
        <x:v>392.16</x:v>
      </x:c>
      <x:c r="C2862" s="32">
        <x:v>394.54</x:v>
      </x:c>
      <x:c r="D2862" s="32">
        <x:v>390.08</x:v>
      </x:c>
      <x:c r="E2862" s="32">
        <x:v>390.37</x:v>
      </x:c>
      <x:c r="F2862" s="33">
        <x:v>23023940</x:v>
      </x:c>
      <x:c r="G2862" s="32" t="n">
        <x:f t="shared" si="123">AVERAGE(E2663:E2862)</x:f>
        <x:v>416.37355000000025</x:v>
      </x:c>
      <x:c r="H2862" s="37" t="n">
        <x:f t="shared" si="124">IFERROR(E2862/G2862-1,"")</x:f>
        <x:v>-0.062452454052377315</x:v>
      </x:c>
      <x:c r="I2862" s="38" t="b">
        <x:f t="shared" si="125">E2862&lt;G2862</x:f>
        <x:v>1</x:v>
      </x:c>
    </x:row>
    <x:row r="2863">
      <x:c r="A2863" s="31">
        <x:v>41177</x:v>
      </x:c>
      <x:c r="B2863" s="32">
        <x:v>391.17</x:v>
      </x:c>
      <x:c r="C2863" s="32">
        <x:v>394.06</x:v>
      </x:c>
      <x:c r="D2863" s="32">
        <x:v>390.14</x:v>
      </x:c>
      <x:c r="E2863" s="32">
        <x:v>391.77</x:v>
      </x:c>
      <x:c r="F2863" s="33">
        <x:v>20374330</x:v>
      </x:c>
      <x:c r="G2863" s="32" t="n">
        <x:f t="shared" si="123">AVERAGE(E2664:E2863)</x:f>
        <x:v>416.3814000000002</x:v>
      </x:c>
      <x:c r="H2863" s="37" t="n">
        <x:f t="shared" si="124">IFERROR(E2863/G2863-1,"")</x:f>
        <x:v>-0.05910782758307698</x:v>
      </x:c>
      <x:c r="I2863" s="38" t="b">
        <x:f t="shared" si="125">E2863&lt;G2863</x:f>
        <x:v>1</x:v>
      </x:c>
    </x:row>
    <x:row r="2864">
      <x:c r="A2864" s="31">
        <x:v>41178</x:v>
      </x:c>
      <x:c r="B2864" s="32">
        <x:v>392.51</x:v>
      </x:c>
      <x:c r="C2864" s="32">
        <x:v>397.86</x:v>
      </x:c>
      <x:c r="D2864" s="32">
        <x:v>392.51</x:v>
      </x:c>
      <x:c r="E2864" s="32">
        <x:v>395.12</x:v>
      </x:c>
      <x:c r="F2864" s="33">
        <x:v>22135450</x:v>
      </x:c>
      <x:c r="G2864" s="32" t="n">
        <x:f t="shared" si="123">AVERAGE(E2665:E2864)</x:f>
        <x:v>416.4209500000002</x:v>
      </x:c>
      <x:c r="H2864" s="37" t="n">
        <x:f t="shared" si="124">IFERROR(E2864/G2864-1,"")</x:f>
        <x:v>-0.05115244562023158</x:v>
      </x:c>
      <x:c r="I2864" s="38" t="b">
        <x:f t="shared" si="125">E2864&lt;G2864</x:f>
        <x:v>1</x:v>
      </x:c>
    </x:row>
    <x:row r="2865">
      <x:c r="A2865" s="31">
        <x:v>41179</x:v>
      </x:c>
      <x:c r="B2865" s="32">
        <x:v>395.66</x:v>
      </x:c>
      <x:c r="C2865" s="32">
        <x:v>396.67</x:v>
      </x:c>
      <x:c r="D2865" s="32">
        <x:v>391.34</x:v>
      </x:c>
      <x:c r="E2865" s="32">
        <x:v>393.34</x:v>
      </x:c>
      <x:c r="F2865" s="33">
        <x:v>23303850</x:v>
      </x:c>
      <x:c r="G2865" s="32" t="n">
        <x:f t="shared" si="123">AVERAGE(E2666:E2865)</x:f>
        <x:v>416.4795000000002</x:v>
      </x:c>
      <x:c r="H2865" s="37" t="n">
        <x:f t="shared" si="124">IFERROR(E2865/G2865-1,"")</x:f>
        <x:v>-0.05555975744304398</x:v>
      </x:c>
      <x:c r="I2865" s="38" t="b">
        <x:f t="shared" si="125">E2865&lt;G2865</x:f>
        <x:v>1</x:v>
      </x:c>
    </x:row>
    <x:row r="2866">
      <x:c r="A2866" s="31">
        <x:v>41180</x:v>
      </x:c>
      <x:c r="B2866" s="32">
        <x:v>392.11</x:v>
      </x:c>
      <x:c r="C2866" s="32">
        <x:v>393.91</x:v>
      </x:c>
      <x:c r="D2866" s="32">
        <x:v>390.99</x:v>
      </x:c>
      <x:c r="E2866" s="32">
        <x:v>392.57</x:v>
      </x:c>
      <x:c r="F2866" s="33">
        <x:v>21087270</x:v>
      </x:c>
      <x:c r="G2866" s="32" t="n">
        <x:f t="shared" si="123">AVERAGE(E2667:E2866)</x:f>
        <x:v>416.5565500000002</x:v>
      </x:c>
      <x:c r="H2866" s="37" t="n">
        <x:f t="shared" si="124">IFERROR(E2866/G2866-1,"")</x:f>
        <x:v>-0.05758293801886005</x:v>
      </x:c>
      <x:c r="I2866" s="38" t="b">
        <x:f t="shared" si="125">E2866&lt;G2866</x:f>
        <x:v>1</x:v>
      </x:c>
    </x:row>
    <x:row r="2867">
      <x:c r="A2867" s="31">
        <x:v>41183</x:v>
      </x:c>
      <x:c r="B2867" s="32">
        <x:v>391.74</x:v>
      </x:c>
      <x:c r="C2867" s="32">
        <x:v>391.86</x:v>
      </x:c>
      <x:c r="D2867" s="32">
        <x:v>386.42</x:v>
      </x:c>
      <x:c r="E2867" s="32">
        <x:v>386.55</x:v>
      </x:c>
      <x:c r="F2867" s="33">
        <x:v>27156800</x:v>
      </x:c>
      <x:c r="G2867" s="32" t="n">
        <x:f t="shared" si="123">AVERAGE(E2668:E2867)</x:f>
        <x:v>416.6128000000003</x:v>
      </x:c>
      <x:c r="H2867" s="37" t="n">
        <x:f t="shared" si="124">IFERROR(E2867/G2867-1,"")</x:f>
        <x:v>-0.07216004885111604</x:v>
      </x:c>
      <x:c r="I2867" s="38" t="b">
        <x:f t="shared" si="125">E2867&lt;G2867</x:f>
        <x:v>1</x:v>
      </x:c>
    </x:row>
    <x:row r="2868">
      <x:c r="A2868" s="31">
        <x:v>41184</x:v>
      </x:c>
      <x:c r="B2868" s="32">
        <x:v>386.78</x:v>
      </x:c>
      <x:c r="C2868" s="32">
        <x:v>387.62</x:v>
      </x:c>
      <x:c r="D2868" s="32">
        <x:v>384.2</x:v>
      </x:c>
      <x:c r="E2868" s="32">
        <x:v>384.32</x:v>
      </x:c>
      <x:c r="F2868" s="33">
        <x:v>25540110</x:v>
      </x:c>
      <x:c r="G2868" s="32" t="n">
        <x:f t="shared" si="123">AVERAGE(E2669:E2868)</x:f>
        <x:v>416.6756500000003</x:v>
      </x:c>
      <x:c r="H2868" s="37" t="n">
        <x:f t="shared" si="124">IFERROR(E2868/G2868-1,"")</x:f>
        <x:v>-0.07765188582534233</x:v>
      </x:c>
      <x:c r="I2868" s="38" t="b">
        <x:f t="shared" si="125">E2868&lt;G2868</x:f>
        <x:v>1</x:v>
      </x:c>
    </x:row>
    <x:row r="2869">
      <x:c r="A2869" s="31">
        <x:v>41185</x:v>
      </x:c>
      <x:c r="B2869" s="32">
        <x:v>385.61</x:v>
      </x:c>
      <x:c r="C2869" s="32">
        <x:v>387.6</x:v>
      </x:c>
      <x:c r="D2869" s="32">
        <x:v>383.07</x:v>
      </x:c>
      <x:c r="E2869" s="32">
        <x:v>385.37</x:v>
      </x:c>
      <x:c r="F2869" s="33">
        <x:v>26431310</x:v>
      </x:c>
      <x:c r="G2869" s="32" t="n">
        <x:f t="shared" si="123">AVERAGE(E2670:E2869)</x:f>
        <x:v>416.7647500000003</x:v>
      </x:c>
      <x:c r="H2869" s="37" t="n">
        <x:f t="shared" si="124">IFERROR(E2869/G2869-1,"")</x:f>
        <x:v>-0.07532966739629554</x:v>
      </x:c>
      <x:c r="I2869" s="38" t="b">
        <x:f t="shared" si="125">E2869&lt;G2869</x:f>
        <x:v>1</x:v>
      </x:c>
    </x:row>
    <x:row r="2870">
      <x:c r="A2870" s="31">
        <x:v>41186</x:v>
      </x:c>
      <x:c r="B2870" s="32">
        <x:v>385.68</x:v>
      </x:c>
      <x:c r="C2870" s="32">
        <x:v>386.66</x:v>
      </x:c>
      <x:c r="D2870" s="32">
        <x:v>383.62</x:v>
      </x:c>
      <x:c r="E2870" s="32">
        <x:v>384.51</x:v>
      </x:c>
      <x:c r="F2870" s="33">
        <x:v>20410900</x:v>
      </x:c>
      <x:c r="G2870" s="32" t="n">
        <x:f t="shared" si="123">AVERAGE(E2671:E2870)</x:f>
        <x:v>416.8649000000002</x:v>
      </x:c>
      <x:c r="H2870" s="37" t="n">
        <x:f t="shared" si="124">IFERROR(E2870/G2870-1,"")</x:f>
        <x:v>-0.07761483396659252</x:v>
      </x:c>
      <x:c r="I2870" s="38" t="b">
        <x:f t="shared" si="125">E2870&lt;G2870</x:f>
        <x:v>1</x:v>
      </x:c>
    </x:row>
    <x:row r="2871">
      <x:c r="A2871" s="31">
        <x:v>41187</x:v>
      </x:c>
      <x:c r="B2871" s="32">
        <x:v>384.78</x:v>
      </x:c>
      <x:c r="C2871" s="32">
        <x:v>388.16</x:v>
      </x:c>
      <x:c r="D2871" s="32">
        <x:v>384.65</x:v>
      </x:c>
      <x:c r="E2871" s="32">
        <x:v>388.16</x:v>
      </x:c>
      <x:c r="F2871" s="33">
        <x:v>23961840</x:v>
      </x:c>
      <x:c r="G2871" s="32" t="n">
        <x:f t="shared" si="123">AVERAGE(E2672:E2871)</x:f>
        <x:v>416.9755500000002</x:v>
      </x:c>
      <x:c r="H2871" s="37" t="n">
        <x:f t="shared" si="124">IFERROR(E2871/G2871-1,"")</x:f>
        <x:v>-0.06910609027315917</x:v>
      </x:c>
      <x:c r="I2871" s="38" t="b">
        <x:f t="shared" si="125">E2871&lt;G2871</x:f>
        <x:v>1</x:v>
      </x:c>
    </x:row>
    <x:row r="2872">
      <x:c r="A2872" s="31">
        <x:v>41190</x:v>
      </x:c>
      <x:c r="B2872" s="32">
        <x:v>387.83</x:v>
      </x:c>
      <x:c r="C2872" s="32">
        <x:v>393.45</x:v>
      </x:c>
      <x:c r="D2872" s="32">
        <x:v>387.83</x:v>
      </x:c>
      <x:c r="E2872" s="32">
        <x:v>393.45</x:v>
      </x:c>
      <x:c r="F2872" s="33">
        <x:v>32959790</x:v>
      </x:c>
      <x:c r="G2872" s="32" t="n">
        <x:f t="shared" si="123">AVERAGE(E2673:E2872)</x:f>
        <x:v>417.10580000000016</x:v>
      </x:c>
      <x:c r="H2872" s="37" t="n">
        <x:f t="shared" si="124">IFERROR(E2872/G2872-1,"")</x:f>
        <x:v>-0.05671414782532436</x:v>
      </x:c>
      <x:c r="I2872" s="38" t="b">
        <x:f t="shared" si="125">E2872&lt;G2872</x:f>
        <x:v>1</x:v>
      </x:c>
    </x:row>
    <x:row r="2873">
      <x:c r="A2873" s="31">
        <x:v>41191</x:v>
      </x:c>
      <x:c r="B2873" s="32">
        <x:v>394.36</x:v>
      </x:c>
      <x:c r="C2873" s="32">
        <x:v>394.87</x:v>
      </x:c>
      <x:c r="D2873" s="32">
        <x:v>392.26</x:v>
      </x:c>
      <x:c r="E2873" s="32">
        <x:v>393.67</x:v>
      </x:c>
      <x:c r="F2873" s="33">
        <x:v>33817860</x:v>
      </x:c>
      <x:c r="G2873" s="32" t="n">
        <x:f t="shared" si="123">AVERAGE(E2674:E2873)</x:f>
        <x:v>417.2458000000001</x:v>
      </x:c>
      <x:c r="H2873" s="37" t="n">
        <x:f t="shared" si="124">IFERROR(E2873/G2873-1,"")</x:f>
        <x:v>-0.05650338481537753</x:v>
      </x:c>
      <x:c r="I2873" s="38" t="b">
        <x:f t="shared" si="125">E2873&lt;G2873</x:f>
        <x:v>1</x:v>
      </x:c>
    </x:row>
    <x:row r="2874">
      <x:c r="A2874" s="31">
        <x:v>41192</x:v>
      </x:c>
      <x:c r="B2874" s="32">
        <x:v>392.38</x:v>
      </x:c>
      <x:c r="C2874" s="32">
        <x:v>394.66</x:v>
      </x:c>
      <x:c r="D2874" s="32">
        <x:v>391.75</x:v>
      </x:c>
      <x:c r="E2874" s="32">
        <x:v>394.66</x:v>
      </x:c>
      <x:c r="F2874" s="33">
        <x:v>36353960</x:v>
      </x:c>
      <x:c r="G2874" s="32" t="n">
        <x:f t="shared" si="123">AVERAGE(E2675:E2874)</x:f>
        <x:v>417.38050000000015</x:v>
      </x:c>
      <x:c r="H2874" s="37" t="n">
        <x:f t="shared" si="124">IFERROR(E2874/G2874-1,"")</x:f>
        <x:v>-0.054435940346997835</x:v>
      </x:c>
      <x:c r="I2874" s="38" t="b">
        <x:f t="shared" si="125">E2874&lt;G2874</x:f>
        <x:v>1</x:v>
      </x:c>
    </x:row>
    <x:row r="2875">
      <x:c r="A2875" s="31">
        <x:v>41193</x:v>
      </x:c>
      <x:c r="B2875" s="32">
        <x:v>395.32</x:v>
      </x:c>
      <x:c r="C2875" s="32">
        <x:v>397.55</x:v>
      </x:c>
      <x:c r="D2875" s="32">
        <x:v>393.87</x:v>
      </x:c>
      <x:c r="E2875" s="32">
        <x:v>394.19</x:v>
      </x:c>
      <x:c r="F2875" s="33">
        <x:v>40188670</x:v>
      </x:c>
      <x:c r="G2875" s="32" t="n">
        <x:f t="shared" si="123">AVERAGE(E2676:E2875)</x:f>
        <x:v>417.5496000000002</x:v>
      </x:c>
      <x:c r="H2875" s="37" t="n">
        <x:f t="shared" si="124">IFERROR(E2875/G2875-1,"")</x:f>
        <x:v>-0.05594449138497615</x:v>
      </x:c>
      <x:c r="I2875" s="38" t="b">
        <x:f t="shared" si="125">E2875&lt;G2875</x:f>
        <x:v>1</x:v>
      </x:c>
    </x:row>
    <x:row r="2876">
      <x:c r="A2876" s="31">
        <x:v>41194</x:v>
      </x:c>
      <x:c r="B2876" s="32">
        <x:v>394.17</x:v>
      </x:c>
      <x:c r="C2876" s="32">
        <x:v>395.01</x:v>
      </x:c>
      <x:c r="D2876" s="32">
        <x:v>392.26</x:v>
      </x:c>
      <x:c r="E2876" s="32">
        <x:v>392.54</x:v>
      </x:c>
      <x:c r="F2876" s="33">
        <x:v>40912910</x:v>
      </x:c>
      <x:c r="G2876" s="32" t="n">
        <x:f t="shared" si="123">AVERAGE(E2677:E2876)</x:f>
        <x:v>417.73125000000016</x:v>
      </x:c>
      <x:c r="H2876" s="37" t="n">
        <x:f t="shared" si="124">IFERROR(E2876/G2876-1,"")</x:f>
        <x:v>-0.06030492092703177</x:v>
      </x:c>
      <x:c r="I2876" s="38" t="b">
        <x:f t="shared" si="125">E2876&lt;G2876</x:f>
        <x:v>1</x:v>
      </x:c>
    </x:row>
    <x:row r="2877">
      <x:c r="A2877" s="31">
        <x:v>41197</x:v>
      </x:c>
      <x:c r="B2877" s="32">
        <x:v>392.88</x:v>
      </x:c>
      <x:c r="C2877" s="32">
        <x:v>394.19</x:v>
      </x:c>
      <x:c r="D2877" s="32">
        <x:v>390.72</x:v>
      </x:c>
      <x:c r="E2877" s="32">
        <x:v>391.56</x:v>
      </x:c>
      <x:c r="F2877" s="33">
        <x:v>35599600</x:v>
      </x:c>
      <x:c r="G2877" s="32" t="n">
        <x:f t="shared" si="123">AVERAGE(E2678:E2877)</x:f>
        <x:v>417.9256500000002</x:v>
      </x:c>
      <x:c r="H2877" s="37" t="n">
        <x:f t="shared" si="124">IFERROR(E2877/G2877-1,"")</x:f>
        <x:v>-0.06308693902850948</x:v>
      </x:c>
      <x:c r="I2877" s="38" t="b">
        <x:f t="shared" si="125">E2877&lt;G2877</x:f>
        <x:v>1</x:v>
      </x:c>
    </x:row>
    <x:row r="2878">
      <x:c r="A2878" s="31">
        <x:v>41198</x:v>
      </x:c>
      <x:c r="B2878" s="32">
        <x:v>392.6</x:v>
      </x:c>
      <x:c r="C2878" s="32">
        <x:v>399.22</x:v>
      </x:c>
      <x:c r="D2878" s="32">
        <x:v>392.6</x:v>
      </x:c>
      <x:c r="E2878" s="32">
        <x:v>399.22</x:v>
      </x:c>
      <x:c r="F2878" s="33">
        <x:v>38610190</x:v>
      </x:c>
      <x:c r="G2878" s="32" t="n">
        <x:f t="shared" si="123">AVERAGE(E2679:E2878)</x:f>
        <x:v>418.18275000000017</x:v>
      </x:c>
      <x:c r="H2878" s="37" t="n">
        <x:f t="shared" si="124">IFERROR(E2878/G2878-1,"")</x:f>
        <x:v>-0.045345605479901185</x:v>
      </x:c>
      <x:c r="I2878" s="38" t="b">
        <x:f t="shared" si="125">E2878&lt;G2878</x:f>
        <x:v>1</x:v>
      </x:c>
    </x:row>
    <x:row r="2879">
      <x:c r="A2879" s="31">
        <x:v>41199</x:v>
      </x:c>
      <x:c r="B2879" s="32">
        <x:v>399.73</x:v>
      </x:c>
      <x:c r="C2879" s="32">
        <x:v>400.97</x:v>
      </x:c>
      <x:c r="D2879" s="32">
        <x:v>395.91</x:v>
      </x:c>
      <x:c r="E2879" s="32">
        <x:v>397.02</x:v>
      </x:c>
      <x:c r="F2879" s="33">
        <x:v>34001760</x:v>
      </x:c>
      <x:c r="G2879" s="32" t="n">
        <x:f t="shared" si="123">AVERAGE(E2680:E2879)</x:f>
        <x:v>418.4145500000002</x:v>
      </x:c>
      <x:c r="H2879" s="37" t="n">
        <x:f t="shared" si="124">IFERROR(E2879/G2879-1,"")</x:f>
        <x:v>-0.051132423573702734</x:v>
      </x:c>
      <x:c r="I2879" s="38" t="b">
        <x:f t="shared" si="125">E2879&lt;G2879</x:f>
        <x:v>1</x:v>
      </x:c>
    </x:row>
    <x:row r="2880">
      <x:c r="A2880" s="31">
        <x:v>41200</x:v>
      </x:c>
      <x:c r="B2880" s="32">
        <x:v>395.94</x:v>
      </x:c>
      <x:c r="C2880" s="32">
        <x:v>399.55</x:v>
      </x:c>
      <x:c r="D2880" s="32">
        <x:v>395.94</x:v>
      </x:c>
      <x:c r="E2880" s="32">
        <x:v>398.51</x:v>
      </x:c>
      <x:c r="F2880" s="33">
        <x:v>33648950</x:v>
      </x:c>
      <x:c r="G2880" s="32" t="n">
        <x:f t="shared" si="123">AVERAGE(E2681:E2880)</x:f>
        <x:v>418.6545500000001</x:v>
      </x:c>
      <x:c r="H2880" s="37" t="n">
        <x:f t="shared" si="124">IFERROR(E2880/G2880-1,"")</x:f>
        <x:v>-0.048117355944178986</x:v>
      </x:c>
      <x:c r="I2880" s="38" t="b">
        <x:f t="shared" si="125">E2880&lt;G2880</x:f>
        <x:v>1</x:v>
      </x:c>
    </x:row>
    <x:row r="2881">
      <x:c r="A2881" s="31">
        <x:v>41201</x:v>
      </x:c>
      <x:c r="B2881" s="32">
        <x:v>399.52</x:v>
      </x:c>
      <x:c r="C2881" s="32">
        <x:v>400.46</x:v>
      </x:c>
      <x:c r="D2881" s="32">
        <x:v>394.98</x:v>
      </x:c>
      <x:c r="E2881" s="32">
        <x:v>398.23</x:v>
      </x:c>
      <x:c r="F2881" s="33">
        <x:v>48971260</x:v>
      </x:c>
      <x:c r="G2881" s="32" t="n">
        <x:f t="shared" si="123">AVERAGE(E2682:E2881)</x:f>
        <x:v>418.88795000000005</x:v>
      </x:c>
      <x:c r="H2881" s="37" t="n">
        <x:f t="shared" si="124">IFERROR(E2881/G2881-1,"")</x:f>
        <x:v>-0.0493161715442042</x:v>
      </x:c>
      <x:c r="I2881" s="38" t="b">
        <x:f t="shared" si="125">E2881&lt;G2881</x:f>
        <x:v>1</x:v>
      </x:c>
    </x:row>
    <x:row r="2882">
      <x:c r="A2882" s="31">
        <x:v>41204</x:v>
      </x:c>
      <x:c r="B2882" s="32">
        <x:v>397.77</x:v>
      </x:c>
      <x:c r="C2882" s="32">
        <x:v>398.34</x:v>
      </x:c>
      <x:c r="D2882" s="32">
        <x:v>394.69</x:v>
      </x:c>
      <x:c r="E2882" s="32">
        <x:v>397</x:v>
      </x:c>
      <x:c r="F2882" s="33">
        <x:v>29878260</x:v>
      </x:c>
      <x:c r="G2882" s="32" t="n">
        <x:f t="shared" si="123">AVERAGE(E2683:E2882)</x:f>
        <x:v>419.12295000000006</x:v>
      </x:c>
      <x:c r="H2882" s="37" t="n">
        <x:f t="shared" si="124">IFERROR(E2882/G2882-1,"")</x:f>
        <x:v>-0.05278391460071574</x:v>
      </x:c>
      <x:c r="I2882" s="38" t="b">
        <x:f t="shared" si="125">E2882&lt;G2882</x:f>
        <x:v>1</x:v>
      </x:c>
    </x:row>
    <x:row r="2883">
      <x:c r="A2883" s="31">
        <x:v>41205</x:v>
      </x:c>
      <x:c r="B2883" s="32">
        <x:v>397.27</x:v>
      </x:c>
      <x:c r="C2883" s="32">
        <x:v>399.22</x:v>
      </x:c>
      <x:c r="D2883" s="32">
        <x:v>395.89</x:v>
      </x:c>
      <x:c r="E2883" s="32">
        <x:v>397.71</x:v>
      </x:c>
      <x:c r="F2883" s="33">
        <x:v>24240560</x:v>
      </x:c>
      <x:c r="G2883" s="32" t="n">
        <x:f t="shared" si="123">AVERAGE(E2684:E2883)</x:f>
        <x:v>419.3673000000001</x:v>
      </x:c>
      <x:c r="H2883" s="37" t="n">
        <x:f t="shared" si="124">IFERROR(E2883/G2883-1,"")</x:f>
        <x:v>-0.05164279618367984</x:v>
      </x:c>
      <x:c r="I2883" s="38" t="b">
        <x:f t="shared" si="125">E2883&lt;G2883</x:f>
        <x:v>1</x:v>
      </x:c>
    </x:row>
    <x:row r="2884">
      <x:c r="A2884" s="31">
        <x:v>41206</x:v>
      </x:c>
      <x:c r="B2884" s="32">
        <x:v>397.69</x:v>
      </x:c>
      <x:c r="C2884" s="32">
        <x:v>398.43</x:v>
      </x:c>
      <x:c r="D2884" s="32">
        <x:v>395.24</x:v>
      </x:c>
      <x:c r="E2884" s="32">
        <x:v>395.45</x:v>
      </x:c>
      <x:c r="F2884" s="33">
        <x:v>23435510</x:v>
      </x:c>
      <x:c r="G2884" s="32" t="n">
        <x:f t="shared" si="123">AVERAGE(E2685:E2884)</x:f>
        <x:v>419.6398500000001</x:v>
      </x:c>
      <x:c r="H2884" s="37" t="n">
        <x:f t="shared" si="124">IFERROR(E2884/G2884-1,"")</x:f>
        <x:v>-0.057644310949019895</x:v>
      </x:c>
      <x:c r="I2884" s="38" t="b">
        <x:f t="shared" si="125">E2884&lt;G2884</x:f>
        <x:v>1</x:v>
      </x:c>
    </x:row>
    <x:row r="2885">
      <x:c r="A2885" s="31">
        <x:v>41207</x:v>
      </x:c>
      <x:c r="B2885" s="32">
        <x:v>393.79</x:v>
      </x:c>
      <x:c r="C2885" s="32">
        <x:v>394.54</x:v>
      </x:c>
      <x:c r="D2885" s="32">
        <x:v>389.92</x:v>
      </x:c>
      <x:c r="E2885" s="32">
        <x:v>389.92</x:v>
      </x:c>
      <x:c r="F2885" s="33">
        <x:v>29179710</x:v>
      </x:c>
      <x:c r="G2885" s="32" t="n">
        <x:f t="shared" si="123">AVERAGE(E2686:E2885)</x:f>
        <x:v>419.9058000000001</x:v>
      </x:c>
      <x:c r="H2885" s="37" t="n">
        <x:f t="shared" si="124">IFERROR(E2885/G2885-1,"")</x:f>
        <x:v>-0.07141077832218579</x:v>
      </x:c>
      <x:c r="I2885" s="38" t="b">
        <x:f t="shared" si="125">E2885&lt;G2885</x:f>
        <x:v>1</x:v>
      </x:c>
    </x:row>
    <x:row r="2886">
      <x:c r="A2886" s="31">
        <x:v>41208</x:v>
      </x:c>
      <x:c r="B2886" s="32">
        <x:v>390.05</x:v>
      </x:c>
      <x:c r="C2886" s="32">
        <x:v>393.13</x:v>
      </x:c>
      <x:c r="D2886" s="32">
        <x:v>389.5</x:v>
      </x:c>
      <x:c r="E2886" s="32">
        <x:v>391.7</x:v>
      </x:c>
      <x:c r="F2886" s="33">
        <x:v>20270490</x:v>
      </x:c>
      <x:c r="G2886" s="32" t="n">
        <x:f t="shared" si="123">AVERAGE(E2687:E2886)</x:f>
        <x:v>420.16770000000014</x:v>
      </x:c>
      <x:c r="H2886" s="37" t="n">
        <x:f t="shared" si="124">IFERROR(E2886/G2886-1,"")</x:f>
        <x:v>-0.06775318521628426</x:v>
      </x:c>
      <x:c r="I2886" s="38" t="b">
        <x:f t="shared" si="125">E2886&lt;G2886</x:f>
        <x:v>1</x:v>
      </x:c>
    </x:row>
    <x:row r="2887">
      <x:c r="A2887" s="31">
        <x:v>41211</x:v>
      </x:c>
      <x:c r="B2887" s="32">
        <x:v>390.96</x:v>
      </x:c>
      <x:c r="C2887" s="32">
        <x:v>392.6</x:v>
      </x:c>
      <x:c r="D2887" s="32">
        <x:v>390.63</x:v>
      </x:c>
      <x:c r="E2887" s="32">
        <x:v>391.36</x:v>
      </x:c>
      <x:c r="F2887" s="33">
        <x:v>17333440</x:v>
      </x:c>
      <x:c r="G2887" s="32" t="n">
        <x:f t="shared" si="123">AVERAGE(E2688:E2887)</x:f>
        <x:v>420.4011000000001</x:v>
      </x:c>
      <x:c r="H2887" s="37" t="n">
        <x:f t="shared" si="124">IFERROR(E2887/G2887-1,"")</x:f>
        <x:v>-0.06907950526295026</x:v>
      </x:c>
      <x:c r="I2887" s="38" t="b">
        <x:f t="shared" si="125">E2887&lt;G2887</x:f>
        <x:v>1</x:v>
      </x:c>
    </x:row>
    <x:row r="2888">
      <x:c r="A2888" s="31">
        <x:v>41212</x:v>
      </x:c>
      <x:c r="B2888" s="32">
        <x:v>391.13</x:v>
      </x:c>
      <x:c r="C2888" s="32">
        <x:v>392.17</x:v>
      </x:c>
      <x:c r="D2888" s="32">
        <x:v>389.64</x:v>
      </x:c>
      <x:c r="E2888" s="32">
        <x:v>389.86</x:v>
      </x:c>
      <x:c r="F2888" s="33">
        <x:v>19725250</x:v>
      </x:c>
      <x:c r="G2888" s="32" t="n">
        <x:f t="shared" si="123">AVERAGE(E2689:E2888)</x:f>
        <x:v>420.6132500000001</x:v>
      </x:c>
      <x:c r="H2888" s="37" t="n">
        <x:f t="shared" si="124">IFERROR(E2888/G2888-1,"")</x:f>
        <x:v>-0.07311526681577452</x:v>
      </x:c>
      <x:c r="I2888" s="38" t="b">
        <x:f t="shared" si="125">E2888&lt;G2888</x:f>
        <x:v>1</x:v>
      </x:c>
    </x:row>
    <x:row r="2889">
      <x:c r="A2889" s="31">
        <x:v>41213</x:v>
      </x:c>
      <x:c r="B2889" s="32">
        <x:v>388.5</x:v>
      </x:c>
      <x:c r="C2889" s="32">
        <x:v>390.05</x:v>
      </x:c>
      <x:c r="D2889" s="32">
        <x:v>387.39</x:v>
      </x:c>
      <x:c r="E2889" s="32">
        <x:v>388.42</x:v>
      </x:c>
      <x:c r="F2889" s="33">
        <x:v>19971150</x:v>
      </x:c>
      <x:c r="G2889" s="32" t="n">
        <x:f t="shared" si="123">AVERAGE(E2690:E2889)</x:f>
        <x:v>420.81480000000005</x:v>
      </x:c>
      <x:c r="H2889" s="37" t="n">
        <x:f t="shared" si="124">IFERROR(E2889/G2889-1,"")</x:f>
        <x:v>-0.07698113279285812</x:v>
      </x:c>
      <x:c r="I2889" s="38" t="b">
        <x:f t="shared" si="125">E2889&lt;G2889</x:f>
        <x:v>1</x:v>
      </x:c>
    </x:row>
    <x:row r="2890">
      <x:c r="A2890" s="31">
        <x:v>41214</x:v>
      </x:c>
      <x:c r="B2890" s="32">
        <x:v>388.1</x:v>
      </x:c>
      <x:c r="C2890" s="32">
        <x:v>389.74</x:v>
      </x:c>
      <x:c r="D2890" s="32">
        <x:v>387.95</x:v>
      </x:c>
      <x:c r="E2890" s="32">
        <x:v>387.95</x:v>
      </x:c>
      <x:c r="F2890" s="33">
        <x:v>23091350</x:v>
      </x:c>
      <x:c r="G2890" s="32" t="n">
        <x:f t="shared" si="123">AVERAGE(E2691:E2890)</x:f>
        <x:v>420.9829000000001</x:v>
      </x:c>
      <x:c r="H2890" s="37" t="n">
        <x:f t="shared" si="124">IFERROR(E2890/G2890-1,"")</x:f>
        <x:v>-0.07846613247236434</x:v>
      </x:c>
      <x:c r="I2890" s="38" t="b">
        <x:f t="shared" si="125">E2890&lt;G2890</x:f>
        <x:v>1</x:v>
      </x:c>
    </x:row>
    <x:row r="2891">
      <x:c r="A2891" s="31">
        <x:v>41215</x:v>
      </x:c>
      <x:c r="B2891" s="32">
        <x:v>378.74</x:v>
      </x:c>
      <x:c r="C2891" s="32">
        <x:v>380.33</x:v>
      </x:c>
      <x:c r="D2891" s="32">
        <x:v>374.98</x:v>
      </x:c>
      <x:c r="E2891" s="32">
        <x:v>375.26</x:v>
      </x:c>
      <x:c r="F2891" s="33">
        <x:v>51024090</x:v>
      </x:c>
      <x:c r="G2891" s="32" t="n">
        <x:f t="shared" si="123">AVERAGE(E2692:E2891)</x:f>
        <x:v>421.0698500000001</x:v>
      </x:c>
      <x:c r="H2891" s="37" t="n">
        <x:f t="shared" si="124">IFERROR(E2891/G2891-1,"")</x:f>
        <x:v>-0.10879394475762183</x:v>
      </x:c>
      <x:c r="I2891" s="38" t="b">
        <x:f t="shared" si="125">E2891&lt;G2891</x:f>
        <x:v>1</x:v>
      </x:c>
    </x:row>
    <x:row r="2892">
      <x:c r="A2892" s="31">
        <x:v>41218</x:v>
      </x:c>
      <x:c r="B2892" s="32">
        <x:v>372.39</x:v>
      </x:c>
      <x:c r="C2892" s="32">
        <x:v>378.45</x:v>
      </x:c>
      <x:c r="D2892" s="32">
        <x:v>372.39</x:v>
      </x:c>
      <x:c r="E2892" s="32">
        <x:v>377.27</x:v>
      </x:c>
      <x:c r="F2892" s="33">
        <x:v>27392320</x:v>
      </x:c>
      <x:c r="G2892" s="32" t="n">
        <x:f t="shared" si="123">AVERAGE(E2693:E2892)</x:f>
        <x:v>421.1619000000001</x:v>
      </x:c>
      <x:c r="H2892" s="37" t="n">
        <x:f t="shared" si="124">IFERROR(E2892/G2892-1,"")</x:f>
        <x:v>-0.104216217088963</x:v>
      </x:c>
      <x:c r="I2892" s="38" t="b">
        <x:f t="shared" si="125">E2892&lt;G2892</x:f>
        <x:v>1</x:v>
      </x:c>
    </x:row>
    <x:row r="2893">
      <x:c r="A2893" s="31">
        <x:v>41219</x:v>
      </x:c>
      <x:c r="B2893" s="32">
        <x:v>377.27</x:v>
      </x:c>
      <x:c r="C2893" s="32">
        <x:v>379.05</x:v>
      </x:c>
      <x:c r="D2893" s="32">
        <x:v>375.12</x:v>
      </x:c>
      <x:c r="E2893" s="32">
        <x:v>376.95</x:v>
      </x:c>
      <x:c r="F2893" s="33">
        <x:v>21859910</x:v>
      </x:c>
      <x:c r="G2893" s="32" t="n">
        <x:f t="shared" ref="G2893:G2956" si="126">AVERAGE(E2694:E2893)</x:f>
        <x:v>421.2333500000001</x:v>
      </x:c>
      <x:c r="H2893" s="37" t="n">
        <x:f t="shared" ref="H2893:H2956" si="127">IFERROR(E2893/G2893-1,"")</x:f>
        <x:v>-0.10512783472628673</x:v>
      </x:c>
      <x:c r="I2893" s="38" t="b">
        <x:f t="shared" ref="I2893:I2956" si="128">E2893&lt;G2893</x:f>
        <x:v>1</x:v>
      </x:c>
    </x:row>
    <x:row r="2894">
      <x:c r="A2894" s="31">
        <x:v>41220</x:v>
      </x:c>
      <x:c r="B2894" s="32">
        <x:v>377.83</x:v>
      </x:c>
      <x:c r="C2894" s="32">
        <x:v>381.22</x:v>
      </x:c>
      <x:c r="D2894" s="32">
        <x:v>375.75</x:v>
      </x:c>
      <x:c r="E2894" s="32">
        <x:v>380.9</x:v>
      </x:c>
      <x:c r="F2894" s="33">
        <x:v>27064820</x:v>
      </x:c>
      <x:c r="G2894" s="32" t="n">
        <x:f t="shared" si="126">AVERAGE(E2695:E2894)</x:f>
        <x:v>421.2707</x:v>
      </x:c>
      <x:c r="H2894" s="37" t="n">
        <x:f t="shared" si="127">IFERROR(E2894/G2894-1,"")</x:f>
        <x:v>-0.09583078054087313</x:v>
      </x:c>
      <x:c r="I2894" s="38" t="b">
        <x:f t="shared" si="128">E2894&lt;G2894</x:f>
        <x:v>1</x:v>
      </x:c>
    </x:row>
    <x:row r="2895">
      <x:c r="A2895" s="31">
        <x:v>41221</x:v>
      </x:c>
      <x:c r="B2895" s="32">
        <x:v>380.32</x:v>
      </x:c>
      <x:c r="C2895" s="32">
        <x:v>385.6</x:v>
      </x:c>
      <x:c r="D2895" s="32">
        <x:v>380.13</x:v>
      </x:c>
      <x:c r="E2895" s="32">
        <x:v>385.6</x:v>
      </x:c>
      <x:c r="F2895" s="33">
        <x:v>20853300</x:v>
      </x:c>
      <x:c r="G2895" s="32" t="n">
        <x:f t="shared" si="126">AVERAGE(E2696:E2895)</x:f>
        <x:v>421.33369999999996</x:v>
      </x:c>
      <x:c r="H2895" s="37" t="n">
        <x:f t="shared" si="127">IFERROR(E2895/G2895-1,"")</x:f>
        <x:v>-0.08481092302846871</x:v>
      </x:c>
      <x:c r="I2895" s="38" t="b">
        <x:f t="shared" si="128">E2895&lt;G2895</x:f>
        <x:v>1</x:v>
      </x:c>
    </x:row>
    <x:row r="2896">
      <x:c r="A2896" s="31">
        <x:v>41222</x:v>
      </x:c>
      <x:c r="B2896" s="32">
        <x:v>385.61</x:v>
      </x:c>
      <x:c r="C2896" s="32">
        <x:v>386.79</x:v>
      </x:c>
      <x:c r="D2896" s="32">
        <x:v>383.72</x:v>
      </x:c>
      <x:c r="E2896" s="32">
        <x:v>386.71</x:v>
      </x:c>
      <x:c r="F2896" s="33">
        <x:v>23169930</x:v>
      </x:c>
      <x:c r="G2896" s="32" t="n">
        <x:f t="shared" si="126">AVERAGE(E2697:E2896)</x:f>
        <x:v>421.3425500000001</x:v>
      </x:c>
      <x:c r="H2896" s="37" t="n">
        <x:f t="shared" si="127">IFERROR(E2896/G2896-1,"")</x:f>
        <x:v>-0.08219570988023894</x:v>
      </x:c>
      <x:c r="I2896" s="38" t="b">
        <x:f t="shared" si="128">E2896&lt;G2896</x:f>
        <x:v>1</x:v>
      </x:c>
    </x:row>
    <x:row r="2897">
      <x:c r="A2897" s="31">
        <x:v>41225</x:v>
      </x:c>
      <x:c r="B2897" s="32">
        <x:v>385.66</x:v>
      </x:c>
      <x:c r="C2897" s="32">
        <x:v>388.94</x:v>
      </x:c>
      <x:c r="D2897" s="32">
        <x:v>385.72</x:v>
      </x:c>
      <x:c r="E2897" s="32">
        <x:v>388.62</x:v>
      </x:c>
      <x:c r="F2897" s="33">
        <x:v>32872920</x:v>
      </x:c>
      <x:c r="G2897" s="32" t="n">
        <x:f t="shared" si="126">AVERAGE(E2698:E2897)</x:f>
        <x:v>421.3458</x:v>
      </x:c>
      <x:c r="H2897" s="37" t="n">
        <x:f t="shared" si="127">IFERROR(E2897/G2897-1,"")</x:f>
        <x:v>-0.07766969553274294</x:v>
      </x:c>
      <x:c r="I2897" s="38" t="b">
        <x:f t="shared" si="128">E2897&lt;G2897</x:f>
        <x:v>1</x:v>
      </x:c>
    </x:row>
    <x:row r="2898">
      <x:c r="A2898" s="31">
        <x:v>41226</x:v>
      </x:c>
      <x:c r="B2898" s="32">
        <x:v>387.52</x:v>
      </x:c>
      <x:c r="C2898" s="32">
        <x:v>388.43</x:v>
      </x:c>
      <x:c r="D2898" s="32">
        <x:v>385.15</x:v>
      </x:c>
      <x:c r="E2898" s="32">
        <x:v>385.22</x:v>
      </x:c>
      <x:c r="F2898" s="33">
        <x:v>27887200</x:v>
      </x:c>
      <x:c r="G2898" s="32" t="n">
        <x:f t="shared" si="126">AVERAGE(E2699:E2898)</x:f>
        <x:v>421.31855</x:v>
      </x:c>
      <x:c r="H2898" s="37" t="n">
        <x:f t="shared" si="127">IFERROR(E2898/G2898-1,"")</x:f>
        <x:v>-0.08567994454552263</x:v>
      </x:c>
      <x:c r="I2898" s="38" t="b">
        <x:f t="shared" si="128">E2898&lt;G2898</x:f>
        <x:v>1</x:v>
      </x:c>
    </x:row>
    <x:row r="2899">
      <x:c r="A2899" s="31">
        <x:v>41227</x:v>
      </x:c>
      <x:c r="B2899" s="32">
        <x:v>384.74</x:v>
      </x:c>
      <x:c r="C2899" s="32">
        <x:v>389.4</x:v>
      </x:c>
      <x:c r="D2899" s="32">
        <x:v>384.61</x:v>
      </x:c>
      <x:c r="E2899" s="32">
        <x:v>387.71</x:v>
      </x:c>
      <x:c r="F2899" s="33">
        <x:v>22054410</x:v>
      </x:c>
      <x:c r="G2899" s="32" t="n">
        <x:f t="shared" si="126">AVERAGE(E2700:E2899)</x:f>
        <x:v>421.24905000000007</x:v>
      </x:c>
      <x:c r="H2899" s="37" t="n">
        <x:f t="shared" si="127">IFERROR(E2899/G2899-1,"")</x:f>
        <x:v>-0.0796181024028424</x:v>
      </x:c>
      <x:c r="I2899" s="38" t="b">
        <x:f t="shared" si="128">E2899&lt;G2899</x:f>
        <x:v>1</x:v>
      </x:c>
    </x:row>
    <x:row r="2900">
      <x:c r="A2900" s="31">
        <x:v>41228</x:v>
      </x:c>
      <x:c r="B2900" s="32">
        <x:v>389.84</x:v>
      </x:c>
      <x:c r="C2900" s="32">
        <x:v>390.65</x:v>
      </x:c>
      <x:c r="D2900" s="32">
        <x:v>386.6</x:v>
      </x:c>
      <x:c r="E2900" s="32">
        <x:v>386.91</x:v>
      </x:c>
      <x:c r="F2900" s="33">
        <x:v>24204300</x:v>
      </x:c>
      <x:c r="G2900" s="32" t="n">
        <x:f t="shared" si="126">AVERAGE(E2701:E2900)</x:f>
        <x:v>421.17490000000015</x:v>
      </x:c>
      <x:c r="H2900" s="37" t="n">
        <x:f t="shared" si="127">IFERROR(E2900/G2900-1,"")</x:f>
        <x:v>-0.08135551287600495</x:v>
      </x:c>
      <x:c r="I2900" s="38" t="b">
        <x:f t="shared" si="128">E2900&lt;G2900</x:f>
        <x:v>1</x:v>
      </x:c>
    </x:row>
    <x:row r="2901">
      <x:c r="A2901" s="31">
        <x:v>41229</x:v>
      </x:c>
      <x:c r="B2901" s="32">
        <x:v>385.83</x:v>
      </x:c>
      <x:c r="C2901" s="32">
        <x:v>386.25</x:v>
      </x:c>
      <x:c r="D2901" s="32">
        <x:v>383.16</x:v>
      </x:c>
      <x:c r="E2901" s="32">
        <x:v>385.71</x:v>
      </x:c>
      <x:c r="F2901" s="33">
        <x:v>18280560</x:v>
      </x:c>
      <x:c r="G2901" s="32" t="n">
        <x:f t="shared" si="126">AVERAGE(E2702:E2901)</x:f>
        <x:v>421.1048000000001</x:v>
      </x:c>
      <x:c r="H2901" s="37" t="n">
        <x:f t="shared" si="127">IFERROR(E2901/G2901-1,"")</x:f>
        <x:v>-0.08405223592796884</x:v>
      </x:c>
      <x:c r="I2901" s="38" t="b">
        <x:f t="shared" si="128">E2901&lt;G2901</x:f>
        <x:v>1</x:v>
      </x:c>
    </x:row>
    <x:row r="2902">
      <x:c r="A2902" s="31">
        <x:v>41232</x:v>
      </x:c>
      <x:c r="B2902" s="32">
        <x:v>384.83</x:v>
      </x:c>
      <x:c r="C2902" s="32">
        <x:v>386.22</x:v>
      </x:c>
      <x:c r="D2902" s="32">
        <x:v>382.42</x:v>
      </x:c>
      <x:c r="E2902" s="32">
        <x:v>383.32</x:v>
      </x:c>
      <x:c r="F2902" s="33">
        <x:v>18508160</x:v>
      </x:c>
      <x:c r="G2902" s="32" t="n">
        <x:f t="shared" si="126">AVERAGE(E2703:E2902)</x:f>
        <x:v>421.01600000000013</x:v>
      </x:c>
      <x:c r="H2902" s="37" t="n">
        <x:f t="shared" si="127">IFERROR(E2902/G2902-1,"")</x:f>
        <x:v>-0.08953578961369668</x:v>
      </x:c>
      <x:c r="I2902" s="38" t="b">
        <x:f t="shared" si="128">E2902&lt;G2902</x:f>
        <x:v>1</x:v>
      </x:c>
    </x:row>
    <x:row r="2903">
      <x:c r="A2903" s="31">
        <x:v>41233</x:v>
      </x:c>
      <x:c r="B2903" s="32">
        <x:v>383.23</x:v>
      </x:c>
      <x:c r="C2903" s="32">
        <x:v>385.37</x:v>
      </x:c>
      <x:c r="D2903" s="32">
        <x:v>381.84</x:v>
      </x:c>
      <x:c r="E2903" s="32">
        <x:v>385.1</x:v>
      </x:c>
      <x:c r="F2903" s="33">
        <x:v>20945930</x:v>
      </x:c>
      <x:c r="G2903" s="32" t="n">
        <x:f t="shared" si="126">AVERAGE(E2704:E2903)</x:f>
        <x:v>420.89385000000016</x:v>
      </x:c>
      <x:c r="H2903" s="37" t="n">
        <x:f t="shared" si="127">IFERROR(E2903/G2903-1,"")</x:f>
        <x:v>-0.08504246379461267</x:v>
      </x:c>
      <x:c r="I2903" s="38" t="b">
        <x:f t="shared" si="128">E2903&lt;G2903</x:f>
        <x:v>1</x:v>
      </x:c>
    </x:row>
    <x:row r="2904">
      <x:c r="A2904" s="31">
        <x:v>41234</x:v>
      </x:c>
      <x:c r="B2904" s="32">
        <x:v>385.18</x:v>
      </x:c>
      <x:c r="C2904" s="32">
        <x:v>385.8</x:v>
      </x:c>
      <x:c r="D2904" s="32">
        <x:v>382.72</x:v>
      </x:c>
      <x:c r="E2904" s="32">
        <x:v>383.87</x:v>
      </x:c>
      <x:c r="F2904" s="33">
        <x:v>19043880</x:v>
      </x:c>
      <x:c r="G2904" s="32" t="n">
        <x:f t="shared" si="126">AVERAGE(E2705:E2904)</x:f>
        <x:v>420.75625000000014</x:v>
      </x:c>
      <x:c r="H2904" s="37" t="n">
        <x:f t="shared" si="127">IFERROR(E2904/G2904-1,"")</x:f>
        <x:v>-0.08766655278442115</x:v>
      </x:c>
      <x:c r="I2904" s="38" t="b">
        <x:f t="shared" si="128">E2904&lt;G2904</x:f>
        <x:v>1</x:v>
      </x:c>
    </x:row>
    <x:row r="2905">
      <x:c r="A2905" s="31">
        <x:v>41235</x:v>
      </x:c>
      <x:c r="B2905" s="32">
        <x:v>383.44</x:v>
      </x:c>
      <x:c r="C2905" s="32">
        <x:v>384.1</x:v>
      </x:c>
      <x:c r="D2905" s="32">
        <x:v>382.57</x:v>
      </x:c>
      <x:c r="E2905" s="32">
        <x:v>383.22</x:v>
      </x:c>
      <x:c r="F2905" s="33">
        <x:v>14762810</x:v>
      </x:c>
      <x:c r="G2905" s="32" t="n">
        <x:f t="shared" si="126">AVERAGE(E2706:E2905)</x:f>
        <x:v>420.6472500000002</x:v>
      </x:c>
      <x:c r="H2905" s="37" t="n">
        <x:f t="shared" si="127">IFERROR(E2905/G2905-1,"")</x:f>
        <x:v>-0.0889753825800601</x:v>
      </x:c>
      <x:c r="I2905" s="38" t="b">
        <x:f t="shared" si="128">E2905&lt;G2905</x:f>
        <x:v>1</x:v>
      </x:c>
    </x:row>
    <x:row r="2906">
      <x:c r="A2906" s="31">
        <x:v>41236</x:v>
      </x:c>
      <x:c r="B2906" s="32">
        <x:v>383.22</x:v>
      </x:c>
      <x:c r="C2906" s="32">
        <x:v>384.25</x:v>
      </x:c>
      <x:c r="D2906" s="32">
        <x:v>381.14</x:v>
      </x:c>
      <x:c r="E2906" s="32">
        <x:v>381.71</x:v>
      </x:c>
      <x:c r="F2906" s="33">
        <x:v>18588540</x:v>
      </x:c>
      <x:c r="G2906" s="32" t="n">
        <x:f t="shared" si="126">AVERAGE(E2707:E2906)</x:f>
        <x:v>420.5781000000002</x:v>
      </x:c>
      <x:c r="H2906" s="37" t="n">
        <x:f t="shared" si="127">IFERROR(E2906/G2906-1,"")</x:f>
        <x:v>-0.09241589136476713</x:v>
      </x:c>
      <x:c r="I2906" s="38" t="b">
        <x:f t="shared" si="128">E2906&lt;G2906</x:f>
        <x:v>1</x:v>
      </x:c>
    </x:row>
    <x:row r="2907">
      <x:c r="A2907" s="31">
        <x:v>41239</x:v>
      </x:c>
      <x:c r="B2907" s="32">
        <x:v>382.43</x:v>
      </x:c>
      <x:c r="C2907" s="32">
        <x:v>382.62</x:v>
      </x:c>
      <x:c r="D2907" s="32">
        <x:v>377.82</x:v>
      </x:c>
      <x:c r="E2907" s="32">
        <x:v>377.9</x:v>
      </x:c>
      <x:c r="F2907" s="33">
        <x:v>19424070</x:v>
      </x:c>
      <x:c r="G2907" s="32" t="n">
        <x:f t="shared" si="126">AVERAGE(E2708:E2907)</x:f>
        <x:v>420.4663000000003</x:v>
      </x:c>
      <x:c r="H2907" s="37" t="n">
        <x:f t="shared" si="127">IFERROR(E2907/G2907-1,"")</x:f>
        <x:v>-0.10123593733909297</x:v>
      </x:c>
      <x:c r="I2907" s="38" t="b">
        <x:f t="shared" si="128">E2907&lt;G2907</x:f>
        <x:v>1</x:v>
      </x:c>
    </x:row>
    <x:row r="2908">
      <x:c r="A2908" s="31">
        <x:v>41240</x:v>
      </x:c>
      <x:c r="B2908" s="32">
        <x:v>377.77</x:v>
      </x:c>
      <x:c r="C2908" s="32">
        <x:v>378.62</x:v>
      </x:c>
      <x:c r="D2908" s="32">
        <x:v>376.08</x:v>
      </x:c>
      <x:c r="E2908" s="32">
        <x:v>376.89</x:v>
      </x:c>
      <x:c r="F2908" s="33">
        <x:v>14100000</x:v>
      </x:c>
      <x:c r="G2908" s="32" t="n">
        <x:f t="shared" si="126">AVERAGE(E2709:E2908)</x:f>
        <x:v>420.3637000000002</x:v>
      </x:c>
      <x:c r="H2908" s="37" t="n">
        <x:f t="shared" si="127">IFERROR(E2908/G2908-1,"")</x:f>
        <x:v>-0.10341925337511348</x:v>
      </x:c>
      <x:c r="I2908" s="38" t="b">
        <x:f t="shared" si="128">E2908&lt;G2908</x:f>
        <x:v>1</x:v>
      </x:c>
    </x:row>
    <x:row r="2909">
      <x:c r="A2909" s="31">
        <x:v>41241</x:v>
      </x:c>
      <x:c r="B2909" s="32">
        <x:v>376.13</x:v>
      </x:c>
      <x:c r="C2909" s="32">
        <x:v>377.32</x:v>
      </x:c>
      <x:c r="D2909" s="32">
        <x:v>374.15</x:v>
      </x:c>
      <x:c r="E2909" s="32">
        <x:v>375.79</x:v>
      </x:c>
      <x:c r="F2909" s="33">
        <x:v>16208860</x:v>
      </x:c>
      <x:c r="G2909" s="32" t="n">
        <x:f t="shared" si="126">AVERAGE(E2710:E2909)</x:f>
        <x:v>420.26010000000025</x:v>
      </x:c>
      <x:c r="H2909" s="37" t="n">
        <x:f t="shared" si="127">IFERROR(E2909/G2909-1,"")</x:f>
        <x:v>-0.10581566034938883</x:v>
      </x:c>
      <x:c r="I2909" s="38" t="b">
        <x:f t="shared" si="128">E2909&lt;G2909</x:f>
        <x:v>1</x:v>
      </x:c>
    </x:row>
    <x:row r="2910">
      <x:c r="A2910" s="31">
        <x:v>41242</x:v>
      </x:c>
      <x:c r="B2910" s="32">
        <x:v>377.45</x:v>
      </x:c>
      <x:c r="C2910" s="32">
        <x:v>378.62</x:v>
      </x:c>
      <x:c r="D2910" s="32">
        <x:v>376.93</x:v>
      </x:c>
      <x:c r="E2910" s="32">
        <x:v>378.2</x:v>
      </x:c>
      <x:c r="F2910" s="33">
        <x:v>14745550</x:v>
      </x:c>
      <x:c r="G2910" s="32" t="n">
        <x:f t="shared" si="126">AVERAGE(E2711:E2910)</x:f>
        <x:v>420.1346000000002</x:v>
      </x:c>
      <x:c r="H2910" s="37" t="n">
        <x:f t="shared" si="127">IFERROR(E2910/G2910-1,"")</x:f>
        <x:v>-0.09981229824918059</x:v>
      </x:c>
      <x:c r="I2910" s="38" t="b">
        <x:f t="shared" si="128">E2910&lt;G2910</x:f>
        <x:v>1</x:v>
      </x:c>
    </x:row>
    <x:row r="2911">
      <x:c r="A2911" s="31">
        <x:v>41243</x:v>
      </x:c>
      <x:c r="B2911" s="32">
        <x:v>380.01</x:v>
      </x:c>
      <x:c r="C2911" s="32">
        <x:v>380.18</x:v>
      </x:c>
      <x:c r="D2911" s="32">
        <x:v>377.52</x:v>
      </x:c>
      <x:c r="E2911" s="32">
        <x:v>377.82</x:v>
      </x:c>
      <x:c r="F2911" s="33">
        <x:v>16525680</x:v>
      </x:c>
      <x:c r="G2911" s="32" t="n">
        <x:f t="shared" si="126">AVERAGE(E2712:E2911)</x:f>
        <x:v>419.9538000000003</x:v>
      </x:c>
      <x:c r="H2911" s="37" t="n">
        <x:f t="shared" si="127">IFERROR(E2911/G2911-1,"")</x:f>
        <x:v>-0.10032960768541743</x:v>
      </x:c>
      <x:c r="I2911" s="38" t="b">
        <x:f t="shared" si="128">E2911&lt;G2911</x:f>
        <x:v>1</x:v>
      </x:c>
    </x:row>
    <x:row r="2912">
      <x:c r="A2912" s="31">
        <x:v>41246</x:v>
      </x:c>
      <x:c r="B2912" s="32">
        <x:v>377.94</x:v>
      </x:c>
      <x:c r="C2912" s="32">
        <x:v>379.27</x:v>
      </x:c>
      <x:c r="D2912" s="32">
        <x:v>375.78</x:v>
      </x:c>
      <x:c r="E2912" s="32">
        <x:v>379.27</x:v>
      </x:c>
      <x:c r="F2912" s="33">
        <x:v>17188480</x:v>
      </x:c>
      <x:c r="G2912" s="32" t="n">
        <x:f t="shared" si="126">AVERAGE(E2713:E2912)</x:f>
        <x:v>419.7956000000003</x:v>
      </x:c>
      <x:c r="H2912" s="37" t="n">
        <x:f t="shared" si="127">IFERROR(E2912/G2912-1,"")</x:f>
        <x:v>-0.09653650490858001</x:v>
      </x:c>
      <x:c r="I2912" s="38" t="b">
        <x:f t="shared" si="128">E2912&lt;G2912</x:f>
        <x:v>1</x:v>
      </x:c>
    </x:row>
    <x:row r="2913">
      <x:c r="A2913" s="31">
        <x:v>41247</x:v>
      </x:c>
      <x:c r="B2913" s="32">
        <x:v>379.02</x:v>
      </x:c>
      <x:c r="C2913" s="32">
        <x:v>382.1</x:v>
      </x:c>
      <x:c r="D2913" s="32">
        <x:v>377.89</x:v>
      </x:c>
      <x:c r="E2913" s="32">
        <x:v>382.1</x:v>
      </x:c>
      <x:c r="F2913" s="33">
        <x:v>23715390</x:v>
      </x:c>
      <x:c r="G2913" s="32" t="n">
        <x:f t="shared" si="126">AVERAGE(E2714:E2913)</x:f>
        <x:v>419.61405000000036</x:v>
      </x:c>
      <x:c r="H2913" s="37" t="n">
        <x:f t="shared" si="127">IFERROR(E2913/G2913-1,"")</x:f>
        <x:v>-0.08940132009402524</x:v>
      </x:c>
      <x:c r="I2913" s="38" t="b">
        <x:f t="shared" si="128">E2913&lt;G2913</x:f>
        <x:v>1</x:v>
      </x:c>
    </x:row>
    <x:row r="2914">
      <x:c r="A2914" s="31">
        <x:v>41248</x:v>
      </x:c>
      <x:c r="B2914" s="32">
        <x:v>383.18</x:v>
      </x:c>
      <x:c r="C2914" s="32">
        <x:v>387.05</x:v>
      </x:c>
      <x:c r="D2914" s="32">
        <x:v>382.1</x:v>
      </x:c>
      <x:c r="E2914" s="32">
        <x:v>385.69</x:v>
      </x:c>
      <x:c r="F2914" s="33">
        <x:v>35839740</x:v>
      </x:c>
      <x:c r="G2914" s="32" t="n">
        <x:f t="shared" si="126">AVERAGE(E2715:E2914)</x:f>
        <x:v>419.4230500000003</x:v>
      </x:c>
      <x:c r="H2914" s="37" t="n">
        <x:f t="shared" si="127">IFERROR(E2914/G2914-1,"")</x:f>
        <x:v>-0.08042726788620758</x:v>
      </x:c>
      <x:c r="I2914" s="38" t="b">
        <x:f t="shared" si="128">E2914&lt;G2914</x:f>
        <x:v>1</x:v>
      </x:c>
    </x:row>
    <x:row r="2915">
      <x:c r="A2915" s="31">
        <x:v>41249</x:v>
      </x:c>
      <x:c r="B2915" s="32">
        <x:v>385.59</x:v>
      </x:c>
      <x:c r="C2915" s="32">
        <x:v>386.62</x:v>
      </x:c>
      <x:c r="D2915" s="32">
        <x:v>384.53</x:v>
      </x:c>
      <x:c r="E2915" s="32">
        <x:v>385.69</x:v>
      </x:c>
      <x:c r="F2915" s="33">
        <x:v>26784560</x:v>
      </x:c>
      <x:c r="G2915" s="32" t="n">
        <x:f t="shared" si="126">AVERAGE(E2716:E2915)</x:f>
        <x:v>419.23435000000035</x:v>
      </x:c>
      <x:c r="H2915" s="37" t="n">
        <x:f t="shared" si="127">IFERROR(E2915/G2915-1,"")</x:f>
        <x:v>-0.08001336245467561</x:v>
      </x:c>
      <x:c r="I2915" s="38" t="b">
        <x:f t="shared" si="128">E2915&lt;G2915</x:f>
        <x:v>1</x:v>
      </x:c>
    </x:row>
    <x:row r="2916">
      <x:c r="A2916" s="31">
        <x:v>41250</x:v>
      </x:c>
      <x:c r="B2916" s="32">
        <x:v>386.44</x:v>
      </x:c>
      <x:c r="C2916" s="32">
        <x:v>386.6</x:v>
      </x:c>
      <x:c r="D2916" s="32">
        <x:v>383.8</x:v>
      </x:c>
      <x:c r="E2916" s="32">
        <x:v>383.8</x:v>
      </x:c>
      <x:c r="F2916" s="33">
        <x:v>26109500</x:v>
      </x:c>
      <x:c r="G2916" s="32" t="n">
        <x:f t="shared" si="126">AVERAGE(E2717:E2916)</x:f>
        <x:v>419.0113000000003</x:v>
      </x:c>
      <x:c r="H2916" s="37" t="n">
        <x:f t="shared" si="127">IFERROR(E2916/G2916-1,"")</x:f>
        <x:v>-0.08403424919566671</x:v>
      </x:c>
      <x:c r="I2916" s="38" t="b">
        <x:f t="shared" si="128">E2916&lt;G2916</x:f>
        <x:v>1</x:v>
      </x:c>
    </x:row>
    <x:row r="2917">
      <x:c r="A2917" s="31">
        <x:v>41253</x:v>
      </x:c>
      <x:c r="B2917" s="32">
        <x:v>384.84</x:v>
      </x:c>
      <x:c r="C2917" s="32">
        <x:v>387.67</x:v>
      </x:c>
      <x:c r="D2917" s="32">
        <x:v>383.53</x:v>
      </x:c>
      <x:c r="E2917" s="32">
        <x:v>386.69</x:v>
      </x:c>
      <x:c r="F2917" s="33">
        <x:v>38296950</x:v>
      </x:c>
      <x:c r="G2917" s="32" t="n">
        <x:f t="shared" si="126">AVERAGE(E2718:E2917)</x:f>
        <x:v>418.8336500000003</x:v>
      </x:c>
      <x:c r="H2917" s="37" t="n">
        <x:f t="shared" si="127">IFERROR(E2917/G2917-1,"")</x:f>
        <x:v>-0.07674562442630939</x:v>
      </x:c>
      <x:c r="I2917" s="38" t="b">
        <x:f t="shared" si="128">E2917&lt;G2917</x:f>
        <x:v>1</x:v>
      </x:c>
    </x:row>
    <x:row r="2918">
      <x:c r="A2918" s="31">
        <x:v>41254</x:v>
      </x:c>
      <x:c r="B2918" s="32">
        <x:v>386.25</x:v>
      </x:c>
      <x:c r="C2918" s="32">
        <x:v>389.37</x:v>
      </x:c>
      <x:c r="D2918" s="32">
        <x:v>385.81</x:v>
      </x:c>
      <x:c r="E2918" s="32">
        <x:v>389.37</x:v>
      </x:c>
      <x:c r="F2918" s="33">
        <x:v>35197200</x:v>
      </x:c>
      <x:c r="G2918" s="32" t="n">
        <x:f t="shared" si="126">AVERAGE(E2719:E2918)</x:f>
        <x:v>418.6623000000003</x:v>
      </x:c>
      <x:c r="H2918" s="37" t="n">
        <x:f t="shared" si="127">IFERROR(E2918/G2918-1,"")</x:f>
        <x:v>-0.06996641445862284</x:v>
      </x:c>
      <x:c r="I2918" s="38" t="b">
        <x:f t="shared" si="128">E2918&lt;G2918</x:f>
        <x:v>1</x:v>
      </x:c>
    </x:row>
    <x:row r="2919">
      <x:c r="A2919" s="31">
        <x:v>41255</x:v>
      </x:c>
      <x:c r="B2919" s="32">
        <x:v>388.41</x:v>
      </x:c>
      <x:c r="C2919" s="32">
        <x:v>393.13</x:v>
      </x:c>
      <x:c r="D2919" s="32">
        <x:v>386.46</x:v>
      </x:c>
      <x:c r="E2919" s="32">
        <x:v>391.08</x:v>
      </x:c>
      <x:c r="F2919" s="33">
        <x:v>45925850</x:v>
      </x:c>
      <x:c r="G2919" s="32" t="n">
        <x:f t="shared" si="126">AVERAGE(E2720:E2919)</x:f>
        <x:v>418.47795000000036</x:v>
      </x:c>
      <x:c r="H2919" s="37" t="n">
        <x:f t="shared" si="127">IFERROR(E2919/G2919-1,"")</x:f>
        <x:v>-0.0654704746092365</x:v>
      </x:c>
      <x:c r="I2919" s="38" t="b">
        <x:f t="shared" si="128">E2919&lt;G2919</x:f>
        <x:v>1</x:v>
      </x:c>
    </x:row>
    <x:row r="2920">
      <x:c r="A2920" s="31">
        <x:v>41256</x:v>
      </x:c>
      <x:c r="B2920" s="32">
        <x:v>393.04</x:v>
      </x:c>
      <x:c r="C2920" s="32">
        <x:v>393.81</x:v>
      </x:c>
      <x:c r="D2920" s="32">
        <x:v>390.57</x:v>
      </x:c>
      <x:c r="E2920" s="32">
        <x:v>391.19</x:v>
      </x:c>
      <x:c r="F2920" s="33">
        <x:v>41652240</x:v>
      </x:c>
      <x:c r="G2920" s="32" t="n">
        <x:f t="shared" si="126">AVERAGE(E2721:E2920)</x:f>
        <x:v>418.23590000000036</x:v>
      </x:c>
      <x:c r="H2920" s="37" t="n">
        <x:f t="shared" si="127">IFERROR(E2920/G2920-1,"")</x:f>
        <x:v>-0.06466661518057237</x:v>
      </x:c>
      <x:c r="I2920" s="38" t="b">
        <x:f t="shared" si="128">E2920&lt;G2920</x:f>
        <x:v>1</x:v>
      </x:c>
    </x:row>
    <x:row r="2921">
      <x:c r="A2921" s="31">
        <x:v>41257</x:v>
      </x:c>
      <x:c r="B2921" s="32">
        <x:v>392.23</x:v>
      </x:c>
      <x:c r="C2921" s="32">
        <x:v>394.61</x:v>
      </x:c>
      <x:c r="D2921" s="32">
        <x:v>392.05</x:v>
      </x:c>
      <x:c r="E2921" s="32">
        <x:v>392.21</x:v>
      </x:c>
      <x:c r="F2921" s="33">
        <x:v>35228470</x:v>
      </x:c>
      <x:c r="G2921" s="32" t="n">
        <x:f t="shared" si="126">AVERAGE(E2722:E2921)</x:f>
        <x:v>417.9109000000004</x:v>
      </x:c>
      <x:c r="H2921" s="37" t="n">
        <x:f t="shared" si="127">IFERROR(E2921/G2921-1,"")</x:f>
        <x:v>-0.061498515592678826</x:v>
      </x:c>
      <x:c r="I2921" s="38" t="b">
        <x:f t="shared" si="128">E2921&lt;G2921</x:f>
        <x:v>1</x:v>
      </x:c>
    </x:row>
    <x:row r="2922">
      <x:c r="A2922" s="31">
        <x:v>41260</x:v>
      </x:c>
      <x:c r="B2922" s="32">
        <x:v>391.37</x:v>
      </x:c>
      <x:c r="C2922" s="32">
        <x:v>395.3</x:v>
      </x:c>
      <x:c r="D2922" s="32">
        <x:v>391.31</x:v>
      </x:c>
      <x:c r="E2922" s="32">
        <x:v>393.63</x:v>
      </x:c>
      <x:c r="F2922" s="33">
        <x:v>44543430</x:v>
      </x:c>
      <x:c r="G2922" s="32" t="n">
        <x:f t="shared" si="126">AVERAGE(E2723:E2922)</x:f>
        <x:v>417.6540500000005</x:v>
      </x:c>
      <x:c r="H2922" s="37" t="n">
        <x:f t="shared" si="127">IFERROR(E2922/G2922-1,"")</x:f>
        <x:v>-0.05752141036343472</x:v>
      </x:c>
      <x:c r="I2922" s="38" t="b">
        <x:f t="shared" si="128">E2922&lt;G2922</x:f>
        <x:v>1</x:v>
      </x:c>
    </x:row>
    <x:row r="2923">
      <x:c r="A2923" s="31">
        <x:v>41261</x:v>
      </x:c>
      <x:c r="B2923" s="32">
        <x:v>396.21</x:v>
      </x:c>
      <x:c r="C2923" s="32">
        <x:v>396.45</x:v>
      </x:c>
      <x:c r="D2923" s="32">
        <x:v>392.34</x:v>
      </x:c>
      <x:c r="E2923" s="32">
        <x:v>393.39</x:v>
      </x:c>
      <x:c r="F2923" s="33">
        <x:v>44355940</x:v>
      </x:c>
      <x:c r="G2923" s="32" t="n">
        <x:f t="shared" si="126">AVERAGE(E2724:E2923)</x:f>
        <x:v>417.40090000000055</x:v>
      </x:c>
      <x:c r="H2923" s="37" t="n">
        <x:f t="shared" si="127">IFERROR(E2923/G2923-1,"")</x:f>
        <x:v>-0.057524792112332634</x:v>
      </x:c>
      <x:c r="I2923" s="38" t="b">
        <x:f t="shared" si="128">E2923&lt;G2923</x:f>
        <x:v>1</x:v>
      </x:c>
    </x:row>
    <x:row r="2924">
      <x:c r="A2924" s="31">
        <x:v>41262</x:v>
      </x:c>
      <x:c r="B2924" s="32">
        <x:v>395.84</x:v>
      </x:c>
      <x:c r="C2924" s="32">
        <x:v>398.59</x:v>
      </x:c>
      <x:c r="D2924" s="32">
        <x:v>395.34</x:v>
      </x:c>
      <x:c r="E2924" s="32">
        <x:v>398.59</x:v>
      </x:c>
      <x:c r="F2924" s="33">
        <x:v>64520540</x:v>
      </x:c>
      <x:c r="G2924" s="32" t="n">
        <x:f t="shared" si="126">AVERAGE(E2725:E2924)</x:f>
        <x:v>417.23555000000044</x:v>
      </x:c>
      <x:c r="H2924" s="37" t="n">
        <x:f t="shared" si="127">IFERROR(E2924/G2924-1,"")</x:f>
        <x:v>-0.04468830616183217</x:v>
      </x:c>
      <x:c r="I2924" s="38" t="b">
        <x:f t="shared" si="128">E2924&lt;G2924</x:f>
        <x:v>1</x:v>
      </x:c>
    </x:row>
    <x:row r="2925">
      <x:c r="A2925" s="31">
        <x:v>41263</x:v>
      </x:c>
      <x:c r="B2925" s="32">
        <x:v>399.13</x:v>
      </x:c>
      <x:c r="C2925" s="32">
        <x:v>400.71</x:v>
      </x:c>
      <x:c r="D2925" s="32">
        <x:v>397.86</x:v>
      </x:c>
      <x:c r="E2925" s="32">
        <x:v>399.68</x:v>
      </x:c>
      <x:c r="F2925" s="33">
        <x:v>61282060</x:v>
      </x:c>
      <x:c r="G2925" s="32" t="n">
        <x:f t="shared" si="126">AVERAGE(E2726:E2925)</x:f>
        <x:v>417.0734000000004</x:v>
      </x:c>
      <x:c r="H2925" s="37" t="n">
        <x:f t="shared" si="127">IFERROR(E2925/G2925-1,"")</x:f>
        <x:v>-0.04170345075950743</x:v>
      </x:c>
      <x:c r="I2925" s="38" t="b">
        <x:f t="shared" si="128">E2925&lt;G2925</x:f>
        <x:v>1</x:v>
      </x:c>
    </x:row>
    <x:row r="2926">
      <x:c r="A2926" s="31">
        <x:v>41264</x:v>
      </x:c>
      <x:c r="B2926" s="32">
        <x:v>397.49</x:v>
      </x:c>
      <x:c r="C2926" s="32">
        <x:v>400.27</x:v>
      </x:c>
      <x:c r="D2926" s="32">
        <x:v>394.27</x:v>
      </x:c>
      <x:c r="E2926" s="32">
        <x:v>396.78</x:v>
      </x:c>
      <x:c r="F2926" s="33">
        <x:v>61459550</x:v>
      </x:c>
      <x:c r="G2926" s="32" t="n">
        <x:f t="shared" si="126">AVERAGE(E2727:E2926)</x:f>
        <x:v>416.9172000000004</x:v>
      </x:c>
      <x:c r="H2926" s="37" t="n">
        <x:f t="shared" si="127">IFERROR(E2926/G2926-1,"")</x:f>
        <x:v>-0.04830023803287653</x:v>
      </x:c>
      <x:c r="I2926" s="38" t="b">
        <x:f t="shared" si="128">E2926&lt;G2926</x:f>
        <x:v>1</x:v>
      </x:c>
    </x:row>
    <x:row r="2927">
      <x:c r="A2927" s="31">
        <x:v>41267</x:v>
      </x:c>
      <x:c r="B2927" s="32">
        <x:v>397.25</x:v>
      </x:c>
      <x:c r="C2927" s="32">
        <x:v>400.22</x:v>
      </x:c>
      <x:c r="D2927" s="32">
        <x:v>396.57</x:v>
      </x:c>
      <x:c r="E2927" s="32">
        <x:v>399.71</x:v>
      </x:c>
      <x:c r="F2927" s="33">
        <x:v>37347230</x:v>
      </x:c>
      <x:c r="G2927" s="32" t="n">
        <x:f t="shared" si="126">AVERAGE(E2728:E2927)</x:f>
        <x:v>416.7688000000004</x:v>
      </x:c>
      <x:c r="H2927" s="37" t="n">
        <x:f t="shared" si="127">IFERROR(E2927/G2927-1,"")</x:f>
        <x:v>-0.04093108697196235</x:v>
      </x:c>
      <x:c r="I2927" s="38" t="b">
        <x:f t="shared" si="128">E2927&lt;G2927</x:f>
        <x:v>1</x:v>
      </x:c>
    </x:row>
    <x:row r="2928">
      <x:c r="A2928" s="31">
        <x:v>41268</x:v>
      </x:c>
      <x:c r="B2928" s="32">
        <x:v>401.01</x:v>
      </x:c>
      <x:c r="C2928" s="32">
        <x:v>401.72</x:v>
      </x:c>
      <x:c r="D2928" s="32">
        <x:v>398.09</x:v>
      </x:c>
      <x:c r="E2928" s="32">
        <x:v>401.34</x:v>
      </x:c>
      <x:c r="F2928" s="33">
        <x:v>43120810</x:v>
      </x:c>
      <x:c r="G2928" s="32" t="n">
        <x:f t="shared" si="126">AVERAGE(E2729:E2928)</x:f>
        <x:v>416.6062000000004</x:v>
      </x:c>
      <x:c r="H2928" s="37" t="n">
        <x:f t="shared" si="127">IFERROR(E2928/G2928-1,"")</x:f>
        <x:v>-0.0366441978059866</x:v>
      </x:c>
      <x:c r="I2928" s="38" t="b">
        <x:f t="shared" si="128">E2928&lt;G2928</x:f>
        <x:v>1</x:v>
      </x:c>
    </x:row>
    <x:row r="2929">
      <x:c r="A2929" s="31">
        <x:v>41269</x:v>
      </x:c>
      <x:c r="B2929" s="32">
        <x:v>399.43</x:v>
      </x:c>
      <x:c r="C2929" s="32">
        <x:v>406.1</x:v>
      </x:c>
      <x:c r="D2929" s="32">
        <x:v>398.31</x:v>
      </x:c>
      <x:c r="E2929" s="32">
        <x:v>406.1</x:v>
      </x:c>
      <x:c r="F2929" s="33">
        <x:v>52980150</x:v>
      </x:c>
      <x:c r="G2929" s="32" t="n">
        <x:f t="shared" si="126">AVERAGE(E2730:E2929)</x:f>
        <x:v>416.42745000000036</x:v>
      </x:c>
      <x:c r="H2929" s="37" t="n">
        <x:f t="shared" si="127">IFERROR(E2929/G2929-1,"")</x:f>
        <x:v>-0.02480011824388695</x:v>
      </x:c>
      <x:c r="I2929" s="38" t="b">
        <x:f t="shared" si="128">E2929&lt;G2929</x:f>
        <x:v>1</x:v>
      </x:c>
    </x:row>
    <x:row r="2930">
      <x:c r="A2930" s="31">
        <x:v>41270</x:v>
      </x:c>
      <x:c r="B2930" s="32">
        <x:v>408.32</x:v>
      </x:c>
      <x:c r="C2930" s="32">
        <x:v>410.68</x:v>
      </x:c>
      <x:c r="D2930" s="32">
        <x:v>406.58</x:v>
      </x:c>
      <x:c r="E2930" s="32">
        <x:v>409.97</x:v>
      </x:c>
      <x:c r="F2930" s="33">
        <x:v>69702680</x:v>
      </x:c>
      <x:c r="G2930" s="32" t="n">
        <x:f t="shared" si="126">AVERAGE(E2731:E2930)</x:f>
        <x:v>416.28470000000044</x:v>
      </x:c>
      <x:c r="H2930" s="37" t="n">
        <x:f t="shared" si="127">IFERROR(E2930/G2930-1,"")</x:f>
        <x:v>-0.015169185896095616</x:v>
      </x:c>
      <x:c r="I2930" s="38" t="b">
        <x:f t="shared" si="128">E2930&lt;G2930</x:f>
        <x:v>1</x:v>
      </x:c>
    </x:row>
    <x:row r="2931">
      <x:c r="A2931" s="31">
        <x:v>41271</x:v>
      </x:c>
      <x:c r="B2931" s="32">
        <x:v>409.49</x:v>
      </x:c>
      <x:c r="C2931" s="32">
        <x:v>413.73</x:v>
      </x:c>
      <x:c r="D2931" s="32">
        <x:v>408.32</x:v>
      </x:c>
      <x:c r="E2931" s="32">
        <x:v>413.73</x:v>
      </x:c>
      <x:c r="F2931" s="33">
        <x:v>54265930</x:v>
      </x:c>
      <x:c r="G2931" s="32" t="n">
        <x:f t="shared" si="126">AVERAGE(E2732:E2931)</x:f>
        <x:v>416.1630000000004</x:v>
      </x:c>
      <x:c r="H2931" s="37" t="n">
        <x:f t="shared" si="127">IFERROR(E2931/G2931-1,"")</x:f>
        <x:v>-0.005846266967511227</x:v>
      </x:c>
      <x:c r="I2931" s="38" t="b">
        <x:f t="shared" si="128">E2931&lt;G2931</x:f>
        <x:v>1</x:v>
      </x:c>
    </x:row>
    <x:row r="2932">
      <x:c r="A2932" s="31">
        <x:v>41276</x:v>
      </x:c>
      <x:c r="B2932" s="32">
        <x:v>415.5</x:v>
      </x:c>
      <x:c r="C2932" s="32">
        <x:v>419.05</x:v>
      </x:c>
      <x:c r="D2932" s="32">
        <x:v>414.41</x:v>
      </x:c>
      <x:c r="E2932" s="32">
        <x:v>418.35</x:v>
      </x:c>
      <x:c r="F2932" s="33">
        <x:v>60311180</x:v>
      </x:c>
      <x:c r="G2932" s="32" t="n">
        <x:f t="shared" si="126">AVERAGE(E2733:E2932)</x:f>
        <x:v>416.0533000000004</x:v>
      </x:c>
      <x:c r="H2932" s="37" t="n">
        <x:f t="shared" si="127">IFERROR(E2932/G2932-1,"")</x:f>
        <x:v>0.005520206185120058</x:v>
      </x:c>
      <x:c r="I2932" s="38" t="b">
        <x:f t="shared" si="128">E2932&lt;G2932</x:f>
        <x:v>0</x:v>
      </x:c>
    </x:row>
    <x:row r="2933">
      <x:c r="A2933" s="31">
        <x:v>41277</x:v>
      </x:c>
      <x:c r="B2933" s="32">
        <x:v>420.68</x:v>
      </x:c>
      <x:c r="C2933" s="32">
        <x:v>420.68</x:v>
      </x:c>
      <x:c r="D2933" s="32">
        <x:v>413.68</x:v>
      </x:c>
      <x:c r="E2933" s="32">
        <x:v>419.27</x:v>
      </x:c>
      <x:c r="F2933" s="33">
        <x:v>96108870</x:v>
      </x:c>
      <x:c r="G2933" s="32" t="n">
        <x:f t="shared" si="126">AVERAGE(E2734:E2933)</x:f>
        <x:v>415.9208000000004</x:v>
      </x:c>
      <x:c r="H2933" s="37" t="n">
        <x:f t="shared" si="127">IFERROR(E2933/G2933-1,"")</x:f>
        <x:v>0.00805249460954971</x:v>
      </x:c>
      <x:c r="I2933" s="38" t="b">
        <x:f t="shared" si="128">E2933&lt;G2933</x:f>
        <x:v>0</x:v>
      </x:c>
    </x:row>
    <x:row r="2934">
      <x:c r="A2934" s="31">
        <x:v>41278</x:v>
      </x:c>
      <x:c r="B2934" s="32">
        <x:v>418.75</x:v>
      </x:c>
      <x:c r="C2934" s="32">
        <x:v>426.48</x:v>
      </x:c>
      <x:c r="D2934" s="32">
        <x:v>417.5</x:v>
      </x:c>
      <x:c r="E2934" s="32">
        <x:v>426.06</x:v>
      </x:c>
      <x:c r="F2934" s="33">
        <x:v>62614690</x:v>
      </x:c>
      <x:c r="G2934" s="32" t="n">
        <x:f t="shared" si="126">AVERAGE(E2735:E2934)</x:f>
        <x:v>415.8227500000004</x:v>
      </x:c>
      <x:c r="H2934" s="37" t="n">
        <x:f t="shared" si="127">IFERROR(E2934/G2934-1,"")</x:f>
        <x:v>0.024619263857015072</x:v>
      </x:c>
      <x:c r="I2934" s="38" t="b">
        <x:f t="shared" si="128">E2934&lt;G2934</x:f>
        <x:v>0</x:v>
      </x:c>
    </x:row>
    <x:row r="2935">
      <x:c r="A2935" s="31">
        <x:v>41281</x:v>
      </x:c>
      <x:c r="B2935" s="32">
        <x:v>428.53</x:v>
      </x:c>
      <x:c r="C2935" s="32">
        <x:v>434.64</x:v>
      </x:c>
      <x:c r="D2935" s="32">
        <x:v>426.86</x:v>
      </x:c>
      <x:c r="E2935" s="32">
        <x:v>434.19</x:v>
      </x:c>
      <x:c r="F2935" s="33">
        <x:v>75004280</x:v>
      </x:c>
      <x:c r="G2935" s="32" t="n">
        <x:f t="shared" si="126">AVERAGE(E2736:E2935)</x:f>
        <x:v>415.7232000000004</x:v>
      </x:c>
      <x:c r="H2935" s="37" t="n">
        <x:f t="shared" si="127">IFERROR(E2935/G2935-1,"")</x:f>
        <x:v>0.04442090313939562</x:v>
      </x:c>
      <x:c r="I2935" s="38" t="b">
        <x:f t="shared" si="128">E2935&lt;G2935</x:f>
        <x:v>0</x:v>
      </x:c>
    </x:row>
    <x:row r="2936">
      <x:c r="A2936" s="31">
        <x:v>41282</x:v>
      </x:c>
      <x:c r="B2936" s="32">
        <x:v>437.25</x:v>
      </x:c>
      <x:c r="C2936" s="32">
        <x:v>447.16</x:v>
      </x:c>
      <x:c r="D2936" s="32">
        <x:v>437.15</x:v>
      </x:c>
      <x:c r="E2936" s="32">
        <x:v>447.16</x:v>
      </x:c>
      <x:c r="F2936" s="33">
        <x:v>81496290</x:v>
      </x:c>
      <x:c r="G2936" s="32" t="n">
        <x:f t="shared" si="126">AVERAGE(E2737:E2936)</x:f>
        <x:v>415.6627000000004</x:v>
      </x:c>
      <x:c r="H2936" s="37" t="n">
        <x:f t="shared" si="127">IFERROR(E2936/G2936-1,"")</x:f>
        <x:v>0.07577610403820101</x:v>
      </x:c>
      <x:c r="I2936" s="38" t="b">
        <x:f t="shared" si="128">E2936&lt;G2936</x:f>
        <x:v>0</x:v>
      </x:c>
    </x:row>
    <x:row r="2937">
      <x:c r="A2937" s="31">
        <x:v>41283</x:v>
      </x:c>
      <x:c r="B2937" s="32">
        <x:v>452.63</x:v>
      </x:c>
      <x:c r="C2937" s="32">
        <x:v>457.75</x:v>
      </x:c>
      <x:c r="D2937" s="32">
        <x:v>442.26</x:v>
      </x:c>
      <x:c r="E2937" s="32">
        <x:v>448.77</x:v>
      </x:c>
      <x:c r="F2937" s="33">
        <x:v>131421730</x:v>
      </x:c>
      <x:c r="G2937" s="32" t="n">
        <x:f t="shared" si="126">AVERAGE(E2738:E2937)</x:f>
        <x:v>415.6770500000004</x:v>
      </x:c>
      <x:c r="H2937" s="37" t="n">
        <x:f t="shared" si="127">IFERROR(E2937/G2937-1,"")</x:f>
        <x:v>0.07961216526146808</x:v>
      </x:c>
      <x:c r="I2937" s="38" t="b">
        <x:f t="shared" si="128">E2937&lt;G2937</x:f>
        <x:v>0</x:v>
      </x:c>
    </x:row>
    <x:row r="2938">
      <x:c r="A2938" s="31">
        <x:v>41284</x:v>
      </x:c>
      <x:c r="B2938" s="32">
        <x:v>447.99</x:v>
      </x:c>
      <x:c r="C2938" s="32">
        <x:v>460.12</x:v>
      </x:c>
      <x:c r="D2938" s="32">
        <x:v>444.08</x:v>
      </x:c>
      <x:c r="E2938" s="32">
        <x:v>460.12</x:v>
      </x:c>
      <x:c r="F2938" s="33">
        <x:v>69049730</x:v>
      </x:c>
      <x:c r="G2938" s="32" t="n">
        <x:f t="shared" si="126">AVERAGE(E2739:E2938)</x:f>
        <x:v>415.7460500000004</x:v>
      </x:c>
      <x:c r="H2938" s="37" t="n">
        <x:f t="shared" si="127">IFERROR(E2938/G2938-1,"")</x:f>
        <x:v>0.10673330510295775</x:v>
      </x:c>
      <x:c r="I2938" s="38" t="b">
        <x:f t="shared" si="128">E2938&lt;G2938</x:f>
        <x:v>0</x:v>
      </x:c>
    </x:row>
    <x:row r="2939">
      <x:c r="A2939" s="31">
        <x:v>41285</x:v>
      </x:c>
      <x:c r="B2939" s="32">
        <x:v>468.39</x:v>
      </x:c>
      <x:c r="C2939" s="32">
        <x:v>469.16</x:v>
      </x:c>
      <x:c r="D2939" s="32">
        <x:v>461.74</x:v>
      </x:c>
      <x:c r="E2939" s="32">
        <x:v>462.69</x:v>
      </x:c>
      <x:c r="F2939" s="33">
        <x:v>71735970</x:v>
      </x:c>
      <x:c r="G2939" s="32" t="n">
        <x:f t="shared" si="126">AVERAGE(E2740:E2939)</x:f>
        <x:v>415.86135000000036</x:v>
      </x:c>
      <x:c r="H2939" s="37" t="n">
        <x:f t="shared" si="127">IFERROR(E2939/G2939-1,"")</x:f>
        <x:v>0.11260640114788156</x:v>
      </x:c>
      <x:c r="I2939" s="38" t="b">
        <x:f t="shared" si="128">E2939&lt;G2939</x:f>
        <x:v>0</x:v>
      </x:c>
    </x:row>
    <x:row r="2940">
      <x:c r="A2940" s="31">
        <x:v>41288</x:v>
      </x:c>
      <x:c r="B2940" s="32">
        <x:v>458.08</x:v>
      </x:c>
      <x:c r="C2940" s="32">
        <x:v>462.08</x:v>
      </x:c>
      <x:c r="D2940" s="32">
        <x:v>455.51</x:v>
      </x:c>
      <x:c r="E2940" s="32">
        <x:v>458.97</x:v>
      </x:c>
      <x:c r="F2940" s="33">
        <x:v>66848260</x:v>
      </x:c>
      <x:c r="G2940" s="32" t="n">
        <x:f t="shared" si="126">AVERAGE(E2741:E2940)</x:f>
        <x:v>415.95105000000035</x:v>
      </x:c>
      <x:c r="H2940" s="37" t="n">
        <x:f t="shared" si="127">IFERROR(E2940/G2940-1,"")</x:f>
        <x:v>0.10342310711801228</x:v>
      </x:c>
      <x:c r="I2940" s="38" t="b">
        <x:f t="shared" si="128">E2940&lt;G2940</x:f>
        <x:v>0</x:v>
      </x:c>
    </x:row>
    <x:row r="2941">
      <x:c r="A2941" s="31">
        <x:v>41289</x:v>
      </x:c>
      <x:c r="B2941" s="32">
        <x:v>459.24</x:v>
      </x:c>
      <x:c r="C2941" s="32">
        <x:v>461.42</x:v>
      </x:c>
      <x:c r="D2941" s="32">
        <x:v>455.93</x:v>
      </x:c>
      <x:c r="E2941" s="32">
        <x:v>461.42</x:v>
      </x:c>
      <x:c r="F2941" s="33">
        <x:v>85189720</x:v>
      </x:c>
      <x:c r="G2941" s="32" t="n">
        <x:f t="shared" si="126">AVERAGE(E2742:E2941)</x:f>
        <x:v>416.0293000000004</x:v>
      </x:c>
      <x:c r="H2941" s="37" t="n">
        <x:f t="shared" si="127">IFERROR(E2941/G2941-1,"")</x:f>
        <x:v>0.10910457508641724</x:v>
      </x:c>
      <x:c r="I2941" s="38" t="b">
        <x:f t="shared" si="128">E2941&lt;G2941</x:f>
        <x:v>0</x:v>
      </x:c>
    </x:row>
    <x:row r="2942">
      <x:c r="A2942" s="31">
        <x:v>41290</x:v>
      </x:c>
      <x:c r="B2942" s="32">
        <x:v>462.17</x:v>
      </x:c>
      <x:c r="C2942" s="32">
        <x:v>470.34</x:v>
      </x:c>
      <x:c r="D2942" s="32">
        <x:v>462.17</x:v>
      </x:c>
      <x:c r="E2942" s="32">
        <x:v>465.25</x:v>
      </x:c>
      <x:c r="F2942" s="33">
        <x:v>93433920</x:v>
      </x:c>
      <x:c r="G2942" s="32" t="n">
        <x:f t="shared" si="126">AVERAGE(E2743:E2942)</x:f>
        <x:v>416.15670000000034</x:v>
      </x:c>
      <x:c r="H2942" s="37" t="n">
        <x:f t="shared" si="127">IFERROR(E2942/G2942-1,"")</x:f>
        <x:v>0.11796830376634482</x:v>
      </x:c>
      <x:c r="I2942" s="38" t="b">
        <x:f t="shared" si="128">E2942&lt;G2942</x:f>
        <x:v>0</x:v>
      </x:c>
    </x:row>
    <x:row r="2943">
      <x:c r="A2943" s="31">
        <x:v>41291</x:v>
      </x:c>
      <x:c r="B2943" s="32">
        <x:v>465.66</x:v>
      </x:c>
      <x:c r="C2943" s="32">
        <x:v>466.55</x:v>
      </x:c>
      <x:c r="D2943" s="32">
        <x:v>456.76</x:v>
      </x:c>
      <x:c r="E2943" s="32">
        <x:v>456.76</x:v>
      </x:c>
      <x:c r="F2943" s="33">
        <x:v>93851780</x:v>
      </x:c>
      <x:c r="G2943" s="32" t="n">
        <x:f t="shared" si="126">AVERAGE(E2744:E2943)</x:f>
        <x:v>416.2158500000003</x:v>
      </x:c>
      <x:c r="H2943" s="37" t="n">
        <x:f t="shared" si="127">IFERROR(E2943/G2943-1,"")</x:f>
        <x:v>0.09741135518986055</x:v>
      </x:c>
      <x:c r="I2943" s="38" t="b">
        <x:f t="shared" si="128">E2943&lt;G2943</x:f>
        <x:v>0</x:v>
      </x:c>
    </x:row>
    <x:row r="2944">
      <x:c r="A2944" s="31">
        <x:v>41292</x:v>
      </x:c>
      <x:c r="B2944" s="32">
        <x:v>458.21</x:v>
      </x:c>
      <x:c r="C2944" s="32">
        <x:v>459.82</x:v>
      </x:c>
      <x:c r="D2944" s="32">
        <x:v>450.28</x:v>
      </x:c>
      <x:c r="E2944" s="32">
        <x:v>454.16</x:v>
      </x:c>
      <x:c r="F2944" s="33">
        <x:v>80290320</x:v>
      </x:c>
      <x:c r="G2944" s="32" t="n">
        <x:f t="shared" si="126">AVERAGE(E2745:E2944)</x:f>
        <x:v>416.24945000000037</x:v>
      </x:c>
      <x:c r="H2944" s="37" t="n">
        <x:f t="shared" si="127">IFERROR(E2944/G2944-1,"")</x:f>
        <x:v>0.09107651673773898</x:v>
      </x:c>
      <x:c r="I2944" s="38" t="b">
        <x:f t="shared" si="128">E2944&lt;G2944</x:f>
        <x:v>0</x:v>
      </x:c>
    </x:row>
    <x:row r="2945">
      <x:c r="A2945" s="31">
        <x:v>41295</x:v>
      </x:c>
      <x:c r="B2945" s="32">
        <x:v>453.91</x:v>
      </x:c>
      <x:c r="C2945" s="32">
        <x:v>456.34</x:v>
      </x:c>
      <x:c r="D2945" s="32">
        <x:v>447.79</x:v>
      </x:c>
      <x:c r="E2945" s="32">
        <x:v>447.79</x:v>
      </x:c>
      <x:c r="F2945" s="33">
        <x:v>52791190</x:v>
      </x:c>
      <x:c r="G2945" s="32" t="n">
        <x:f t="shared" si="126">AVERAGE(E2746:E2945)</x:f>
        <x:v>416.2347500000003</x:v>
      </x:c>
      <x:c r="H2945" s="37" t="n">
        <x:f t="shared" si="127">IFERROR(E2945/G2945-1,"")</x:f>
        <x:v>0.07581118587527769</x:v>
      </x:c>
      <x:c r="I2945" s="38" t="b">
        <x:f t="shared" si="128">E2945&lt;G2945</x:f>
        <x:v>0</x:v>
      </x:c>
    </x:row>
    <x:row r="2946">
      <x:c r="A2946" s="31">
        <x:v>41296</x:v>
      </x:c>
      <x:c r="B2946" s="32">
        <x:v>449.01</x:v>
      </x:c>
      <x:c r="C2946" s="32">
        <x:v>450.8</x:v>
      </x:c>
      <x:c r="D2946" s="32">
        <x:v>441.24</x:v>
      </x:c>
      <x:c r="E2946" s="32">
        <x:v>442.85</x:v>
      </x:c>
      <x:c r="F2946" s="33">
        <x:v>65199100</x:v>
      </x:c>
      <x:c r="G2946" s="32" t="n">
        <x:f t="shared" si="126">AVERAGE(E2747:E2946)</x:f>
        <x:v>416.1947500000003</x:v>
      </x:c>
      <x:c r="H2946" s="37" t="n">
        <x:f t="shared" si="127">IFERROR(E2946/G2946-1,"")</x:f>
        <x:v>0.06404513752275753</x:v>
      </x:c>
      <x:c r="I2946" s="38" t="b">
        <x:f t="shared" si="128">E2946&lt;G2946</x:f>
        <x:v>0</x:v>
      </x:c>
    </x:row>
    <x:row r="2947">
      <x:c r="A2947" s="31">
        <x:v>41297</x:v>
      </x:c>
      <x:c r="B2947" s="32">
        <x:v>443.96</x:v>
      </x:c>
      <x:c r="C2947" s="32">
        <x:v>447.79</x:v>
      </x:c>
      <x:c r="D2947" s="32">
        <x:v>440.48</x:v>
      </x:c>
      <x:c r="E2947" s="32">
        <x:v>443.37</x:v>
      </x:c>
      <x:c r="F2947" s="33">
        <x:v>47085470</x:v>
      </x:c>
      <x:c r="G2947" s="32" t="n">
        <x:f t="shared" si="126">AVERAGE(E2748:E2947)</x:f>
        <x:v>416.11790000000025</x:v>
      </x:c>
      <x:c r="H2947" s="37" t="n">
        <x:f t="shared" si="127">IFERROR(E2947/G2947-1,"")</x:f>
        <x:v>0.06549129465471148</x:v>
      </x:c>
      <x:c r="I2947" s="38" t="b">
        <x:f t="shared" si="128">E2947&lt;G2947</x:f>
        <x:v>0</x:v>
      </x:c>
    </x:row>
    <x:row r="2948">
      <x:c r="A2948" s="31">
        <x:v>41298</x:v>
      </x:c>
      <x:c r="B2948" s="32">
        <x:v>444.34</x:v>
      </x:c>
      <x:c r="C2948" s="32">
        <x:v>452.4</x:v>
      </x:c>
      <x:c r="D2948" s="32">
        <x:v>444.19</x:v>
      </x:c>
      <x:c r="E2948" s="32">
        <x:v>452.4</x:v>
      </x:c>
      <x:c r="F2948" s="33">
        <x:v>46685140</x:v>
      </x:c>
      <x:c r="G2948" s="32" t="n">
        <x:f t="shared" si="126">AVERAGE(E2749:E2948)</x:f>
        <x:v>416.05360000000013</x:v>
      </x:c>
      <x:c r="H2948" s="37" t="n">
        <x:f t="shared" si="127">IFERROR(E2948/G2948-1,"")</x:f>
        <x:v>0.08735989785931397</x:v>
      </x:c>
      <x:c r="I2948" s="38" t="b">
        <x:f t="shared" si="128">E2948&lt;G2948</x:f>
        <x:v>0</x:v>
      </x:c>
    </x:row>
    <x:row r="2949">
      <x:c r="A2949" s="31">
        <x:v>41299</x:v>
      </x:c>
      <x:c r="B2949" s="32">
        <x:v>455.28</x:v>
      </x:c>
      <x:c r="C2949" s="32">
        <x:v>468.09</x:v>
      </x:c>
      <x:c r="D2949" s="32">
        <x:v>455.25</x:v>
      </x:c>
      <x:c r="E2949" s="32">
        <x:v>468.09</x:v>
      </x:c>
      <x:c r="F2949" s="33">
        <x:v>80711500</x:v>
      </x:c>
      <x:c r="G2949" s="32" t="n">
        <x:f t="shared" si="126">AVERAGE(E2750:E2949)</x:f>
        <x:v>416.08145000000013</x:v>
      </x:c>
      <x:c r="H2949" s="37" t="n">
        <x:f t="shared" si="127">IFERROR(E2949/G2949-1,"")</x:f>
        <x:v>0.12499607949356983</x:v>
      </x:c>
      <x:c r="I2949" s="38" t="b">
        <x:f t="shared" si="128">E2949&lt;G2949</x:f>
        <x:v>0</x:v>
      </x:c>
    </x:row>
    <x:row r="2950">
      <x:c r="A2950" s="31">
        <x:v>41302</x:v>
      </x:c>
      <x:c r="B2950" s="32">
        <x:v>474.27</x:v>
      </x:c>
      <x:c r="C2950" s="32">
        <x:v>485.67</x:v>
      </x:c>
      <x:c r="D2950" s="32">
        <x:v>474.27</x:v>
      </x:c>
      <x:c r="E2950" s="32">
        <x:v>479.6</x:v>
      </x:c>
      <x:c r="F2950" s="33">
        <x:v>103940640</x:v>
      </x:c>
      <x:c r="G2950" s="32" t="n">
        <x:f t="shared" si="126">AVERAGE(E2751:E2950)</x:f>
        <x:v>416.13815000000017</x:v>
      </x:c>
      <x:c r="H2950" s="37" t="n">
        <x:f t="shared" si="127">IFERROR(E2950/G2950-1,"")</x:f>
        <x:v>0.15250187948401228</x:v>
      </x:c>
      <x:c r="I2950" s="38" t="b">
        <x:f t="shared" si="128">E2950&lt;G2950</x:f>
        <x:v>0</x:v>
      </x:c>
    </x:row>
    <x:row r="2951">
      <x:c r="A2951" s="31">
        <x:v>41303</x:v>
      </x:c>
      <x:c r="B2951" s="32">
        <x:v>478.02</x:v>
      </x:c>
      <x:c r="C2951" s="32">
        <x:v>484.34</x:v>
      </x:c>
      <x:c r="D2951" s="32">
        <x:v>476.33</x:v>
      </x:c>
      <x:c r="E2951" s="32">
        <x:v>484.01</x:v>
      </x:c>
      <x:c r="F2951" s="33">
        <x:v>83689610</x:v>
      </x:c>
      <x:c r="G2951" s="32" t="n">
        <x:f t="shared" si="126">AVERAGE(E2752:E2951)</x:f>
        <x:v>416.1940000000002</x:v>
      </x:c>
      <x:c r="H2951" s="37" t="n">
        <x:f t="shared" si="127">IFERROR(E2951/G2951-1,"")</x:f>
        <x:v>0.16294324281464845</x:v>
      </x:c>
      <x:c r="I2951" s="38" t="b">
        <x:f t="shared" si="128">E2951&lt;G2951</x:f>
        <x:v>0</x:v>
      </x:c>
    </x:row>
    <x:row r="2952">
      <x:c r="A2952" s="31">
        <x:v>41304</x:v>
      </x:c>
      <x:c r="B2952" s="32">
        <x:v>486.67</x:v>
      </x:c>
      <x:c r="C2952" s="32">
        <x:v>490.89</x:v>
      </x:c>
      <x:c r="D2952" s="32">
        <x:v>482.76</x:v>
      </x:c>
      <x:c r="E2952" s="32">
        <x:v>487.6</x:v>
      </x:c>
      <x:c r="F2952" s="33">
        <x:v>81816460</x:v>
      </x:c>
      <x:c r="G2952" s="32" t="n">
        <x:f t="shared" si="126">AVERAGE(E2753:E2952)</x:f>
        <x:v>416.2712000000002</x:v>
      </x:c>
      <x:c r="H2952" s="37" t="n">
        <x:f t="shared" si="127">IFERROR(E2952/G2952-1,"")</x:f>
        <x:v>0.17135175337616393</x:v>
      </x:c>
      <x:c r="I2952" s="38" t="b">
        <x:f t="shared" si="128">E2952&lt;G2952</x:f>
        <x:v>0</x:v>
      </x:c>
    </x:row>
    <x:row r="2953">
      <x:c r="A2953" s="31">
        <x:v>41305</x:v>
      </x:c>
      <x:c r="B2953" s="32">
        <x:v>484.04</x:v>
      </x:c>
      <x:c r="C2953" s="32">
        <x:v>485.19</x:v>
      </x:c>
      <x:c r="D2953" s="32">
        <x:v>479.79</x:v>
      </x:c>
      <x:c r="E2953" s="32">
        <x:v>479.79</x:v>
      </x:c>
      <x:c r="F2953" s="33">
        <x:v>77448750</x:v>
      </x:c>
      <x:c r="G2953" s="32" t="n">
        <x:f t="shared" si="126">AVERAGE(E2754:E2953)</x:f>
        <x:v>416.33475000000004</x:v>
      </x:c>
      <x:c r="H2953" s="37" t="n">
        <x:f t="shared" si="127">IFERROR(E2953/G2953-1,"")</x:f>
        <x:v>0.15241401300275803</x:v>
      </x:c>
      <x:c r="I2953" s="38" t="b">
        <x:f t="shared" si="128">E2953&lt;G2953</x:f>
        <x:v>0</x:v>
      </x:c>
    </x:row>
    <x:row r="2954">
      <x:c r="A2954" s="31">
        <x:v>41306</x:v>
      </x:c>
      <x:c r="B2954" s="32">
        <x:v>477.11</x:v>
      </x:c>
      <x:c r="C2954" s="32">
        <x:v>483.42</x:v>
      </x:c>
      <x:c r="D2954" s="32">
        <x:v>473.23</x:v>
      </x:c>
      <x:c r="E2954" s="32">
        <x:v>483.42</x:v>
      </x:c>
      <x:c r="F2954" s="33">
        <x:v>57696770</x:v>
      </x:c>
      <x:c r="G2954" s="32" t="n">
        <x:f t="shared" si="126">AVERAGE(E2755:E2954)</x:f>
        <x:v>416.42325000000005</x:v>
      </x:c>
      <x:c r="H2954" s="37" t="n">
        <x:f t="shared" si="127">IFERROR(E2954/G2954-1,"")</x:f>
        <x:v>0.16088618971202973</x:v>
      </x:c>
      <x:c r="I2954" s="38" t="b">
        <x:f t="shared" si="128">E2954&lt;G2954</x:f>
        <x:v>0</x:v>
      </x:c>
    </x:row>
    <x:row r="2955">
      <x:c r="A2955" s="31">
        <x:v>41309</x:v>
      </x:c>
      <x:c r="B2955" s="32">
        <x:v>487.06</x:v>
      </x:c>
      <x:c r="C2955" s="32">
        <x:v>488.96</x:v>
      </x:c>
      <x:c r="D2955" s="32">
        <x:v>482.38</x:v>
      </x:c>
      <x:c r="E2955" s="32">
        <x:v>482.38</x:v>
      </x:c>
      <x:c r="F2955" s="33">
        <x:v>50205730</x:v>
      </x:c>
      <x:c r="G2955" s="32" t="n">
        <x:f t="shared" si="126">AVERAGE(E2756:E2955)</x:f>
        <x:v>416.5093</x:v>
      </x:c>
      <x:c r="H2955" s="37" t="n">
        <x:f t="shared" si="127">IFERROR(E2955/G2955-1,"")</x:f>
        <x:v>0.1581494098691194</x:v>
      </x:c>
      <x:c r="I2955" s="38" t="b">
        <x:f t="shared" si="128">E2955&lt;G2955</x:f>
        <x:v>0</x:v>
      </x:c>
    </x:row>
    <x:row r="2956">
      <x:c r="A2956" s="31">
        <x:v>41310</x:v>
      </x:c>
      <x:c r="B2956" s="32">
        <x:v>481.82</x:v>
      </x:c>
      <x:c r="C2956" s="32">
        <x:v>482.56</x:v>
      </x:c>
      <x:c r="D2956" s="32">
        <x:v>477.36</x:v>
      </x:c>
      <x:c r="E2956" s="32">
        <x:v>477.36</x:v>
      </x:c>
      <x:c r="F2956" s="33">
        <x:v>53187860</x:v>
      </x:c>
      <x:c r="G2956" s="32" t="n">
        <x:f t="shared" si="126">AVERAGE(E2757:E2956)</x:f>
        <x:v>416.56785</x:v>
      </x:c>
      <x:c r="H2956" s="37" t="n">
        <x:f t="shared" si="127">IFERROR(E2956/G2956-1,"")</x:f>
        <x:v>0.14593577012724346</x:v>
      </x:c>
      <x:c r="I2956" s="38" t="b">
        <x:f t="shared" si="128">E2956&lt;G2956</x:f>
        <x:v>0</x:v>
      </x:c>
    </x:row>
    <x:row r="2957">
      <x:c r="A2957" s="31">
        <x:v>41311</x:v>
      </x:c>
      <x:c r="B2957" s="32">
        <x:v>479.62</x:v>
      </x:c>
      <x:c r="C2957" s="32">
        <x:v>488.62</x:v>
      </x:c>
      <x:c r="D2957" s="32">
        <x:v>479.62</x:v>
      </x:c>
      <x:c r="E2957" s="32">
        <x:v>488.36</x:v>
      </x:c>
      <x:c r="F2957" s="33">
        <x:v>61098630</x:v>
      </x:c>
      <x:c r="G2957" s="32" t="n">
        <x:f t="shared" ref="G2957:G3020" si="129">AVERAGE(E2758:E2957)</x:f>
        <x:v>416.6453000000001</x:v>
      </x:c>
      <x:c r="H2957" s="37" t="n">
        <x:f t="shared" ref="H2957:H3020" si="130">IFERROR(E2957/G2957-1,"")</x:f>
        <x:v>0.1721241065241823</x:v>
      </x:c>
      <x:c r="I2957" s="38" t="b">
        <x:f t="shared" ref="I2957:I3020" si="131">E2957&lt;G2957</x:f>
        <x:v>0</x:v>
      </x:c>
    </x:row>
    <x:row r="2958">
      <x:c r="A2958" s="31">
        <x:v>41312</x:v>
      </x:c>
      <x:c r="B2958" s="32">
        <x:v>490.88</x:v>
      </x:c>
      <x:c r="C2958" s="32">
        <x:v>493.72</x:v>
      </x:c>
      <x:c r="D2958" s="32">
        <x:v>488.03</x:v>
      </x:c>
      <x:c r="E2958" s="32">
        <x:v>490.62</x:v>
      </x:c>
      <x:c r="F2958" s="33">
        <x:v>66319750</x:v>
      </x:c>
      <x:c r="G2958" s="32" t="n">
        <x:f t="shared" si="129">AVERAGE(E2759:E2958)</x:f>
        <x:v>416.74735</x:v>
      </x:c>
      <x:c r="H2958" s="37" t="n">
        <x:f t="shared" si="130">IFERROR(E2958/G2958-1,"")</x:f>
        <x:v>0.17726003536675172</x:v>
      </x:c>
      <x:c r="I2958" s="38" t="b">
        <x:f t="shared" si="131">E2958&lt;G2958</x:f>
        <x:v>0</x:v>
      </x:c>
    </x:row>
    <x:row r="2959">
      <x:c r="A2959" s="31">
        <x:v>41313</x:v>
      </x:c>
      <x:c r="B2959" s="32">
        <x:v>491.85</x:v>
      </x:c>
      <x:c r="C2959" s="32">
        <x:v>495.72</x:v>
      </x:c>
      <x:c r="D2959" s="32">
        <x:v>489.64</x:v>
      </x:c>
      <x:c r="E2959" s="32">
        <x:v>494.03</x:v>
      </x:c>
      <x:c r="F2959" s="33">
        <x:v>58838750</x:v>
      </x:c>
      <x:c r="G2959" s="32" t="n">
        <x:f t="shared" si="129">AVERAGE(E2760:E2959)</x:f>
        <x:v>416.8486500000001</x:v>
      </x:c>
      <x:c r="H2959" s="37" t="n">
        <x:f t="shared" si="130">IFERROR(E2959/G2959-1,"")</x:f>
        <x:v>0.1851543719764952</x:v>
      </x:c>
      <x:c r="I2959" s="38" t="b">
        <x:f t="shared" si="131">E2959&lt;G2959</x:f>
        <x:v>0</x:v>
      </x:c>
    </x:row>
    <x:row r="2960">
      <x:c r="A2960" s="31">
        <x:v>41323</x:v>
      </x:c>
      <x:c r="B2960" s="32">
        <x:v>497.87</x:v>
      </x:c>
      <x:c r="C2960" s="32">
        <x:v>497.87</x:v>
      </x:c>
      <x:c r="D2960" s="32">
        <x:v>493.95</x:v>
      </x:c>
      <x:c r="E2960" s="32">
        <x:v>493.95</x:v>
      </x:c>
      <x:c r="F2960" s="33">
        <x:v>67678930</x:v>
      </x:c>
      <x:c r="G2960" s="32" t="n">
        <x:f t="shared" si="129">AVERAGE(E2761:E2960)</x:f>
        <x:v>416.9561000000001</x:v>
      </x:c>
      <x:c r="H2960" s="37" t="n">
        <x:f t="shared" si="130">IFERROR(E2960/G2960-1,"")</x:f>
        <x:v>0.18465708979914153</x:v>
      </x:c>
      <x:c r="I2960" s="38" t="b">
        <x:f t="shared" si="131">E2960&lt;G2960</x:f>
        <x:v>0</x:v>
      </x:c>
    </x:row>
    <x:row r="2961">
      <x:c r="A2961" s="31">
        <x:v>41324</x:v>
      </x:c>
      <x:c r="B2961" s="32">
        <x:v>493.4</x:v>
      </x:c>
      <x:c r="C2961" s="32">
        <x:v>495.39</x:v>
      </x:c>
      <x:c r="D2961" s="32">
        <x:v>490.33</x:v>
      </x:c>
      <x:c r="E2961" s="32">
        <x:v>490.78</x:v>
      </x:c>
      <x:c r="F2961" s="33">
        <x:v>101269460</x:v>
      </x:c>
      <x:c r="G2961" s="32" t="n">
        <x:f t="shared" si="129">AVERAGE(E2762:E2961)</x:f>
        <x:v>417.06600000000003</x:v>
      </x:c>
      <x:c r="H2961" s="37" t="n">
        <x:f t="shared" si="130">IFERROR(E2961/G2961-1,"")</x:f>
        <x:v>0.17674420835071647</x:v>
      </x:c>
      <x:c r="I2961" s="38" t="b">
        <x:f t="shared" si="131">E2961&lt;G2961</x:f>
        <x:v>0</x:v>
      </x:c>
    </x:row>
    <x:row r="2962">
      <x:c r="A2962" s="31">
        <x:v>41325</x:v>
      </x:c>
      <x:c r="B2962" s="32">
        <x:v>487.99</x:v>
      </x:c>
      <x:c r="C2962" s="32">
        <x:v>495.82</x:v>
      </x:c>
      <x:c r="D2962" s="32">
        <x:v>487.68</x:v>
      </x:c>
      <x:c r="E2962" s="32">
        <x:v>494.83</x:v>
      </x:c>
      <x:c r="F2962" s="33">
        <x:v>75889000</x:v>
      </x:c>
      <x:c r="G2962" s="32" t="n">
        <x:f t="shared" si="129">AVERAGE(E2763:E2962)</x:f>
        <x:v>417.15855000000005</x:v>
      </x:c>
      <x:c r="H2962" s="37" t="n">
        <x:f t="shared" si="130">IFERROR(E2962/G2962-1,"")</x:f>
        <x:v>0.186191677001466</x:v>
      </x:c>
      <x:c r="I2962" s="38" t="b">
        <x:f t="shared" si="131">E2962&lt;G2962</x:f>
        <x:v>0</x:v>
      </x:c>
    </x:row>
    <x:row r="2963">
      <x:c r="A2963" s="31">
        <x:v>41326</x:v>
      </x:c>
      <x:c r="B2963" s="32">
        <x:v>495.28</x:v>
      </x:c>
      <x:c r="C2963" s="32">
        <x:v>497.7</x:v>
      </x:c>
      <x:c r="D2963" s="32">
        <x:v>476.73</x:v>
      </x:c>
      <x:c r="E2963" s="32">
        <x:v>476.73</x:v>
      </x:c>
      <x:c r="F2963" s="33">
        <x:v>121293570</x:v>
      </x:c>
      <x:c r="G2963" s="32" t="n">
        <x:f t="shared" si="129">AVERAGE(E2764:E2963)</x:f>
        <x:v>417.11065</x:v>
      </x:c>
      <x:c r="H2963" s="37" t="n">
        <x:f t="shared" si="130">IFERROR(E2963/G2963-1,"")</x:f>
        <x:v>0.14293413510299957</x:v>
      </x:c>
      <x:c r="I2963" s="38" t="b">
        <x:f t="shared" si="131">E2963&lt;G2963</x:f>
        <x:v>0</x:v>
      </x:c>
    </x:row>
    <x:row r="2964">
      <x:c r="A2964" s="31">
        <x:v>41327</x:v>
      </x:c>
      <x:c r="B2964" s="32">
        <x:v>482.03</x:v>
      </x:c>
      <x:c r="C2964" s="32">
        <x:v>487.11</x:v>
      </x:c>
      <x:c r="D2964" s="32">
        <x:v>470.23</x:v>
      </x:c>
      <x:c r="E2964" s="32">
        <x:v>477.69</x:v>
      </x:c>
      <x:c r="F2964" s="33">
        <x:v>105270730</x:v>
      </x:c>
      <x:c r="G2964" s="32" t="n">
        <x:f t="shared" si="129">AVERAGE(E2765:E2964)</x:f>
        <x:v>417.0587500000001</x:v>
      </x:c>
      <x:c r="H2964" s="37" t="n">
        <x:f t="shared" si="130">IFERROR(E2964/G2964-1,"")</x:f>
        <x:v>0.1453781991146328</x:v>
      </x:c>
      <x:c r="I2964" s="38" t="b">
        <x:f t="shared" si="131">E2964&lt;G2964</x:f>
        <x:v>0</x:v>
      </x:c>
    </x:row>
    <x:row r="2965">
      <x:c r="A2965" s="31">
        <x:v>41330</x:v>
      </x:c>
      <x:c r="B2965" s="32">
        <x:v>481.67</x:v>
      </x:c>
      <x:c r="C2965" s="32">
        <x:v>483.97</x:v>
      </x:c>
      <x:c r="D2965" s="32">
        <x:v>478.3</x:v>
      </x:c>
      <x:c r="E2965" s="32">
        <x:v>483.69</x:v>
      </x:c>
      <x:c r="F2965" s="33">
        <x:v>46608020</x:v>
      </x:c>
      <x:c r="G2965" s="32" t="n">
        <x:f t="shared" si="129">AVERAGE(E2766:E2965)</x:f>
        <x:v>417.03910000000013</x:v>
      </x:c>
      <x:c r="H2965" s="37" t="n">
        <x:f t="shared" si="130">IFERROR(E2965/G2965-1,"")</x:f>
        <x:v>0.15981930711053205</x:v>
      </x:c>
      <x:c r="I2965" s="38" t="b">
        <x:f t="shared" si="131">E2965&lt;G2965</x:f>
        <x:v>0</x:v>
      </x:c>
    </x:row>
    <x:row r="2966">
      <x:c r="A2966" s="31">
        <x:v>41331</x:v>
      </x:c>
      <x:c r="B2966" s="32">
        <x:v>482.5</x:v>
      </x:c>
      <x:c r="C2966" s="32">
        <x:v>482.5</x:v>
      </x:c>
      <x:c r="D2966" s="32">
        <x:v>463.64</x:v>
      </x:c>
      <x:c r="E2966" s="32">
        <x:v>465.05</x:v>
      </x:c>
      <x:c r="F2966" s="33">
        <x:v>90251400</x:v>
      </x:c>
      <x:c r="G2966" s="32" t="n">
        <x:f t="shared" si="129">AVERAGE(E2767:E2966)</x:f>
        <x:v>416.9340000000001</x:v>
      </x:c>
      <x:c r="H2966" s="37" t="n">
        <x:f t="shared" si="130">IFERROR(E2966/G2966-1,"")</x:f>
        <x:v>0.11540435656482773</x:v>
      </x:c>
      <x:c r="I2966" s="38" t="b">
        <x:f t="shared" si="131">E2966&lt;G2966</x:f>
        <x:v>0</x:v>
      </x:c>
    </x:row>
    <x:row r="2967">
      <x:c r="A2967" s="31">
        <x:v>41332</x:v>
      </x:c>
      <x:c r="B2967" s="32">
        <x:v>465.89</x:v>
      </x:c>
      <x:c r="C2967" s="32">
        <x:v>467.5</x:v>
      </x:c>
      <x:c r="D2967" s="32">
        <x:v>459.64</x:v>
      </x:c>
      <x:c r="E2967" s="32">
        <x:v>465.72</x:v>
      </x:c>
      <x:c r="F2967" s="33">
        <x:v>68059040</x:v>
      </x:c>
      <x:c r="G2967" s="32" t="n">
        <x:f t="shared" si="129">AVERAGE(E2768:E2967)</x:f>
        <x:v>416.86210000000005</x:v>
      </x:c>
      <x:c r="H2967" s="37" t="n">
        <x:f t="shared" si="130">IFERROR(E2967/G2967-1,"")</x:f>
        <x:v>0.1172039866421053</x:v>
      </x:c>
      <x:c r="I2967" s="38" t="b">
        <x:f t="shared" si="131">E2967&lt;G2967</x:f>
        <x:v>0</x:v>
      </x:c>
    </x:row>
    <x:row r="2968">
      <x:c r="A2968" s="31">
        <x:v>41333</x:v>
      </x:c>
      <x:c r="B2968" s="32">
        <x:v>469.77</x:v>
      </x:c>
      <x:c r="C2968" s="32">
        <x:v>476.41</x:v>
      </x:c>
      <x:c r="D2968" s="32">
        <x:v>465.72</x:v>
      </x:c>
      <x:c r="E2968" s="32">
        <x:v>474.56</x:v>
      </x:c>
      <x:c r="F2968" s="33">
        <x:v>50678370</x:v>
      </x:c>
      <x:c r="G2968" s="32" t="n">
        <x:f t="shared" si="129">AVERAGE(E2769:E2968)</x:f>
        <x:v>416.88644999999997</x:v>
      </x:c>
      <x:c r="H2968" s="37" t="n">
        <x:f t="shared" si="130">IFERROR(E2968/G2968-1,"")</x:f>
        <x:v>0.13834354654606806</x:v>
      </x:c>
      <x:c r="I2968" s="38" t="b">
        <x:f t="shared" si="131">E2968&lt;G2968</x:f>
        <x:v>0</x:v>
      </x:c>
    </x:row>
    <x:row r="2969">
      <x:c r="A2969" s="31">
        <x:v>41334</x:v>
      </x:c>
      <x:c r="B2969" s="32">
        <x:v>476.51</x:v>
      </x:c>
      <x:c r="C2969" s="32">
        <x:v>480.39</x:v>
      </x:c>
      <x:c r="D2969" s="32">
        <x:v>475.46</x:v>
      </x:c>
      <x:c r="E2969" s="32">
        <x:v>477.15</x:v>
      </x:c>
      <x:c r="F2969" s="33">
        <x:v>48407200</x:v>
      </x:c>
      <x:c r="G2969" s="32" t="n">
        <x:f t="shared" si="129">AVERAGE(E2770:E2969)</x:f>
        <x:v>416.99395000000004</x:v>
      </x:c>
      <x:c r="H2969" s="37" t="n">
        <x:f t="shared" si="130">IFERROR(E2969/G2969-1,"")</x:f>
        <x:v>0.14426120570814027</x:v>
      </x:c>
      <x:c r="I2969" s="38" t="b">
        <x:f t="shared" si="131">E2969&lt;G2969</x:f>
        <x:v>0</x:v>
      </x:c>
    </x:row>
    <x:row r="2970">
      <x:c r="A2970" s="31">
        <x:v>41337</x:v>
      </x:c>
      <x:c r="B2970" s="32">
        <x:v>477.04</x:v>
      </x:c>
      <x:c r="C2970" s="32">
        <x:v>479.06</x:v>
      </x:c>
      <x:c r="D2970" s="32">
        <x:v>468.74</x:v>
      </x:c>
      <x:c r="E2970" s="32">
        <x:v>468.74</x:v>
      </x:c>
      <x:c r="F2970" s="33">
        <x:v>64774600</x:v>
      </x:c>
      <x:c r="G2970" s="32" t="n">
        <x:f t="shared" si="129">AVERAGE(E2771:E2970)</x:f>
        <x:v>417.08810000000005</x:v>
      </x:c>
      <x:c r="H2970" s="37" t="n">
        <x:f t="shared" si="130">IFERROR(E2970/G2970-1,"")</x:f>
        <x:v>0.12383930397438792</x:v>
      </x:c>
      <x:c r="I2970" s="38" t="b">
        <x:f t="shared" si="131">E2970&lt;G2970</x:f>
        <x:v>0</x:v>
      </x:c>
    </x:row>
    <x:row r="2971">
      <x:c r="A2971" s="31">
        <x:v>41338</x:v>
      </x:c>
      <x:c r="B2971" s="32">
        <x:v>467.36</x:v>
      </x:c>
      <x:c r="C2971" s="32">
        <x:v>467.84</x:v>
      </x:c>
      <x:c r="D2971" s="32">
        <x:v>461.61</x:v>
      </x:c>
      <x:c r="E2971" s="32">
        <x:v>462.12</x:v>
      </x:c>
      <x:c r="F2971" s="33">
        <x:v>57356100</x:v>
      </x:c>
      <x:c r="G2971" s="32" t="n">
        <x:f t="shared" si="129">AVERAGE(E2772:E2971)</x:f>
        <x:v>417.18580000000003</x:v>
      </x:c>
      <x:c r="H2971" s="37" t="n">
        <x:f t="shared" si="130">IFERROR(E2971/G2971-1,"")</x:f>
        <x:v>0.10770788459242864</x:v>
      </x:c>
      <x:c r="I2971" s="38" t="b">
        <x:f t="shared" si="131">E2971&lt;G2971</x:f>
        <x:v>0</x:v>
      </x:c>
    </x:row>
    <x:row r="2972">
      <x:c r="A2972" s="31">
        <x:v>41339</x:v>
      </x:c>
      <x:c r="B2972" s="32">
        <x:v>466.96</x:v>
      </x:c>
      <x:c r="C2972" s="32">
        <x:v>471.09</x:v>
      </x:c>
      <x:c r="D2972" s="32">
        <x:v>464.19</x:v>
      </x:c>
      <x:c r="E2972" s="32">
        <x:v>471.09</x:v>
      </x:c>
      <x:c r="F2972" s="33">
        <x:v>32511220</x:v>
      </x:c>
      <x:c r="G2972" s="32" t="n">
        <x:f t="shared" si="129">AVERAGE(E2773:E2972)</x:f>
        <x:v>417.3664999999999</x:v>
      </x:c>
      <x:c r="H2972" s="37" t="n">
        <x:f t="shared" si="130">IFERROR(E2972/G2972-1,"")</x:f>
        <x:v>0.12872020154947772</x:v>
      </x:c>
      <x:c r="I2972" s="38" t="b">
        <x:f t="shared" si="131">E2972&lt;G2972</x:f>
        <x:v>0</x:v>
      </x:c>
    </x:row>
    <x:row r="2973">
      <x:c r="A2973" s="31">
        <x:v>41340</x:v>
      </x:c>
      <x:c r="B2973" s="32">
        <x:v>470.73</x:v>
      </x:c>
      <x:c r="C2973" s="32">
        <x:v>472.54</x:v>
      </x:c>
      <x:c r="D2973" s="32">
        <x:v>466.63</x:v>
      </x:c>
      <x:c r="E2973" s="32">
        <x:v>466.63</x:v>
      </x:c>
      <x:c r="F2973" s="33">
        <x:v>41308530</x:v>
      </x:c>
      <x:c r="G2973" s="32" t="n">
        <x:f t="shared" si="129">AVERAGE(E2774:E2973)</x:f>
        <x:v>417.4595499999999</x:v>
      </x:c>
      <x:c r="H2973" s="37" t="n">
        <x:f t="shared" si="130">IFERROR(E2973/G2973-1,"")</x:f>
        <x:v>0.11778494467308298</x:v>
      </x:c>
      <x:c r="I2973" s="38" t="b">
        <x:f t="shared" si="131">E2973&lt;G2973</x:f>
        <x:v>0</x:v>
      </x:c>
    </x:row>
    <x:row r="2974">
      <x:c r="A2974" s="31">
        <x:v>41341</x:v>
      </x:c>
      <x:c r="B2974" s="32">
        <x:v>468.1</x:v>
      </x:c>
      <x:c r="C2974" s="32">
        <x:v>471.75</x:v>
      </x:c>
      <x:c r="D2974" s="32">
        <x:v>468.1</x:v>
      </x:c>
      <x:c r="E2974" s="32">
        <x:v>470.68</x:v>
      </x:c>
      <x:c r="F2974" s="33">
        <x:v>30142850</x:v>
      </x:c>
      <x:c r="G2974" s="32" t="n">
        <x:f t="shared" si="129">AVERAGE(E2775:E2974)</x:f>
        <x:v>417.5732499999999</x:v>
      </x:c>
      <x:c r="H2974" s="37" t="n">
        <x:f t="shared" si="130">IFERROR(E2974/G2974-1,"")</x:f>
        <x:v>0.12717948288114744</x:v>
      </x:c>
      <x:c r="I2974" s="38" t="b">
        <x:f t="shared" si="131">E2974&lt;G2974</x:f>
        <x:v>0</x:v>
      </x:c>
    </x:row>
    <x:row r="2975">
      <x:c r="A2975" s="31">
        <x:v>41344</x:v>
      </x:c>
      <x:c r="B2975" s="32">
        <x:v>471.29</x:v>
      </x:c>
      <x:c r="C2975" s="32">
        <x:v>476.79</x:v>
      </x:c>
      <x:c r="D2975" s="32">
        <x:v>469.78</x:v>
      </x:c>
      <x:c r="E2975" s="32">
        <x:v>476.5</x:v>
      </x:c>
      <x:c r="F2975" s="33">
        <x:v>53686210</x:v>
      </x:c>
      <x:c r="G2975" s="32" t="n">
        <x:f t="shared" si="129">AVERAGE(E2776:E2975)</x:f>
        <x:v>417.7719999999999</x:v>
      </x:c>
      <x:c r="H2975" s="37" t="n">
        <x:f t="shared" si="130">IFERROR(E2975/G2975-1,"")</x:f>
        <x:v>0.14057428453797804</x:v>
      </x:c>
      <x:c r="I2975" s="38" t="b">
        <x:f t="shared" si="131">E2975&lt;G2975</x:f>
        <x:v>0</x:v>
      </x:c>
    </x:row>
    <x:row r="2976">
      <x:c r="A2976" s="31">
        <x:v>41345</x:v>
      </x:c>
      <x:c r="B2976" s="32">
        <x:v>475.23</x:v>
      </x:c>
      <x:c r="C2976" s="32">
        <x:v>478.67</x:v>
      </x:c>
      <x:c r="D2976" s="32">
        <x:v>470.51</x:v>
      </x:c>
      <x:c r="E2976" s="32">
        <x:v>475.34</x:v>
      </x:c>
      <x:c r="F2976" s="33">
        <x:v>57757820</x:v>
      </x:c>
      <x:c r="G2976" s="32" t="n">
        <x:f t="shared" si="129">AVERAGE(E2777:E2976)</x:f>
        <x:v>418.01409999999987</x:v>
      </x:c>
      <x:c r="H2976" s="37" t="n">
        <x:f t="shared" si="130">IFERROR(E2976/G2976-1,"")</x:f>
        <x:v>0.13713867546573222</x:v>
      </x:c>
      <x:c r="I2976" s="38" t="b">
        <x:f t="shared" si="131">E2976&lt;G2976</x:f>
        <x:v>0</x:v>
      </x:c>
    </x:row>
    <x:row r="2977">
      <x:c r="A2977" s="31">
        <x:v>41346</x:v>
      </x:c>
      <x:c r="B2977" s="32">
        <x:v>476.43</x:v>
      </x:c>
      <x:c r="C2977" s="32">
        <x:v>478.05</x:v>
      </x:c>
      <x:c r="D2977" s="32">
        <x:v>471.85</x:v>
      </x:c>
      <x:c r="E2977" s="32">
        <x:v>473.18</x:v>
      </x:c>
      <x:c r="F2977" s="33">
        <x:v>48212190</x:v>
      </x:c>
      <x:c r="G2977" s="32" t="n">
        <x:f t="shared" si="129">AVERAGE(E2778:E2977)</x:f>
        <x:v>418.19309999999984</x:v>
      </x:c>
      <x:c r="H2977" s="37" t="n">
        <x:f t="shared" si="130">IFERROR(E2977/G2977-1,"")</x:f>
        <x:v>0.13148686575651336</x:v>
      </x:c>
      <x:c r="I2977" s="38" t="b">
        <x:f t="shared" si="131">E2977&lt;G2977</x:f>
        <x:v>0</x:v>
      </x:c>
    </x:row>
    <x:row r="2978">
      <x:c r="A2978" s="31">
        <x:v>41347</x:v>
      </x:c>
      <x:c r="B2978" s="32">
        <x:v>471.63</x:v>
      </x:c>
      <x:c r="C2978" s="32">
        <x:v>474.6</x:v>
      </x:c>
      <x:c r="D2978" s="32">
        <x:v>470.81</x:v>
      </x:c>
      <x:c r="E2978" s="32">
        <x:v>474.6</x:v>
      </x:c>
      <x:c r="F2978" s="33">
        <x:v>44795150</x:v>
      </x:c>
      <x:c r="G2978" s="32" t="n">
        <x:f t="shared" si="129">AVERAGE(E2779:E2978)</x:f>
        <x:v>418.38869999999986</x:v>
      </x:c>
      <x:c r="H2978" s="37" t="n">
        <x:f t="shared" si="130">IFERROR(E2978/G2978-1,"")</x:f>
        <x:v>0.1343518598853175</x:v>
      </x:c>
      <x:c r="I2978" s="38" t="b">
        <x:f t="shared" si="131">E2978&lt;G2978</x:f>
        <x:v>0</x:v>
      </x:c>
    </x:row>
    <x:row r="2979">
      <x:c r="A2979" s="31">
        <x:v>41348</x:v>
      </x:c>
      <x:c r="B2979" s="32">
        <x:v>474.99</x:v>
      </x:c>
      <x:c r="C2979" s="32">
        <x:v>481.35</x:v>
      </x:c>
      <x:c r="D2979" s="32">
        <x:v>474.45</x:v>
      </x:c>
      <x:c r="E2979" s="32">
        <x:v>481.35</x:v>
      </x:c>
      <x:c r="F2979" s="33">
        <x:v>72403940</x:v>
      </x:c>
      <x:c r="G2979" s="32" t="n">
        <x:f t="shared" si="129">AVERAGE(E2780:E2979)</x:f>
        <x:v>418.6382499999999</x:v>
      </x:c>
      <x:c r="H2979" s="37" t="n">
        <x:f t="shared" si="130">IFERROR(E2979/G2979-1,"")</x:f>
        <x:v>0.14979937929704246</x:v>
      </x:c>
      <x:c r="I2979" s="38" t="b">
        <x:f t="shared" si="131">E2979&lt;G2979</x:f>
        <x:v>0</x:v>
      </x:c>
    </x:row>
    <x:row r="2980">
      <x:c r="A2980" s="31">
        <x:v>41351</x:v>
      </x:c>
      <x:c r="B2980" s="32">
        <x:v>481.53</x:v>
      </x:c>
      <x:c r="C2980" s="32">
        <x:v>482.59</x:v>
      </x:c>
      <x:c r="D2980" s="32">
        <x:v>478.54</x:v>
      </x:c>
      <x:c r="E2980" s="32">
        <x:v>479.13</x:v>
      </x:c>
      <x:c r="F2980" s="33">
        <x:v>46990510</x:v>
      </x:c>
      <x:c r="G2980" s="32" t="n">
        <x:f t="shared" si="129">AVERAGE(E2781:E2980)</x:f>
        <x:v>418.85719999999986</x:v>
      </x:c>
      <x:c r="H2980" s="37" t="n">
        <x:f t="shared" si="130">IFERROR(E2980/G2980-1,"")</x:f>
        <x:v>0.14389820683516996</x:v>
      </x:c>
      <x:c r="I2980" s="38" t="b">
        <x:f t="shared" si="131">E2980&lt;G2980</x:f>
        <x:v>0</x:v>
      </x:c>
    </x:row>
    <x:row r="2981">
      <x:c r="A2981" s="31">
        <x:v>41352</x:v>
      </x:c>
      <x:c r="B2981" s="32">
        <x:v>478.45</x:v>
      </x:c>
      <x:c r="C2981" s="32">
        <x:v>482.21</x:v>
      </x:c>
      <x:c r="D2981" s="32">
        <x:v>477.55</x:v>
      </x:c>
      <x:c r="E2981" s="32">
        <x:v>480.48</x:v>
      </x:c>
      <x:c r="F2981" s="33">
        <x:v>33082800</x:v>
      </x:c>
      <x:c r="G2981" s="32" t="n">
        <x:f t="shared" si="129">AVERAGE(E2782:E2981)</x:f>
        <x:v>419.11359999999985</x:v>
      </x:c>
      <x:c r="H2981" s="37" t="n">
        <x:f t="shared" si="130">IFERROR(E2981/G2981-1,"")</x:f>
        <x:v>0.1464194910401384</x:v>
      </x:c>
      <x:c r="I2981" s="38" t="b">
        <x:f t="shared" si="131">E2981&lt;G2981</x:f>
        <x:v>0</x:v>
      </x:c>
    </x:row>
    <x:row r="2982">
      <x:c r="A2982" s="31">
        <x:v>41353</x:v>
      </x:c>
      <x:c r="B2982" s="32">
        <x:v>481.88</x:v>
      </x:c>
      <x:c r="C2982" s="32">
        <x:v>488.94</x:v>
      </x:c>
      <x:c r="D2982" s="32">
        <x:v>480.53</x:v>
      </x:c>
      <x:c r="E2982" s="32">
        <x:v>487.04</x:v>
      </x:c>
      <x:c r="F2982" s="33">
        <x:v>43035240</x:v>
      </x:c>
      <x:c r="G2982" s="32" t="n">
        <x:f t="shared" si="129">AVERAGE(E2783:E2982)</x:f>
        <x:v>419.4047999999998</x:v>
      </x:c>
      <x:c r="H2982" s="37" t="n">
        <x:f t="shared" si="130">IFERROR(E2982/G2982-1,"")</x:f>
        <x:v>0.1612647256302271</x:v>
      </x:c>
      <x:c r="I2982" s="38" t="b">
        <x:f t="shared" si="131">E2982&lt;G2982</x:f>
        <x:v>0</x:v>
      </x:c>
    </x:row>
    <x:row r="2983">
      <x:c r="A2983" s="31">
        <x:v>41354</x:v>
      </x:c>
      <x:c r="B2983" s="32">
        <x:v>488.64</x:v>
      </x:c>
      <x:c r="C2983" s="32">
        <x:v>494.57</x:v>
      </x:c>
      <x:c r="D2983" s="32">
        <x:v>488.43</x:v>
      </x:c>
      <x:c r="E2983" s="32">
        <x:v>491.79</x:v>
      </x:c>
      <x:c r="F2983" s="33">
        <x:v>46820700</x:v>
      </x:c>
      <x:c r="G2983" s="32" t="n">
        <x:f t="shared" si="129">AVERAGE(E2784:E2983)</x:f>
        <x:v>419.7804999999998</x:v>
      </x:c>
      <x:c r="H2983" s="37" t="n">
        <x:f t="shared" si="130">IFERROR(E2983/G2983-1,"")</x:f>
        <x:v>0.1715408409871355</x:v>
      </x:c>
      <x:c r="I2983" s="38" t="b">
        <x:f t="shared" si="131">E2983&lt;G2983</x:f>
        <x:v>0</x:v>
      </x:c>
    </x:row>
    <x:row r="2984">
      <x:c r="A2984" s="31">
        <x:v>41355</x:v>
      </x:c>
      <x:c r="B2984" s="32">
        <x:v>492.88</x:v>
      </x:c>
      <x:c r="C2984" s="32">
        <x:v>500.59</x:v>
      </x:c>
      <x:c r="D2984" s="32">
        <x:v>486.15</x:v>
      </x:c>
      <x:c r="E2984" s="32">
        <x:v>489.99</x:v>
      </x:c>
      <x:c r="F2984" s="33">
        <x:v>49788230</x:v>
      </x:c>
      <x:c r="G2984" s="32" t="n">
        <x:f t="shared" si="129">AVERAGE(E2785:E2984)</x:f>
        <x:v>420.1253499999998</x:v>
      </x:c>
      <x:c r="H2984" s="37" t="n">
        <x:f t="shared" si="130">IFERROR(E2984/G2984-1,"")</x:f>
        <x:v>0.1662947736907574</x:v>
      </x:c>
      <x:c r="I2984" s="38" t="b">
        <x:f t="shared" si="131">E2984&lt;G2984</x:f>
        <x:v>0</x:v>
      </x:c>
    </x:row>
    <x:row r="2985">
      <x:c r="A2985" s="31">
        <x:v>41358</x:v>
      </x:c>
      <x:c r="B2985" s="32">
        <x:v>491.76</x:v>
      </x:c>
      <x:c r="C2985" s="32">
        <x:v>495.64</x:v>
      </x:c>
      <x:c r="D2985" s="32">
        <x:v>488.55</x:v>
      </x:c>
      <x:c r="E2985" s="32">
        <x:v>493.57</x:v>
      </x:c>
      <x:c r="F2985" s="33">
        <x:v>33144960</x:v>
      </x:c>
      <x:c r="G2985" s="32" t="n">
        <x:f t="shared" si="129">AVERAGE(E2786:E2985)</x:f>
        <x:v>420.46124999999984</x:v>
      </x:c>
      <x:c r="H2985" s="37" t="n">
        <x:f t="shared" si="130">IFERROR(E2985/G2985-1,"")</x:f>
        <x:v>0.17387749762909221</x:v>
      </x:c>
      <x:c r="I2985" s="38" t="b">
        <x:f t="shared" si="131">E2985&lt;G2985</x:f>
        <x:v>0</x:v>
      </x:c>
    </x:row>
    <x:row r="2986">
      <x:c r="A2986" s="31">
        <x:v>41359</x:v>
      </x:c>
      <x:c r="B2986" s="32">
        <x:v>494.19</x:v>
      </x:c>
      <x:c r="C2986" s="32">
        <x:v>496.32</x:v>
      </x:c>
      <x:c r="D2986" s="32">
        <x:v>489.14</x:v>
      </x:c>
      <x:c r="E2986" s="32">
        <x:v>489.46</x:v>
      </x:c>
      <x:c r="F2986" s="33">
        <x:v>36516000</x:v>
      </x:c>
      <x:c r="G2986" s="32" t="n">
        <x:f t="shared" si="129">AVERAGE(E2787:E2986)</x:f>
        <x:v>420.7364999999999</x:v>
      </x:c>
      <x:c r="H2986" s="37" t="n">
        <x:f t="shared" si="130">IFERROR(E2986/G2986-1,"")</x:f>
        <x:v>0.1633409509277186</x:v>
      </x:c>
      <x:c r="I2986" s="38" t="b">
        <x:f t="shared" si="131">E2986&lt;G2986</x:f>
        <x:v>0</x:v>
      </x:c>
    </x:row>
    <x:row r="2987">
      <x:c r="A2987" s="31">
        <x:v>41360</x:v>
      </x:c>
      <x:c r="B2987" s="32">
        <x:v>489.3</x:v>
      </x:c>
      <x:c r="C2987" s="32">
        <x:v>492.46</x:v>
      </x:c>
      <x:c r="D2987" s="32">
        <x:v>485.34</x:v>
      </x:c>
      <x:c r="E2987" s="32">
        <x:v>491.26</x:v>
      </x:c>
      <x:c r="F2987" s="33">
        <x:v>34896540</x:v>
      </x:c>
      <x:c r="G2987" s="32" t="n">
        <x:f t="shared" si="129">AVERAGE(E2788:E2987)</x:f>
        <x:v>421.02829999999994</x:v>
      </x:c>
      <x:c r="H2987" s="37" t="n">
        <x:f t="shared" si="130">IFERROR(E2987/G2987-1,"")</x:f>
        <x:v>0.16680992702865827</x:v>
      </x:c>
      <x:c r="I2987" s="38" t="b">
        <x:f t="shared" si="131">E2987&lt;G2987</x:f>
        <x:v>0</x:v>
      </x:c>
    </x:row>
    <x:row r="2988">
      <x:c r="A2988" s="31">
        <x:v>41361</x:v>
      </x:c>
      <x:c r="B2988" s="32">
        <x:v>491.64</x:v>
      </x:c>
      <x:c r="C2988" s="32">
        <x:v>495.12</x:v>
      </x:c>
      <x:c r="D2988" s="32">
        <x:v>487.67</x:v>
      </x:c>
      <x:c r="E2988" s="32">
        <x:v>490.67</x:v>
      </x:c>
      <x:c r="F2988" s="33">
        <x:v>39513170</x:v>
      </x:c>
      <x:c r="G2988" s="32" t="n">
        <x:f t="shared" si="129">AVERAGE(E2789:E2988)</x:f>
        <x:v>421.31914999999987</x:v>
      </x:c>
      <x:c r="H2988" s="37" t="n">
        <x:f t="shared" si="130">IFERROR(E2988/G2988-1,"")</x:f>
        <x:v>0.1646040774552977</x:v>
      </x:c>
      <x:c r="I2988" s="38" t="b">
        <x:f t="shared" si="131">E2988&lt;G2988</x:f>
        <x:v>0</x:v>
      </x:c>
    </x:row>
    <x:row r="2989">
      <x:c r="A2989" s="31">
        <x:v>41362</x:v>
      </x:c>
      <x:c r="B2989" s="32">
        <x:v>487.01</x:v>
      </x:c>
      <x:c r="C2989" s="32">
        <x:v>492.96</x:v>
      </x:c>
      <x:c r="D2989" s="32">
        <x:v>483.5</x:v>
      </x:c>
      <x:c r="E2989" s="32">
        <x:v>491.04</x:v>
      </x:c>
      <x:c r="F2989" s="33">
        <x:v>34734860</x:v>
      </x:c>
      <x:c r="G2989" s="32" t="n">
        <x:f t="shared" si="129">AVERAGE(E2790:E2989)</x:f>
        <x:v>421.6335499999998</x:v>
      </x:c>
      <x:c r="H2989" s="37" t="n">
        <x:f t="shared" si="130">IFERROR(E2989/G2989-1,"")</x:f>
        <x:v>0.16461320499756305</x:v>
      </x:c>
      <x:c r="I2989" s="38" t="b">
        <x:f t="shared" si="131">E2989&lt;G2989</x:f>
        <x:v>0</x:v>
      </x:c>
    </x:row>
    <x:row r="2990">
      <x:c r="A2990" s="31">
        <x:v>41365</x:v>
      </x:c>
      <x:c r="B2990" s="32">
        <x:v>490.66</x:v>
      </x:c>
      <x:c r="C2990" s="32">
        <x:v>505.81</x:v>
      </x:c>
      <x:c r="D2990" s="32">
        <x:v>489.9</x:v>
      </x:c>
      <x:c r="E2990" s="32">
        <x:v>505.81</x:v>
      </x:c>
      <x:c r="F2990" s="33">
        <x:v>47153090</x:v>
      </x:c>
      <x:c r="G2990" s="32" t="n">
        <x:f t="shared" si="129">AVERAGE(E2791:E2990)</x:f>
        <x:v>422.0245499999998</x:v>
      </x:c>
      <x:c r="H2990" s="37" t="n">
        <x:f t="shared" si="130">IFERROR(E2990/G2990-1,"")</x:f>
        <x:v>0.19853217069954865</x:v>
      </x:c>
      <x:c r="I2990" s="38" t="b">
        <x:f t="shared" si="131">E2990&lt;G2990</x:f>
        <x:v>0</x:v>
      </x:c>
    </x:row>
    <x:row r="2991">
      <x:c r="A2991" s="31">
        <x:v>41366</x:v>
      </x:c>
      <x:c r="B2991" s="32">
        <x:v>507.31</x:v>
      </x:c>
      <x:c r="C2991" s="32">
        <x:v>514.1</x:v>
      </x:c>
      <x:c r="D2991" s="32">
        <x:v>507.22</x:v>
      </x:c>
      <x:c r="E2991" s="32">
        <x:v>509.43</x:v>
      </x:c>
      <x:c r="F2991" s="33">
        <x:v>66367870</x:v>
      </x:c>
      <x:c r="G2991" s="32" t="n">
        <x:f t="shared" si="129">AVERAGE(E2792:E2991)</x:f>
        <x:v>422.44529999999975</x:v>
      </x:c>
      <x:c r="H2991" s="37" t="n">
        <x:f t="shared" si="130">IFERROR(E2991/G2991-1,"")</x:f>
        <x:v>0.20590760507928563</x:v>
      </x:c>
      <x:c r="I2991" s="38" t="b">
        <x:f t="shared" si="131">E2991&lt;G2991</x:f>
        <x:v>0</x:v>
      </x:c>
    </x:row>
    <x:row r="2992">
      <x:c r="A2992" s="31">
        <x:v>41367</x:v>
      </x:c>
      <x:c r="B2992" s="32">
        <x:v>509.29</x:v>
      </x:c>
      <x:c r="C2992" s="32">
        <x:v>511.59</x:v>
      </x:c>
      <x:c r="D2992" s="32">
        <x:v>502.38</x:v>
      </x:c>
      <x:c r="E2992" s="32">
        <x:v>505.93</x:v>
      </x:c>
      <x:c r="F2992" s="33">
        <x:v>54225370</x:v>
      </x:c>
      <x:c r="G2992" s="32" t="n">
        <x:f t="shared" si="129">AVERAGE(E2793:E2992)</x:f>
        <x:v>422.80949999999973</x:v>
      </x:c>
      <x:c r="H2992" s="37" t="n">
        <x:f t="shared" si="130">IFERROR(E2992/G2992-1,"")</x:f>
        <x:v>0.19659089968413745</x:v>
      </x:c>
      <x:c r="I2992" s="38" t="b">
        <x:f t="shared" si="131">E2992&lt;G2992</x:f>
        <x:v>0</x:v>
      </x:c>
    </x:row>
    <x:row r="2993">
      <x:c r="A2993" s="31">
        <x:v>41368</x:v>
      </x:c>
      <x:c r="B2993" s="32">
        <x:v>505.54</x:v>
      </x:c>
      <x:c r="C2993" s="32">
        <x:v>506.63</x:v>
      </x:c>
      <x:c r="D2993" s="32">
        <x:v>497.35</x:v>
      </x:c>
      <x:c r="E2993" s="32">
        <x:v>497.35</x:v>
      </x:c>
      <x:c r="F2993" s="33">
        <x:v>48524380</x:v>
      </x:c>
      <x:c r="G2993" s="32" t="n">
        <x:f t="shared" si="129">AVERAGE(E2794:E2993)</x:f>
        <x:v>423.1182999999998</x:v>
      </x:c>
      <x:c r="H2993" s="37" t="n">
        <x:f t="shared" si="130">IFERROR(E2993/G2993-1,"")</x:f>
        <x:v>0.17543958746289223</x:v>
      </x:c>
      <x:c r="I2993" s="38" t="b">
        <x:f t="shared" si="131">E2993&lt;G2993</x:f>
        <x:v>0</x:v>
      </x:c>
    </x:row>
    <x:row r="2994">
      <x:c r="A2994" s="31">
        <x:v>41369</x:v>
      </x:c>
      <x:c r="B2994" s="32">
        <x:v>501.16</x:v>
      </x:c>
      <x:c r="C2994" s="32">
        <x:v>503.36</x:v>
      </x:c>
      <x:c r="D2994" s="32">
        <x:v>497.83</x:v>
      </x:c>
      <x:c r="E2994" s="32">
        <x:v>502.58</x:v>
      </x:c>
      <x:c r="F2994" s="33">
        <x:v>44598800</x:v>
      </x:c>
      <x:c r="G2994" s="32" t="n">
        <x:f t="shared" si="129">AVERAGE(E2795:E2994)</x:f>
        <x:v>423.4757999999997</x:v>
      </x:c>
      <x:c r="H2994" s="37" t="n">
        <x:f t="shared" si="130">IFERROR(E2994/G2994-1,"")</x:f>
        <x:v>0.18679745099956202</x:v>
      </x:c>
      <x:c r="I2994" s="38" t="b">
        <x:f t="shared" si="131">E2994&lt;G2994</x:f>
        <x:v>0</x:v>
      </x:c>
    </x:row>
    <x:row r="2995">
      <x:c r="A2995" s="31">
        <x:v>41372</x:v>
      </x:c>
      <x:c r="B2995" s="32">
        <x:v>505</x:v>
      </x:c>
      <x:c r="C2995" s="32">
        <x:v>507.75</x:v>
      </x:c>
      <x:c r="D2995" s="32">
        <x:v>501.91</x:v>
      </x:c>
      <x:c r="E2995" s="32">
        <x:v>506.66</x:v>
      </x:c>
      <x:c r="F2995" s="33">
        <x:v>49051910</x:v>
      </x:c>
      <x:c r="G2995" s="32" t="n">
        <x:f t="shared" si="129">AVERAGE(E2796:E2995)</x:f>
        <x:v>423.84464999999966</x:v>
      </x:c>
      <x:c r="H2995" s="37" t="n">
        <x:f t="shared" si="130">IFERROR(E2995/G2995-1,"")</x:f>
        <x:v>0.19539081123237123</x:v>
      </x:c>
      <x:c r="I2995" s="38" t="b">
        <x:f t="shared" si="131">E2995&lt;G2995</x:f>
        <x:v>0</x:v>
      </x:c>
    </x:row>
    <x:row r="2996">
      <x:c r="A2996" s="31">
        <x:v>41373</x:v>
      </x:c>
      <x:c r="B2996" s="32">
        <x:v>505.09</x:v>
      </x:c>
      <x:c r="C2996" s="32">
        <x:v>512.85</x:v>
      </x:c>
      <x:c r="D2996" s="32">
        <x:v>504.16</x:v>
      </x:c>
      <x:c r="E2996" s="32">
        <x:v>510.49</x:v>
      </x:c>
      <x:c r="F2996" s="33">
        <x:v>58149210</x:v>
      </x:c>
      <x:c r="G2996" s="32" t="n">
        <x:f t="shared" si="129">AVERAGE(E2797:E2996)</x:f>
        <x:v>424.24139999999977</x:v>
      </x:c>
      <x:c r="H2996" s="37" t="n">
        <x:f t="shared" si="130">IFERROR(E2996/G2996-1,"")</x:f>
        <x:v>0.20330076225469806</x:v>
      </x:c>
      <x:c r="I2996" s="38" t="b">
        <x:f t="shared" si="131">E2996&lt;G2996</x:f>
        <x:v>0</x:v>
      </x:c>
    </x:row>
    <x:row r="2997">
      <x:c r="A2997" s="31">
        <x:v>41374</x:v>
      </x:c>
      <x:c r="B2997" s="32">
        <x:v>512.15</x:v>
      </x:c>
      <x:c r="C2997" s="32">
        <x:v>518.46</x:v>
      </x:c>
      <x:c r="D2997" s="32">
        <x:v>496.5</x:v>
      </x:c>
      <x:c r="E2997" s="32">
        <x:v>496.5</x:v>
      </x:c>
      <x:c r="F2997" s="33">
        <x:v>64402460</x:v>
      </x:c>
      <x:c r="G2997" s="32" t="n">
        <x:f t="shared" si="129">AVERAGE(E2798:E2997)</x:f>
        <x:v>424.5880499999998</x:v>
      </x:c>
      <x:c r="H2997" s="37" t="n">
        <x:f t="shared" si="130">IFERROR(E2997/G2997-1,"")</x:f>
        <x:v>0.16936875637456184</x:v>
      </x:c>
      <x:c r="I2997" s="38" t="b">
        <x:f t="shared" si="131">E2997&lt;G2997</x:f>
        <x:v>0</x:v>
      </x:c>
    </x:row>
    <x:row r="2998">
      <x:c r="A2998" s="31">
        <x:v>41375</x:v>
      </x:c>
      <x:c r="B2998" s="32">
        <x:v>501.39</x:v>
      </x:c>
      <x:c r="C2998" s="32">
        <x:v>504.51</x:v>
      </x:c>
      <x:c r="D2998" s="32">
        <x:v>497.16</x:v>
      </x:c>
      <x:c r="E2998" s="32">
        <x:v>504.07</x:v>
      </x:c>
      <x:c r="F2998" s="33">
        <x:v>46971210</x:v>
      </x:c>
      <x:c r="G2998" s="32" t="n">
        <x:f t="shared" si="129">AVERAGE(E2799:E2998)</x:f>
        <x:v>424.9877999999998</x:v>
      </x:c>
      <x:c r="H2998" s="37" t="n">
        <x:f t="shared" si="130">IFERROR(E2998/G2998-1,"")</x:f>
        <x:v>0.18608110632822927</x:v>
      </x:c>
      <x:c r="I2998" s="38" t="b">
        <x:f t="shared" si="131">E2998&lt;G2998</x:f>
        <x:v>0</x:v>
      </x:c>
    </x:row>
    <x:row r="2999">
      <x:c r="A2999" s="31">
        <x:v>41376</x:v>
      </x:c>
      <x:c r="B2999" s="32">
        <x:v>505.37</x:v>
      </x:c>
      <x:c r="C2999" s="32">
        <x:v>505.9</x:v>
      </x:c>
      <x:c r="D2999" s="32">
        <x:v>490.82</x:v>
      </x:c>
      <x:c r="E2999" s="32">
        <x:v>494.27</x:v>
      </x:c>
      <x:c r="F2999" s="33">
        <x:v>50661340</x:v>
      </x:c>
      <x:c r="G2999" s="32" t="n">
        <x:f t="shared" si="129">AVERAGE(E2800:E2999)</x:f>
        <x:v>425.36319999999995</x:v>
      </x:c>
      <x:c r="H2999" s="37" t="n">
        <x:f t="shared" si="130">IFERROR(E2999/G2999-1,"")</x:f>
        <x:v>0.16199520786001242</x:v>
      </x:c>
      <x:c r="I2999" s="38" t="b">
        <x:f t="shared" si="131">E2999&lt;G2999</x:f>
        <x:v>0</x:v>
      </x:c>
    </x:row>
    <x:row r="3000">
      <x:c r="A3000" s="31">
        <x:v>41379</x:v>
      </x:c>
      <x:c r="B3000" s="32">
        <x:v>491.65</x:v>
      </x:c>
      <x:c r="C3000" s="32">
        <x:v>491.77</x:v>
      </x:c>
      <x:c r="D3000" s="32">
        <x:v>478.8</x:v>
      </x:c>
      <x:c r="E3000" s="32">
        <x:v>480.02</x:v>
      </x:c>
      <x:c r="F3000" s="33">
        <x:v>51237740</x:v>
      </x:c>
      <x:c r="G3000" s="32" t="n">
        <x:f t="shared" si="129">AVERAGE(E2801:E3000)</x:f>
        <x:v>425.6730999999999</x:v>
      </x:c>
      <x:c r="H3000" s="37" t="n">
        <x:f t="shared" si="130">IFERROR(E3000/G3000-1,"")</x:f>
        <x:v>0.12767285506178339</x:v>
      </x:c>
      <x:c r="I3000" s="38" t="b">
        <x:f t="shared" si="131">E3000&lt;G3000</x:f>
        <x:v>0</x:v>
      </x:c>
    </x:row>
    <x:row r="3001">
      <x:c r="A3001" s="31">
        <x:v>41380</x:v>
      </x:c>
      <x:c r="B3001" s="32">
        <x:v>475.07</x:v>
      </x:c>
      <x:c r="C3001" s="32">
        <x:v>479.97</x:v>
      </x:c>
      <x:c r="D3001" s="32">
        <x:v>466.56</x:v>
      </x:c>
      <x:c r="E3001" s="32">
        <x:v>478.07</x:v>
      </x:c>
      <x:c r="F3001" s="33">
        <x:v>46214530</x:v>
      </x:c>
      <x:c r="G3001" s="32" t="n">
        <x:f t="shared" si="129">AVERAGE(E2802:E3001)</x:f>
        <x:v>425.97264999999993</x:v>
      </x:c>
      <x:c r="H3001" s="37" t="n">
        <x:f t="shared" si="130">IFERROR(E3001/G3001-1,"")</x:f>
        <x:v>0.12230210085084114</x:v>
      </x:c>
      <x:c r="I3001" s="38" t="b">
        <x:f t="shared" si="131">E3001&lt;G3001</x:f>
        <x:v>0</x:v>
      </x:c>
    </x:row>
    <x:row r="3002">
      <x:c r="A3002" s="31">
        <x:v>41381</x:v>
      </x:c>
      <x:c r="B3002" s="32">
        <x:v>482.17</x:v>
      </x:c>
      <x:c r="C3002" s="32">
        <x:v>483.99</x:v>
      </x:c>
      <x:c r="D3002" s="32">
        <x:v>476.53</x:v>
      </x:c>
      <x:c r="E3002" s="32">
        <x:v>483.99</x:v>
      </x:c>
      <x:c r="F3002" s="33">
        <x:v>28380260</x:v>
      </x:c>
      <x:c r="G3002" s="32" t="n">
        <x:f t="shared" si="129">AVERAGE(E2803:E3002)</x:f>
        <x:v>426.2807499999999</x:v>
      </x:c>
      <x:c r="H3002" s="37" t="n">
        <x:f t="shared" si="130">IFERROR(E3002/G3002-1,"")</x:f>
        <x:v>0.13537850348625913</x:v>
      </x:c>
      <x:c r="I3002" s="38" t="b">
        <x:f t="shared" si="131">E3002&lt;G3002</x:f>
        <x:v>0</x:v>
      </x:c>
    </x:row>
    <x:row r="3003">
      <x:c r="A3003" s="31">
        <x:v>41382</x:v>
      </x:c>
      <x:c r="B3003" s="32">
        <x:v>479.11</x:v>
      </x:c>
      <x:c r="C3003" s="32">
        <x:v>483.99</x:v>
      </x:c>
      <x:c r="D3003" s="32">
        <x:v>471.1</x:v>
      </x:c>
      <x:c r="E3003" s="32">
        <x:v>473.21</x:v>
      </x:c>
      <x:c r="F3003" s="33">
        <x:v>35218830</x:v>
      </x:c>
      <x:c r="G3003" s="32" t="n">
        <x:f t="shared" si="129">AVERAGE(E2804:E3003)</x:f>
        <x:v>426.5503</x:v>
      </x:c>
      <x:c r="H3003" s="37" t="n">
        <x:f t="shared" si="130">IFERROR(E3003/G3003-1,"")</x:f>
        <x:v>0.10938850588078353</x:v>
      </x:c>
      <x:c r="I3003" s="38" t="b">
        <x:f t="shared" si="131">E3003&lt;G3003</x:f>
        <x:v>0</x:v>
      </x:c>
    </x:row>
    <x:row r="3004">
      <x:c r="A3004" s="31">
        <x:v>41386</x:v>
      </x:c>
      <x:c r="B3004" s="32">
        <x:v>471.81</x:v>
      </x:c>
      <x:c r="C3004" s="32">
        <x:v>472.95</x:v>
      </x:c>
      <x:c r="D3004" s="32">
        <x:v>466.78</x:v>
      </x:c>
      <x:c r="E3004" s="32">
        <x:v>468.43</x:v>
      </x:c>
      <x:c r="F3004" s="33">
        <x:v>37044620</x:v>
      </x:c>
      <x:c r="G3004" s="32" t="n">
        <x:f t="shared" si="129">AVERAGE(E2805:E3004)</x:f>
        <x:v>426.827</x:v>
      </x:c>
      <x:c r="H3004" s="37" t="n">
        <x:f t="shared" si="130">IFERROR(E3004/G3004-1,"")</x:f>
        <x:v>0.09747040369985971</x:v>
      </x:c>
      <x:c r="I3004" s="38" t="b">
        <x:f t="shared" si="131">E3004&lt;G3004</x:f>
        <x:v>0</x:v>
      </x:c>
    </x:row>
    <x:row r="3005">
      <x:c r="A3005" s="31">
        <x:v>41387</x:v>
      </x:c>
      <x:c r="B3005" s="32">
        <x:v>470.59</x:v>
      </x:c>
      <x:c r="C3005" s="32">
        <x:v>475.48</x:v>
      </x:c>
      <x:c r="D3005" s="32">
        <x:v>469.13</x:v>
      </x:c>
      <x:c r="E3005" s="32">
        <x:v>473.69</x:v>
      </x:c>
      <x:c r="F3005" s="33">
        <x:v>30789420</x:v>
      </x:c>
      <x:c r="G3005" s="32" t="n">
        <x:f t="shared" si="129">AVERAGE(E2806:E3005)</x:f>
        <x:v>427.1418</x:v>
      </x:c>
      <x:c r="H3005" s="37" t="n">
        <x:f t="shared" si="130">IFERROR(E3005/G3005-1,"")</x:f>
        <x:v>0.1089759887700057</x:v>
      </x:c>
      <x:c r="I3005" s="38" t="b">
        <x:f t="shared" si="131">E3005&lt;G3005</x:f>
        <x:v>0</x:v>
      </x:c>
    </x:row>
    <x:row r="3006">
      <x:c r="A3006" s="31">
        <x:v>41388</x:v>
      </x:c>
      <x:c r="B3006" s="32">
        <x:v>474.48</x:v>
      </x:c>
      <x:c r="C3006" s="32">
        <x:v>475.75</x:v>
      </x:c>
      <x:c r="D3006" s="32">
        <x:v>472.89</x:v>
      </x:c>
      <x:c r="E3006" s="32">
        <x:v>472.89</x:v>
      </x:c>
      <x:c r="F3006" s="33">
        <x:v>30220170</x:v>
      </x:c>
      <x:c r="G3006" s="32" t="n">
        <x:f t="shared" si="129">AVERAGE(E2807:E3006)</x:f>
        <x:v>427.4371</x:v>
      </x:c>
      <x:c r="H3006" s="37" t="n">
        <x:f t="shared" si="130">IFERROR(E3006/G3006-1,"")</x:f>
        <x:v>0.1063382191204274</x:v>
      </x:c>
      <x:c r="I3006" s="38" t="b">
        <x:f t="shared" si="131">E3006&lt;G3006</x:f>
        <x:v>0</x:v>
      </x:c>
    </x:row>
    <x:row r="3007">
      <x:c r="A3007" s="31">
        <x:v>41389</x:v>
      </x:c>
      <x:c r="B3007" s="32">
        <x:v>474.87</x:v>
      </x:c>
      <x:c r="C3007" s="32">
        <x:v>477.8</x:v>
      </x:c>
      <x:c r="D3007" s="32">
        <x:v>474.29</x:v>
      </x:c>
      <x:c r="E3007" s="32">
        <x:v>476.59</x:v>
      </x:c>
      <x:c r="F3007" s="33">
        <x:v>35474860</x:v>
      </x:c>
      <x:c r="G3007" s="32" t="n">
        <x:f t="shared" si="129">AVERAGE(E2808:E3007)</x:f>
        <x:v>427.74285000000003</x:v>
      </x:c>
      <x:c r="H3007" s="37" t="n">
        <x:f t="shared" si="130">IFERROR(E3007/G3007-1,"")</x:f>
        <x:v>0.11419746700616962</x:v>
      </x:c>
      <x:c r="I3007" s="38" t="b">
        <x:f t="shared" si="131">E3007&lt;G3007</x:f>
        <x:v>0</x:v>
      </x:c>
    </x:row>
    <x:row r="3008">
      <x:c r="A3008" s="31">
        <x:v>41390</x:v>
      </x:c>
      <x:c r="B3008" s="32">
        <x:v>477.04</x:v>
      </x:c>
      <x:c r="C3008" s="32">
        <x:v>479.12</x:v>
      </x:c>
      <x:c r="D3008" s="32">
        <x:v>474.43</x:v>
      </x:c>
      <x:c r="E3008" s="32">
        <x:v>474.51</x:v>
      </x:c>
      <x:c r="F3008" s="33">
        <x:v>30585010</x:v>
      </x:c>
      <x:c r="G3008" s="32" t="n">
        <x:f t="shared" si="129">AVERAGE(E2809:E3008)</x:f>
        <x:v>428.0748</x:v>
      </x:c>
      <x:c r="H3008" s="37" t="n">
        <x:f t="shared" si="130">IFERROR(E3008/G3008-1,"")</x:f>
        <x:v>0.10847450025089067</x:v>
      </x:c>
      <x:c r="I3008" s="38" t="b">
        <x:f t="shared" si="131">E3008&lt;G3008</x:f>
        <x:v>0</x:v>
      </x:c>
    </x:row>
    <x:row r="3009">
      <x:c r="A3009" s="31">
        <x:v>41396</x:v>
      </x:c>
      <x:c r="B3009" s="32">
        <x:v>474.54</x:v>
      </x:c>
      <x:c r="C3009" s="32">
        <x:v>476.42</x:v>
      </x:c>
      <x:c r="D3009" s="32">
        <x:v>472.16</x:v>
      </x:c>
      <x:c r="E3009" s="32">
        <x:v>473.02</x:v>
      </x:c>
      <x:c r="F3009" s="33">
        <x:v>20465090</x:v>
      </x:c>
      <x:c r="G3009" s="32" t="n">
        <x:f t="shared" si="129">AVERAGE(E2810:E3009)</x:f>
        <x:v>428.4129500000001</x:v>
      </x:c>
      <x:c r="H3009" s="37" t="n">
        <x:f t="shared" si="130">IFERROR(E3009/G3009-1,"")</x:f>
        <x:v>0.10412161910605144</x:v>
      </x:c>
      <x:c r="I3009" s="38" t="b">
        <x:f t="shared" si="131">E3009&lt;G3009</x:f>
        <x:v>0</x:v>
      </x:c>
    </x:row>
    <x:row r="3010">
      <x:c r="A3010" s="31">
        <x:v>41397</x:v>
      </x:c>
      <x:c r="B3010" s="32">
        <x:v>471.14</x:v>
      </x:c>
      <x:c r="C3010" s="32">
        <x:v>475.24</x:v>
      </x:c>
      <x:c r="D3010" s="32">
        <x:v>470.81</x:v>
      </x:c>
      <x:c r="E3010" s="32">
        <x:v>475.24</x:v>
      </x:c>
      <x:c r="F3010" s="33">
        <x:v>24532200</x:v>
      </x:c>
      <x:c r="G3010" s="32" t="n">
        <x:f t="shared" si="129">AVERAGE(E2811:E3010)</x:f>
        <x:v>428.7527500000001</x:v>
      </x:c>
      <x:c r="H3010" s="37" t="n">
        <x:f t="shared" si="130">IFERROR(E3010/G3010-1,"")</x:f>
        <x:v>0.10842437745297229</x:v>
      </x:c>
      <x:c r="I3010" s="38" t="b">
        <x:f t="shared" si="131">E3010&lt;G3010</x:f>
        <x:v>0</x:v>
      </x:c>
    </x:row>
    <x:row r="3011">
      <x:c r="A3011" s="31">
        <x:v>41400</x:v>
      </x:c>
      <x:c r="B3011" s="32">
        <x:v>478.94</x:v>
      </x:c>
      <x:c r="C3011" s="32">
        <x:v>488.32</x:v>
      </x:c>
      <x:c r="D3011" s="32">
        <x:v>478.94</x:v>
      </x:c>
      <x:c r="E3011" s="32">
        <x:v>488.32</x:v>
      </x:c>
      <x:c r="F3011" s="33">
        <x:v>46485330</x:v>
      </x:c>
      <x:c r="G3011" s="32" t="n">
        <x:f t="shared" si="129">AVERAGE(E2812:E3011)</x:f>
        <x:v>429.15075000000013</x:v>
      </x:c>
      <x:c r="H3011" s="37" t="n">
        <x:f t="shared" si="130">IFERROR(E3011/G3011-1,"")</x:f>
        <x:v>0.13787521051751583</x:v>
      </x:c>
      <x:c r="I3011" s="38" t="b">
        <x:f t="shared" si="131">E3011&lt;G3011</x:f>
        <x:v>0</x:v>
      </x:c>
    </x:row>
    <x:row r="3012">
      <x:c r="A3012" s="31">
        <x:v>41401</x:v>
      </x:c>
      <x:c r="B3012" s="32">
        <x:v>489.35</x:v>
      </x:c>
      <x:c r="C3012" s="32">
        <x:v>491.56</x:v>
      </x:c>
      <x:c r="D3012" s="32">
        <x:v>484.39</x:v>
      </x:c>
      <x:c r="E3012" s="32">
        <x:v>485.58</x:v>
      </x:c>
      <x:c r="F3012" s="33">
        <x:v>54751810</x:v>
      </x:c>
      <x:c r="G3012" s="32" t="n">
        <x:f t="shared" si="129">AVERAGE(E2813:E3012)</x:f>
        <x:v>429.49375000000015</x:v>
      </x:c>
      <x:c r="H3012" s="37" t="n">
        <x:f t="shared" si="130">IFERROR(E3012/G3012-1,"")</x:f>
        <x:v>0.13058688281261333</x:v>
      </x:c>
      <x:c r="I3012" s="38" t="b">
        <x:f t="shared" si="131">E3012&lt;G3012</x:f>
        <x:v>0</x:v>
      </x:c>
    </x:row>
    <x:row r="3013">
      <x:c r="A3013" s="31">
        <x:v>41402</x:v>
      </x:c>
      <x:c r="B3013" s="32">
        <x:v>486.74</x:v>
      </x:c>
      <x:c r="C3013" s="32">
        <x:v>488.04</x:v>
      </x:c>
      <x:c r="D3013" s="32">
        <x:v>483.03</x:v>
      </x:c>
      <x:c r="E3013" s="32">
        <x:v>485.07</x:v>
      </x:c>
      <x:c r="F3013" s="33">
        <x:v>37540320</x:v>
      </x:c>
      <x:c r="G3013" s="32" t="n">
        <x:f t="shared" si="129">AVERAGE(E2814:E3013)</x:f>
        <x:v>429.8492000000002</x:v>
      </x:c>
      <x:c r="H3013" s="37" t="n">
        <x:f t="shared" si="130">IFERROR(E3013/G3013-1,"")</x:f>
        <x:v>0.12846551767456993</x:v>
      </x:c>
      <x:c r="I3013" s="38" t="b">
        <x:f t="shared" si="131">E3013&lt;G3013</x:f>
        <x:v>0</x:v>
      </x:c>
    </x:row>
    <x:row r="3014">
      <x:c r="A3014" s="31">
        <x:v>41403</x:v>
      </x:c>
      <x:c r="B3014" s="32">
        <x:v>485.44</x:v>
      </x:c>
      <x:c r="C3014" s="32">
        <x:v>488.57</x:v>
      </x:c>
      <x:c r="D3014" s="32">
        <x:v>485.2</x:v>
      </x:c>
      <x:c r="E3014" s="32">
        <x:v>486.22</x:v>
      </x:c>
      <x:c r="F3014" s="33">
        <x:v>45880290</x:v>
      </x:c>
      <x:c r="G3014" s="32" t="n">
        <x:f t="shared" si="129">AVERAGE(E2815:E3014)</x:f>
        <x:v>430.19255000000027</x:v>
      </x:c>
      <x:c r="H3014" s="37" t="n">
        <x:f t="shared" si="130">IFERROR(E3014/G3014-1,"")</x:f>
        <x:v>0.13023807594994308</x:v>
      </x:c>
      <x:c r="I3014" s="38" t="b">
        <x:f t="shared" si="131">E3014&lt;G3014</x:f>
        <x:v>0</x:v>
      </x:c>
    </x:row>
    <x:row r="3015">
      <x:c r="A3015" s="31">
        <x:v>41404</x:v>
      </x:c>
      <x:c r="B3015" s="32">
        <x:v>488.1</x:v>
      </x:c>
      <x:c r="C3015" s="32">
        <x:v>490.76</x:v>
      </x:c>
      <x:c r="D3015" s="32">
        <x:v>484.75</x:v>
      </x:c>
      <x:c r="E3015" s="32">
        <x:v>486.1</x:v>
      </x:c>
      <x:c r="F3015" s="33">
        <x:v>39892770</x:v>
      </x:c>
      <x:c r="G3015" s="32" t="n">
        <x:f t="shared" si="129">AVERAGE(E2816:E3015)</x:f>
        <x:v>430.5289000000002</x:v>
      </x:c>
      <x:c r="H3015" s="37" t="n">
        <x:f t="shared" si="130">IFERROR(E3015/G3015-1,"")</x:f>
        <x:v>0.1290763523656595</x:v>
      </x:c>
      <x:c r="I3015" s="38" t="b">
        <x:f t="shared" si="131">E3015&lt;G3015</x:f>
        <x:v>0</x:v>
      </x:c>
    </x:row>
    <x:row r="3016">
      <x:c r="A3016" s="31">
        <x:v>41407</x:v>
      </x:c>
      <x:c r="B3016" s="32">
        <x:v>486.96</x:v>
      </x:c>
      <x:c r="C3016" s="32">
        <x:v>490.38</x:v>
      </x:c>
      <x:c r="D3016" s="32">
        <x:v>486.96</x:v>
      </x:c>
      <x:c r="E3016" s="32">
        <x:v>488.93</x:v>
      </x:c>
      <x:c r="F3016" s="33">
        <x:v>34059220</x:v>
      </x:c>
      <x:c r="G3016" s="32" t="n">
        <x:f t="shared" si="129">AVERAGE(E2817:E3016)</x:f>
        <x:v>430.83165000000014</x:v>
      </x:c>
      <x:c r="H3016" s="37" t="n">
        <x:f t="shared" si="130">IFERROR(E3016/G3016-1,"")</x:f>
        <x:v>0.13485162940095008</x:v>
      </x:c>
      <x:c r="I3016" s="38" t="b">
        <x:f t="shared" si="131">E3016&lt;G3016</x:f>
        <x:v>0</x:v>
      </x:c>
    </x:row>
    <x:row r="3017">
      <x:c r="A3017" s="31">
        <x:v>41408</x:v>
      </x:c>
      <x:c r="B3017" s="32">
        <x:v>486.94</x:v>
      </x:c>
      <x:c r="C3017" s="32">
        <x:v>487.45</x:v>
      </x:c>
      <x:c r="D3017" s="32">
        <x:v>480.79</x:v>
      </x:c>
      <x:c r="E3017" s="32">
        <x:v>483.85</x:v>
      </x:c>
      <x:c r="F3017" s="33">
        <x:v>43748020</x:v>
      </x:c>
      <x:c r="G3017" s="32" t="n">
        <x:f t="shared" si="129">AVERAGE(E2818:E3017)</x:f>
        <x:v>431.12855000000025</x:v>
      </x:c>
      <x:c r="H3017" s="37" t="n">
        <x:f t="shared" si="130">IFERROR(E3017/G3017-1,"")</x:f>
        <x:v>0.12228707655755988</x:v>
      </x:c>
      <x:c r="I3017" s="38" t="b">
        <x:f t="shared" si="131">E3017&lt;G3017</x:f>
        <x:v>0</x:v>
      </x:c>
    </x:row>
    <x:row r="3018">
      <x:c r="A3018" s="31">
        <x:v>41409</x:v>
      </x:c>
      <x:c r="B3018" s="32">
        <x:v>482.82</x:v>
      </x:c>
      <x:c r="C3018" s="32">
        <x:v>487.52</x:v>
      </x:c>
      <x:c r="D3018" s="32">
        <x:v>481.8</x:v>
      </x:c>
      <x:c r="E3018" s="32">
        <x:v>485.97</x:v>
      </x:c>
      <x:c r="F3018" s="33">
        <x:v>35892100</x:v>
      </x:c>
      <x:c r="G3018" s="32" t="n">
        <x:f t="shared" si="129">AVERAGE(E2819:E3018)</x:f>
        <x:v>431.4484500000002</x:v>
      </x:c>
      <x:c r="H3018" s="37" t="n">
        <x:f t="shared" si="130">IFERROR(E3018/G3018-1,"")</x:f>
        <x:v>0.12636863106125373</x:v>
      </x:c>
      <x:c r="I3018" s="38" t="b">
        <x:f t="shared" si="131">E3018&lt;G3018</x:f>
        <x:v>0</x:v>
      </x:c>
    </x:row>
    <x:row r="3019">
      <x:c r="A3019" s="31">
        <x:v>41410</x:v>
      </x:c>
      <x:c r="B3019" s="32">
        <x:v>486</x:v>
      </x:c>
      <x:c r="C3019" s="32">
        <x:v>491.44</x:v>
      </x:c>
      <x:c r="D3019" s="32">
        <x:v>485.28</x:v>
      </x:c>
      <x:c r="E3019" s="32">
        <x:v>490.34</x:v>
      </x:c>
      <x:c r="F3019" s="33">
        <x:v>43474450</x:v>
      </x:c>
      <x:c r="G3019" s="32" t="n">
        <x:f t="shared" si="129">AVERAGE(E2820:E3019)</x:f>
        <x:v>431.8220000000003</x:v>
      </x:c>
      <x:c r="H3019" s="37" t="n">
        <x:f t="shared" si="130">IFERROR(E3019/G3019-1,"")</x:f>
        <x:v>0.13551417019049428</x:v>
      </x:c>
      <x:c r="I3019" s="38" t="b">
        <x:f t="shared" si="131">E3019&lt;G3019</x:f>
        <x:v>0</x:v>
      </x:c>
    </x:row>
    <x:row r="3020">
      <x:c r="A3020" s="31">
        <x:v>41411</x:v>
      </x:c>
      <x:c r="B3020" s="32">
        <x:v>489.99</x:v>
      </x:c>
      <x:c r="C3020" s="32">
        <x:v>491.85</x:v>
      </x:c>
      <x:c r="D3020" s="32">
        <x:v>487.6</x:v>
      </x:c>
      <x:c r="E3020" s="32">
        <x:v>487.6</x:v>
      </x:c>
      <x:c r="F3020" s="33">
        <x:v>43122850</x:v>
      </x:c>
      <x:c r="G3020" s="32" t="n">
        <x:f t="shared" si="129">AVERAGE(E2821:E3020)</x:f>
        <x:v>432.1954500000003</x:v>
      </x:c>
      <x:c r="H3020" s="37" t="n">
        <x:f t="shared" si="130">IFERROR(E3020/G3020-1,"")</x:f>
        <x:v>0.12819327459370466</x:v>
      </x:c>
      <x:c r="I3020" s="38" t="b">
        <x:f t="shared" si="131">E3020&lt;G3020</x:f>
        <x:v>0</x:v>
      </x:c>
    </x:row>
    <x:row r="3021">
      <x:c r="A3021" s="31">
        <x:v>41414</x:v>
      </x:c>
      <x:c r="B3021" s="32">
        <x:v>487.71</x:v>
      </x:c>
      <x:c r="C3021" s="32">
        <x:v>492.96</x:v>
      </x:c>
      <x:c r="D3021" s="32">
        <x:v>485.42</x:v>
      </x:c>
      <x:c r="E3021" s="32">
        <x:v>492.27</x:v>
      </x:c>
      <x:c r="F3021" s="33">
        <x:v>46416100</x:v>
      </x:c>
      <x:c r="G3021" s="32" t="n">
        <x:f t="shared" ref="G3021:G3084" si="132">AVERAGE(E2822:E3021)</x:f>
        <x:v>432.5828000000002</x:v>
      </x:c>
      <x:c r="H3021" s="37" t="n">
        <x:f t="shared" ref="H3021:H3084" si="133">IFERROR(E3021/G3021-1,"")</x:f>
        <x:v>0.13797867136649855</x:v>
      </x:c>
      <x:c r="I3021" s="38" t="b">
        <x:f t="shared" ref="I3021:I3084" si="134">E3021&lt;G3021</x:f>
        <x:v>0</x:v>
      </x:c>
    </x:row>
    <x:row r="3022">
      <x:c r="A3022" s="31">
        <x:v>41415</x:v>
      </x:c>
      <x:c r="B3022" s="32">
        <x:v>496.09</x:v>
      </x:c>
      <x:c r="C3022" s="32">
        <x:v>502.6</x:v>
      </x:c>
      <x:c r="D3022" s="32">
        <x:v>495.95</x:v>
      </x:c>
      <x:c r="E3022" s="32">
        <x:v>500.18</x:v>
      </x:c>
      <x:c r="F3022" s="33">
        <x:v>78862860</x:v>
      </x:c>
      <x:c r="G3022" s="32" t="n">
        <x:f t="shared" si="132">AVERAGE(E2823:E3022)</x:f>
        <x:v>433.01790000000017</x:v>
      </x:c>
      <x:c r="H3022" s="37" t="n">
        <x:f t="shared" si="133">IFERROR(E3022/G3022-1,"")</x:f>
        <x:v>0.15510236412859557</x:v>
      </x:c>
      <x:c r="I3022" s="38" t="b">
        <x:f t="shared" si="134">E3022&lt;G3022</x:f>
        <x:v>0</x:v>
      </x:c>
    </x:row>
    <x:row r="3023">
      <x:c r="A3023" s="31">
        <x:v>41416</x:v>
      </x:c>
      <x:c r="B3023" s="32">
        <x:v>503.23</x:v>
      </x:c>
      <x:c r="C3023" s="32">
        <x:v>504.68</x:v>
      </x:c>
      <x:c r="D3023" s="32">
        <x:v>501.44</x:v>
      </x:c>
      <x:c r="E3023" s="32">
        <x:v>502.23</x:v>
      </x:c>
      <x:c r="F3023" s="33">
        <x:v>60738030</x:v>
      </x:c>
      <x:c r="G3023" s="32" t="n">
        <x:f t="shared" si="132">AVERAGE(E2824:E3023)</x:f>
        <x:v>433.4540500000001</x:v>
      </x:c>
      <x:c r="H3023" s="37" t="n">
        <x:f t="shared" si="133">IFERROR(E3023/G3023-1,"")</x:f>
        <x:v>0.15866952910002774</x:v>
      </x:c>
      <x:c r="I3023" s="38" t="b">
        <x:f t="shared" si="134">E3023&lt;G3023</x:f>
        <x:v>0</x:v>
      </x:c>
    </x:row>
    <x:row r="3024">
      <x:c r="A3024" s="31">
        <x:v>41417</x:v>
      </x:c>
      <x:c r="B3024" s="32">
        <x:v>501.15</x:v>
      </x:c>
      <x:c r="C3024" s="32">
        <x:v>506.58</x:v>
      </x:c>
      <x:c r="D3024" s="32">
        <x:v>498.22</x:v>
      </x:c>
      <x:c r="E3024" s="32">
        <x:v>498.22</x:v>
      </x:c>
      <x:c r="F3024" s="33">
        <x:v>76788480</x:v>
      </x:c>
      <x:c r="G3024" s="32" t="n">
        <x:f t="shared" si="132">AVERAGE(E2825:E3024)</x:f>
        <x:v>433.87275000000017</x:v>
      </x:c>
      <x:c r="H3024" s="37" t="n">
        <x:f t="shared" si="133">IFERROR(E3024/G3024-1,"")</x:f>
        <x:v>0.14830903761529113</x:v>
      </x:c>
      <x:c r="I3024" s="38" t="b">
        <x:f t="shared" si="134">E3024&lt;G3024</x:f>
        <x:v>0</x:v>
      </x:c>
    </x:row>
    <x:row r="3025">
      <x:c r="A3025" s="31">
        <x:v>41418</x:v>
      </x:c>
      <x:c r="B3025" s="32">
        <x:v>498.77</x:v>
      </x:c>
      <x:c r="C3025" s="32">
        <x:v>503.6</x:v>
      </x:c>
      <x:c r="D3025" s="32">
        <x:v>495.96</x:v>
      </x:c>
      <x:c r="E3025" s="32">
        <x:v>500.24</x:v>
      </x:c>
      <x:c r="F3025" s="33">
        <x:v>58885910</x:v>
      </x:c>
      <x:c r="G3025" s="32" t="n">
        <x:f t="shared" si="132">AVERAGE(E2826:E3025)</x:f>
        <x:v>434.31120000000027</x:v>
      </x:c>
      <x:c r="H3025" s="37" t="n">
        <x:f t="shared" si="133">IFERROR(E3025/G3025-1,"")</x:f>
        <x:v>0.15180082853032495</x:v>
      </x:c>
      <x:c r="I3025" s="38" t="b">
        <x:f t="shared" si="134">E3025&lt;G3025</x:f>
        <x:v>0</x:v>
      </x:c>
    </x:row>
    <x:row r="3026">
      <x:c r="A3026" s="31">
        <x:v>41421</x:v>
      </x:c>
      <x:c r="B3026" s="32">
        <x:v>504.38</x:v>
      </x:c>
      <x:c r="C3026" s="32">
        <x:v>516.08000000000004</x:v>
      </x:c>
      <x:c r="D3026" s="32">
        <x:v>504.38</x:v>
      </x:c>
      <x:c r="E3026" s="32">
        <x:v>512.41</x:v>
      </x:c>
      <x:c r="F3026" s="33">
        <x:v>91278240</x:v>
      </x:c>
      <x:c r="G3026" s="32" t="n">
        <x:f t="shared" si="132">AVERAGE(E2827:E3026)</x:f>
        <x:v>434.7927500000003</x:v>
      </x:c>
      <x:c r="H3026" s="37" t="n">
        <x:f t="shared" si="133">IFERROR(E3026/G3026-1,"")</x:f>
        <x:v>0.1785155111257022</x:v>
      </x:c>
      <x:c r="I3026" s="38" t="b">
        <x:f t="shared" si="134">E3026&lt;G3026</x:f>
        <x:v>0</x:v>
      </x:c>
    </x:row>
    <x:row r="3027">
      <x:c r="A3027" s="31">
        <x:v>41422</x:v>
      </x:c>
      <x:c r="B3027" s="32">
        <x:v>515.62</x:v>
      </x:c>
      <x:c r="C3027" s="32">
        <x:v>517.97</x:v>
      </x:c>
      <x:c r="D3027" s="32">
        <x:v>512.80999999999995</x:v>
      </x:c>
      <x:c r="E3027" s="32">
        <x:v>516.33000000000004</x:v>
      </x:c>
      <x:c r="F3027" s="33">
        <x:v>83366050</x:v>
      </x:c>
      <x:c r="G3027" s="32" t="n">
        <x:f t="shared" si="132">AVERAGE(E2828:E3027)</x:f>
        <x:v>435.28335000000027</x:v>
      </x:c>
      <x:c r="H3027" s="37" t="n">
        <x:f t="shared" si="133">IFERROR(E3027/G3027-1,"")</x:f>
        <x:v>0.18619285575705957</x:v>
      </x:c>
      <x:c r="I3027" s="38" t="b">
        <x:f t="shared" si="134">E3027&lt;G3027</x:f>
        <x:v>0</x:v>
      </x:c>
    </x:row>
    <x:row r="3028">
      <x:c r="A3028" s="31">
        <x:v>41423</x:v>
      </x:c>
      <x:c r="B3028" s="32">
        <x:v>517.91</x:v>
      </x:c>
      <x:c r="C3028" s="32">
        <x:v>520.36</x:v>
      </x:c>
      <x:c r="D3028" s="32">
        <x:v>511.31</x:v>
      </x:c>
      <x:c r="E3028" s="32">
        <x:v>515.09</x:v>
      </x:c>
      <x:c r="F3028" s="33">
        <x:v>93465370</x:v>
      </x:c>
      <x:c r="G3028" s="32" t="n">
        <x:f t="shared" si="132">AVERAGE(E2829:E3028)</x:f>
        <x:v>435.7430000000002</x:v>
      </x:c>
      <x:c r="H3028" s="37" t="n">
        <x:f t="shared" si="133">IFERROR(E3028/G3028-1,"")</x:f>
        <x:v>0.18209586843621062</x:v>
      </x:c>
      <x:c r="I3028" s="38" t="b">
        <x:f t="shared" si="134">E3028&lt;G3028</x:f>
        <x:v>0</x:v>
      </x:c>
    </x:row>
    <x:row r="3029">
      <x:c r="A3029" s="31">
        <x:v>41424</x:v>
      </x:c>
      <x:c r="B3029" s="32">
        <x:v>517.17999999999995</x:v>
      </x:c>
      <x:c r="C3029" s="32">
        <x:v>521.45000000000005</x:v>
      </x:c>
      <x:c r="D3029" s="32">
        <x:v>513.67999999999995</x:v>
      </x:c>
      <x:c r="E3029" s="32">
        <x:v>521.45000000000005</x:v>
      </x:c>
      <x:c r="F3029" s="33">
        <x:v>73554110</x:v>
      </x:c>
      <x:c r="G3029" s="32" t="n">
        <x:f t="shared" si="132">AVERAGE(E2830:E3029)</x:f>
        <x:v>436.2377500000003</x:v>
      </x:c>
      <x:c r="H3029" s="37" t="n">
        <x:f t="shared" si="133">IFERROR(E3029/G3029-1,"")</x:f>
        <x:v>0.1953344248635056</x:v>
      </x:c>
      <x:c r="I3029" s="38" t="b">
        <x:f t="shared" si="134">E3029&lt;G3029</x:f>
        <x:v>0</x:v>
      </x:c>
    </x:row>
    <x:row r="3030">
      <x:c r="A3030" s="31">
        <x:v>41425</x:v>
      </x:c>
      <x:c r="B3030" s="32">
        <x:v>526.58000000000004</x:v>
      </x:c>
      <x:c r="C3030" s="32">
        <x:v>526.58000000000004</x:v>
      </x:c>
      <x:c r="D3030" s="32">
        <x:v>518.39</x:v>
      </x:c>
      <x:c r="E3030" s="32">
        <x:v>518.39</x:v>
      </x:c>
      <x:c r="F3030" s="33">
        <x:v>97869300</x:v>
      </x:c>
      <x:c r="G3030" s="32" t="n">
        <x:f t="shared" si="132">AVERAGE(E2831:E3030)</x:f>
        <x:v>436.7118500000002</x:v>
      </x:c>
      <x:c r="H3030" s="37" t="n">
        <x:f t="shared" si="133">IFERROR(E3030/G3030-1,"")</x:f>
        <x:v>0.18702984588121385</x:v>
      </x:c>
      <x:c r="I3030" s="38" t="b">
        <x:f t="shared" si="134">E3030&lt;G3030</x:f>
        <x:v>0</x:v>
      </x:c>
    </x:row>
    <x:row r="3031">
      <x:c r="A3031" s="31">
        <x:v>41428</x:v>
      </x:c>
      <x:c r="B3031" s="32">
        <x:v>518.29999999999995</x:v>
      </x:c>
      <x:c r="C3031" s="32">
        <x:v>521.35</x:v>
      </x:c>
      <x:c r="D3031" s="32">
        <x:v>516.64</x:v>
      </x:c>
      <x:c r="E3031" s="32">
        <x:v>517.03</x:v>
      </x:c>
      <x:c r="F3031" s="33">
        <x:v>72365040</x:v>
      </x:c>
      <x:c r="G3031" s="32" t="n">
        <x:f t="shared" si="132">AVERAGE(E2832:E3031)</x:f>
        <x:v>437.16210000000024</x:v>
      </x:c>
      <x:c r="H3031" s="37" t="n">
        <x:f t="shared" si="133">IFERROR(E3031/G3031-1,"")</x:f>
        <x:v>0.18269630418556337</x:v>
      </x:c>
      <x:c r="I3031" s="38" t="b">
        <x:f t="shared" si="134">E3031&lt;G3031</x:f>
        <x:v>0</x:v>
      </x:c>
    </x:row>
    <x:row r="3032">
      <x:c r="A3032" s="31">
        <x:v>41429</x:v>
      </x:c>
      <x:c r="B3032" s="32">
        <x:v>520.67999999999995</x:v>
      </x:c>
      <x:c r="C3032" s="32">
        <x:v>521.96</x:v>
      </x:c>
      <x:c r="D3032" s="32">
        <x:v>510.69</x:v>
      </x:c>
      <x:c r="E3032" s="32">
        <x:v>510.69</x:v>
      </x:c>
      <x:c r="F3032" s="33">
        <x:v>75405700</x:v>
      </x:c>
      <x:c r="G3032" s="32" t="n">
        <x:f t="shared" si="132">AVERAGE(E2833:E3032)</x:f>
        <x:v>437.58775000000026</x:v>
      </x:c>
      <x:c r="H3032" s="37" t="n">
        <x:f t="shared" si="133">IFERROR(E3032/G3032-1,"")</x:f>
        <x:v>0.16705735021147117</x:v>
      </x:c>
      <x:c r="I3032" s="38" t="b">
        <x:f t="shared" si="134">E3032&lt;G3032</x:f>
        <x:v>0</x:v>
      </x:c>
    </x:row>
    <x:row r="3033">
      <x:c r="A3033" s="31">
        <x:v>41430</x:v>
      </x:c>
      <x:c r="B3033" s="32">
        <x:v>512.37</x:v>
      </x:c>
      <x:c r="C3033" s="32">
        <x:v>514.64</x:v>
      </x:c>
      <x:c r="D3033" s="32">
        <x:v>508.86</x:v>
      </x:c>
      <x:c r="E3033" s="32">
        <x:v>514.64</x:v>
      </x:c>
      <x:c r="F3033" s="33">
        <x:v>54216330</x:v>
      </x:c>
      <x:c r="G3033" s="32" t="n">
        <x:f t="shared" si="132">AVERAGE(E2834:E3033)</x:f>
        <x:v>438.03010000000023</x:v>
      </x:c>
      <x:c r="H3033" s="37" t="n">
        <x:f t="shared" si="133">IFERROR(E3033/G3033-1,"")</x:f>
        <x:v>0.17489642835047126</x:v>
      </x:c>
      <x:c r="I3033" s="38" t="b">
        <x:f t="shared" si="134">E3033&lt;G3033</x:f>
        <x:v>0</x:v>
      </x:c>
    </x:row>
    <x:row r="3034">
      <x:c r="A3034" s="31">
        <x:v>41431</x:v>
      </x:c>
      <x:c r="B3034" s="32">
        <x:v>513.42999999999995</x:v>
      </x:c>
      <x:c r="C3034" s="32">
        <x:v>521.28</x:v>
      </x:c>
      <x:c r="D3034" s="32">
        <x:v>513.16</x:v>
      </x:c>
      <x:c r="E3034" s="32">
        <x:v>520.9</x:v>
      </x:c>
      <x:c r="F3034" s="33">
        <x:v>69643400</x:v>
      </x:c>
      <x:c r="G3034" s="32" t="n">
        <x:f t="shared" si="132">AVERAGE(E2835:E3034)</x:f>
        <x:v>438.4872500000002</x:v>
      </x:c>
      <x:c r="H3034" s="37" t="n">
        <x:f t="shared" si="133">IFERROR(E3034/G3034-1,"")</x:f>
        <x:v>0.1879478821790137</x:v>
      </x:c>
      <x:c r="I3034" s="38" t="b">
        <x:f t="shared" si="134">E3034&lt;G3034</x:f>
        <x:v>0</x:v>
      </x:c>
    </x:row>
    <x:row r="3035">
      <x:c r="A3035" s="31">
        <x:v>41432</x:v>
      </x:c>
      <x:c r="B3035" s="32">
        <x:v>523.21</x:v>
      </x:c>
      <x:c r="C3035" s="32">
        <x:v>527.97</x:v>
      </x:c>
      <x:c r="D3035" s="32">
        <x:v>523.19000000000005</x:v>
      </x:c>
      <x:c r="E3035" s="32">
        <x:v>527.97</x:v>
      </x:c>
      <x:c r="F3035" s="33">
        <x:v>73350530</x:v>
      </x:c>
      <x:c r="G3035" s="32" t="n">
        <x:f t="shared" si="132">AVERAGE(E2836:E3035)</x:f>
        <x:v>438.9732500000002</x:v>
      </x:c>
      <x:c r="H3035" s="37" t="n">
        <x:f t="shared" si="133">IFERROR(E3035/G3035-1,"")</x:f>
        <x:v>0.20273843565638638</x:v>
      </x:c>
      <x:c r="I3035" s="38" t="b">
        <x:f t="shared" si="134">E3035&lt;G3035</x:f>
        <x:v>0</x:v>
      </x:c>
    </x:row>
    <x:row r="3036">
      <x:c r="A3036" s="31">
        <x:v>41435</x:v>
      </x:c>
      <x:c r="B3036" s="32">
        <x:v>530.97</x:v>
      </x:c>
      <x:c r="C3036" s="32">
        <x:v>533.15</x:v>
      </x:c>
      <x:c r="D3036" s="32">
        <x:v>524.55999999999995</x:v>
      </x:c>
      <x:c r="E3036" s="32">
        <x:v>524.55999999999995</x:v>
      </x:c>
      <x:c r="F3036" s="33">
        <x:v>75001890</x:v>
      </x:c>
      <x:c r="G3036" s="32" t="n">
        <x:f t="shared" si="132">AVERAGE(E2837:E3036)</x:f>
        <x:v>439.44190000000015</x:v>
      </x:c>
      <x:c r="H3036" s="37" t="n">
        <x:f t="shared" si="133">IFERROR(E3036/G3036-1,"")</x:f>
        <x:v>0.19369591292955857</x:v>
      </x:c>
      <x:c r="I3036" s="38" t="b">
        <x:f t="shared" si="134">E3036&lt;G3036</x:f>
        <x:v>0</x:v>
      </x:c>
    </x:row>
    <x:row r="3037">
      <x:c r="A3037" s="31">
        <x:v>41436</x:v>
      </x:c>
      <x:c r="B3037" s="32">
        <x:v>525.20000000000005</x:v>
      </x:c>
      <x:c r="C3037" s="32">
        <x:v>525.67999999999995</x:v>
      </x:c>
      <x:c r="D3037" s="32">
        <x:v>520.94000000000005</x:v>
      </x:c>
      <x:c r="E3037" s="32">
        <x:v>521.95000000000005</x:v>
      </x:c>
      <x:c r="F3037" s="33">
        <x:v>59009640</x:v>
      </x:c>
      <x:c r="G3037" s="32" t="n">
        <x:f t="shared" si="132">AVERAGE(E2838:E3037)</x:f>
        <x:v>439.88440000000014</x:v>
      </x:c>
      <x:c r="H3037" s="37" t="n">
        <x:f t="shared" si="133">IFERROR(E3037/G3037-1,"")</x:f>
        <x:v>0.1865617421304322</x:v>
      </x:c>
      <x:c r="I3037" s="38" t="b">
        <x:f t="shared" si="134">E3037&lt;G3037</x:f>
        <x:v>0</x:v>
      </x:c>
    </x:row>
    <x:row r="3038">
      <x:c r="A3038" s="31">
        <x:v>41437</x:v>
      </x:c>
      <x:c r="B3038" s="32">
        <x:v>521.21</x:v>
      </x:c>
      <x:c r="C3038" s="32">
        <x:v>524.91</x:v>
      </x:c>
      <x:c r="D3038" s="32">
        <x:v>518.24</x:v>
      </x:c>
      <x:c r="E3038" s="32">
        <x:v>518.24</x:v>
      </x:c>
      <x:c r="F3038" s="33">
        <x:v>64902640</x:v>
      </x:c>
      <x:c r="G3038" s="32" t="n">
        <x:f t="shared" si="132">AVERAGE(E2839:E3038)</x:f>
        <x:v>440.2892000000002</x:v>
      </x:c>
      <x:c r="H3038" s="37" t="n">
        <x:f t="shared" si="133">IFERROR(E3038/G3038-1,"")</x:f>
        <x:v>0.17704454254158342</x:v>
      </x:c>
      <x:c r="I3038" s="38" t="b">
        <x:f t="shared" si="134">E3038&lt;G3038</x:f>
        <x:v>0</x:v>
      </x:c>
    </x:row>
    <x:row r="3039">
      <x:c r="A3039" s="31">
        <x:v>41438</x:v>
      </x:c>
      <x:c r="B3039" s="32">
        <x:v>518.28</x:v>
      </x:c>
      <x:c r="C3039" s="32">
        <x:v>519.54</x:v>
      </x:c>
      <x:c r="D3039" s="32">
        <x:v>510.07</x:v>
      </x:c>
      <x:c r="E3039" s="32">
        <x:v>515.09</x:v>
      </x:c>
      <x:c r="F3039" s="33">
        <x:v>60674390</x:v>
      </x:c>
      <x:c r="G3039" s="32" t="n">
        <x:f t="shared" si="132">AVERAGE(E2840:E3039)</x:f>
        <x:v>440.7804500000002</x:v>
      </x:c>
      <x:c r="H3039" s="37" t="n">
        <x:f t="shared" si="133">IFERROR(E3039/G3039-1,"")</x:f>
        <x:v>0.1685863109400605</x:v>
      </x:c>
      <x:c r="I3039" s="38" t="b">
        <x:f t="shared" si="134">E3039&lt;G3039</x:f>
        <x:v>0</x:v>
      </x:c>
    </x:row>
    <x:row r="3040">
      <x:c r="A3040" s="31">
        <x:v>41439</x:v>
      </x:c>
      <x:c r="B3040" s="32">
        <x:v>517.14</x:v>
      </x:c>
      <x:c r="C3040" s="32">
        <x:v>518</x:v>
      </x:c>
      <x:c r="D3040" s="32">
        <x:v>509.03</x:v>
      </x:c>
      <x:c r="E3040" s="32">
        <x:v>509.03</x:v>
      </x:c>
      <x:c r="F3040" s="33">
        <x:v>58737880</x:v>
      </x:c>
      <x:c r="G3040" s="32" t="n">
        <x:f t="shared" si="132">AVERAGE(E2841:E3040)</x:f>
        <x:v>441.2744500000001</x:v>
      </x:c>
      <x:c r="H3040" s="37" t="n">
        <x:f t="shared" si="133">IFERROR(E3040/G3040-1,"")</x:f>
        <x:v>0.1535451463369335</x:v>
      </x:c>
      <x:c r="I3040" s="38" t="b">
        <x:f t="shared" si="134">E3040&lt;G3040</x:f>
        <x:v>0</x:v>
      </x:c>
    </x:row>
    <x:row r="3041">
      <x:c r="A3041" s="31">
        <x:v>41442</x:v>
      </x:c>
      <x:c r="B3041" s="32">
        <x:v>510.52</x:v>
      </x:c>
      <x:c r="C3041" s="32">
        <x:v>511.23</x:v>
      </x:c>
      <x:c r="D3041" s="32">
        <x:v>498.31</x:v>
      </x:c>
      <x:c r="E3041" s="32">
        <x:v>498.52</x:v>
      </x:c>
      <x:c r="F3041" s="33">
        <x:v>73309030</x:v>
      </x:c>
      <x:c r="G3041" s="32" t="n">
        <x:f t="shared" si="132">AVERAGE(E2842:E3041)</x:f>
        <x:v>441.8029500000002</x:v>
      </x:c>
      <x:c r="H3041" s="37" t="n">
        <x:f t="shared" si="133">IFERROR(E3041/G3041-1,"")</x:f>
        <x:v>0.12837634968258982</x:v>
      </x:c>
      <x:c r="I3041" s="38" t="b">
        <x:f t="shared" si="134">E3041&lt;G3041</x:f>
        <x:v>0</x:v>
      </x:c>
    </x:row>
    <x:row r="3042">
      <x:c r="A3042" s="31">
        <x:v>41443</x:v>
      </x:c>
      <x:c r="B3042" s="32">
        <x:v>501.58</x:v>
      </x:c>
      <x:c r="C3042" s="32">
        <x:v>504.11</x:v>
      </x:c>
      <x:c r="D3042" s="32">
        <x:v>500.61</x:v>
      </x:c>
      <x:c r="E3042" s="32">
        <x:v>503.37</x:v>
      </x:c>
      <x:c r="F3042" s="33">
        <x:v>51411630</x:v>
      </x:c>
      <x:c r="G3042" s="32" t="n">
        <x:f t="shared" si="132">AVERAGE(E2843:E3042)</x:f>
        <x:v>442.32120000000015</x:v>
      </x:c>
      <x:c r="H3042" s="37" t="n">
        <x:f t="shared" si="133">IFERROR(E3042/G3042-1,"")</x:f>
        <x:v>0.13801915892794603</x:v>
      </x:c>
      <x:c r="I3042" s="38" t="b">
        <x:f t="shared" si="134">E3042&lt;G3042</x:f>
        <x:v>0</x:v>
      </x:c>
    </x:row>
    <x:row r="3043">
      <x:c r="A3043" s="31">
        <x:v>41444</x:v>
      </x:c>
      <x:c r="B3043" s="32">
        <x:v>501.58</x:v>
      </x:c>
      <x:c r="C3043" s="32">
        <x:v>504.11</x:v>
      </x:c>
      <x:c r="D3043" s="32">
        <x:v>498.88</x:v>
      </x:c>
      <x:c r="E3043" s="32">
        <x:v>503.37</x:v>
      </x:c>
      <x:c r="F3043" s="33">
        <x:v>42149080</x:v>
      </x:c>
      <x:c r="G3043" s="32" t="n">
        <x:f t="shared" si="132">AVERAGE(E2844:E3043)</x:f>
        <x:v>442.9071000000001</x:v>
      </x:c>
      <x:c r="H3043" s="37" t="n">
        <x:f t="shared" si="133">IFERROR(E3043/G3043-1,"")</x:f>
        <x:v>0.13651372940284734</x:v>
      </x:c>
      <x:c r="I3043" s="38" t="b">
        <x:f t="shared" si="134">E3043&lt;G3043</x:f>
        <x:v>0</x:v>
      </x:c>
    </x:row>
    <x:row r="3044">
      <x:c r="A3044" s="31">
        <x:v>41445</x:v>
      </x:c>
      <x:c r="B3044" s="32">
        <x:v>502.22</x:v>
      </x:c>
      <x:c r="C3044" s="32">
        <x:v>503.75</x:v>
      </x:c>
      <x:c r="D3044" s="32">
        <x:v>498.55</x:v>
      </x:c>
      <x:c r="E3044" s="32">
        <x:v>499.51</x:v>
      </x:c>
      <x:c r="F3044" s="33">
        <x:v>48665180</x:v>
      </x:c>
      <x:c r="G3044" s="32" t="n">
        <x:f t="shared" si="132">AVERAGE(E2845:E3044)</x:f>
        <x:v>443.4757500000001</x:v>
      </x:c>
      <x:c r="H3044" s="37" t="n">
        <x:f t="shared" si="133">IFERROR(E3044/G3044-1,"")</x:f>
        <x:v>0.12635245557395147</x:v>
      </x:c>
      <x:c r="I3044" s="38" t="b">
        <x:f t="shared" si="134">E3044&lt;G3044</x:f>
        <x:v>0</x:v>
      </x:c>
    </x:row>
    <x:row r="3045">
      <x:c r="A3045" s="31">
        <x:v>41446</x:v>
      </x:c>
      <x:c r="B3045" s="32">
        <x:v>497.3</x:v>
      </x:c>
      <x:c r="C3045" s="32">
        <x:v>501.25</x:v>
      </x:c>
      <x:c r="D3045" s="32">
        <x:v>495.23</x:v>
      </x:c>
      <x:c r="E3045" s="32">
        <x:v>498.84</x:v>
      </x:c>
      <x:c r="F3045" s="33">
        <x:v>92632850</x:v>
      </x:c>
      <x:c r="G3045" s="32" t="n">
        <x:f t="shared" si="132">AVERAGE(E2846:E3045)</x:f>
        <x:v>444.00465</x:v>
      </x:c>
      <x:c r="H3045" s="37" t="n">
        <x:f t="shared" si="133">IFERROR(E3045/G3045-1,"")</x:f>
        <x:v>0.12350174711008077</x:v>
      </x:c>
      <x:c r="I3045" s="38" t="b">
        <x:f t="shared" si="134">E3045&lt;G3045</x:f>
        <x:v>0</x:v>
      </x:c>
    </x:row>
    <x:row r="3046">
      <x:c r="A3046" s="31">
        <x:v>41449</x:v>
      </x:c>
      <x:c r="B3046" s="32">
        <x:v>500.44</x:v>
      </x:c>
      <x:c r="C3046" s="32">
        <x:v>501.14</x:v>
      </x:c>
      <x:c r="D3046" s="32">
        <x:v>487.41</x:v>
      </x:c>
      <x:c r="E3046" s="32">
        <x:v>489.74</x:v>
      </x:c>
      <x:c r="F3046" s="33">
        <x:v>54963830</x:v>
      </x:c>
      <x:c r="G3046" s="32" t="n">
        <x:f t="shared" si="132">AVERAGE(E2847:E3046)</x:f>
        <x:v>444.4671000000001</x:v>
      </x:c>
      <x:c r="H3046" s="37" t="n">
        <x:f t="shared" si="133">IFERROR(E3046/G3046-1,"")</x:f>
        <x:v>0.1018588327460006</x:v>
      </x:c>
      <x:c r="I3046" s="38" t="b">
        <x:f t="shared" si="134">E3046&lt;G3046</x:f>
        <x:v>0</x:v>
      </x:c>
    </x:row>
    <x:row r="3047">
      <x:c r="A3047" s="31">
        <x:v>41450</x:v>
      </x:c>
      <x:c r="B3047" s="32">
        <x:v>487.04</x:v>
      </x:c>
      <x:c r="C3047" s="32">
        <x:v>488.55</x:v>
      </x:c>
      <x:c r="D3047" s="32">
        <x:v>466.78</x:v>
      </x:c>
      <x:c r="E3047" s="32">
        <x:v>473.02</x:v>
      </x:c>
      <x:c r="F3047" s="33">
        <x:v>82915860</x:v>
      </x:c>
      <x:c r="G3047" s="32" t="n">
        <x:f t="shared" si="132">AVERAGE(E2848:E3047)</x:f>
        <x:v>444.85210000000006</x:v>
      </x:c>
      <x:c r="H3047" s="37" t="n">
        <x:f t="shared" si="133">IFERROR(E3047/G3047-1,"")</x:f>
        <x:v>0.06331969659129388</x:v>
      </x:c>
      <x:c r="I3047" s="38" t="b">
        <x:f t="shared" si="134">E3047&lt;G3047</x:f>
        <x:v>0</x:v>
      </x:c>
    </x:row>
    <x:row r="3048">
      <x:c r="A3048" s="31">
        <x:v>41451</x:v>
      </x:c>
      <x:c r="B3048" s="32">
        <x:v>473.26</x:v>
      </x:c>
      <x:c r="C3048" s="32">
        <x:v>476.47</x:v>
      </x:c>
      <x:c r="D3048" s="32">
        <x:v>466.41</x:v>
      </x:c>
      <x:c r="E3048" s="32">
        <x:v>473.53</x:v>
      </x:c>
      <x:c r="F3048" s="33">
        <x:v>51883710</x:v>
      </x:c>
      <x:c r="G3048" s="32" t="n">
        <x:f t="shared" si="132">AVERAGE(E2849:E3048)</x:f>
        <x:v>445.20935000000003</x:v>
      </x:c>
      <x:c r="H3048" s="37" t="n">
        <x:f t="shared" si="133">IFERROR(E3048/G3048-1,"")</x:f>
        <x:v>0.06361198389027534</x:v>
      </x:c>
      <x:c r="I3048" s="38" t="b">
        <x:f t="shared" si="134">E3048&lt;G3048</x:f>
        <x:v>0</x:v>
      </x:c>
    </x:row>
    <x:row r="3049">
      <x:c r="A3049" s="31">
        <x:v>41452</x:v>
      </x:c>
      <x:c r="B3049" s="32">
        <x:v>476.33</x:v>
      </x:c>
      <x:c r="C3049" s="32">
        <x:v>482.95</x:v>
      </x:c>
      <x:c r="D3049" s="32">
        <x:v>475</x:v>
      </x:c>
      <x:c r="E3049" s="32">
        <x:v>482.95</x:v>
      </x:c>
      <x:c r="F3049" s="33">
        <x:v>42119150</x:v>
      </x:c>
      <x:c r="G3049" s="32" t="n">
        <x:f t="shared" si="132">AVERAGE(E2850:E3049)</x:f>
        <x:v>445.62949999999995</x:v>
      </x:c>
      <x:c r="H3049" s="37" t="n">
        <x:f t="shared" si="133">IFERROR(E3049/G3049-1,"")</x:f>
        <x:v>0.08374782190137786</x:v>
      </x:c>
      <x:c r="I3049" s="38" t="b">
        <x:f t="shared" si="134">E3049&lt;G3049</x:f>
        <x:v>0</x:v>
      </x:c>
    </x:row>
    <x:row r="3050">
      <x:c r="A3050" s="31">
        <x:v>41453</x:v>
      </x:c>
      <x:c r="B3050" s="32">
        <x:v>484.84</x:v>
      </x:c>
      <x:c r="C3050" s="32">
        <x:v>485.94</x:v>
      </x:c>
      <x:c r="D3050" s="32">
        <x:v>479.94</x:v>
      </x:c>
      <x:c r="E3050" s="32">
        <x:v>481.13</x:v>
      </x:c>
      <x:c r="F3050" s="33">
        <x:v>42072790</x:v>
      </x:c>
      <x:c r="G3050" s="32" t="n">
        <x:f t="shared" si="132">AVERAGE(E2851:E3050)</x:f>
        <x:v>446.06809999999996</x:v>
      </x:c>
      <x:c r="H3050" s="37" t="n">
        <x:f t="shared" si="133">IFERROR(E3050/G3050-1,"")</x:f>
        <x:v>0.07860212375644005</x:v>
      </x:c>
      <x:c r="I3050" s="38" t="b">
        <x:f t="shared" si="134">E3050&lt;G3050</x:f>
        <x:v>0</x:v>
      </x:c>
    </x:row>
    <x:row r="3051">
      <x:c r="A3051" s="31">
        <x:v>41456</x:v>
      </x:c>
      <x:c r="B3051" s="32">
        <x:v>478.98</x:v>
      </x:c>
      <x:c r="C3051" s="32">
        <x:v>482.03</x:v>
      </x:c>
      <x:c r="D3051" s="32">
        <x:v>475.26</x:v>
      </x:c>
      <x:c r="E3051" s="32">
        <x:v>480.04</x:v>
      </x:c>
      <x:c r="F3051" s="33">
        <x:v>30796540</x:v>
      </x:c>
      <x:c r="G3051" s="32" t="n">
        <x:f t="shared" si="132">AVERAGE(E2852:E3051)</x:f>
        <x:v>446.48074999999994</x:v>
      </x:c>
      <x:c r="H3051" s="37" t="n">
        <x:f t="shared" si="133">IFERROR(E3051/G3051-1,"")</x:f>
        <x:v>0.07516393483929606</x:v>
      </x:c>
      <x:c r="I3051" s="38" t="b">
        <x:f t="shared" si="134">E3051&lt;G3051</x:f>
        <x:v>0</x:v>
      </x:c>
    </x:row>
    <x:row r="3052">
      <x:c r="A3052" s="31">
        <x:v>41457</x:v>
      </x:c>
      <x:c r="B3052" s="32">
        <x:v>480.72</x:v>
      </x:c>
      <x:c r="C3052" s="32">
        <x:v>490.14</x:v>
      </x:c>
      <x:c r="D3052" s="32">
        <x:v>480.72</x:v>
      </x:c>
      <x:c r="E3052" s="32">
        <x:v>489.84</x:v>
      </x:c>
      <x:c r="F3052" s="33">
        <x:v>32480660</x:v>
      </x:c>
      <x:c r="G3052" s="32" t="n">
        <x:f t="shared" si="132">AVERAGE(E2853:E3052)</x:f>
        <x:v>446.98554999999993</x:v>
      </x:c>
      <x:c r="H3052" s="37" t="n">
        <x:f t="shared" si="133">IFERROR(E3052/G3052-1,"")</x:f>
        <x:v>0.09587435209035289</x:v>
      </x:c>
      <x:c r="I3052" s="38" t="b">
        <x:f t="shared" si="134">E3052&lt;G3052</x:f>
        <x:v>0</x:v>
      </x:c>
    </x:row>
    <x:row r="3053">
      <x:c r="A3053" s="31">
        <x:v>41458</x:v>
      </x:c>
      <x:c r="B3053" s="32">
        <x:v>489.81</x:v>
      </x:c>
      <x:c r="C3053" s="32">
        <x:v>492.93</x:v>
      </x:c>
      <x:c r="D3053" s="32">
        <x:v>487.11</x:v>
      </x:c>
      <x:c r="E3053" s="32">
        <x:v>487.35</x:v>
      </x:c>
      <x:c r="F3053" s="33">
        <x:v>36474440</x:v>
      </x:c>
      <x:c r="G3053" s="32" t="n">
        <x:f t="shared" si="132">AVERAGE(E2854:E3053)</x:f>
        <x:v>447.4892</x:v>
      </x:c>
      <x:c r="H3053" s="37" t="n">
        <x:f t="shared" si="133">IFERROR(E3053/G3053-1,"")</x:f>
        <x:v>0.08907656318856416</x:v>
      </x:c>
      <x:c r="I3053" s="38" t="b">
        <x:f t="shared" si="134">E3053&lt;G3053</x:f>
        <x:v>0</x:v>
      </x:c>
    </x:row>
    <x:row r="3054">
      <x:c r="A3054" s="31">
        <x:v>41459</x:v>
      </x:c>
      <x:c r="B3054" s="32">
        <x:v>489.23</x:v>
      </x:c>
      <x:c r="C3054" s="32">
        <x:v>490.65</x:v>
      </x:c>
      <x:c r="D3054" s="32">
        <x:v>486.49</x:v>
      </x:c>
      <x:c r="E3054" s="32">
        <x:v>487.22</x:v>
      </x:c>
      <x:c r="F3054" s="33">
        <x:v>36277730</x:v>
      </x:c>
      <x:c r="G3054" s="32" t="n">
        <x:f t="shared" si="132">AVERAGE(E2855:E3054)</x:f>
        <x:v>447.98355</x:v>
      </x:c>
      <x:c r="H3054" s="37" t="n">
        <x:f t="shared" si="133">IFERROR(E3054/G3054-1,"")</x:f>
        <x:v>0.08758457760335192</x:v>
      </x:c>
      <x:c r="I3054" s="38" t="b">
        <x:f t="shared" si="134">E3054&lt;G3054</x:f>
        <x:v>0</x:v>
      </x:c>
    </x:row>
    <x:row r="3055">
      <x:c r="A3055" s="31">
        <x:v>41460</x:v>
      </x:c>
      <x:c r="B3055" s="32">
        <x:v>488.06</x:v>
      </x:c>
      <x:c r="C3055" s="32">
        <x:v>489.99</x:v>
      </x:c>
      <x:c r="D3055" s="32">
        <x:v>485.22</x:v>
      </x:c>
      <x:c r="E3055" s="32">
        <x:v>485.66</x:v>
      </x:c>
      <x:c r="F3055" s="33">
        <x:v>37205860</x:v>
      </x:c>
      <x:c r="G3055" s="32" t="n">
        <x:f t="shared" si="132">AVERAGE(E2856:E3055)</x:f>
        <x:v>448.45504999999997</x:v>
      </x:c>
      <x:c r="H3055" s="37" t="n">
        <x:f t="shared" si="133">IFERROR(E3055/G3055-1,"")</x:f>
        <x:v>0.0829624953493111</x:v>
      </x:c>
      <x:c r="I3055" s="38" t="b">
        <x:f t="shared" si="134">E3055&lt;G3055</x:f>
        <x:v>0</x:v>
      </x:c>
    </x:row>
    <x:row r="3056">
      <x:c r="A3056" s="31">
        <x:v>41463</x:v>
      </x:c>
      <x:c r="B3056" s="32">
        <x:v>485.24</x:v>
      </x:c>
      <x:c r="C3056" s="32">
        <x:v>485.95</x:v>
      </x:c>
      <x:c r="D3056" s="32">
        <x:v>480.58</x:v>
      </x:c>
      <x:c r="E3056" s="32">
        <x:v>482.77</x:v>
      </x:c>
      <x:c r="F3056" s="33">
        <x:v>32633300</x:v>
      </x:c>
      <x:c r="G3056" s="32" t="n">
        <x:f t="shared" si="132">AVERAGE(E2857:E3056)</x:f>
        <x:v>448.87455</x:v>
      </x:c>
      <x:c r="H3056" s="37" t="n">
        <x:f t="shared" si="133">IFERROR(E3056/G3056-1,"")</x:f>
        <x:v>0.07551207792912296</x:v>
      </x:c>
      <x:c r="I3056" s="38" t="b">
        <x:f t="shared" si="134">E3056&lt;G3056</x:f>
        <x:v>0</x:v>
      </x:c>
    </x:row>
    <x:row r="3057">
      <x:c r="A3057" s="31">
        <x:v>41464</x:v>
      </x:c>
      <x:c r="B3057" s="32">
        <x:v>483.96</x:v>
      </x:c>
      <x:c r="C3057" s="32">
        <x:v>485.5</x:v>
      </x:c>
      <x:c r="D3057" s="32">
        <x:v>481.14</x:v>
      </x:c>
      <x:c r="E3057" s="32">
        <x:v>485.5</x:v>
      </x:c>
      <x:c r="F3057" s="33">
        <x:v>26299100</x:v>
      </x:c>
      <x:c r="G3057" s="32" t="n">
        <x:f t="shared" si="132">AVERAGE(E2858:E3057)</x:f>
        <x:v>449.29330000000004</x:v>
      </x:c>
      <x:c r="H3057" s="37" t="n">
        <x:f t="shared" si="133">IFERROR(E3057/G3057-1,"")</x:f>
        <x:v>0.08058588899500596</x:v>
      </x:c>
      <x:c r="I3057" s="38" t="b">
        <x:f t="shared" si="134">E3057&lt;G3057</x:f>
        <x:v>0</x:v>
      </x:c>
    </x:row>
    <x:row r="3058">
      <x:c r="A3058" s="31">
        <x:v>41465</x:v>
      </x:c>
      <x:c r="B3058" s="32">
        <x:v>487.81</x:v>
      </x:c>
      <x:c r="C3058" s="32">
        <x:v>489.83</x:v>
      </x:c>
      <x:c r="D3058" s="32">
        <x:v>484.43</x:v>
      </x:c>
      <x:c r="E3058" s="32">
        <x:v>484.43</x:v>
      </x:c>
      <x:c r="F3058" s="33">
        <x:v>28250930</x:v>
      </x:c>
      <x:c r="G3058" s="32" t="n">
        <x:f t="shared" si="132">AVERAGE(E2859:E3058)</x:f>
        <x:v>449.7429</x:v>
      </x:c>
      <x:c r="H3058" s="37" t="n">
        <x:f t="shared" si="133">IFERROR(E3058/G3058-1,"")</x:f>
        <x:v>0.07712650939014254</x:v>
      </x:c>
      <x:c r="I3058" s="38" t="b">
        <x:f t="shared" si="134">E3058&lt;G3058</x:f>
        <x:v>0</x:v>
      </x:c>
    </x:row>
    <x:row r="3059">
      <x:c r="A3059" s="31">
        <x:v>41466</x:v>
      </x:c>
      <x:c r="B3059" s="32">
        <x:v>484.38</x:v>
      </x:c>
      <x:c r="C3059" s="32">
        <x:v>485.44</x:v>
      </x:c>
      <x:c r="D3059" s="32">
        <x:v>482.11</x:v>
      </x:c>
      <x:c r="E3059" s="32">
        <x:v>484.47</x:v>
      </x:c>
      <x:c r="F3059" s="33">
        <x:v>28820560</x:v>
      </x:c>
      <x:c r="G3059" s="32" t="n">
        <x:f t="shared" si="132">AVERAGE(E2860:E3059)</x:f>
        <x:v>450.19249999999994</x:v>
      </x:c>
      <x:c r="H3059" s="37" t="n">
        <x:f t="shared" si="133">IFERROR(E3059/G3059-1,"")</x:f>
        <x:v>0.07613965137135792</x:v>
      </x:c>
      <x:c r="I3059" s="38" t="b">
        <x:f t="shared" si="134">E3059&lt;G3059</x:f>
        <x:v>0</x:v>
      </x:c>
    </x:row>
    <x:row r="3060">
      <x:c r="A3060" s="31">
        <x:v>41467</x:v>
      </x:c>
      <x:c r="B3060" s="32">
        <x:v>485.14</x:v>
      </x:c>
      <x:c r="C3060" s="32">
        <x:v>493.99</x:v>
      </x:c>
      <x:c r="D3060" s="32">
        <x:v>485.13</x:v>
      </x:c>
      <x:c r="E3060" s="32">
        <x:v>493.99</x:v>
      </x:c>
      <x:c r="F3060" s="33">
        <x:v>47906230</x:v>
      </x:c>
      <x:c r="G3060" s="32" t="n">
        <x:f t="shared" si="132">AVERAGE(E2861:E3060)</x:f>
        <x:v>450.7160499999999</x:v>
      </x:c>
      <x:c r="H3060" s="37" t="n">
        <x:f t="shared" si="133">IFERROR(E3060/G3060-1,"")</x:f>
        <x:v>0.09601155760927549</x:v>
      </x:c>
      <x:c r="I3060" s="38" t="b">
        <x:f t="shared" si="134">E3060&lt;G3060</x:f>
        <x:v>0</x:v>
      </x:c>
    </x:row>
    <x:row r="3061">
      <x:c r="A3061" s="31">
        <x:v>41470</x:v>
      </x:c>
      <x:c r="B3061" s="32">
        <x:v>496.12</x:v>
      </x:c>
      <x:c r="C3061" s="32">
        <x:v>498.32</x:v>
      </x:c>
      <x:c r="D3061" s="32">
        <x:v>492.95</x:v>
      </x:c>
      <x:c r="E3061" s="32">
        <x:v>494.1</x:v>
      </x:c>
      <x:c r="F3061" s="33">
        <x:v>41664550</x:v>
      </x:c>
      <x:c r="G3061" s="32" t="n">
        <x:f t="shared" si="132">AVERAGE(E2862:E3061)</x:f>
        <x:v>451.2091499999999</x:v>
      </x:c>
      <x:c r="H3061" s="37" t="n">
        <x:f t="shared" si="133">IFERROR(E3061/G3061-1,"")</x:f>
        <x:v>0.09505758028178302</x:v>
      </x:c>
      <x:c r="I3061" s="38" t="b">
        <x:f t="shared" si="134">E3061&lt;G3061</x:f>
        <x:v>0</x:v>
      </x:c>
    </x:row>
    <x:row r="3062">
      <x:c r="A3062" s="31">
        <x:v>41471</x:v>
      </x:c>
      <x:c r="B3062" s="32">
        <x:v>494.66</x:v>
      </x:c>
      <x:c r="C3062" s="32">
        <x:v>497.83</x:v>
      </x:c>
      <x:c r="D3062" s="32">
        <x:v>493.74</x:v>
      </x:c>
      <x:c r="E3062" s="32">
        <x:v>496.22</x:v>
      </x:c>
      <x:c r="F3062" s="33">
        <x:v>40224850</x:v>
      </x:c>
      <x:c r="G3062" s="32" t="n">
        <x:f t="shared" si="132">AVERAGE(E2863:E3062)</x:f>
        <x:v>451.7383999999999</x:v>
      </x:c>
      <x:c r="H3062" s="37" t="n">
        <x:f t="shared" si="133">IFERROR(E3062/G3062-1,"")</x:f>
        <x:v>0.09846760868679771</x:v>
      </x:c>
      <x:c r="I3062" s="38" t="b">
        <x:f t="shared" si="134">E3062&lt;G3062</x:f>
        <x:v>0</x:v>
      </x:c>
    </x:row>
    <x:row r="3063">
      <x:c r="A3063" s="31">
        <x:v>41472</x:v>
      </x:c>
      <x:c r="B3063" s="32">
        <x:v>496.38</x:v>
      </x:c>
      <x:c r="C3063" s="32">
        <x:v>497.98</x:v>
      </x:c>
      <x:c r="D3063" s="32">
        <x:v>493.37</x:v>
      </x:c>
      <x:c r="E3063" s="32">
        <x:v>497.5</x:v>
      </x:c>
      <x:c r="F3063" s="33">
        <x:v>41625080</x:v>
      </x:c>
      <x:c r="G3063" s="32" t="n">
        <x:f t="shared" si="132">AVERAGE(E2864:E3063)</x:f>
        <x:v>452.26704999999987</x:v>
      </x:c>
      <x:c r="H3063" s="37" t="n">
        <x:f t="shared" si="133">IFERROR(E3063/G3063-1,"")</x:f>
        <x:v>0.10001380821353267</x:v>
      </x:c>
      <x:c r="I3063" s="38" t="b">
        <x:f t="shared" si="134">E3063&lt;G3063</x:f>
        <x:v>0</x:v>
      </x:c>
    </x:row>
    <x:row r="3064">
      <x:c r="A3064" s="31">
        <x:v>41473</x:v>
      </x:c>
      <x:c r="B3064" s="32">
        <x:v>495.68</x:v>
      </x:c>
      <x:c r="C3064" s="32">
        <x:v>500.51</x:v>
      </x:c>
      <x:c r="D3064" s="32">
        <x:v>494.23</x:v>
      </x:c>
      <x:c r="E3064" s="32">
        <x:v>496.84</x:v>
      </x:c>
      <x:c r="F3064" s="33">
        <x:v>49439580</x:v>
      </x:c>
      <x:c r="G3064" s="32" t="n">
        <x:f t="shared" si="132">AVERAGE(E2865:E3064)</x:f>
        <x:v>452.77564999999987</x:v>
      </x:c>
      <x:c r="H3064" s="37" t="n">
        <x:f t="shared" si="133">IFERROR(E3064/G3064-1,"")</x:f>
        <x:v>0.09732049415643296</x:v>
      </x:c>
      <x:c r="I3064" s="38" t="b">
        <x:f t="shared" si="134">E3064&lt;G3064</x:f>
        <x:v>0</x:v>
      </x:c>
    </x:row>
    <x:row r="3065">
      <x:c r="A3065" s="31">
        <x:v>41474</x:v>
      </x:c>
      <x:c r="B3065" s="32">
        <x:v>499.64</x:v>
      </x:c>
      <x:c r="C3065" s="32">
        <x:v>505.38</x:v>
      </x:c>
      <x:c r="D3065" s="32">
        <x:v>499.28</x:v>
      </x:c>
      <x:c r="E3065" s="32">
        <x:v>503.76</x:v>
      </x:c>
      <x:c r="F3065" s="33">
        <x:v>42574930</x:v>
      </x:c>
      <x:c r="G3065" s="32" t="n">
        <x:f t="shared" si="132">AVERAGE(E2866:E3065)</x:f>
        <x:v>453.3277499999998</x:v>
      </x:c>
      <x:c r="H3065" s="37" t="n">
        <x:f t="shared" si="133">IFERROR(E3065/G3065-1,"")</x:f>
        <x:v>0.11124898045619358</x:v>
      </x:c>
      <x:c r="I3065" s="38" t="b">
        <x:f t="shared" si="134">E3065&lt;G3065</x:f>
        <x:v>0</x:v>
      </x:c>
    </x:row>
    <x:row r="3066">
      <x:c r="A3066" s="31">
        <x:v>41477</x:v>
      </x:c>
      <x:c r="B3066" s="32">
        <x:v>505.11</x:v>
      </x:c>
      <x:c r="C3066" s="32">
        <x:v>507.71</x:v>
      </x:c>
      <x:c r="D3066" s="32">
        <x:v>501.63</x:v>
      </x:c>
      <x:c r="E3066" s="32">
        <x:v>506.16</x:v>
      </x:c>
      <x:c r="F3066" s="33">
        <x:v>48725640</x:v>
      </x:c>
      <x:c r="G3066" s="32" t="n">
        <x:f t="shared" si="132">AVERAGE(E2867:E3066)</x:f>
        <x:v>453.8956999999998</x:v>
      </x:c>
      <x:c r="H3066" s="37" t="n">
        <x:f t="shared" si="133">IFERROR(E3066/G3066-1,"")</x:f>
        <x:v>0.11514605668218536</x:v>
      </x:c>
      <x:c r="I3066" s="38" t="b">
        <x:f t="shared" si="134">E3066&lt;G3066</x:f>
        <x:v>0</x:v>
      </x:c>
    </x:row>
    <x:row r="3067">
      <x:c r="A3067" s="31">
        <x:v>41478</x:v>
      </x:c>
      <x:c r="B3067" s="32">
        <x:v>506.59</x:v>
      </x:c>
      <x:c r="C3067" s="32">
        <x:v>508.64</x:v>
      </x:c>
      <x:c r="D3067" s="32">
        <x:v>504.22</x:v>
      </x:c>
      <x:c r="E3067" s="32">
        <x:v>504.29</x:v>
      </x:c>
      <x:c r="F3067" s="33">
        <x:v>47077480</x:v>
      </x:c>
      <x:c r="G3067" s="32" t="n">
        <x:f t="shared" si="132">AVERAGE(E2868:E3067)</x:f>
        <x:v>454.4843999999998</x:v>
      </x:c>
      <x:c r="H3067" s="37" t="n">
        <x:f t="shared" si="133">IFERROR(E3067/G3067-1,"")</x:f>
        <x:v>0.10958703973117712</x:v>
      </x:c>
      <x:c r="I3067" s="38" t="b">
        <x:f t="shared" si="134">E3067&lt;G3067</x:f>
        <x:v>0</x:v>
      </x:c>
    </x:row>
    <x:row r="3068">
      <x:c r="A3068" s="31">
        <x:v>41479</x:v>
      </x:c>
      <x:c r="B3068" s="32">
        <x:v>503.67</x:v>
      </x:c>
      <x:c r="C3068" s="32">
        <x:v>504.27</x:v>
      </x:c>
      <x:c r="D3068" s="32">
        <x:v>493.36</x:v>
      </x:c>
      <x:c r="E3068" s="32">
        <x:v>494.18</x:v>
      </x:c>
      <x:c r="F3068" s="33">
        <x:v>55245500</x:v>
      </x:c>
      <x:c r="G3068" s="32" t="n">
        <x:f t="shared" si="132">AVERAGE(E2869:E3068)</x:f>
        <x:v>455.0336999999997</x:v>
      </x:c>
      <x:c r="H3068" s="37" t="n">
        <x:f t="shared" si="133">IFERROR(E3068/G3068-1,"")</x:f>
        <x:v>0.08602945232408121</x:v>
      </x:c>
      <x:c r="I3068" s="38" t="b">
        <x:f t="shared" si="134">E3068&lt;G3068</x:f>
        <x:v>0</x:v>
      </x:c>
    </x:row>
    <x:row r="3069">
      <x:c r="A3069" s="31">
        <x:v>41480</x:v>
      </x:c>
      <x:c r="B3069" s="32">
        <x:v>493.75</x:v>
      </x:c>
      <x:c r="C3069" s="32">
        <x:v>495.85</x:v>
      </x:c>
      <x:c r="D3069" s="32">
        <x:v>491.71</x:v>
      </x:c>
      <x:c r="E3069" s="32">
        <x:v>491.78</x:v>
      </x:c>
      <x:c r="F3069" s="33">
        <x:v>41317890</x:v>
      </x:c>
      <x:c r="G3069" s="32" t="n">
        <x:f t="shared" si="132">AVERAGE(E2870:E3069)</x:f>
        <x:v>455.5657499999997</x:v>
      </x:c>
      <x:c r="H3069" s="37" t="n">
        <x:f t="shared" si="133">IFERROR(E3069/G3069-1,"")</x:f>
        <x:v>0.07949291622559485</x:v>
      </x:c>
      <x:c r="I3069" s="38" t="b">
        <x:f t="shared" si="134">E3069&lt;G3069</x:f>
        <x:v>0</x:v>
      </x:c>
    </x:row>
    <x:row r="3070">
      <x:c r="A3070" s="31">
        <x:v>41481</x:v>
      </x:c>
      <x:c r="B3070" s="32">
        <x:v>493.5</x:v>
      </x:c>
      <x:c r="C3070" s="32">
        <x:v>495.16</x:v>
      </x:c>
      <x:c r="D3070" s="32">
        <x:v>487.92</x:v>
      </x:c>
      <x:c r="E3070" s="32">
        <x:v>493.93</x:v>
      </x:c>
      <x:c r="F3070" s="33">
        <x:v>40361070</x:v>
      </x:c>
      <x:c r="G3070" s="32" t="n">
        <x:f t="shared" si="132">AVERAGE(E2871:E3070)</x:f>
        <x:v>456.1128499999997</x:v>
      </x:c>
      <x:c r="H3070" s="37" t="n">
        <x:f t="shared" si="133">IFERROR(E3070/G3070-1,"")</x:f>
        <x:v>0.08291182763213167</x:v>
      </x:c>
      <x:c r="I3070" s="38" t="b">
        <x:f t="shared" si="134">E3070&lt;G3070</x:f>
        <x:v>0</x:v>
      </x:c>
    </x:row>
    <x:row r="3071">
      <x:c r="A3071" s="31">
        <x:v>41484</x:v>
      </x:c>
      <x:c r="B3071" s="32">
        <x:v>493.81</x:v>
      </x:c>
      <x:c r="C3071" s="32">
        <x:v>494.36</x:v>
      </x:c>
      <x:c r="D3071" s="32">
        <x:v>485.56</x:v>
      </x:c>
      <x:c r="E3071" s="32">
        <x:v>485.69</x:v>
      </x:c>
      <x:c r="F3071" s="33">
        <x:v>29602500</x:v>
      </x:c>
      <x:c r="G3071" s="32" t="n">
        <x:f t="shared" si="132">AVERAGE(E2872:E3071)</x:f>
        <x:v>456.60049999999967</x:v>
      </x:c>
      <x:c r="H3071" s="37" t="n">
        <x:f t="shared" si="133">IFERROR(E3071/G3071-1,"")</x:f>
        <x:v>0.06370886584662161</x:v>
      </x:c>
      <x:c r="I3071" s="38" t="b">
        <x:f t="shared" si="134">E3071&lt;G3071</x:f>
        <x:v>0</x:v>
      </x:c>
    </x:row>
    <x:row r="3072">
      <x:c r="A3072" s="31">
        <x:v>41485</x:v>
      </x:c>
      <x:c r="B3072" s="32">
        <x:v>485.78</x:v>
      </x:c>
      <x:c r="C3072" s="32">
        <x:v>490.36</x:v>
      </x:c>
      <x:c r="D3072" s="32">
        <x:v>485.74</x:v>
      </x:c>
      <x:c r="E3072" s="32">
        <x:v>488.54</x:v>
      </x:c>
      <x:c r="F3072" s="33">
        <x:v>26663830</x:v>
      </x:c>
      <x:c r="G3072" s="32" t="n">
        <x:f t="shared" si="132">AVERAGE(E2873:E3072)</x:f>
        <x:v>457.0759499999996</x:v>
      </x:c>
      <x:c r="H3072" s="37" t="n">
        <x:f t="shared" si="133">IFERROR(E3072/G3072-1,"")</x:f>
        <x:v>0.06883768441546856</x:v>
      </x:c>
      <x:c r="I3072" s="38" t="b">
        <x:f t="shared" si="134">E3072&lt;G3072</x:f>
        <x:v>0</x:v>
      </x:c>
    </x:row>
    <x:row r="3073">
      <x:c r="A3073" s="31">
        <x:v>41486</x:v>
      </x:c>
      <x:c r="B3073" s="32">
        <x:v>488.1</x:v>
      </x:c>
      <x:c r="C3073" s="32">
        <x:v>493.1</x:v>
      </x:c>
      <x:c r="D3073" s="32">
        <x:v>487.1</x:v>
      </x:c>
      <x:c r="E3073" s="32">
        <x:v>491.85</x:v>
      </x:c>
      <x:c r="F3073" s="33">
        <x:v>24088410</x:v>
      </x:c>
      <x:c r="G3073" s="32" t="n">
        <x:f t="shared" si="132">AVERAGE(E2874:E3073)</x:f>
        <x:v>457.5668499999997</x:v>
      </x:c>
      <x:c r="H3073" s="37" t="n">
        <x:f t="shared" si="133">IFERROR(E3073/G3073-1,"")</x:f>
        <x:v>0.07492489895192445</x:v>
      </x:c>
      <x:c r="I3073" s="38" t="b">
        <x:f t="shared" si="134">E3073&lt;G3073</x:f>
        <x:v>0</x:v>
      </x:c>
    </x:row>
    <x:row r="3074">
      <x:c r="A3074" s="31">
        <x:v>41487</x:v>
      </x:c>
      <x:c r="B3074" s="32">
        <x:v>490.9</x:v>
      </x:c>
      <x:c r="C3074" s="32">
        <x:v>494.31</x:v>
      </x:c>
      <x:c r="D3074" s="32">
        <x:v>489.57</x:v>
      </x:c>
      <x:c r="E3074" s="32">
        <x:v>492.43</x:v>
      </x:c>
      <x:c r="F3074" s="33">
        <x:v>27992370</x:v>
      </x:c>
      <x:c r="G3074" s="32" t="n">
        <x:f t="shared" si="132">AVERAGE(E2875:E3074)</x:f>
        <x:v>458.05569999999966</x:v>
      </x:c>
      <x:c r="H3074" s="37" t="n">
        <x:f t="shared" si="133">IFERROR(E3074/G3074-1,"")</x:f>
        <x:v>0.07504393024691192</x:v>
      </x:c>
      <x:c r="I3074" s="38" t="b">
        <x:f t="shared" si="134">E3074&lt;G3074</x:f>
        <x:v>0</x:v>
      </x:c>
    </x:row>
    <x:row r="3075">
      <x:c r="A3075" s="31">
        <x:v>41488</x:v>
      </x:c>
      <x:c r="B3075" s="32">
        <x:v>493.33</x:v>
      </x:c>
      <x:c r="C3075" s="32">
        <x:v>495.71</x:v>
      </x:c>
      <x:c r="D3075" s="32">
        <x:v>493.02</x:v>
      </x:c>
      <x:c r="E3075" s="32">
        <x:v>494.66</x:v>
      </x:c>
      <x:c r="F3075" s="33">
        <x:v>24490540</x:v>
      </x:c>
      <x:c r="G3075" s="32" t="n">
        <x:f t="shared" si="132">AVERAGE(E2876:E3075)</x:f>
        <x:v>458.5580499999997</x:v>
      </x:c>
      <x:c r="H3075" s="37" t="n">
        <x:f t="shared" si="133">IFERROR(E3075/G3075-1,"")</x:f>
        <x:v>0.07872929065360501</x:v>
      </x:c>
      <x:c r="I3075" s="38" t="b">
        <x:f t="shared" si="134">E3075&lt;G3075</x:f>
        <x:v>0</x:v>
      </x:c>
    </x:row>
    <x:row r="3076">
      <x:c r="A3076" s="31">
        <x:v>41491</x:v>
      </x:c>
      <x:c r="B3076" s="32">
        <x:v>494.38</x:v>
      </x:c>
      <x:c r="C3076" s="32">
        <x:v>496.74</x:v>
      </x:c>
      <x:c r="D3076" s="32">
        <x:v>492.75</x:v>
      </x:c>
      <x:c r="E3076" s="32">
        <x:v>493.66</x:v>
      </x:c>
      <x:c r="F3076" s="33">
        <x:v>24131750</x:v>
      </x:c>
      <x:c r="G3076" s="32" t="n">
        <x:f t="shared" si="132">AVERAGE(E2877:E3076)</x:f>
        <x:v>459.0636499999997</x:v>
      </x:c>
      <x:c r="H3076" s="37" t="n">
        <x:f t="shared" si="133">IFERROR(E3076/G3076-1,"")</x:f>
        <x:v>0.0753628609017516</x:v>
      </x:c>
      <x:c r="I3076" s="38" t="b">
        <x:f t="shared" si="134">E3076&lt;G3076</x:f>
        <x:v>0</x:v>
      </x:c>
    </x:row>
    <x:row r="3077">
      <x:c r="A3077" s="31">
        <x:v>41492</x:v>
      </x:c>
      <x:c r="B3077" s="32">
        <x:v>492.69</x:v>
      </x:c>
      <x:c r="C3077" s="32">
        <x:v>496.56</x:v>
      </x:c>
      <x:c r="D3077" s="32">
        <x:v>491.91</x:v>
      </x:c>
      <x:c r="E3077" s="32">
        <x:v>496.56</x:v>
      </x:c>
      <x:c r="F3077" s="33">
        <x:v>29499900</x:v>
      </x:c>
      <x:c r="G3077" s="32" t="n">
        <x:f t="shared" si="132">AVERAGE(E2878:E3077)</x:f>
        <x:v>459.5886499999997</x:v>
      </x:c>
      <x:c r="H3077" s="37" t="n">
        <x:f t="shared" si="133">IFERROR(E3077/G3077-1,"")</x:f>
        <x:v>0.08044443656300104</x:v>
      </x:c>
      <x:c r="I3077" s="38" t="b">
        <x:f t="shared" si="134">E3077&lt;G3077</x:f>
        <x:v>0</x:v>
      </x:c>
    </x:row>
    <x:row r="3078">
      <x:c r="A3078" s="31">
        <x:v>41493</x:v>
      </x:c>
      <x:c r="B3078" s="32">
        <x:v>496.95</x:v>
      </x:c>
      <x:c r="C3078" s="32">
        <x:v>502.26</x:v>
      </x:c>
      <x:c r="D3078" s="32">
        <x:v>495.02</x:v>
      </x:c>
      <x:c r="E3078" s="32">
        <x:v>500.1</x:v>
      </x:c>
      <x:c r="F3078" s="33">
        <x:v>35379890</x:v>
      </x:c>
      <x:c r="G3078" s="32" t="n">
        <x:f t="shared" si="132">AVERAGE(E2879:E3078)</x:f>
        <x:v>460.0930499999997</x:v>
      </x:c>
      <x:c r="H3078" s="37" t="n">
        <x:f t="shared" si="133">IFERROR(E3078/G3078-1,"")</x:f>
        <x:v>0.086954041144504</x:v>
      </x:c>
      <x:c r="I3078" s="38" t="b">
        <x:f t="shared" si="134">E3078&lt;G3078</x:f>
        <x:v>0</x:v>
      </x:c>
    </x:row>
    <x:row r="3079">
      <x:c r="A3079" s="31">
        <x:v>41494</x:v>
      </x:c>
      <x:c r="B3079" s="32">
        <x:v>499.53</x:v>
      </x:c>
      <x:c r="C3079" s="32">
        <x:v>503.51</x:v>
      </x:c>
      <x:c r="D3079" s="32">
        <x:v>497.08</x:v>
      </x:c>
      <x:c r="E3079" s="32">
        <x:v>498.22</x:v>
      </x:c>
      <x:c r="F3079" s="33">
        <x:v>28051650</x:v>
      </x:c>
      <x:c r="G3079" s="32" t="n">
        <x:f t="shared" si="132">AVERAGE(E2880:E3079)</x:f>
        <x:v>460.5990499999997</x:v>
      </x:c>
      <x:c r="H3079" s="37" t="n">
        <x:f t="shared" si="133">IFERROR(E3079/G3079-1,"")</x:f>
        <x:v>0.08167830567605461</x:v>
      </x:c>
      <x:c r="I3079" s="38" t="b">
        <x:f t="shared" si="134">E3079&lt;G3079</x:f>
        <x:v>0</x:v>
      </x:c>
    </x:row>
    <x:row r="3080">
      <x:c r="A3080" s="31">
        <x:v>41495</x:v>
      </x:c>
      <x:c r="B3080" s="32">
        <x:v>498.88</x:v>
      </x:c>
      <x:c r="C3080" s="32">
        <x:v>502.04</x:v>
      </x:c>
      <x:c r="D3080" s="32">
        <x:v>498.88</x:v>
      </x:c>
      <x:c r="E3080" s="32">
        <x:v>500.62</x:v>
      </x:c>
      <x:c r="F3080" s="33">
        <x:v>25936720</x:v>
      </x:c>
      <x:c r="G3080" s="32" t="n">
        <x:f t="shared" si="132">AVERAGE(E2881:E3080)</x:f>
        <x:v>461.1095999999997</x:v>
      </x:c>
      <x:c r="H3080" s="37" t="n">
        <x:f t="shared" si="133">IFERROR(E3080/G3080-1,"")</x:f>
        <x:v>0.08568548561990541</x:v>
      </x:c>
      <x:c r="I3080" s="38" t="b">
        <x:f t="shared" si="134">E3080&lt;G3080</x:f>
        <x:v>0</x:v>
      </x:c>
    </x:row>
    <x:row r="3081">
      <x:c r="A3081" s="31">
        <x:v>41498</x:v>
      </x:c>
      <x:c r="B3081" s="32">
        <x:v>501.35</x:v>
      </x:c>
      <x:c r="C3081" s="32">
        <x:v>501.39</x:v>
      </x:c>
      <x:c r="D3081" s="32">
        <x:v>497.53</x:v>
      </x:c>
      <x:c r="E3081" s="32">
        <x:v>499.46</x:v>
      </x:c>
      <x:c r="F3081" s="33">
        <x:v>25395260</x:v>
      </x:c>
      <x:c r="G3081" s="32" t="n">
        <x:f t="shared" si="132">AVERAGE(E2882:E3081)</x:f>
        <x:v>461.61574999999976</x:v>
      </x:c>
      <x:c r="H3081" s="37" t="n">
        <x:f t="shared" si="133">IFERROR(E3081/G3081-1,"")</x:f>
        <x:v>0.08198214640640011</x:v>
      </x:c>
      <x:c r="I3081" s="38" t="b">
        <x:f t="shared" si="134">E3081&lt;G3081</x:f>
        <x:v>0</x:v>
      </x:c>
    </x:row>
    <x:row r="3082">
      <x:c r="A3082" s="31">
        <x:v>41499</x:v>
      </x:c>
      <x:c r="B3082" s="32">
        <x:v>499.3</x:v>
      </x:c>
      <x:c r="C3082" s="32">
        <x:v>502.63</x:v>
      </x:c>
      <x:c r="D3082" s="32">
        <x:v>497.4</x:v>
      </x:c>
      <x:c r="E3082" s="32">
        <x:v>497.73</x:v>
      </x:c>
      <x:c r="F3082" s="33">
        <x:v>35557220</x:v>
      </x:c>
      <x:c r="G3082" s="32" t="n">
        <x:f t="shared" si="132">AVERAGE(E2883:E3082)</x:f>
        <x:v>462.11939999999976</x:v>
      </x:c>
      <x:c r="H3082" s="37" t="n">
        <x:f t="shared" si="133">IFERROR(E3082/G3082-1,"")</x:f>
        <x:v>0.07705930545222794</x:v>
      </x:c>
      <x:c r="I3082" s="38" t="b">
        <x:f t="shared" si="134">E3082&lt;G3082</x:f>
        <x:v>0</x:v>
      </x:c>
    </x:row>
    <x:row r="3083">
      <x:c r="A3083" s="31">
        <x:v>41500</x:v>
      </x:c>
      <x:c r="B3083" s="32">
        <x:v>498.51</x:v>
      </x:c>
      <x:c r="C3083" s="32">
        <x:v>503.89</x:v>
      </x:c>
      <x:c r="D3083" s="32">
        <x:v>496.35</x:v>
      </x:c>
      <x:c r="E3083" s="32">
        <x:v>503.57</x:v>
      </x:c>
      <x:c r="F3083" s="33">
        <x:v>34135960</x:v>
      </x:c>
      <x:c r="G3083" s="32" t="n">
        <x:f t="shared" si="132">AVERAGE(E2884:E3083)</x:f>
        <x:v>462.64869999999974</x:v>
      </x:c>
      <x:c r="H3083" s="37" t="n">
        <x:f t="shared" si="133">IFERROR(E3083/G3083-1,"")</x:f>
        <x:v>0.08845004860059102</x:v>
      </x:c>
      <x:c r="I3083" s="38" t="b">
        <x:f t="shared" si="134">E3083&lt;G3083</x:f>
        <x:v>0</x:v>
      </x:c>
    </x:row>
    <x:row r="3084">
      <x:c r="A3084" s="31">
        <x:v>41501</x:v>
      </x:c>
      <x:c r="B3084" s="32">
        <x:v>505.03</x:v>
      </x:c>
      <x:c r="C3084" s="32">
        <x:v>509.6</x:v>
      </x:c>
      <x:c r="D3084" s="32">
        <x:v>505.03</x:v>
      </x:c>
      <x:c r="E3084" s="32">
        <x:v>508.22</x:v>
      </x:c>
      <x:c r="F3084" s="33">
        <x:v>61233560</x:v>
      </x:c>
      <x:c r="G3084" s="32" t="n">
        <x:f t="shared" si="132">AVERAGE(E2885:E3084)</x:f>
        <x:v>463.21254999999974</x:v>
      </x:c>
      <x:c r="H3084" s="37" t="n">
        <x:f t="shared" si="133">IFERROR(E3084/G3084-1,"")</x:f>
        <x:v>0.0971637102664864</x:v>
      </x:c>
      <x:c r="I3084" s="38" t="b">
        <x:f t="shared" si="134">E3084&lt;G3084</x:f>
        <x:v>0</x:v>
      </x:c>
    </x:row>
    <x:row r="3085">
      <x:c r="A3085" s="31">
        <x:v>41502</x:v>
      </x:c>
      <x:c r="B3085" s="32">
        <x:v>508.45</x:v>
      </x:c>
      <x:c r="C3085" s="32">
        <x:v>510.22</x:v>
      </x:c>
      <x:c r="D3085" s="32">
        <x:v>505.48</x:v>
      </x:c>
      <x:c r="E3085" s="32">
        <x:v>507.79</x:v>
      </x:c>
      <x:c r="F3085" s="33">
        <x:v>59756870</x:v>
      </x:c>
      <x:c r="G3085" s="32" t="n">
        <x:f t="shared" ref="G3085:G3148" si="135">AVERAGE(E2886:E3085)</x:f>
        <x:v>463.8018999999997</x:v>
      </x:c>
      <x:c r="H3085" s="37" t="n">
        <x:f t="shared" ref="H3085:H3148" si="136">IFERROR(E3085/G3085-1,"")</x:f>
        <x:v>0.09484243165023765</x:v>
      </x:c>
      <x:c r="I3085" s="38" t="b">
        <x:f t="shared" ref="I3085:I3148" si="137">E3085&lt;G3085</x:f>
        <x:v>0</x:v>
      </x:c>
    </x:row>
    <x:row r="3086">
      <x:c r="A3086" s="31">
        <x:v>41505</x:v>
      </x:c>
      <x:c r="B3086" s="32">
        <x:v>507.27</x:v>
      </x:c>
      <x:c r="C3086" s="32">
        <x:v>513.34</x:v>
      </x:c>
      <x:c r="D3086" s="32">
        <x:v>507.16</x:v>
      </x:c>
      <x:c r="E3086" s="32">
        <x:v>511.02</x:v>
      </x:c>
      <x:c r="F3086" s="33">
        <x:v>60613020</x:v>
      </x:c>
      <x:c r="G3086" s="32" t="n">
        <x:f t="shared" si="135">AVERAGE(E2887:E3086)</x:f>
        <x:v>464.3984999999997</x:v>
      </x:c>
      <x:c r="H3086" s="37" t="n">
        <x:f t="shared" si="136">IFERROR(E3086/G3086-1,"")</x:f>
        <x:v>0.10039115113420993</x:v>
      </x:c>
      <x:c r="I3086" s="38" t="b">
        <x:f t="shared" si="137">E3086&lt;G3086</x:f>
        <x:v>0</x:v>
      </x:c>
    </x:row>
    <x:row r="3087">
      <x:c r="A3087" s="31">
        <x:v>41506</x:v>
      </x:c>
      <x:c r="B3087" s="32">
        <x:v>509.59</x:v>
      </x:c>
      <x:c r="C3087" s="32">
        <x:v>510.29</x:v>
      </x:c>
      <x:c r="D3087" s="32">
        <x:v>504.11</x:v>
      </x:c>
      <x:c r="E3087" s="32">
        <x:v>504.81</x:v>
      </x:c>
      <x:c r="F3087" s="33">
        <x:v>59507840</x:v>
      </x:c>
      <x:c r="G3087" s="32" t="n">
        <x:f t="shared" si="135">AVERAGE(E2888:E3087)</x:f>
        <x:v>464.9657499999997</x:v>
      </x:c>
      <x:c r="H3087" s="37" t="n">
        <x:f t="shared" si="136">IFERROR(E3087/G3087-1,"")</x:f>
        <x:v>0.08569287092651523</x:v>
      </x:c>
      <x:c r="I3087" s="38" t="b">
        <x:f t="shared" si="137">E3087&lt;G3087</x:f>
        <x:v>0</x:v>
      </x:c>
    </x:row>
    <x:row r="3088">
      <x:c r="A3088" s="31">
        <x:v>41507</x:v>
      </x:c>
      <x:c r="B3088" s="32">
        <x:v>504.77</x:v>
      </x:c>
      <x:c r="C3088" s="32">
        <x:v>504.78</x:v>
      </x:c>
      <x:c r="D3088" s="32">
        <x:v>497.01</x:v>
      </x:c>
      <x:c r="E3088" s="32">
        <x:v>502.7</x:v>
      </x:c>
      <x:c r="F3088" s="33">
        <x:v>50876640</x:v>
      </x:c>
      <x:c r="G3088" s="32" t="n">
        <x:f t="shared" si="135">AVERAGE(E2889:E3088)</x:f>
        <x:v>465.52994999999964</x:v>
      </x:c>
      <x:c r="H3088" s="37" t="n">
        <x:f t="shared" si="136">IFERROR(E3088/G3088-1,"")</x:f>
        <x:v>0.07984459431664992</x:v>
      </x:c>
      <x:c r="I3088" s="38" t="b">
        <x:f t="shared" si="137">E3088&lt;G3088</x:f>
        <x:v>0</x:v>
      </x:c>
    </x:row>
    <x:row r="3089">
      <x:c r="A3089" s="31">
        <x:v>41508</x:v>
      </x:c>
      <x:c r="B3089" s="32">
        <x:v>499.82</x:v>
      </x:c>
      <x:c r="C3089" s="32">
        <x:v>503.92</x:v>
      </x:c>
      <x:c r="D3089" s="32">
        <x:v>494.4</x:v>
      </x:c>
      <x:c r="E3089" s="32">
        <x:v>496.12</x:v>
      </x:c>
      <x:c r="F3089" s="33">
        <x:v>50905010</x:v>
      </x:c>
      <x:c r="G3089" s="32" t="n">
        <x:f t="shared" si="135">AVERAGE(E2890:E3089)</x:f>
        <x:v>466.06844999999964</x:v>
      </x:c>
      <x:c r="H3089" s="37" t="n">
        <x:f t="shared" si="136">IFERROR(E3089/G3089-1,"")</x:f>
        <x:v>0.06447883352756523</x:v>
      </x:c>
      <x:c r="I3089" s="38" t="b">
        <x:f t="shared" si="137">E3089&lt;G3089</x:f>
        <x:v>0</x:v>
      </x:c>
    </x:row>
    <x:row r="3090">
      <x:c r="A3090" s="31">
        <x:v>41509</x:v>
      </x:c>
      <x:c r="B3090" s="32">
        <x:v>496.77</x:v>
      </x:c>
      <x:c r="C3090" s="32">
        <x:v>497.89</x:v>
      </x:c>
      <x:c r="D3090" s="32">
        <x:v>482.78</x:v>
      </x:c>
      <x:c r="E3090" s="32">
        <x:v>486.82</x:v>
      </x:c>
      <x:c r="F3090" s="33">
        <x:v>52560820</x:v>
      </x:c>
      <x:c r="G3090" s="32" t="n">
        <x:f t="shared" si="135">AVERAGE(E2891:E3090)</x:f>
        <x:v>466.5627999999997</x:v>
      </x:c>
      <x:c r="H3090" s="37" t="n">
        <x:f t="shared" si="136">IFERROR(E3090/G3090-1,"")</x:f>
        <x:v>0.04341794930928988</x:v>
      </x:c>
      <x:c r="I3090" s="38" t="b">
        <x:f t="shared" si="137">E3090&lt;G3090</x:f>
        <x:v>0</x:v>
      </x:c>
    </x:row>
    <x:row r="3091">
      <x:c r="A3091" s="31">
        <x:v>41512</x:v>
      </x:c>
      <x:c r="B3091" s="32">
        <x:v>485.26</x:v>
      </x:c>
      <x:c r="C3091" s="32">
        <x:v>490.54</x:v>
      </x:c>
      <x:c r="D3091" s="32">
        <x:v>478.59</x:v>
      </x:c>
      <x:c r="E3091" s="32">
        <x:v>490.54</x:v>
      </x:c>
      <x:c r="F3091" s="33">
        <x:v>38985570</x:v>
      </x:c>
      <x:c r="G3091" s="32" t="n">
        <x:f t="shared" si="135">AVERAGE(E2892:E3091)</x:f>
        <x:v>467.1391999999997</x:v>
      </x:c>
      <x:c r="H3091" s="37" t="n">
        <x:f t="shared" si="136">IFERROR(E3091/G3091-1,"")</x:f>
        <x:v>0.05009384782951276</x:v>
      </x:c>
      <x:c r="I3091" s="38" t="b">
        <x:f t="shared" si="137">E3091&lt;G3091</x:f>
        <x:v>0</x:v>
      </x:c>
    </x:row>
    <x:row r="3092">
      <x:c r="A3092" s="31">
        <x:v>41513</x:v>
      </x:c>
      <x:c r="B3092" s="32">
        <x:v>488.23</x:v>
      </x:c>
      <x:c r="C3092" s="32">
        <x:v>489.89</x:v>
      </x:c>
      <x:c r="D3092" s="32">
        <x:v>485.57</x:v>
      </x:c>
      <x:c r="E3092" s="32">
        <x:v>485.57</x:v>
      </x:c>
      <x:c r="F3092" s="33">
        <x:v>24681170</x:v>
      </x:c>
      <x:c r="G3092" s="32" t="n">
        <x:f t="shared" si="135">AVERAGE(E2893:E3092)</x:f>
        <x:v>467.6806999999997</x:v>
      </x:c>
      <x:c r="H3092" s="37" t="n">
        <x:f t="shared" si="136">IFERROR(E3092/G3092-1,"")</x:f>
        <x:v>0.03825109738332211</x:v>
      </x:c>
      <x:c r="I3092" s="38" t="b">
        <x:f t="shared" si="137">E3092&lt;G3092</x:f>
        <x:v>0</x:v>
      </x:c>
    </x:row>
    <x:row r="3093">
      <x:c r="A3093" s="31">
        <x:v>41514</x:v>
      </x:c>
      <x:c r="B3093" s="32">
        <x:v>482.48</x:v>
      </x:c>
      <x:c r="C3093" s="32">
        <x:v>482.48</x:v>
      </x:c>
      <x:c r="D3093" s="32">
        <x:v>470.29</x:v>
      </x:c>
      <x:c r="E3093" s="32">
        <x:v>473.3</x:v>
      </x:c>
      <x:c r="F3093" s="33">
        <x:v>65368120</x:v>
      </x:c>
      <x:c r="G3093" s="32" t="n">
        <x:f t="shared" si="135">AVERAGE(E2894:E3093)</x:f>
        <x:v>468.16244999999975</x:v>
      </x:c>
      <x:c r="H3093" s="37" t="n">
        <x:f t="shared" si="136">IFERROR(E3093/G3093-1,"")</x:f>
        <x:v>0.010973861743931446</x:v>
      </x:c>
      <x:c r="I3093" s="38" t="b">
        <x:f t="shared" si="137">E3093&lt;G3093</x:f>
        <x:v>0</x:v>
      </x:c>
    </x:row>
    <x:row r="3094">
      <x:c r="A3094" s="31">
        <x:v>41515</x:v>
      </x:c>
      <x:c r="B3094" s="32">
        <x:v>473.33</x:v>
      </x:c>
      <x:c r="C3094" s="32">
        <x:v>477.09</x:v>
      </x:c>
      <x:c r="D3094" s="32">
        <x:v>468.55</x:v>
      </x:c>
      <x:c r="E3094" s="32">
        <x:v>468.55</x:v>
      </x:c>
      <x:c r="F3094" s="33">
        <x:v>37498330</x:v>
      </x:c>
      <x:c r="G3094" s="32" t="n">
        <x:f t="shared" si="135">AVERAGE(E2895:E3094)</x:f>
        <x:v>468.6006999999998</x:v>
      </x:c>
      <x:c r="H3094" s="37" t="n">
        <x:f t="shared" si="136">IFERROR(E3094/G3094-1,"")</x:f>
        <x:v>-0.00010819446065657434</x:v>
      </x:c>
      <x:c r="I3094" s="38" t="b">
        <x:f t="shared" si="137">E3094&lt;G3094</x:f>
        <x:v>1</x:v>
      </x:c>
    </x:row>
    <x:row r="3095">
      <x:c r="A3095" s="31">
        <x:v>41516</x:v>
      </x:c>
      <x:c r="B3095" s="32">
        <x:v>469.64</x:v>
      </x:c>
      <x:c r="C3095" s="32">
        <x:v>472.7</x:v>
      </x:c>
      <x:c r="D3095" s="32">
        <x:v>462.13</x:v>
      </x:c>
      <x:c r="E3095" s="32">
        <x:v>472.7</x:v>
      </x:c>
      <x:c r="F3095" s="33">
        <x:v>33924820</x:v>
      </x:c>
      <x:c r="G3095" s="32" t="n">
        <x:f t="shared" si="135">AVERAGE(E2896:E3095)</x:f>
        <x:v>469.0361999999997</x:v>
      </x:c>
      <x:c r="H3095" s="37" t="n">
        <x:f t="shared" si="136">IFERROR(E3095/G3095-1,"")</x:f>
        <x:v>0.007811337376518734</x:v>
      </x:c>
      <x:c r="I3095" s="38" t="b">
        <x:f t="shared" si="137">E3095&lt;G3095</x:f>
        <x:v>0</x:v>
      </x:c>
    </x:row>
    <x:row r="3096">
      <x:c r="A3096" s="31">
        <x:v>41520</x:v>
      </x:c>
      <x:c r="B3096" s="32">
        <x:v>473.56</x:v>
      </x:c>
      <x:c r="C3096" s="32">
        <x:v>477.08</x:v>
      </x:c>
      <x:c r="D3096" s="32">
        <x:v>470.26</x:v>
      </x:c>
      <x:c r="E3096" s="32">
        <x:v>472.17</x:v>
      </x:c>
      <x:c r="F3096" s="33">
        <x:v>24864290</x:v>
      </x:c>
      <x:c r="G3096" s="32" t="n">
        <x:f t="shared" si="135">AVERAGE(E2897:E3096)</x:f>
        <x:v>469.4634999999998</x:v>
      </x:c>
      <x:c r="H3096" s="37" t="n">
        <x:f t="shared" si="136">IFERROR(E3096/G3096-1,"")</x:f>
        <x:v>0.005765091428833635</x:v>
      </x:c>
      <x:c r="I3096" s="38" t="b">
        <x:f t="shared" si="137">E3096&lt;G3096</x:f>
        <x:v>0</x:v>
      </x:c>
    </x:row>
    <x:row r="3097">
      <x:c r="A3097" s="31">
        <x:v>41521</x:v>
      </x:c>
      <x:c r="B3097" s="32">
        <x:v>472.77</x:v>
      </x:c>
      <x:c r="C3097" s="32">
        <x:v>476.42</x:v>
      </x:c>
      <x:c r="D3097" s="32">
        <x:v>469.3</x:v>
      </x:c>
      <x:c r="E3097" s="32">
        <x:v>471.45</x:v>
      </x:c>
      <x:c r="F3097" s="33">
        <x:v>39162900</x:v>
      </x:c>
      <x:c r="G3097" s="32" t="n">
        <x:f t="shared" si="135">AVERAGE(E2898:E3097)</x:f>
        <x:v>469.8776499999997</x:v>
      </x:c>
      <x:c r="H3097" s="37" t="n">
        <x:f t="shared" si="136">IFERROR(E3097/G3097-1,"")</x:f>
        <x:v>0.0033462966370081393</x:v>
      </x:c>
      <x:c r="I3097" s="38" t="b">
        <x:f t="shared" si="137">E3097&lt;G3097</x:f>
        <x:v>0</x:v>
      </x:c>
    </x:row>
    <x:row r="3098">
      <x:c r="A3098" s="31">
        <x:v>41522</x:v>
      </x:c>
      <x:c r="B3098" s="32">
        <x:v>473.62</x:v>
      </x:c>
      <x:c r="C3098" s="32">
        <x:v>477.77</x:v>
      </x:c>
      <x:c r="D3098" s="32">
        <x:v>470.72</x:v>
      </x:c>
      <x:c r="E3098" s="32">
        <x:v>477.57</x:v>
      </x:c>
      <x:c r="F3098" s="33">
        <x:v>37421420</x:v>
      </x:c>
      <x:c r="G3098" s="32" t="n">
        <x:f t="shared" si="135">AVERAGE(E2899:E3098)</x:f>
        <x:v>470.3393999999997</x:v>
      </x:c>
      <x:c r="H3098" s="37" t="n">
        <x:f t="shared" si="136">IFERROR(E3098/G3098-1,"")</x:f>
        <x:v>0.015373153939475026</x:v>
      </x:c>
      <x:c r="I3098" s="38" t="b">
        <x:f t="shared" si="137">E3098&lt;G3098</x:f>
        <x:v>0</x:v>
      </x:c>
    </x:row>
    <x:row r="3099">
      <x:c r="A3099" s="31">
        <x:v>41523</x:v>
      </x:c>
      <x:c r="B3099" s="32">
        <x:v>479.18</x:v>
      </x:c>
      <x:c r="C3099" s="32">
        <x:v>480.55</x:v>
      </x:c>
      <x:c r="D3099" s="32">
        <x:v>475.16</x:v>
      </x:c>
      <x:c r="E3099" s="32">
        <x:v>480.03</x:v>
      </x:c>
      <x:c r="F3099" s="33">
        <x:v>33461070</x:v>
      </x:c>
      <x:c r="G3099" s="32" t="n">
        <x:f t="shared" si="135">AVERAGE(E2900:E3099)</x:f>
        <x:v>470.80099999999976</x:v>
      </x:c>
      <x:c r="H3099" s="37" t="n">
        <x:f t="shared" si="136">IFERROR(E3099/G3099-1,"")</x:f>
        <x:v>0.01960276210118539</x:v>
      </x:c>
      <x:c r="I3099" s="38" t="b">
        <x:f t="shared" si="137">E3099&lt;G3099</x:f>
        <x:v>0</x:v>
      </x:c>
    </x:row>
    <x:row r="3100">
      <x:c r="A3100" s="31">
        <x:v>41526</x:v>
      </x:c>
      <x:c r="B3100" s="32">
        <x:v>478.98</x:v>
      </x:c>
      <x:c r="C3100" s="32">
        <x:v>478.98</x:v>
      </x:c>
      <x:c r="D3100" s="32">
        <x:v>469.39</x:v>
      </x:c>
      <x:c r="E3100" s="32">
        <x:v>470.16</x:v>
      </x:c>
      <x:c r="F3100" s="33">
        <x:v>39165760</x:v>
      </x:c>
      <x:c r="G3100" s="32" t="n">
        <x:f t="shared" si="135">AVERAGE(E2901:E3100)</x:f>
        <x:v>471.21724999999975</x:v>
      </x:c>
      <x:c r="H3100" s="37" t="n">
        <x:f t="shared" si="136">IFERROR(E3100/G3100-1,"")</x:f>
        <x:v>-0.0022436572515113218</x:v>
      </x:c>
      <x:c r="I3100" s="38" t="b">
        <x:f t="shared" si="137">E3100&lt;G3100</x:f>
        <x:v>1</x:v>
      </x:c>
    </x:row>
    <x:row r="3101">
      <x:c r="A3101" s="31">
        <x:v>41527</x:v>
      </x:c>
      <x:c r="B3101" s="32">
        <x:v>471.22</x:v>
      </x:c>
      <x:c r="C3101" s="32">
        <x:v>475.62</x:v>
      </x:c>
      <x:c r="D3101" s="32">
        <x:v>470.16</x:v>
      </x:c>
      <x:c r="E3101" s="32">
        <x:v>474.53</x:v>
      </x:c>
      <x:c r="F3101" s="33">
        <x:v>27533440</x:v>
      </x:c>
      <x:c r="G3101" s="32" t="n">
        <x:f t="shared" si="135">AVERAGE(E2902:E3101)</x:f>
        <x:v>471.6613499999998</x:v>
      </x:c>
      <x:c r="H3101" s="37" t="n">
        <x:f t="shared" si="136">IFERROR(E3101/G3101-1,"")</x:f>
        <x:v>0.006082012019853256</x:v>
      </x:c>
      <x:c r="I3101" s="38" t="b">
        <x:f t="shared" si="137">E3101&lt;G3101</x:f>
        <x:v>0</x:v>
      </x:c>
    </x:row>
    <x:row r="3102">
      <x:c r="A3102" s="31">
        <x:v>41528</x:v>
      </x:c>
      <x:c r="B3102" s="32">
        <x:v>476.04</x:v>
      </x:c>
      <x:c r="C3102" s="32">
        <x:v>478.95</x:v>
      </x:c>
      <x:c r="D3102" s="32">
        <x:v>473.68</x:v>
      </x:c>
      <x:c r="E3102" s="32">
        <x:v>476.4</x:v>
      </x:c>
      <x:c r="F3102" s="33">
        <x:v>30633750</x:v>
      </x:c>
      <x:c r="G3102" s="32" t="n">
        <x:f t="shared" si="135">AVERAGE(E2903:E3102)</x:f>
        <x:v>472.1267499999998</x:v>
      </x:c>
      <x:c r="H3102" s="37" t="n">
        <x:f t="shared" si="136">IFERROR(E3102/G3102-1,"")</x:f>
        <x:v>0.009051065206536535</x:v>
      </x:c>
      <x:c r="I3102" s="38" t="b">
        <x:f t="shared" si="137">E3102&lt;G3102</x:f>
        <x:v>0</x:v>
      </x:c>
    </x:row>
    <x:row r="3103">
      <x:c r="A3103" s="31">
        <x:v>41529</x:v>
      </x:c>
      <x:c r="B3103" s="32">
        <x:v>474.97</x:v>
      </x:c>
      <x:c r="C3103" s="32">
        <x:v>477.25</x:v>
      </x:c>
      <x:c r="D3103" s="32">
        <x:v>474.96</x:v>
      </x:c>
      <x:c r="E3103" s="32">
        <x:v>475.59</x:v>
      </x:c>
      <x:c r="F3103" s="33">
        <x:v>25047660</x:v>
      </x:c>
      <x:c r="G3103" s="32" t="n">
        <x:f t="shared" si="135">AVERAGE(E2904:E3103)</x:f>
        <x:v>472.57919999999984</x:v>
      </x:c>
      <x:c r="H3103" s="37" t="n">
        <x:f t="shared" si="136">IFERROR(E3103/G3103-1,"")</x:f>
        <x:v>0.006370995591850281</x:v>
      </x:c>
      <x:c r="I3103" s="38" t="b">
        <x:f t="shared" si="137">E3103&lt;G3103</x:f>
        <x:v>0</x:v>
      </x:c>
    </x:row>
    <x:row r="3104">
      <x:c r="A3104" s="31">
        <x:v>41530</x:v>
      </x:c>
      <x:c r="B3104" s="32">
        <x:v>475.11</x:v>
      </x:c>
      <x:c r="C3104" s="32">
        <x:v>478</x:v>
      </x:c>
      <x:c r="D3104" s="32">
        <x:v>474.54</x:v>
      </x:c>
      <x:c r="E3104" s="32">
        <x:v>476.42</x:v>
      </x:c>
      <x:c r="F3104" s="33">
        <x:v>28013440</x:v>
      </x:c>
      <x:c r="G3104" s="32" t="n">
        <x:f t="shared" si="135">AVERAGE(E2905:E3104)</x:f>
        <x:v>473.0419499999999</x:v>
      </x:c>
      <x:c r="H3104" s="37" t="n">
        <x:f t="shared" si="136">IFERROR(E3104/G3104-1,"")</x:f>
        <x:v>0.007141121416398999</x:v>
      </x:c>
      <x:c r="I3104" s="38" t="b">
        <x:f t="shared" si="137">E3104&lt;G3104</x:f>
        <x:v>0</x:v>
      </x:c>
    </x:row>
    <x:row r="3105">
      <x:c r="A3105" s="31">
        <x:v>41533</x:v>
      </x:c>
      <x:c r="B3105" s="32">
        <x:v>478.32</x:v>
      </x:c>
      <x:c r="C3105" s="32">
        <x:v>478.7</x:v>
      </x:c>
      <x:c r="D3105" s="32">
        <x:v>473.97</x:v>
      </x:c>
      <x:c r="E3105" s="32">
        <x:v>475.57</x:v>
      </x:c>
      <x:c r="F3105" s="33">
        <x:v>36896450</x:v>
      </x:c>
      <x:c r="G3105" s="32" t="n">
        <x:f t="shared" si="135">AVERAGE(E2906:E3105)</x:f>
        <x:v>473.5036999999998</x:v>
      </x:c>
      <x:c r="H3105" s="37" t="n">
        <x:f t="shared" si="136">IFERROR(E3105/G3105-1,"")</x:f>
        <x:v>0.004363851855857082</x:v>
      </x:c>
      <x:c r="I3105" s="38" t="b">
        <x:f t="shared" si="137">E3105&lt;G3105</x:f>
        <x:v>0</x:v>
      </x:c>
    </x:row>
    <x:row r="3106">
      <x:c r="A3106" s="31">
        <x:v>41534</x:v>
      </x:c>
      <x:c r="B3106" s="32">
        <x:v>476.21</x:v>
      </x:c>
      <x:c r="C3106" s="32">
        <x:v>480.16</x:v>
      </x:c>
      <x:c r="D3106" s="32">
        <x:v>475.82</x:v>
      </x:c>
      <x:c r="E3106" s="32">
        <x:v>477.73</x:v>
      </x:c>
      <x:c r="F3106" s="33">
        <x:v>35374160</x:v>
      </x:c>
      <x:c r="G3106" s="32" t="n">
        <x:f t="shared" si="135">AVERAGE(E2907:E3106)</x:f>
        <x:v>473.9837999999998</x:v>
      </x:c>
      <x:c r="H3106" s="37" t="n">
        <x:f t="shared" si="136">IFERROR(E3106/G3106-1,"")</x:f>
        <x:v>0.007903645652024949</x:v>
      </x:c>
      <x:c r="I3106" s="38" t="b">
        <x:f t="shared" si="137">E3106&lt;G3106</x:f>
        <x:v>0</x:v>
      </x:c>
    </x:row>
    <x:row r="3107">
      <x:c r="A3107" s="31">
        <x:v>41535</x:v>
      </x:c>
      <x:c r="B3107" s="32">
        <x:v>478.65</x:v>
      </x:c>
      <x:c r="C3107" s="32">
        <x:v>479.43</x:v>
      </x:c>
      <x:c r="D3107" s="32">
        <x:v>473.52</x:v>
      </x:c>
      <x:c r="E3107" s="32">
        <x:v>474.26</x:v>
      </x:c>
      <x:c r="F3107" s="33">
        <x:v>34813400</x:v>
      </x:c>
      <x:c r="G3107" s="32" t="n">
        <x:f t="shared" si="135">AVERAGE(E2908:E3107)</x:f>
        <x:v>474.46559999999977</x:v>
      </x:c>
      <x:c r="H3107" s="37" t="n">
        <x:f t="shared" si="136">IFERROR(E3107/G3107-1,"")</x:f>
        <x:v>-0.0004333296238964168</x:v>
      </x:c>
      <x:c r="I3107" s="38" t="b">
        <x:f t="shared" si="137">E3107&lt;G3107</x:f>
        <x:v>1</x:v>
      </x:c>
    </x:row>
    <x:row r="3108">
      <x:c r="A3108" s="31">
        <x:v>41536</x:v>
      </x:c>
      <x:c r="B3108" s="32">
        <x:v>477.99</x:v>
      </x:c>
      <x:c r="C3108" s="32">
        <x:v>478.99</x:v>
      </x:c>
      <x:c r="D3108" s="32">
        <x:v>475.69</x:v>
      </x:c>
      <x:c r="E3108" s="32">
        <x:v>476.09</x:v>
      </x:c>
      <x:c r="F3108" s="33">
        <x:v>32482700</x:v>
      </x:c>
      <x:c r="G3108" s="32" t="n">
        <x:f t="shared" si="135">AVERAGE(E2909:E3108)</x:f>
        <x:v>474.96159999999975</x:v>
      </x:c>
      <x:c r="H3108" s="37" t="n">
        <x:f t="shared" si="136">IFERROR(E3108/G3108-1,"")</x:f>
        <x:v>0.0023757710096989904</x:v>
      </x:c>
      <x:c r="I3108" s="38" t="b">
        <x:f t="shared" si="137">E3108&lt;G3108</x:f>
        <x:v>0</x:v>
      </x:c>
    </x:row>
    <x:row r="3109">
      <x:c r="A3109" s="31">
        <x:v>41537</x:v>
      </x:c>
      <x:c r="B3109" s="32">
        <x:v>476.12</x:v>
      </x:c>
      <x:c r="C3109" s="32">
        <x:v>477.19</x:v>
      </x:c>
      <x:c r="D3109" s="32">
        <x:v>474.7</x:v>
      </x:c>
      <x:c r="E3109" s="32">
        <x:v>477.19</x:v>
      </x:c>
      <x:c r="F3109" s="33">
        <x:v>83027350</x:v>
      </x:c>
      <x:c r="G3109" s="32" t="n">
        <x:f t="shared" si="135">AVERAGE(E2910:E3109)</x:f>
        <x:v>475.4685999999998</x:v>
      </x:c>
      <x:c r="H3109" s="37" t="n">
        <x:f t="shared" si="136">IFERROR(E3109/G3109-1,"")</x:f>
        <x:v>0.0036204283521565905</x:v>
      </x:c>
      <x:c r="I3109" s="38" t="b">
        <x:f t="shared" si="137">E3109&lt;G3109</x:f>
        <x:v>0</x:v>
      </x:c>
    </x:row>
    <x:row r="3110">
      <x:c r="A3110" s="31">
        <x:v>41540</x:v>
      </x:c>
      <x:c r="B3110" s="32">
        <x:v>476.79</x:v>
      </x:c>
      <x:c r="C3110" s="32">
        <x:v>479.09</x:v>
      </x:c>
      <x:c r="D3110" s="32">
        <x:v>475.06</x:v>
      </x:c>
      <x:c r="E3110" s="32">
        <x:v>479.09</x:v>
      </x:c>
      <x:c r="F3110" s="33">
        <x:v>40162060</x:v>
      </x:c>
      <x:c r="G3110" s="32" t="n">
        <x:f t="shared" si="135">AVERAGE(E2911:E3110)</x:f>
        <x:v>475.9730499999997</x:v>
      </x:c>
      <x:c r="H3110" s="37" t="n">
        <x:f t="shared" si="136">IFERROR(E3110/G3110-1,"")</x:f>
        <x:v>0.006548585051191935</x:v>
      </x:c>
      <x:c r="I3110" s="38" t="b">
        <x:f t="shared" si="137">E3110&lt;G3110</x:f>
        <x:v>0</x:v>
      </x:c>
    </x:row>
    <x:row r="3111">
      <x:c r="A3111" s="31">
        <x:v>41541</x:v>
      </x:c>
      <x:c r="B3111" s="32">
        <x:v>478.88</x:v>
      </x:c>
      <x:c r="C3111" s="32">
        <x:v>483.78</x:v>
      </x:c>
      <x:c r="D3111" s="32">
        <x:v>478.85</x:v>
      </x:c>
      <x:c r="E3111" s="32">
        <x:v>482.82</x:v>
      </x:c>
      <x:c r="F3111" s="33">
        <x:v>52526780</x:v>
      </x:c>
      <x:c r="G3111" s="32" t="n">
        <x:f t="shared" si="135">AVERAGE(E2912:E3111)</x:f>
        <x:v>476.4980499999998</x:v>
      </x:c>
      <x:c r="H3111" s="37" t="n">
        <x:f t="shared" si="136">IFERROR(E3111/G3111-1,"")</x:f>
        <x:v>0.013267525438981798</x:v>
      </x:c>
      <x:c r="I3111" s="38" t="b">
        <x:f t="shared" si="137">E3111&lt;G3111</x:f>
        <x:v>0</x:v>
      </x:c>
    </x:row>
    <x:row r="3112">
      <x:c r="A3112" s="31">
        <x:v>41542</x:v>
      </x:c>
      <x:c r="B3112" s="32">
        <x:v>482.41</x:v>
      </x:c>
      <x:c r="C3112" s="32">
        <x:v>488.98</x:v>
      </x:c>
      <x:c r="D3112" s="32">
        <x:v>482.41</x:v>
      </x:c>
      <x:c r="E3112" s="32">
        <x:v>486.22</x:v>
      </x:c>
      <x:c r="F3112" s="33">
        <x:v>79359350</x:v>
      </x:c>
      <x:c r="G3112" s="32" t="n">
        <x:f t="shared" si="135">AVERAGE(E2913:E3112)</x:f>
        <x:v>477.0327999999998</x:v>
      </x:c>
      <x:c r="H3112" s="37" t="n">
        <x:f t="shared" si="136">IFERROR(E3112/G3112-1,"")</x:f>
        <x:v>0.019259053046247976</x:v>
      </x:c>
      <x:c r="I3112" s="38" t="b">
        <x:f t="shared" si="137">E3112&lt;G3112</x:f>
        <x:v>0</x:v>
      </x:c>
    </x:row>
    <x:row r="3113">
      <x:c r="A3113" s="31">
        <x:v>41543</x:v>
      </x:c>
      <x:c r="B3113" s="32">
        <x:v>486.28</x:v>
      </x:c>
      <x:c r="C3113" s="32">
        <x:v>487.88</x:v>
      </x:c>
      <x:c r="D3113" s="32">
        <x:v>482.61</x:v>
      </x:c>
      <x:c r="E3113" s="32">
        <x:v>485.11</x:v>
      </x:c>
      <x:c r="F3113" s="33">
        <x:v>48267850</x:v>
      </x:c>
      <x:c r="G3113" s="32" t="n">
        <x:f t="shared" si="135">AVERAGE(E2914:E3113)</x:f>
        <x:v>477.5478499999998</x:v>
      </x:c>
      <x:c r="H3113" s="37" t="n">
        <x:f t="shared" si="136">IFERROR(E3113/G3113-1,"")</x:f>
        <x:v>0.01583537649682687</x:v>
      </x:c>
      <x:c r="I3113" s="38" t="b">
        <x:f t="shared" si="137">E3113&lt;G3113</x:f>
        <x:v>0</x:v>
      </x:c>
    </x:row>
    <x:row r="3114">
      <x:c r="A3114" s="31">
        <x:v>41544</x:v>
      </x:c>
      <x:c r="B3114" s="32">
        <x:v>484.68</x:v>
      </x:c>
      <x:c r="C3114" s="32">
        <x:v>487.82</x:v>
      </x:c>
      <x:c r="D3114" s="32">
        <x:v>483.85</x:v>
      </x:c>
      <x:c r="E3114" s="32">
        <x:v>486.61</x:v>
      </x:c>
      <x:c r="F3114" s="33">
        <x:v>43514290</x:v>
      </x:c>
      <x:c r="G3114" s="32" t="n">
        <x:f t="shared" si="135">AVERAGE(E2915:E3114)</x:f>
        <x:v>478.0524499999998</x:v>
      </x:c>
      <x:c r="H3114" s="37" t="n">
        <x:f t="shared" si="136">IFERROR(E3114/G3114-1,"")</x:f>
        <x:v>0.017900860041613065</x:v>
      </x:c>
      <x:c r="I3114" s="38" t="b">
        <x:f t="shared" si="137">E3114&lt;G3114</x:f>
        <x:v>0</x:v>
      </x:c>
    </x:row>
    <x:row r="3115">
      <x:c r="A3115" s="31">
        <x:v>41547</x:v>
      </x:c>
      <x:c r="B3115" s="32">
        <x:v>487.12</x:v>
      </x:c>
      <x:c r="C3115" s="32">
        <x:v>492.65</x:v>
      </x:c>
      <x:c r="D3115" s="32">
        <x:v>486.7</x:v>
      </x:c>
      <x:c r="E3115" s="32">
        <x:v>492.63</x:v>
      </x:c>
      <x:c r="F3115" s="33">
        <x:v>65644630</x:v>
      </x:c>
      <x:c r="G3115" s="32" t="n">
        <x:f t="shared" si="135">AVERAGE(E2916:E3115)</x:f>
        <x:v>478.58714999999984</x:v>
      </x:c>
      <x:c r="H3115" s="37" t="n">
        <x:f t="shared" si="136">IFERROR(E3115/G3115-1,"")</x:f>
        <x:v>0.029342304740108904</x:v>
      </x:c>
      <x:c r="I3115" s="38" t="b">
        <x:f t="shared" si="137">E3115&lt;G3115</x:f>
        <x:v>0</x:v>
      </x:c>
    </x:row>
    <x:row r="3116">
      <x:c r="A3116" s="31">
        <x:v>41548</x:v>
      </x:c>
      <x:c r="B3116" s="32">
        <x:v>491.92</x:v>
      </x:c>
      <x:c r="C3116" s="32">
        <x:v>496.59</x:v>
      </x:c>
      <x:c r="D3116" s="32">
        <x:v>491.34</x:v>
      </x:c>
      <x:c r="E3116" s="32">
        <x:v>492.24</x:v>
      </x:c>
      <x:c r="F3116" s="33">
        <x:v>98030960</x:v>
      </x:c>
      <x:c r="G3116" s="32" t="n">
        <x:f t="shared" si="135">AVERAGE(E2917:E3116)</x:f>
        <x:v>479.1293499999998</x:v>
      </x:c>
      <x:c r="H3116" s="37" t="n">
        <x:f t="shared" si="136">IFERROR(E3116/G3116-1,"")</x:f>
        <x:v>0.02736348754256057</x:v>
      </x:c>
      <x:c r="I3116" s="38" t="b">
        <x:f t="shared" si="137">E3116&lt;G3116</x:f>
        <x:v>0</x:v>
      </x:c>
    </x:row>
    <x:row r="3117">
      <x:c r="A3117" s="31">
        <x:v>41549</x:v>
      </x:c>
      <x:c r="B3117" s="32">
        <x:v>492.58</x:v>
      </x:c>
      <x:c r="C3117" s="32">
        <x:v>496.86</x:v>
      </x:c>
      <x:c r="D3117" s="32">
        <x:v>492.58</x:v>
      </x:c>
      <x:c r="E3117" s="32">
        <x:v>494.39</x:v>
      </x:c>
      <x:c r="F3117" s="33">
        <x:v>75217440</x:v>
      </x:c>
      <x:c r="G3117" s="32" t="n">
        <x:f t="shared" si="135">AVERAGE(E2918:E3117)</x:f>
        <x:v>479.6678499999998</x:v>
      </x:c>
      <x:c r="H3117" s="37" t="n">
        <x:f t="shared" si="136">IFERROR(E3117/G3117-1,"")</x:f>
        <x:v>0.03069238432386112</x:v>
      </x:c>
      <x:c r="I3117" s="38" t="b">
        <x:f t="shared" si="137">E3117&lt;G3117</x:f>
        <x:v>0</x:v>
      </x:c>
    </x:row>
    <x:row r="3118">
      <x:c r="A3118" s="31">
        <x:v>41550</x:v>
      </x:c>
      <x:c r="B3118" s="32">
        <x:v>495</x:v>
      </x:c>
      <x:c r="C3118" s="32">
        <x:v>495</x:v>
      </x:c>
      <x:c r="D3118" s="32">
        <x:v>491.59</x:v>
      </x:c>
      <x:c r="E3118" s="32">
        <x:v>492.3</x:v>
      </x:c>
      <x:c r="F3118" s="33">
        <x:v>61651890</x:v>
      </x:c>
      <x:c r="G3118" s="32" t="n">
        <x:f t="shared" si="135">AVERAGE(E2919:E3118)</x:f>
        <x:v>480.18249999999983</x:v>
      </x:c>
      <x:c r="H3118" s="37" t="n">
        <x:f t="shared" si="136">IFERROR(E3118/G3118-1,"")</x:f>
        <x:v>0.02523519703446131</x:v>
      </x:c>
      <x:c r="I3118" s="38" t="b">
        <x:f t="shared" si="137">E3118&lt;G3118</x:f>
        <x:v>0</x:v>
      </x:c>
    </x:row>
    <x:row r="3119">
      <x:c r="A3119" s="31">
        <x:v>41551</x:v>
      </x:c>
      <x:c r="B3119" s="32">
        <x:v>492.17</x:v>
      </x:c>
      <x:c r="C3119" s="32">
        <x:v>497.73</x:v>
      </x:c>
      <x:c r="D3119" s="32">
        <x:v>490.43</x:v>
      </x:c>
      <x:c r="E3119" s="32">
        <x:v>497.5</x:v>
      </x:c>
      <x:c r="F3119" s="33">
        <x:v>57891700</x:v>
      </x:c>
      <x:c r="G3119" s="32" t="n">
        <x:f t="shared" si="135">AVERAGE(E2920:E3119)</x:f>
        <x:v>480.7145999999998</x:v>
      </x:c>
      <x:c r="H3119" s="37" t="n">
        <x:f t="shared" si="136">IFERROR(E3119/G3119-1,"")</x:f>
        <x:v>0.03491759975669595</x:v>
      </x:c>
      <x:c r="I3119" s="38" t="b">
        <x:f t="shared" si="137">E3119&lt;G3119</x:f>
        <x:v>0</x:v>
      </x:c>
    </x:row>
    <x:row r="3120">
      <x:c r="A3120" s="31">
        <x:v>41554</x:v>
      </x:c>
      <x:c r="B3120" s="32">
        <x:v>497.45</x:v>
      </x:c>
      <x:c r="C3120" s="32">
        <x:v>502.16</x:v>
      </x:c>
      <x:c r="D3120" s="32">
        <x:v>496.92</x:v>
      </x:c>
      <x:c r="E3120" s="32">
        <x:v>500.47</x:v>
      </x:c>
      <x:c r="F3120" s="33">
        <x:v>64102510</x:v>
      </x:c>
      <x:c r="G3120" s="32" t="n">
        <x:f t="shared" si="135">AVERAGE(E2921:E3120)</x:f>
        <x:v>481.26099999999985</x:v>
      </x:c>
      <x:c r="H3120" s="37" t="n">
        <x:f t="shared" si="136">IFERROR(E3120/G3120-1,"")</x:f>
        <x:v>0.039913892877254</x:v>
      </x:c>
      <x:c r="I3120" s="38" t="b">
        <x:f t="shared" si="137">E3120&lt;G3120</x:f>
        <x:v>0</x:v>
      </x:c>
    </x:row>
    <x:row r="3121">
      <x:c r="A3121" s="31">
        <x:v>41555</x:v>
      </x:c>
      <x:c r="B3121" s="32">
        <x:v>500.53</x:v>
      </x:c>
      <x:c r="C3121" s="32">
        <x:v>502.64</x:v>
      </x:c>
      <x:c r="D3121" s="32">
        <x:v>497.58</x:v>
      </x:c>
      <x:c r="E3121" s="32">
        <x:v>502.22</x:v>
      </x:c>
      <x:c r="F3121" s="33">
        <x:v>69394720</x:v>
      </x:c>
      <x:c r="G3121" s="32" t="n">
        <x:f t="shared" si="135">AVERAGE(E2922:E3121)</x:f>
        <x:v>481.8110499999998</x:v>
      </x:c>
      <x:c r="H3121" s="37" t="n">
        <x:f t="shared" si="136">IFERROR(E3121/G3121-1,"")</x:f>
        <x:v>0.04235882510374189</x:v>
      </x:c>
      <x:c r="I3121" s="38" t="b">
        <x:f t="shared" si="137">E3121&lt;G3121</x:f>
        <x:v>0</x:v>
      </x:c>
    </x:row>
    <x:row r="3122">
      <x:c r="A3122" s="31">
        <x:v>41556</x:v>
      </x:c>
      <x:c r="B3122" s="32">
        <x:v>501.28</x:v>
      </x:c>
      <x:c r="C3122" s="32">
        <x:v>502.52</x:v>
      </x:c>
      <x:c r="D3122" s="32">
        <x:v>498.98</x:v>
      </x:c>
      <x:c r="E3122" s="32">
        <x:v>500.67</x:v>
      </x:c>
      <x:c r="F3122" s="33">
        <x:v>62003910</x:v>
      </x:c>
      <x:c r="G3122" s="32" t="n">
        <x:f t="shared" si="135">AVERAGE(E2923:E3122)</x:f>
        <x:v>482.3462499999998</x:v>
      </x:c>
      <x:c r="H3122" s="37" t="n">
        <x:f t="shared" si="136">IFERROR(E3122/G3122-1,"")</x:f>
        <x:v>0.0379887891737527</x:v>
      </x:c>
      <x:c r="I3122" s="38" t="b">
        <x:f t="shared" si="137">E3122&lt;G3122</x:f>
        <x:v>0</x:v>
      </x:c>
    </x:row>
    <x:row r="3123">
      <x:c r="A3123" s="31">
        <x:v>41557</x:v>
      </x:c>
      <x:c r="B3123" s="32">
        <x:v>500.34</x:v>
      </x:c>
      <x:c r="C3123" s="32">
        <x:v>501.64</x:v>
      </x:c>
      <x:c r="D3123" s="32">
        <x:v>494.81</x:v>
      </x:c>
      <x:c r="E3123" s="32">
        <x:v>494.81</x:v>
      </x:c>
      <x:c r="F3123" s="33">
        <x:v>63565500</x:v>
      </x:c>
      <x:c r="G3123" s="32" t="n">
        <x:f t="shared" si="135">AVERAGE(E2924:E3123)</x:f>
        <x:v>482.85334999999975</x:v>
      </x:c>
      <x:c r="H3123" s="37" t="n">
        <x:f t="shared" si="136">IFERROR(E3123/G3123-1,"")</x:f>
        <x:v>0.02476248740948006</x:v>
      </x:c>
      <x:c r="I3123" s="38" t="b">
        <x:f t="shared" si="137">E3123&lt;G3123</x:f>
        <x:v>0</x:v>
      </x:c>
    </x:row>
    <x:row r="3124">
      <x:c r="A3124" s="31">
        <x:v>41558</x:v>
      </x:c>
      <x:c r="B3124" s="32">
        <x:v>496.71</x:v>
      </x:c>
      <x:c r="C3124" s="32">
        <x:v>498.58</x:v>
      </x:c>
      <x:c r="D3124" s="32">
        <x:v>494.53</x:v>
      </x:c>
      <x:c r="E3124" s="32">
        <x:v>494.53</x:v>
      </x:c>
      <x:c r="F3124" s="33">
        <x:v>52493570</x:v>
      </x:c>
      <x:c r="G3124" s="32" t="n">
        <x:f t="shared" si="135">AVERAGE(E2925:E3124)</x:f>
        <x:v>483.3330499999998</x:v>
      </x:c>
      <x:c r="H3124" s="37" t="n">
        <x:f t="shared" si="136">IFERROR(E3124/G3124-1,"")</x:f>
        <x:v>0.02316611702841387</x:v>
      </x:c>
      <x:c r="I3124" s="38" t="b">
        <x:f t="shared" si="137">E3124&lt;G3124</x:f>
        <x:v>0</x:v>
      </x:c>
    </x:row>
    <x:row r="3125">
      <x:c r="A3125" s="31">
        <x:v>41561</x:v>
      </x:c>
      <x:c r="B3125" s="32">
        <x:v>494.31</x:v>
      </x:c>
      <x:c r="C3125" s="32">
        <x:v>495.67</x:v>
      </x:c>
      <x:c r="D3125" s="32">
        <x:v>492.81</x:v>
      </x:c>
      <x:c r="E3125" s="32">
        <x:v>493.62</x:v>
      </x:c>
      <x:c r="F3125" s="33">
        <x:v>34865050</x:v>
      </x:c>
      <x:c r="G3125" s="32" t="n">
        <x:f t="shared" si="135">AVERAGE(E2926:E3125)</x:f>
        <x:v>483.8027499999997</x:v>
      </x:c>
      <x:c r="H3125" s="37" t="n">
        <x:f t="shared" si="136">IFERROR(E3125/G3125-1,"")</x:f>
        <x:v>0.020291844145160942</x:v>
      </x:c>
      <x:c r="I3125" s="38" t="b">
        <x:f t="shared" si="137">E3125&lt;G3125</x:f>
        <x:v>0</x:v>
      </x:c>
    </x:row>
    <x:row r="3126">
      <x:c r="A3126" s="31">
        <x:v>41562</x:v>
      </x:c>
      <x:c r="B3126" s="32">
        <x:v>493.03</x:v>
      </x:c>
      <x:c r="C3126" s="32">
        <x:v>495.72</x:v>
      </x:c>
      <x:c r="D3126" s="32">
        <x:v>492.37</x:v>
      </x:c>
      <x:c r="E3126" s="32">
        <x:v>495.72</x:v>
      </x:c>
      <x:c r="F3126" s="33">
        <x:v>49217000</x:v>
      </x:c>
      <x:c r="G3126" s="32" t="n">
        <x:f t="shared" si="135">AVERAGE(E2927:E3126)</x:f>
        <x:v>484.29744999999974</x:v>
      </x:c>
      <x:c r="H3126" s="37" t="n">
        <x:f t="shared" si="136">IFERROR(E3126/G3126-1,"")</x:f>
        <x:v>0.023585814874722777</x:v>
      </x:c>
      <x:c r="I3126" s="38" t="b">
        <x:f t="shared" si="137">E3126&lt;G3126</x:f>
        <x:v>0</x:v>
      </x:c>
    </x:row>
    <x:row r="3127">
      <x:c r="A3127" s="31">
        <x:v>41563</x:v>
      </x:c>
      <x:c r="B3127" s="32">
        <x:v>495.59</x:v>
      </x:c>
      <x:c r="C3127" s="32">
        <x:v>500.6</x:v>
      </x:c>
      <x:c r="D3127" s="32">
        <x:v>495.02</x:v>
      </x:c>
      <x:c r="E3127" s="32">
        <x:v>498.96</x:v>
      </x:c>
      <x:c r="F3127" s="33">
        <x:v>68958650</x:v>
      </x:c>
      <x:c r="G3127" s="32" t="n">
        <x:f t="shared" si="135">AVERAGE(E2928:E3127)</x:f>
        <x:v>484.79369999999983</x:v>
      </x:c>
      <x:c r="H3127" s="37" t="n">
        <x:f t="shared" si="136">IFERROR(E3127/G3127-1,"")</x:f>
        <x:v>0.02922129557376696</x:v>
      </x:c>
      <x:c r="I3127" s="38" t="b">
        <x:f t="shared" si="137">E3127&lt;G3127</x:f>
        <x:v>0</x:v>
      </x:c>
    </x:row>
    <x:row r="3128">
      <x:c r="A3128" s="31">
        <x:v>41564</x:v>
      </x:c>
      <x:c r="B3128" s="32">
        <x:v>501.88</x:v>
      </x:c>
      <x:c r="C3128" s="32">
        <x:v>502.64</x:v>
      </x:c>
      <x:c r="D3128" s="32">
        <x:v>498.83</x:v>
      </x:c>
      <x:c r="E3128" s="32">
        <x:v>499.59</x:v>
      </x:c>
      <x:c r="F3128" s="33">
        <x:v>60617540</x:v>
      </x:c>
      <x:c r="G3128" s="32" t="n">
        <x:f t="shared" si="135">AVERAGE(E2929:E3128)</x:f>
        <x:v>485.2849499999998</x:v>
      </x:c>
      <x:c r="H3128" s="37" t="n">
        <x:f t="shared" si="136">IFERROR(E3128/G3128-1,"")</x:f>
        <x:v>0.029477629586493803</x:v>
      </x:c>
      <x:c r="I3128" s="38" t="b">
        <x:f t="shared" si="137">E3128&lt;G3128</x:f>
        <x:v>0</x:v>
      </x:c>
    </x:row>
    <x:row r="3129">
      <x:c r="A3129" s="31">
        <x:v>41565</x:v>
      </x:c>
      <x:c r="B3129" s="32">
        <x:v>499.89</x:v>
      </x:c>
      <x:c r="C3129" s="32">
        <x:v>501.39</x:v>
      </x:c>
      <x:c r="D3129" s="32">
        <x:v>497.91</x:v>
      </x:c>
      <x:c r="E3129" s="32">
        <x:v>500.83</x:v>
      </x:c>
      <x:c r="F3129" s="33">
        <x:v>67031980</x:v>
      </x:c>
      <x:c r="G3129" s="32" t="n">
        <x:f t="shared" si="135">AVERAGE(E2930:E3129)</x:f>
        <x:v>485.7585999999998</x:v>
      </x:c>
      <x:c r="H3129" s="37" t="n">
        <x:f t="shared" si="136">IFERROR(E3129/G3129-1,"")</x:f>
        <x:v>0.03102652222729607</x:v>
      </x:c>
      <x:c r="I3129" s="38" t="b">
        <x:f t="shared" si="137">E3129&lt;G3129</x:f>
        <x:v>0</x:v>
      </x:c>
    </x:row>
    <x:row r="3130">
      <x:c r="A3130" s="31">
        <x:v>41568</x:v>
      </x:c>
      <x:c r="B3130" s="32">
        <x:v>501.8</x:v>
      </x:c>
      <x:c r="C3130" s="32">
        <x:v>503.72</x:v>
      </x:c>
      <x:c r="D3130" s="32">
        <x:v>500.25</x:v>
      </x:c>
      <x:c r="E3130" s="32">
        <x:v>501.57</x:v>
      </x:c>
      <x:c r="F3130" s="33">
        <x:v>109720270</x:v>
      </x:c>
      <x:c r="G3130" s="32" t="n">
        <x:f t="shared" si="135">AVERAGE(E2931:E3130)</x:f>
        <x:v>486.2165999999999</x:v>
      </x:c>
      <x:c r="H3130" s="37" t="n">
        <x:f t="shared" si="136">IFERROR(E3130/G3130-1,"")</x:f>
        <x:v>0.031577284691637564</x:v>
      </x:c>
      <x:c r="I3130" s="38" t="b">
        <x:f t="shared" si="137">E3130&lt;G3130</x:f>
        <x:v>0</x:v>
      </x:c>
    </x:row>
    <x:row r="3131">
      <x:c r="A3131" s="31">
        <x:v>41569</x:v>
      </x:c>
      <x:c r="B3131" s="32">
        <x:v>500.94</x:v>
      </x:c>
      <x:c r="C3131" s="32">
        <x:v>502.95</x:v>
      </x:c>
      <x:c r="D3131" s="32">
        <x:v>498.74</x:v>
      </x:c>
      <x:c r="E3131" s="32">
        <x:v>500.57</x:v>
      </x:c>
      <x:c r="F3131" s="33">
        <x:v>68523680</x:v>
      </x:c>
      <x:c r="G3131" s="32" t="n">
        <x:f t="shared" si="135">AVERAGE(E2932:E3131)</x:f>
        <x:v>486.65079999999995</x:v>
      </x:c>
      <x:c r="H3131" s="37" t="n">
        <x:f t="shared" si="136">IFERROR(E3131/G3131-1,"")</x:f>
        <x:v>0.02860202839489845</x:v>
      </x:c>
      <x:c r="I3131" s="38" t="b">
        <x:f t="shared" si="137">E3131&lt;G3131</x:f>
        <x:v>0</x:v>
      </x:c>
    </x:row>
    <x:row r="3132">
      <x:c r="A3132" s="31">
        <x:v>41570</x:v>
      </x:c>
      <x:c r="B3132" s="32">
        <x:v>501.41</x:v>
      </x:c>
      <x:c r="C3132" s="32">
        <x:v>504.81</x:v>
      </x:c>
      <x:c r="D3132" s="32">
        <x:v>501.41</x:v>
      </x:c>
      <x:c r="E3132" s="32">
        <x:v>504.05</x:v>
      </x:c>
      <x:c r="F3132" s="33">
        <x:v>77783670</x:v>
      </x:c>
      <x:c r="G3132" s="32" t="n">
        <x:f t="shared" si="135">AVERAGE(E2933:E3132)</x:f>
        <x:v>487.07929999999993</x:v>
      </x:c>
      <x:c r="H3132" s="37" t="n">
        <x:f t="shared" si="136">IFERROR(E3132/G3132-1,"")</x:f>
        <x:v>0.034841759853067256</x:v>
      </x:c>
      <x:c r="I3132" s="38" t="b">
        <x:f t="shared" si="137">E3132&lt;G3132</x:f>
        <x:v>0</x:v>
      </x:c>
    </x:row>
    <x:row r="3133">
      <x:c r="A3133" s="31">
        <x:v>41571</x:v>
      </x:c>
      <x:c r="B3133" s="32">
        <x:v>503.47</x:v>
      </x:c>
      <x:c r="C3133" s="32">
        <x:v>505.74</x:v>
      </x:c>
      <x:c r="D3133" s="32">
        <x:v>500.64</x:v>
      </x:c>
      <x:c r="E3133" s="32">
        <x:v>501.17</x:v>
      </x:c>
      <x:c r="F3133" s="33">
        <x:v>84151930</x:v>
      </x:c>
      <x:c r="G3133" s="32" t="n">
        <x:f t="shared" si="135">AVERAGE(E2934:E3133)</x:f>
        <x:v>487.48879999999997</x:v>
      </x:c>
      <x:c r="H3133" s="37" t="n">
        <x:f t="shared" si="136">IFERROR(E3133/G3133-1,"")</x:f>
        <x:v>0.02806464476722348</x:v>
      </x:c>
      <x:c r="I3133" s="38" t="b">
        <x:f t="shared" si="137">E3133&lt;G3133</x:f>
        <x:v>0</x:v>
      </x:c>
    </x:row>
    <x:row r="3134">
      <x:c r="A3134" s="31">
        <x:v>41572</x:v>
      </x:c>
      <x:c r="B3134" s="32">
        <x:v>502.8</x:v>
      </x:c>
      <x:c r="C3134" s="32">
        <x:v>503.17</x:v>
      </x:c>
      <x:c r="D3134" s="32">
        <x:v>499.53</x:v>
      </x:c>
      <x:c r="E3134" s="32">
        <x:v>500.75</x:v>
      </x:c>
      <x:c r="F3134" s="33">
        <x:v>59990570</x:v>
      </x:c>
      <x:c r="G3134" s="32" t="n">
        <x:f t="shared" si="135">AVERAGE(E2935:E3134)</x:f>
        <x:v>487.8622500000001</x:v>
      </x:c>
      <x:c r="H3134" s="37" t="n">
        <x:f t="shared" si="136">IFERROR(E3134/G3134-1,"")</x:f>
        <x:v>0.026416780556396624</x:v>
      </x:c>
      <x:c r="I3134" s="38" t="b">
        <x:f t="shared" si="137">E3134&lt;G3134</x:f>
        <x:v>0</x:v>
      </x:c>
    </x:row>
    <x:row r="3135">
      <x:c r="A3135" s="31">
        <x:v>41575</x:v>
      </x:c>
      <x:c r="B3135" s="32">
        <x:v>501.27</x:v>
      </x:c>
      <x:c r="C3135" s="32">
        <x:v>501.86</x:v>
      </x:c>
      <x:c r="D3135" s="32">
        <x:v>496.46</x:v>
      </x:c>
      <x:c r="E3135" s="32">
        <x:v>496.46</x:v>
      </x:c>
      <x:c r="F3135" s="33">
        <x:v>60698540</x:v>
      </x:c>
      <x:c r="G3135" s="32" t="n">
        <x:f t="shared" si="135">AVERAGE(E2936:E3135)</x:f>
        <x:v>488.1736</x:v>
      </x:c>
      <x:c r="H3135" s="37" t="n">
        <x:f t="shared" si="136">IFERROR(E3135/G3135-1,"")</x:f>
        <x:v>0.016974289474072313</x:v>
      </x:c>
      <x:c r="I3135" s="38" t="b">
        <x:f t="shared" si="137">E3135&lt;G3135</x:f>
        <x:v>0</x:v>
      </x:c>
    </x:row>
    <x:row r="3136">
      <x:c r="A3136" s="31">
        <x:v>41576</x:v>
      </x:c>
      <x:c r="B3136" s="32">
        <x:v>494.66</x:v>
      </x:c>
      <x:c r="C3136" s="32">
        <x:v>497.74</x:v>
      </x:c>
      <x:c r="D3136" s="32">
        <x:v>494.01</x:v>
      </x:c>
      <x:c r="E3136" s="32">
        <x:v>497.08</x:v>
      </x:c>
      <x:c r="F3136" s="33">
        <x:v>48772840</x:v>
      </x:c>
      <x:c r="G3136" s="32" t="n">
        <x:f t="shared" si="135">AVERAGE(E2937:E3136)</x:f>
        <x:v>488.4232</x:v>
      </x:c>
      <x:c r="H3136" s="37" t="n">
        <x:f t="shared" si="136">IFERROR(E3136/G3136-1,"")</x:f>
        <x:v>0.01772397379977031</x:v>
      </x:c>
      <x:c r="I3136" s="38" t="b">
        <x:f t="shared" si="137">E3136&lt;G3136</x:f>
        <x:v>0</x:v>
      </x:c>
    </x:row>
    <x:row r="3137">
      <x:c r="A3137" s="31">
        <x:v>41577</x:v>
      </x:c>
      <x:c r="B3137" s="32">
        <x:v>498</x:v>
      </x:c>
      <x:c r="C3137" s="32">
        <x:v>500.97</x:v>
      </x:c>
      <x:c r="D3137" s="32">
        <x:v>497.95</x:v>
      </x:c>
      <x:c r="E3137" s="32">
        <x:v>499.07</x:v>
      </x:c>
      <x:c r="F3137" s="33">
        <x:v>34869860</x:v>
      </x:c>
      <x:c r="G3137" s="32" t="n">
        <x:f t="shared" si="135">AVERAGE(E2938:E3137)</x:f>
        <x:v>488.6747000000001</x:v>
      </x:c>
      <x:c r="H3137" s="37" t="n">
        <x:f t="shared" si="136">IFERROR(E3137/G3137-1,"")</x:f>
        <x:v>0.021272433379505573</x:v>
      </x:c>
      <x:c r="I3137" s="38" t="b">
        <x:f t="shared" si="137">E3137&lt;G3137</x:f>
        <x:v>0</x:v>
      </x:c>
    </x:row>
    <x:row r="3138">
      <x:c r="A3138" s="31">
        <x:v>41578</x:v>
      </x:c>
      <x:c r="B3138" s="32">
        <x:v>500.04</x:v>
      </x:c>
      <x:c r="C3138" s="32">
        <x:v>500.59</x:v>
      </x:c>
      <x:c r="D3138" s="32">
        <x:v>497.41</x:v>
      </x:c>
      <x:c r="E3138" s="32">
        <x:v>497.41</x:v>
      </x:c>
      <x:c r="F3138" s="33">
        <x:v>38620230</x:v>
      </x:c>
      <x:c r="G3138" s="32" t="n">
        <x:f t="shared" si="135">AVERAGE(E2939:E3138)</x:f>
        <x:v>488.8611500000001</x:v>
      </x:c>
      <x:c r="H3138" s="37" t="n">
        <x:f t="shared" si="136">IFERROR(E3138/G3138-1,"")</x:f>
        <x:v>0.01748727629511948</x:v>
      </x:c>
      <x:c r="I3138" s="38" t="b">
        <x:f t="shared" si="137">E3138&lt;G3138</x:f>
        <x:v>0</x:v>
      </x:c>
    </x:row>
    <x:row r="3139">
      <x:c r="A3139" s="31">
        <x:v>41579</x:v>
      </x:c>
      <x:c r="B3139" s="32">
        <x:v>499.21</x:v>
      </x:c>
      <x:c r="C3139" s="32">
        <x:v>499.27</x:v>
      </x:c>
      <x:c r="D3139" s="32">
        <x:v>496.93</x:v>
      </x:c>
      <x:c r="E3139" s="32">
        <x:v>497.08</x:v>
      </x:c>
      <x:c r="F3139" s="33">
        <x:v>38485380</x:v>
      </x:c>
      <x:c r="G3139" s="32" t="n">
        <x:f t="shared" si="135">AVERAGE(E2940:E3139)</x:f>
        <x:v>489.0331000000001</x:v>
      </x:c>
      <x:c r="H3139" s="37" t="n">
        <x:f t="shared" si="136">IFERROR(E3139/G3139-1,"")</x:f>
        <x:v>0.01645471441503621</x:v>
      </x:c>
      <x:c r="I3139" s="38" t="b">
        <x:f t="shared" si="137">E3139&lt;G3139</x:f>
        <x:v>0</x:v>
      </x:c>
    </x:row>
    <x:row r="3140">
      <x:c r="A3140" s="31">
        <x:v>41582</x:v>
      </x:c>
      <x:c r="B3140" s="32">
        <x:v>497.25</x:v>
      </x:c>
      <x:c r="C3140" s="32">
        <x:v>498.49</x:v>
      </x:c>
      <x:c r="D3140" s="32">
        <x:v>495.68</x:v>
      </x:c>
      <x:c r="E3140" s="32">
        <x:v>497.07</x:v>
      </x:c>
      <x:c r="F3140" s="33">
        <x:v>62434130</x:v>
      </x:c>
      <x:c r="G3140" s="32" t="n">
        <x:f t="shared" si="135">AVERAGE(E2941:E3140)</x:f>
        <x:v>489.22360000000015</x:v>
      </x:c>
      <x:c r="H3140" s="37" t="n">
        <x:f t="shared" si="136">IFERROR(E3140/G3140-1,"")</x:f>
        <x:v>0.016038474022920912</x:v>
      </x:c>
      <x:c r="I3140" s="38" t="b">
        <x:f t="shared" si="137">E3140&lt;G3140</x:f>
        <x:v>0</x:v>
      </x:c>
    </x:row>
    <x:row r="3141">
      <x:c r="A3141" s="31">
        <x:v>41583</x:v>
      </x:c>
      <x:c r="B3141" s="32">
        <x:v>497.38</x:v>
      </x:c>
      <x:c r="C3141" s="32">
        <x:v>500.28</x:v>
      </x:c>
      <x:c r="D3141" s="32">
        <x:v>495.84</x:v>
      </x:c>
      <x:c r="E3141" s="32">
        <x:v>499.79</x:v>
      </x:c>
      <x:c r="F3141" s="33">
        <x:v>74452200</x:v>
      </x:c>
      <x:c r="G3141" s="32" t="n">
        <x:f t="shared" si="135">AVERAGE(E2942:E3141)</x:f>
        <x:v>489.41545000000013</x:v>
      </x:c>
      <x:c r="H3141" s="37" t="n">
        <x:f t="shared" si="136">IFERROR(E3141/G3141-1,"")</x:f>
        <x:v>0.021197839177328648</x:v>
      </x:c>
      <x:c r="I3141" s="38" t="b">
        <x:f t="shared" si="137">E3141&lt;G3141</x:f>
        <x:v>0</x:v>
      </x:c>
    </x:row>
    <x:row r="3142">
      <x:c r="A3142" s="31">
        <x:v>41584</x:v>
      </x:c>
      <x:c r="B3142" s="32">
        <x:v>500.83</x:v>
      </x:c>
      <x:c r="C3142" s="32">
        <x:v>502.52</x:v>
      </x:c>
      <x:c r="D3142" s="32">
        <x:v>499.58</x:v>
      </x:c>
      <x:c r="E3142" s="32">
        <x:v>502.52</x:v>
      </x:c>
      <x:c r="F3142" s="33">
        <x:v>76253370</x:v>
      </x:c>
      <x:c r="G3142" s="32" t="n">
        <x:f t="shared" si="135">AVERAGE(E2943:E3142)</x:f>
        <x:v>489.6018000000002</x:v>
      </x:c>
      <x:c r="H3142" s="37" t="n">
        <x:f t="shared" si="136">IFERROR(E3142/G3142-1,"")</x:f>
        <x:v>0.02638511541419941</x:v>
      </x:c>
      <x:c r="I3142" s="38" t="b">
        <x:f t="shared" si="137">E3142&lt;G3142</x:f>
        <x:v>0</x:v>
      </x:c>
    </x:row>
    <x:row r="3143">
      <x:c r="A3143" s="31">
        <x:v>41585</x:v>
      </x:c>
      <x:c r="B3143" s="32">
        <x:v>501.4</x:v>
      </x:c>
      <x:c r="C3143" s="32">
        <x:v>503.3</x:v>
      </x:c>
      <x:c r="D3143" s="32">
        <x:v>499.29</x:v>
      </x:c>
      <x:c r="E3143" s="32">
        <x:v>499.86</x:v>
      </x:c>
      <x:c r="F3143" s="33">
        <x:v>104887510</x:v>
      </x:c>
      <x:c r="G3143" s="32" t="n">
        <x:f t="shared" si="135">AVERAGE(E2944:E3143)</x:f>
        <x:v>489.81730000000016</x:v>
      </x:c>
      <x:c r="H3143" s="37" t="n">
        <x:f t="shared" si="136">IFERROR(E3143/G3143-1,"")</x:f>
        <x:v>0.020502950794101915</x:v>
      </x:c>
      <x:c r="I3143" s="38" t="b">
        <x:f t="shared" si="137">E3143&lt;G3143</x:f>
        <x:v>0</x:v>
      </x:c>
    </x:row>
    <x:row r="3144">
      <x:c r="A3144" s="31">
        <x:v>41586</x:v>
      </x:c>
      <x:c r="B3144" s="32">
        <x:v>498.8</x:v>
      </x:c>
      <x:c r="C3144" s="32">
        <x:v>500.47</x:v>
      </x:c>
      <x:c r="D3144" s="32">
        <x:v>498.33</x:v>
      </x:c>
      <x:c r="E3144" s="32">
        <x:v>498.61</x:v>
      </x:c>
      <x:c r="F3144" s="33">
        <x:v>63364460</x:v>
      </x:c>
      <x:c r="G3144" s="32" t="n">
        <x:f t="shared" si="135">AVERAGE(E2945:E3144)</x:f>
        <x:v>490.0395500000002</x:v>
      </x:c>
      <x:c r="H3144" s="37" t="n">
        <x:f t="shared" si="136">IFERROR(E3144/G3144-1,"")</x:f>
        <x:v>0.017489302649142946</x:v>
      </x:c>
      <x:c r="I3144" s="38" t="b">
        <x:f t="shared" si="137">E3144&lt;G3144</x:f>
        <x:v>0</x:v>
      </x:c>
    </x:row>
    <x:row r="3145">
      <x:c r="A3145" s="31">
        <x:v>41589</x:v>
      </x:c>
      <x:c r="B3145" s="32">
        <x:v>498.03</x:v>
      </x:c>
      <x:c r="C3145" s="32">
        <x:v>501.08</x:v>
      </x:c>
      <x:c r="D3145" s="32">
        <x:v>497.41</x:v>
      </x:c>
      <x:c r="E3145" s="32">
        <x:v>501.08</x:v>
      </x:c>
      <x:c r="F3145" s="33">
        <x:v>87692440</x:v>
      </x:c>
      <x:c r="G3145" s="32" t="n">
        <x:f t="shared" si="135">AVERAGE(E2946:E3145)</x:f>
        <x:v>490.30600000000015</x:v>
      </x:c>
      <x:c r="H3145" s="37" t="n">
        <x:f t="shared" si="136">IFERROR(E3145/G3145-1,"")</x:f>
        <x:v>0.02197403254294228</x:v>
      </x:c>
      <x:c r="I3145" s="38" t="b">
        <x:f t="shared" si="137">E3145&lt;G3145</x:f>
        <x:v>0</x:v>
      </x:c>
    </x:row>
    <x:row r="3146">
      <x:c r="A3146" s="31">
        <x:v>41590</x:v>
      </x:c>
      <x:c r="B3146" s="32">
        <x:v>500.81</x:v>
      </x:c>
      <x:c r="C3146" s="32">
        <x:v>501.36</x:v>
      </x:c>
      <x:c r="D3146" s="32">
        <x:v>496.79</x:v>
      </x:c>
      <x:c r="E3146" s="32">
        <x:v>497.65</x:v>
      </x:c>
      <x:c r="F3146" s="33">
        <x:v>118886010</x:v>
      </x:c>
      <x:c r="G3146" s="32" t="n">
        <x:f t="shared" si="135">AVERAGE(E2947:E3146)</x:f>
        <x:v>490.58000000000015</x:v>
      </x:c>
      <x:c r="H3146" s="37" t="n">
        <x:f t="shared" si="136">IFERROR(E3146/G3146-1,"")</x:f>
        <x:v>0.014411512903093948</x:v>
      </x:c>
      <x:c r="I3146" s="38" t="b">
        <x:f t="shared" si="137">E3146&lt;G3146</x:f>
        <x:v>0</x:v>
      </x:c>
    </x:row>
    <x:row r="3147">
      <x:c r="A3147" s="31">
        <x:v>41591</x:v>
      </x:c>
      <x:c r="B3147" s="32">
        <x:v>496.9</x:v>
      </x:c>
      <x:c r="C3147" s="32">
        <x:v>498.62</x:v>
      </x:c>
      <x:c r="D3147" s="32">
        <x:v>495.68</x:v>
      </x:c>
      <x:c r="E3147" s="32">
        <x:v>496.12</x:v>
      </x:c>
      <x:c r="F3147" s="33">
        <x:v>63518970</x:v>
      </x:c>
      <x:c r="G3147" s="32" t="n">
        <x:f t="shared" si="135">AVERAGE(E2948:E3147)</x:f>
        <x:v>490.84375000000017</x:v>
      </x:c>
      <x:c r="H3147" s="37" t="n">
        <x:f t="shared" si="136">IFERROR(E3147/G3147-1,"")</x:f>
        <x:v>0.010749347424714673</x:v>
      </x:c>
      <x:c r="I3147" s="38" t="b">
        <x:f t="shared" si="137">E3147&lt;G3147</x:f>
        <x:v>0</x:v>
      </x:c>
    </x:row>
    <x:row r="3148">
      <x:c r="A3148" s="31">
        <x:v>41592</x:v>
      </x:c>
      <x:c r="B3148" s="32">
        <x:v>496.67</x:v>
      </x:c>
      <x:c r="C3148" s="32">
        <x:v>498.82</x:v>
      </x:c>
      <x:c r="D3148" s="32">
        <x:v>496.12</x:v>
      </x:c>
      <x:c r="E3148" s="32">
        <x:v>497.85</x:v>
      </x:c>
      <x:c r="F3148" s="33">
        <x:v>60230390</x:v>
      </x:c>
      <x:c r="G3148" s="32" t="n">
        <x:f t="shared" si="135">AVERAGE(E2949:E3148)</x:f>
        <x:v>491.07100000000014</x:v>
      </x:c>
      <x:c r="H3148" s="37" t="n">
        <x:f t="shared" si="136">IFERROR(E3148/G3148-1,"")</x:f>
        <x:v>0.013804521138490955</x:v>
      </x:c>
      <x:c r="I3148" s="38" t="b">
        <x:f t="shared" si="137">E3148&lt;G3148</x:f>
        <x:v>0</x:v>
      </x:c>
    </x:row>
    <x:row r="3149">
      <x:c r="A3149" s="31">
        <x:v>41593</x:v>
      </x:c>
      <x:c r="B3149" s="32">
        <x:v>497.88</x:v>
      </x:c>
      <x:c r="C3149" s="32">
        <x:v>502.12</x:v>
      </x:c>
      <x:c r="D3149" s="32">
        <x:v>497.72</x:v>
      </x:c>
      <x:c r="E3149" s="32">
        <x:v>501.34</x:v>
      </x:c>
      <x:c r="F3149" s="33">
        <x:v>90780020</x:v>
      </x:c>
      <x:c r="G3149" s="32" t="n">
        <x:f t="shared" ref="G3149:G3212" si="138">AVERAGE(E2950:E3149)</x:f>
        <x:v>491.23725000000013</x:v>
      </x:c>
      <x:c r="H3149" s="37" t="n">
        <x:f t="shared" ref="H3149:H3212" si="139">IFERROR(E3149/G3149-1,"")</x:f>
        <x:v>0.020565928174216985</x:v>
      </x:c>
      <x:c r="I3149" s="38" t="b">
        <x:f t="shared" ref="I3149:I3212" si="140">E3149&lt;G3149</x:f>
        <x:v>0</x:v>
      </x:c>
    </x:row>
    <x:row r="3150">
      <x:c r="A3150" s="31">
        <x:v>41596</x:v>
      </x:c>
      <x:c r="B3150" s="32">
        <x:v>503.33</x:v>
      </x:c>
      <x:c r="C3150" s="32">
        <x:v>507.41</x:v>
      </x:c>
      <x:c r="D3150" s="32">
        <x:v>503.33</x:v>
      </x:c>
      <x:c r="E3150" s="32">
        <x:v>506.48</x:v>
      </x:c>
      <x:c r="F3150" s="33">
        <x:v>113389010</x:v>
      </x:c>
      <x:c r="G3150" s="32" t="n">
        <x:f t="shared" si="138">AVERAGE(E2951:E3150)</x:f>
        <x:v>491.3716500000001</x:v>
      </x:c>
      <x:c r="H3150" s="37" t="n">
        <x:f t="shared" si="139">IFERROR(E3150/G3150-1,"")</x:f>
        <x:v>0.030747296878034902</x:v>
      </x:c>
      <x:c r="I3150" s="38" t="b">
        <x:f t="shared" si="140">E3150&lt;G3150</x:f>
        <x:v>0</x:v>
      </x:c>
    </x:row>
    <x:row r="3151">
      <x:c r="A3151" s="31">
        <x:v>41597</x:v>
      </x:c>
      <x:c r="B3151" s="32">
        <x:v>505.45</x:v>
      </x:c>
      <x:c r="C3151" s="32">
        <x:v>507.63</x:v>
      </x:c>
      <x:c r="D3151" s="32">
        <x:v>504.71</x:v>
      </x:c>
      <x:c r="E3151" s="32">
        <x:v>504.71</x:v>
      </x:c>
      <x:c r="F3151" s="33">
        <x:v>91657220</x:v>
      </x:c>
      <x:c r="G3151" s="32" t="n">
        <x:f t="shared" si="138">AVERAGE(E2952:E3151)</x:f>
        <x:v>491.47515000000016</x:v>
      </x:c>
      <x:c r="H3151" s="37" t="n">
        <x:f t="shared" si="139">IFERROR(E3151/G3151-1,"")</x:f>
        <x:v>0.026928828446361575</x:v>
      </x:c>
      <x:c r="I3151" s="38" t="b">
        <x:f t="shared" si="140">E3151&lt;G3151</x:f>
        <x:v>0</x:v>
      </x:c>
    </x:row>
    <x:row r="3152">
      <x:c r="A3152" s="31">
        <x:v>41598</x:v>
      </x:c>
      <x:c r="B3152" s="32">
        <x:v>504.68</x:v>
      </x:c>
      <x:c r="C3152" s="32">
        <x:v>505.75</x:v>
      </x:c>
      <x:c r="D3152" s="32">
        <x:v>502.98</x:v>
      </x:c>
      <x:c r="E3152" s="32">
        <x:v>505.52</x:v>
      </x:c>
      <x:c r="F3152" s="33">
        <x:v>103452470</x:v>
      </x:c>
      <x:c r="G3152" s="32" t="n">
        <x:f t="shared" si="138">AVERAGE(E2953:E3152)</x:f>
        <x:v>491.56475000000023</x:v>
      </x:c>
      <x:c r="H3152" s="37" t="n">
        <x:f t="shared" si="139">IFERROR(E3152/G3152-1,"")</x:f>
        <x:v>0.02838944411697497</x:v>
      </x:c>
      <x:c r="I3152" s="38" t="b">
        <x:f t="shared" si="140">E3152&lt;G3152</x:f>
        <x:v>0</x:v>
      </x:c>
    </x:row>
    <x:row r="3153">
      <x:c r="A3153" s="31">
        <x:v>41599</x:v>
      </x:c>
      <x:c r="B3153" s="32">
        <x:v>507</x:v>
      </x:c>
      <x:c r="C3153" s="32">
        <x:v>510.21</x:v>
      </x:c>
      <x:c r="D3153" s="32">
        <x:v>503.54</x:v>
      </x:c>
      <x:c r="E3153" s="32">
        <x:v>503.54</x:v>
      </x:c>
      <x:c r="F3153" s="33">
        <x:v>169313020</x:v>
      </x:c>
      <x:c r="G3153" s="32" t="n">
        <x:f t="shared" si="138">AVERAGE(E2954:E3153)</x:f>
        <x:v>491.6835000000002</x:v>
      </x:c>
      <x:c r="H3153" s="37" t="n">
        <x:f t="shared" si="139">IFERROR(E3153/G3153-1,"")</x:f>
        <x:v>0.024114089653201276</x:v>
      </x:c>
      <x:c r="I3153" s="38" t="b">
        <x:f t="shared" si="140">E3153&lt;G3153</x:f>
        <x:v>0</x:v>
      </x:c>
    </x:row>
    <x:row r="3154">
      <x:c r="A3154" s="31">
        <x:v>41600</x:v>
      </x:c>
      <x:c r="B3154" s="32">
        <x:v>504.52</x:v>
      </x:c>
      <x:c r="C3154" s="32">
        <x:v>506.46</x:v>
      </x:c>
      <x:c r="D3154" s="32">
        <x:v>502.83</x:v>
      </x:c>
      <x:c r="E3154" s="32">
        <x:v>505.64</x:v>
      </x:c>
      <x:c r="F3154" s="33">
        <x:v>100735280</x:v>
      </x:c>
      <x:c r="G3154" s="32" t="n">
        <x:f t="shared" si="138">AVERAGE(E2955:E3154)</x:f>
        <x:v>491.7946000000001</x:v>
      </x:c>
      <x:c r="H3154" s="37" t="n">
        <x:f t="shared" si="139">IFERROR(E3154/G3154-1,"")</x:f>
        <x:v>0.028152810136589324</x:v>
      </x:c>
      <x:c r="I3154" s="38" t="b">
        <x:f t="shared" si="140">E3154&lt;G3154</x:f>
        <x:v>0</x:v>
      </x:c>
    </x:row>
    <x:row r="3155">
      <x:c r="A3155" s="31">
        <x:v>41603</x:v>
      </x:c>
      <x:c r="B3155" s="32">
        <x:v>506.94</x:v>
      </x:c>
      <x:c r="C3155" s="32">
        <x:v>509.72</x:v>
      </x:c>
      <x:c r="D3155" s="32">
        <x:v>506.08</x:v>
      </x:c>
      <x:c r="E3155" s="32">
        <x:v>506.46</x:v>
      </x:c>
      <x:c r="F3155" s="33">
        <x:v>89988180</x:v>
      </x:c>
      <x:c r="G3155" s="32" t="n">
        <x:f t="shared" si="138">AVERAGE(E2956:E3155)</x:f>
        <x:v>491.9150000000002</x:v>
      </x:c>
      <x:c r="H3155" s="37" t="n">
        <x:f t="shared" si="139">IFERROR(E3155/G3155-1,"")</x:f>
        <x:v>0.029568116442880932</x:v>
      </x:c>
      <x:c r="I3155" s="38" t="b">
        <x:f t="shared" si="140">E3155&lt;G3155</x:f>
        <x:v>0</x:v>
      </x:c>
    </x:row>
    <x:row r="3156">
      <x:c r="A3156" s="31">
        <x:v>41604</x:v>
      </x:c>
      <x:c r="B3156" s="32">
        <x:v>506.98</x:v>
      </x:c>
      <x:c r="C3156" s="32">
        <x:v>510.75</x:v>
      </x:c>
      <x:c r="D3156" s="32">
        <x:v>504.65</x:v>
      </x:c>
      <x:c r="E3156" s="32">
        <x:v>509.16</x:v>
      </x:c>
      <x:c r="F3156" s="33">
        <x:v>89242010</x:v>
      </x:c>
      <x:c r="G3156" s="32" t="n">
        <x:f t="shared" si="138">AVERAGE(E2957:E3156)</x:f>
        <x:v>492.07400000000024</x:v>
      </x:c>
      <x:c r="H3156" s="37" t="n">
        <x:f t="shared" si="139">IFERROR(E3156/G3156-1,"")</x:f>
        <x:v>0.03472241979864776</x:v>
      </x:c>
      <x:c r="I3156" s="38" t="b">
        <x:f t="shared" si="140">E3156&lt;G3156</x:f>
        <x:v>0</x:v>
      </x:c>
    </x:row>
    <x:row r="3157">
      <x:c r="A3157" s="31">
        <x:v>41605</x:v>
      </x:c>
      <x:c r="B3157" s="32">
        <x:v>510.96</x:v>
      </x:c>
      <x:c r="C3157" s="32">
        <x:v>513.25</x:v>
      </x:c>
      <x:c r="D3157" s="32">
        <x:v>507.66</x:v>
      </x:c>
      <x:c r="E3157" s="32">
        <x:v>508.43</x:v>
      </x:c>
      <x:c r="F3157" s="33">
        <x:v>97463060</x:v>
      </x:c>
      <x:c r="G3157" s="32" t="n">
        <x:f t="shared" si="138">AVERAGE(E2958:E3157)</x:f>
        <x:v>492.1743500000002</x:v>
      </x:c>
      <x:c r="H3157" s="37" t="n">
        <x:f t="shared" si="139">IFERROR(E3157/G3157-1,"")</x:f>
        <x:v>0.033028234811504964</x:v>
      </x:c>
      <x:c r="I3157" s="38" t="b">
        <x:f t="shared" si="140">E3157&lt;G3157</x:f>
        <x:v>0</x:v>
      </x:c>
    </x:row>
    <x:row r="3158">
      <x:c r="A3158" s="31">
        <x:v>41606</x:v>
      </x:c>
      <x:c r="B3158" s="32">
        <x:v>508.53</x:v>
      </x:c>
      <x:c r="C3158" s="32">
        <x:v>509.15</x:v>
      </x:c>
      <x:c r="D3158" s="32">
        <x:v>506.99</x:v>
      </x:c>
      <x:c r="E3158" s="32">
        <x:v>507.71</x:v>
      </x:c>
      <x:c r="F3158" s="33">
        <x:v>77302730</x:v>
      </x:c>
      <x:c r="G3158" s="32" t="n">
        <x:f t="shared" si="138">AVERAGE(E2959:E3158)</x:f>
        <x:v>492.25980000000027</x:v>
      </x:c>
      <x:c r="H3158" s="37" t="n">
        <x:f t="shared" si="139">IFERROR(E3158/G3158-1,"")</x:f>
        <x:v>0.03138627204577693</x:v>
      </x:c>
      <x:c r="I3158" s="38" t="b">
        <x:f t="shared" si="140">E3158&lt;G3158</x:f>
        <x:v>0</x:v>
      </x:c>
    </x:row>
    <x:row r="3159">
      <x:c r="A3159" s="31">
        <x:v>41607</x:v>
      </x:c>
      <x:c r="B3159" s="32">
        <x:v>507.42</x:v>
      </x:c>
      <x:c r="C3159" s="32">
        <x:v>508.78</x:v>
      </x:c>
      <x:c r="D3159" s="32">
        <x:v>506.05</x:v>
      </x:c>
      <x:c r="E3159" s="32">
        <x:v>507.78</x:v>
      </x:c>
      <x:c r="F3159" s="33">
        <x:v>97557500</x:v>
      </x:c>
      <x:c r="G3159" s="32" t="n">
        <x:f t="shared" si="138">AVERAGE(E2960:E3159)</x:f>
        <x:v>492.3285500000002</x:v>
      </x:c>
      <x:c r="H3159" s="37" t="n">
        <x:f t="shared" si="139">IFERROR(E3159/G3159-1,"")</x:f>
        <x:v>0.03138442814254794</x:v>
      </x:c>
      <x:c r="I3159" s="38" t="b">
        <x:f t="shared" si="140">E3159&lt;G3159</x:f>
        <x:v>0</x:v>
      </x:c>
    </x:row>
    <x:row r="3160">
      <x:c r="A3160" s="31">
        <x:v>41610</x:v>
      </x:c>
      <x:c r="B3160" s="32">
        <x:v>509.13</x:v>
      </x:c>
      <x:c r="C3160" s="32">
        <x:v>509.48</x:v>
      </x:c>
      <x:c r="D3160" s="32">
        <x:v>507.1</x:v>
      </x:c>
      <x:c r="E3160" s="32">
        <x:v>508.53</x:v>
      </x:c>
      <x:c r="F3160" s="33">
        <x:v>75143330</x:v>
      </x:c>
      <x:c r="G3160" s="32" t="n">
        <x:f t="shared" si="138">AVERAGE(E2961:E3160)</x:f>
        <x:v>492.4014500000002</x:v>
      </x:c>
      <x:c r="H3160" s="37" t="n">
        <x:f t="shared" si="139">IFERROR(E3160/G3160-1,"")</x:f>
        <x:v>0.03275487917429931</x:v>
      </x:c>
      <x:c r="I3160" s="38" t="b">
        <x:f t="shared" si="140">E3160&lt;G3160</x:f>
        <x:v>0</x:v>
      </x:c>
    </x:row>
    <x:row r="3161">
      <x:c r="A3161" s="31">
        <x:v>41611</x:v>
      </x:c>
      <x:c r="B3161" s="32">
        <x:v>508.13</x:v>
      </x:c>
      <x:c r="C3161" s="32">
        <x:v>514.83000000000004</x:v>
      </x:c>
      <x:c r="D3161" s="32">
        <x:v>508.13</x:v>
      </x:c>
      <x:c r="E3161" s="32">
        <x:v>511.62</x:v>
      </x:c>
      <x:c r="F3161" s="33">
        <x:v>121874670</x:v>
      </x:c>
      <x:c r="G3161" s="32" t="n">
        <x:f t="shared" si="138">AVERAGE(E2962:E3161)</x:f>
        <x:v>492.50565000000023</x:v>
      </x:c>
      <x:c r="H3161" s="37" t="n">
        <x:f t="shared" si="139">IFERROR(E3161/G3161-1,"")</x:f>
        <x:v>0.03881041770789784</x:v>
      </x:c>
      <x:c r="I3161" s="38" t="b">
        <x:f t="shared" si="140">E3161&lt;G3161</x:f>
        <x:v>0</x:v>
      </x:c>
    </x:row>
    <x:row r="3162">
      <x:c r="A3162" s="31">
        <x:v>41612</x:v>
      </x:c>
      <x:c r="B3162" s="32">
        <x:v>512.01</x:v>
      </x:c>
      <x:c r="C3162" s="32">
        <x:v>513.4</x:v>
      </x:c>
      <x:c r="D3162" s="32">
        <x:v>510.66</x:v>
      </x:c>
      <x:c r="E3162" s="32">
        <x:v>510.88</x:v>
      </x:c>
      <x:c r="F3162" s="33">
        <x:v>105380250</x:v>
      </x:c>
      <x:c r="G3162" s="32" t="n">
        <x:f t="shared" si="138">AVERAGE(E2963:E3162)</x:f>
        <x:v>492.58590000000027</x:v>
      </x:c>
      <x:c r="H3162" s="37" t="n">
        <x:f t="shared" si="139">IFERROR(E3162/G3162-1,"")</x:f>
        <x:v>0.03713890308269008</x:v>
      </x:c>
      <x:c r="I3162" s="38" t="b">
        <x:f t="shared" si="140">E3162&lt;G3162</x:f>
        <x:v>0</x:v>
      </x:c>
    </x:row>
    <x:row r="3163">
      <x:c r="A3163" s="31">
        <x:v>41613</x:v>
      </x:c>
      <x:c r="B3163" s="32">
        <x:v>510.39</x:v>
      </x:c>
      <x:c r="C3163" s="32">
        <x:v>512.21</x:v>
      </x:c>
      <x:c r="D3163" s="32">
        <x:v>507.52</x:v>
      </x:c>
      <x:c r="E3163" s="32">
        <x:v>510.03</x:v>
      </x:c>
      <x:c r="F3163" s="33">
        <x:v>100718390</x:v>
      </x:c>
      <x:c r="G3163" s="32" t="n">
        <x:f t="shared" si="138">AVERAGE(E2964:E3163)</x:f>
        <x:v>492.75240000000025</x:v>
      </x:c>
      <x:c r="H3163" s="37" t="n">
        <x:f t="shared" si="139">IFERROR(E3163/G3163-1,"")</x:f>
        <x:v>0.035063451745744434</x:v>
      </x:c>
      <x:c r="I3163" s="38" t="b">
        <x:f t="shared" si="140">E3163&lt;G3163</x:f>
        <x:v>0</x:v>
      </x:c>
    </x:row>
    <x:row r="3164">
      <x:c r="A3164" s="31">
        <x:v>41614</x:v>
      </x:c>
      <x:c r="B3164" s="32">
        <x:v>510.65</x:v>
      </x:c>
      <x:c r="C3164" s="32">
        <x:v>512.37</x:v>
      </x:c>
      <x:c r="D3164" s="32">
        <x:v>509.76</x:v>
      </x:c>
      <x:c r="E3164" s="32">
        <x:v>510.12</x:v>
      </x:c>
      <x:c r="F3164" s="33">
        <x:v>75560180</x:v>
      </x:c>
      <x:c r="G3164" s="32" t="n">
        <x:f t="shared" si="138">AVERAGE(E2965:E3164)</x:f>
        <x:v>492.9145500000002</x:v>
      </x:c>
      <x:c r="H3164" s="37" t="n">
        <x:f t="shared" si="139">IFERROR(E3164/G3164-1,"")</x:f>
        <x:v>0.03490554295871329</x:v>
      </x:c>
      <x:c r="I3164" s="38" t="b">
        <x:f t="shared" si="140">E3164&lt;G3164</x:f>
        <x:v>0</x:v>
      </x:c>
    </x:row>
    <x:row r="3165">
      <x:c r="A3165" s="31">
        <x:v>41617</x:v>
      </x:c>
      <x:c r="B3165" s="32">
        <x:v>514.13</x:v>
      </x:c>
      <x:c r="C3165" s="32">
        <x:v>514.13</x:v>
      </x:c>
      <x:c r="D3165" s="32">
        <x:v>510.94</x:v>
      </x:c>
      <x:c r="E3165" s="32">
        <x:v>511.23</x:v>
      </x:c>
      <x:c r="F3165" s="33">
        <x:v>100343600</x:v>
      </x:c>
      <x:c r="G3165" s="32" t="n">
        <x:f t="shared" si="138">AVERAGE(E2966:E3165)</x:f>
        <x:v>493.05225000000013</x:v>
      </x:c>
      <x:c r="H3165" s="37" t="n">
        <x:f t="shared" si="139">IFERROR(E3165/G3165-1,"")</x:f>
        <x:v>0.03686779646579019</x:v>
      </x:c>
      <x:c r="I3165" s="38" t="b">
        <x:f t="shared" si="140">E3165&lt;G3165</x:f>
        <x:v>0</x:v>
      </x:c>
    </x:row>
    <x:row r="3166">
      <x:c r="A3166" s="31">
        <x:v>41618</x:v>
      </x:c>
      <x:c r="B3166" s="32">
        <x:v>512.1</x:v>
      </x:c>
      <x:c r="C3166" s="32">
        <x:v>513.83000000000004</x:v>
      </x:c>
      <x:c r="D3166" s="32">
        <x:v>510.24</x:v>
      </x:c>
      <x:c r="E3166" s="32">
        <x:v>511.6</x:v>
      </x:c>
      <x:c r="F3166" s="33">
        <x:v>78954520</x:v>
      </x:c>
      <x:c r="G3166" s="32" t="n">
        <x:f t="shared" si="138">AVERAGE(E2967:E3166)</x:f>
        <x:v>493.28500000000014</x:v>
      </x:c>
      <x:c r="H3166" s="37" t="n">
        <x:f t="shared" si="139">IFERROR(E3166/G3166-1,"")</x:f>
        <x:v>0.03712863760300822</x:v>
      </x:c>
      <x:c r="I3166" s="38" t="b">
        <x:f t="shared" si="140">E3166&lt;G3166</x:f>
        <x:v>0</x:v>
      </x:c>
    </x:row>
    <x:row r="3167">
      <x:c r="A3167" s="31">
        <x:v>41619</x:v>
      </x:c>
      <x:c r="B3167" s="32">
        <x:v>511.74</x:v>
      </x:c>
      <x:c r="C3167" s="32">
        <x:v>511.81</x:v>
      </x:c>
      <x:c r="D3167" s="32">
        <x:v>504.9</x:v>
      </x:c>
      <x:c r="E3167" s="32">
        <x:v>505.31</x:v>
      </x:c>
      <x:c r="F3167" s="33">
        <x:v>101559530</x:v>
      </x:c>
      <x:c r="G3167" s="32" t="n">
        <x:f t="shared" si="138">AVERAGE(E2968:E3167)</x:f>
        <x:v>493.48295000000013</x:v>
      </x:c>
      <x:c r="H3167" s="37" t="n">
        <x:f t="shared" si="139">IFERROR(E3167/G3167-1,"")</x:f>
        <x:v>0.02396648151673708</x:v>
      </x:c>
      <x:c r="I3167" s="38" t="b">
        <x:f t="shared" si="140">E3167&lt;G3167</x:f>
        <x:v>0</x:v>
      </x:c>
    </x:row>
    <x:row r="3168">
      <x:c r="A3168" s="31">
        <x:v>41620</x:v>
      </x:c>
      <x:c r="B3168" s="32">
        <x:v>503.77</x:v>
      </x:c>
      <x:c r="C3168" s="32">
        <x:v>507.68</x:v>
      </x:c>
      <x:c r="D3168" s="32">
        <x:v>503.76</x:v>
      </x:c>
      <x:c r="E3168" s="32">
        <x:v>506.92</x:v>
      </x:c>
      <x:c r="F3168" s="33">
        <x:v>67853440</x:v>
      </x:c>
      <x:c r="G3168" s="32" t="n">
        <x:f t="shared" si="138">AVERAGE(E2969:E3168)</x:f>
        <x:v>493.64475000000016</x:v>
      </x:c>
      <x:c r="H3168" s="37" t="n">
        <x:f t="shared" si="139">IFERROR(E3168/G3168-1,"")</x:f>
        <x:v>0.026892314766843617</x:v>
      </x:c>
      <x:c r="I3168" s="38" t="b">
        <x:f t="shared" si="140">E3168&lt;G3168</x:f>
        <x:v>0</x:v>
      </x:c>
    </x:row>
    <x:row r="3169">
      <x:c r="A3169" s="31">
        <x:v>41621</x:v>
      </x:c>
      <x:c r="B3169" s="32">
        <x:v>507.07</x:v>
      </x:c>
      <x:c r="C3169" s="32">
        <x:v>509.35</x:v>
      </x:c>
      <x:c r="D3169" s="32">
        <x:v>505.49</x:v>
      </x:c>
      <x:c r="E3169" s="32">
        <x:v>506.06</x:v>
      </x:c>
      <x:c r="F3169" s="33">
        <x:v>63123560</x:v>
      </x:c>
      <x:c r="G3169" s="32" t="n">
        <x:f t="shared" si="138">AVERAGE(E2970:E3169)</x:f>
        <x:v>493.78930000000014</x:v>
      </x:c>
      <x:c r="H3169" s="37" t="n">
        <x:f t="shared" si="139">IFERROR(E3169/G3169-1,"")</x:f>
        <x:v>0.024850072692947922</x:v>
      </x:c>
      <x:c r="I3169" s="38" t="b">
        <x:f t="shared" si="140">E3169&lt;G3169</x:f>
        <x:v>0</x:v>
      </x:c>
    </x:row>
    <x:row r="3170">
      <x:c r="A3170" s="31">
        <x:v>41624</x:v>
      </x:c>
      <x:c r="B3170" s="32">
        <x:v>503.46</x:v>
      </x:c>
      <x:c r="C3170" s="32">
        <x:v>506.52</x:v>
      </x:c>
      <x:c r="D3170" s="32">
        <x:v>502.04</x:v>
      </x:c>
      <x:c r="E3170" s="32">
        <x:v>502.04</x:v>
      </x:c>
      <x:c r="F3170" s="33">
        <x:v>55654010</x:v>
      </x:c>
      <x:c r="G3170" s="32" t="n">
        <x:f t="shared" si="138">AVERAGE(E2971:E3170)</x:f>
        <x:v>493.9558000000002</x:v>
      </x:c>
      <x:c r="H3170" s="37" t="n">
        <x:f t="shared" si="139">IFERROR(E3170/G3170-1,"")</x:f>
        <x:v>0.016366241675874305</x:v>
      </x:c>
      <x:c r="I3170" s="38" t="b">
        <x:f t="shared" si="140">E3170&lt;G3170</x:f>
        <x:v>0</x:v>
      </x:c>
    </x:row>
    <x:row r="3171">
      <x:c r="A3171" s="31">
        <x:v>41625</x:v>
      </x:c>
      <x:c r="B3171" s="32">
        <x:v>503.24</x:v>
      </x:c>
      <x:c r="C3171" s="32">
        <x:v>505.67</x:v>
      </x:c>
      <x:c r="D3171" s="32">
        <x:v>502.2</x:v>
      </x:c>
      <x:c r="E3171" s="32">
        <x:v>505.67</x:v>
      </x:c>
      <x:c r="F3171" s="33">
        <x:v>69414600</x:v>
      </x:c>
      <x:c r="G3171" s="32" t="n">
        <x:f t="shared" si="138">AVERAGE(E2972:E3171)</x:f>
        <x:v>494.1735500000001</x:v>
      </x:c>
      <x:c r="H3171" s="37" t="n">
        <x:f t="shared" si="139">IFERROR(E3171/G3171-1,"")</x:f>
        <x:v>0.023263992983841186</x:v>
      </x:c>
      <x:c r="I3171" s="38" t="b">
        <x:f t="shared" si="140">E3171&lt;G3171</x:f>
        <x:v>0</x:v>
      </x:c>
    </x:row>
    <x:row r="3172">
      <x:c r="A3172" s="31">
        <x:v>41626</x:v>
      </x:c>
      <x:c r="B3172" s="32">
        <x:v>505.1</x:v>
      </x:c>
      <x:c r="C3172" s="32">
        <x:v>506.11</x:v>
      </x:c>
      <x:c r="D3172" s="32">
        <x:v>503.66</x:v>
      </x:c>
      <x:c r="E3172" s="32">
        <x:v>505.25</x:v>
      </x:c>
      <x:c r="F3172" s="33">
        <x:v>59253700</x:v>
      </x:c>
      <x:c r="G3172" s="32" t="n">
        <x:f t="shared" si="138">AVERAGE(E2973:E3172)</x:f>
        <x:v>494.34435000000013</x:v>
      </x:c>
      <x:c r="H3172" s="37" t="n">
        <x:f t="shared" si="139">IFERROR(E3172/G3172-1,"")</x:f>
        <x:v>0.022060836742646917</x:v>
      </x:c>
      <x:c r="I3172" s="38" t="b">
        <x:f t="shared" si="140">E3172&lt;G3172</x:f>
        <x:v>0</x:v>
      </x:c>
    </x:row>
    <x:row r="3173">
      <x:c r="A3173" s="31">
        <x:v>41627</x:v>
      </x:c>
      <x:c r="B3173" s="32">
        <x:v>505.9</x:v>
      </x:c>
      <x:c r="C3173" s="32">
        <x:v>508.04</x:v>
      </x:c>
      <x:c r="D3173" s="32">
        <x:v>504.92</x:v>
      </x:c>
      <x:c r="E3173" s="32">
        <x:v>506.28</x:v>
      </x:c>
      <x:c r="F3173" s="33">
        <x:v>106818860</x:v>
      </x:c>
      <x:c r="G3173" s="32" t="n">
        <x:f t="shared" si="138">AVERAGE(E2974:E3173)</x:f>
        <x:v>494.54260000000016</x:v>
      </x:c>
      <x:c r="H3173" s="37" t="n">
        <x:f t="shared" si="139">IFERROR(E3173/G3173-1,"")</x:f>
        <x:v>0.023733850228473408</x:v>
      </x:c>
      <x:c r="I3173" s="38" t="b">
        <x:f t="shared" si="140">E3173&lt;G3173</x:f>
        <x:v>0</x:v>
      </x:c>
    </x:row>
    <x:row r="3174">
      <x:c r="A3174" s="31">
        <x:v>41628</x:v>
      </x:c>
      <x:c r="B3174" s="32">
        <x:v>507.39</x:v>
      </x:c>
      <x:c r="C3174" s="32">
        <x:v>508.29</x:v>
      </x:c>
      <x:c r="D3174" s="32">
        <x:v>504.45</x:v>
      </x:c>
      <x:c r="E3174" s="32">
        <x:v>504.45</x:v>
      </x:c>
      <x:c r="F3174" s="33">
        <x:v>124403730</x:v>
      </x:c>
      <x:c r="G3174" s="32" t="n">
        <x:f t="shared" si="138">AVERAGE(E2975:E3174)</x:f>
        <x:v>494.7114500000002</x:v>
      </x:c>
      <x:c r="H3174" s="37" t="n">
        <x:f t="shared" si="139">IFERROR(E3174/G3174-1,"")</x:f>
        <x:v>0.019685313529735016</x:v>
      </x:c>
      <x:c r="I3174" s="38" t="b">
        <x:f t="shared" si="140">E3174&lt;G3174</x:f>
        <x:v>0</x:v>
      </x:c>
    </x:row>
    <x:row r="3175">
      <x:c r="A3175" s="31">
        <x:v>41631</x:v>
      </x:c>
      <x:c r="B3175" s="32">
        <x:v>506.6</x:v>
      </x:c>
      <x:c r="C3175" s="32">
        <x:v>509.41</x:v>
      </x:c>
      <x:c r="D3175" s="32">
        <x:v>505.73</x:v>
      </x:c>
      <x:c r="E3175" s="32">
        <x:v>508.68</x:v>
      </x:c>
      <x:c r="F3175" s="33">
        <x:v>97324320</x:v>
      </x:c>
      <x:c r="G3175" s="32" t="n">
        <x:f t="shared" si="138">AVERAGE(E2976:E3175)</x:f>
        <x:v>494.87235000000015</x:v>
      </x:c>
      <x:c r="H3175" s="37" t="n">
        <x:f t="shared" si="139">IFERROR(E3175/G3175-1,"")</x:f>
        <x:v>0.02790143761315389</x:v>
      </x:c>
      <x:c r="I3175" s="38" t="b">
        <x:f t="shared" si="140">E3175&lt;G3175</x:f>
        <x:v>0</x:v>
      </x:c>
    </x:row>
    <x:row r="3176">
      <x:c r="A3176" s="31">
        <x:v>41632</x:v>
      </x:c>
      <x:c r="B3176" s="32">
        <x:v>508.61</x:v>
      </x:c>
      <x:c r="C3176" s="32">
        <x:v>509.54</x:v>
      </x:c>
      <x:c r="D3176" s="32">
        <x:v>505.62</x:v>
      </x:c>
      <x:c r="E3176" s="32">
        <x:v>505.62</x:v>
      </x:c>
      <x:c r="F3176" s="33">
        <x:v>84085890</x:v>
      </x:c>
      <x:c r="G3176" s="32" t="n">
        <x:f t="shared" si="138">AVERAGE(E2977:E3176)</x:f>
        <x:v>495.0237500000001</x:v>
      </x:c>
      <x:c r="H3176" s="37" t="n">
        <x:f t="shared" si="139">IFERROR(E3176/G3176-1,"")</x:f>
        <x:v>0.021405538623146647</x:v>
      </x:c>
      <x:c r="I3176" s="38" t="b">
        <x:f t="shared" si="140">E3176&lt;G3176</x:f>
        <x:v>0</x:v>
      </x:c>
    </x:row>
    <x:row r="3177">
      <x:c r="A3177" s="31">
        <x:v>41633</x:v>
      </x:c>
      <x:c r="B3177" s="32">
        <x:v>506.37</x:v>
      </x:c>
      <x:c r="C3177" s="32">
        <x:v>506.53</x:v>
      </x:c>
      <x:c r="D3177" s="32">
        <x:v>503.03</x:v>
      </x:c>
      <x:c r="E3177" s="32">
        <x:v>504.42</x:v>
      </x:c>
      <x:c r="F3177" s="33">
        <x:v>70383710</x:v>
      </x:c>
      <x:c r="G3177" s="32" t="n">
        <x:f t="shared" si="138">AVERAGE(E2978:E3177)</x:f>
        <x:v>495.1799500000001</x:v>
      </x:c>
      <x:c r="H3177" s="37" t="n">
        <x:f t="shared" si="139">IFERROR(E3177/G3177-1,"")</x:f>
        <x:v>0.018659984112846084</x:v>
      </x:c>
      <x:c r="I3177" s="38" t="b">
        <x:f t="shared" si="140">E3177&lt;G3177</x:f>
        <x:v>0</x:v>
      </x:c>
    </x:row>
    <x:row r="3178">
      <x:c r="A3178" s="31">
        <x:v>41634</x:v>
      </x:c>
      <x:c r="B3178" s="32">
        <x:v>504.41</x:v>
      </x:c>
      <x:c r="C3178" s="32">
        <x:v>507.57</x:v>
      </x:c>
      <x:c r="D3178" s="32">
        <x:v>503.59</x:v>
      </x:c>
      <x:c r="E3178" s="32">
        <x:v>506.55</x:v>
      </x:c>
      <x:c r="F3178" s="33">
        <x:v>68852630</x:v>
      </x:c>
      <x:c r="G3178" s="32" t="n">
        <x:f t="shared" si="138">AVERAGE(E2979:E3178)</x:f>
        <x:v>495.3397</x:v>
      </x:c>
      <x:c r="H3178" s="37" t="n">
        <x:f t="shared" si="139">IFERROR(E3178/G3178-1,"")</x:f>
        <x:v>0.022631539527318445</x:v>
      </x:c>
      <x:c r="I3178" s="38" t="b">
        <x:f t="shared" si="140">E3178&lt;G3178</x:f>
        <x:v>0</x:v>
      </x:c>
    </x:row>
    <x:row r="3179">
      <x:c r="A3179" s="31">
        <x:v>41635</x:v>
      </x:c>
      <x:c r="B3179" s="32">
        <x:v>507.08</x:v>
      </x:c>
      <x:c r="C3179" s="32">
        <x:v>510.09</x:v>
      </x:c>
      <x:c r="D3179" s="32">
        <x:v>506.41</x:v>
      </x:c>
      <x:c r="E3179" s="32">
        <x:v>506.41</x:v>
      </x:c>
      <x:c r="F3179" s="33">
        <x:v>70524800</x:v>
      </x:c>
      <x:c r="G3179" s="32" t="n">
        <x:f t="shared" si="138">AVERAGE(E2980:E3179)</x:f>
        <x:v>495.4650000000001</x:v>
      </x:c>
      <x:c r="H3179" s="37" t="n">
        <x:f t="shared" si="139">IFERROR(E3179/G3179-1,"")</x:f>
        <x:v>0.022090359561220074</x:v>
      </x:c>
      <x:c r="I3179" s="38" t="b">
        <x:f t="shared" si="140">E3179&lt;G3179</x:f>
        <x:v>0</x:v>
      </x:c>
    </x:row>
    <x:row r="3180">
      <x:c r="A3180" s="31">
        <x:v>41638</x:v>
      </x:c>
      <x:c r="B3180" s="32">
        <x:v>506.35</x:v>
      </x:c>
      <x:c r="C3180" s="32">
        <x:v>507.02</x:v>
      </x:c>
      <x:c r="D3180" s="32">
        <x:v>500.35</x:v>
      </x:c>
      <x:c r="E3180" s="32">
        <x:v>500.35</x:v>
      </x:c>
      <x:c r="F3180" s="33">
        <x:v>84731280</x:v>
      </x:c>
      <x:c r="G3180" s="32" t="n">
        <x:f t="shared" si="138">AVERAGE(E2981:E3180)</x:f>
        <x:v>495.57110000000006</x:v>
      </x:c>
      <x:c r="H3180" s="37" t="n">
        <x:f t="shared" si="139">IFERROR(E3180/G3180-1,"")</x:f>
        <x:v>0.009643217693687145</x:v>
      </x:c>
      <x:c r="I3180" s="38" t="b">
        <x:f t="shared" si="140">E3180&lt;G3180</x:f>
        <x:v>0</x:v>
      </x:c>
    </x:row>
    <x:row r="3181">
      <x:c r="A3181" s="31">
        <x:v>41639</x:v>
      </x:c>
      <x:c r="B3181" s="32">
        <x:v>500.04</x:v>
      </x:c>
      <x:c r="C3181" s="32">
        <x:v>506.44</x:v>
      </x:c>
      <x:c r="D3181" s="32">
        <x:v>499.49</x:v>
      </x:c>
      <x:c r="E3181" s="32">
        <x:v>504.63</x:v>
      </x:c>
      <x:c r="F3181" s="33">
        <x:v>59559870</x:v>
      </x:c>
      <x:c r="G3181" s="32" t="n">
        <x:f t="shared" si="138">AVERAGE(E2982:E3181)</x:f>
        <x:v>495.6918500000001</x:v>
      </x:c>
      <x:c r="H3181" s="37" t="n">
        <x:f t="shared" si="139">IFERROR(E3181/G3181-1,"")</x:f>
        <x:v>0.018031666245874156</x:v>
      </x:c>
      <x:c r="I3181" s="38" t="b">
        <x:f t="shared" si="140">E3181&lt;G3181</x:f>
        <x:v>0</x:v>
      </x:c>
    </x:row>
    <x:row r="3182">
      <x:c r="A3182" s="31">
        <x:v>41641</x:v>
      </x:c>
      <x:c r="B3182" s="32">
        <x:v>505.61</x:v>
      </x:c>
      <x:c r="C3182" s="32">
        <x:v>506.71</x:v>
      </x:c>
      <x:c r="D3182" s="32">
        <x:v>503.04</x:v>
      </x:c>
      <x:c r="E3182" s="32">
        <x:v>504.51</x:v>
      </x:c>
      <x:c r="F3182" s="33">
        <x:v>54996230</x:v>
      </x:c>
      <x:c r="G3182" s="32" t="n">
        <x:f t="shared" si="138">AVERAGE(E2983:E3182)</x:f>
        <x:v>495.77920000000006</x:v>
      </x:c>
      <x:c r="H3182" s="37" t="n">
        <x:f t="shared" si="139">IFERROR(E3182/G3182-1,"")</x:f>
        <x:v>0.01761025876035127</x:v>
      </x:c>
      <x:c r="I3182" s="38" t="b">
        <x:f t="shared" si="140">E3182&lt;G3182</x:f>
        <x:v>0</x:v>
      </x:c>
    </x:row>
    <x:row r="3183">
      <x:c r="A3183" s="31">
        <x:v>41642</x:v>
      </x:c>
      <x:c r="B3183" s="32">
        <x:v>504.41</x:v>
      </x:c>
      <x:c r="C3183" s="32">
        <x:v>506.28</x:v>
      </x:c>
      <x:c r="D3183" s="32">
        <x:v>503.94</x:v>
      </x:c>
      <x:c r="E3183" s="32">
        <x:v>505.37</x:v>
      </x:c>
      <x:c r="F3183" s="33">
        <x:v>50118840</x:v>
      </x:c>
      <x:c r="G3183" s="32" t="n">
        <x:f t="shared" si="138">AVERAGE(E2984:E3183)</x:f>
        <x:v>495.84710000000007</x:v>
      </x:c>
      <x:c r="H3183" s="37" t="n">
        <x:f t="shared" si="139">IFERROR(E3183/G3183-1,"")</x:f>
        <x:v>0.019205315509559062</x:v>
      </x:c>
      <x:c r="I3183" s="38" t="b">
        <x:f t="shared" si="140">E3183&lt;G3183</x:f>
        <x:v>0</x:v>
      </x:c>
    </x:row>
    <x:row r="3184">
      <x:c r="A3184" s="31">
        <x:v>41645</x:v>
      </x:c>
      <x:c r="B3184" s="32">
        <x:v>505.74</x:v>
      </x:c>
      <x:c r="C3184" s="32">
        <x:v>509.1</x:v>
      </x:c>
      <x:c r="D3184" s="32">
        <x:v>504.28</x:v>
      </x:c>
      <x:c r="E3184" s="32">
        <x:v>509.1</x:v>
      </x:c>
      <x:c r="F3184" s="33">
        <x:v>68130860</x:v>
      </x:c>
      <x:c r="G3184" s="32" t="n">
        <x:f t="shared" si="138">AVERAGE(E2985:E3184)</x:f>
        <x:v>495.94265000000007</x:v>
      </x:c>
      <x:c r="H3184" s="37" t="n">
        <x:f t="shared" si="139">IFERROR(E3184/G3184-1,"")</x:f>
        <x:v>0.02652998285184771</x:v>
      </x:c>
      <x:c r="I3184" s="38" t="b">
        <x:f t="shared" si="140">E3184&lt;G3184</x:f>
        <x:v>0</x:v>
      </x:c>
    </x:row>
    <x:row r="3185">
      <x:c r="A3185" s="31">
        <x:v>41646</x:v>
      </x:c>
      <x:c r="B3185" s="32">
        <x:v>510.84</x:v>
      </x:c>
      <x:c r="C3185" s="32">
        <x:v>513</x:v>
      </x:c>
      <x:c r="D3185" s="32">
        <x:v>509.87</x:v>
      </x:c>
      <x:c r="E3185" s="32">
        <x:v>510.12</x:v>
      </x:c>
      <x:c r="F3185" s="33">
        <x:v>71614380</x:v>
      </x:c>
      <x:c r="G3185" s="32" t="n">
        <x:f t="shared" si="138">AVERAGE(E2986:E3185)</x:f>
        <x:v>496.0254000000001</x:v>
      </x:c>
      <x:c r="H3185" s="37" t="n">
        <x:f t="shared" si="139">IFERROR(E3185/G3185-1,"")</x:f>
        <x:v>0.028415077131130673</x:v>
      </x:c>
      <x:c r="I3185" s="38" t="b">
        <x:f t="shared" si="140">E3185&lt;G3185</x:f>
        <x:v>0</x:v>
      </x:c>
    </x:row>
    <x:row r="3186">
      <x:c r="A3186" s="31">
        <x:v>41647</x:v>
      </x:c>
      <x:c r="B3186" s="32">
        <x:v>511.03</x:v>
      </x:c>
      <x:c r="C3186" s="32">
        <x:v>514.20000000000005</x:v>
      </x:c>
      <x:c r="D3186" s="32">
        <x:v>509.01</x:v>
      </x:c>
      <x:c r="E3186" s="32">
        <x:v>513.9</x:v>
      </x:c>
      <x:c r="F3186" s="33">
        <x:v>68629490</x:v>
      </x:c>
      <x:c r="G3186" s="32" t="n">
        <x:f t="shared" si="138">AVERAGE(E2987:E3186)</x:f>
        <x:v>496.14760000000007</x:v>
      </x:c>
      <x:c r="H3186" s="37" t="n">
        <x:f t="shared" si="139">IFERROR(E3186/G3186-1,"")</x:f>
        <x:v>0.035780481453502766</x:v>
      </x:c>
      <x:c r="I3186" s="38" t="b">
        <x:f t="shared" si="140">E3186&lt;G3186</x:f>
        <x:v>0</x:v>
      </x:c>
    </x:row>
    <x:row r="3187">
      <x:c r="A3187" s="31">
        <x:v>41648</x:v>
      </x:c>
      <x:c r="B3187" s="32">
        <x:v>513.66</x:v>
      </x:c>
      <x:c r="C3187" s="32">
        <x:v>516.98</x:v>
      </x:c>
      <x:c r="D3187" s="32">
        <x:v>513.52</x:v>
      </x:c>
      <x:c r="E3187" s="32">
        <x:v>516.98</x:v>
      </x:c>
      <x:c r="F3187" s="33">
        <x:v>88948710</x:v>
      </x:c>
      <x:c r="G3187" s="32" t="n">
        <x:f t="shared" si="138">AVERAGE(E2988:E3187)</x:f>
        <x:v>496.2762</x:v>
      </x:c>
      <x:c r="H3187" s="37" t="n">
        <x:f t="shared" si="139">IFERROR(E3187/G3187-1,"")</x:f>
        <x:v>0.0417183012201674</x:v>
      </x:c>
      <x:c r="I3187" s="38" t="b">
        <x:f t="shared" si="140">E3187&lt;G3187</x:f>
        <x:v>0</x:v>
      </x:c>
    </x:row>
    <x:row r="3188">
      <x:c r="A3188" s="31">
        <x:v>41649</x:v>
      </x:c>
      <x:c r="B3188" s="32">
        <x:v>518.33000000000004</x:v>
      </x:c>
      <x:c r="C3188" s="32">
        <x:v>523.05999999999995</x:v>
      </x:c>
      <x:c r="D3188" s="32">
        <x:v>518.24</x:v>
      </x:c>
      <x:c r="E3188" s="32">
        <x:v>518.94000000000005</x:v>
      </x:c>
      <x:c r="F3188" s="33">
        <x:v>92706120</x:v>
      </x:c>
      <x:c r="G3188" s="32" t="n">
        <x:f t="shared" si="138">AVERAGE(E2989:E3188)</x:f>
        <x:v>496.41755000000006</x:v>
      </x:c>
      <x:c r="H3188" s="37" t="n">
        <x:f t="shared" si="139">IFERROR(E3188/G3188-1,"")</x:f>
        <x:v>0.04536997130742049</x:v>
      </x:c>
      <x:c r="I3188" s="38" t="b">
        <x:f t="shared" si="140">E3188&lt;G3188</x:f>
        <x:v>0</x:v>
      </x:c>
    </x:row>
    <x:row r="3189">
      <x:c r="A3189" s="31">
        <x:v>41652</x:v>
      </x:c>
      <x:c r="B3189" s="32">
        <x:v>519.30999999999995</x:v>
      </x:c>
      <x:c r="C3189" s="32">
        <x:v>522.32000000000005</x:v>
      </x:c>
      <x:c r="D3189" s="32">
        <x:v>518.78</x:v>
      </x:c>
      <x:c r="E3189" s="32">
        <x:v>521.11</x:v>
      </x:c>
      <x:c r="F3189" s="33">
        <x:v>68452030</x:v>
      </x:c>
      <x:c r="G3189" s="32" t="n">
        <x:f t="shared" si="138">AVERAGE(E2990:E3189)</x:f>
        <x:v>496.56790000000007</x:v>
      </x:c>
      <x:c r="H3189" s="37" t="n">
        <x:f t="shared" si="139">IFERROR(E3189/G3189-1,"")</x:f>
        <x:v>0.049423452462392214</x:v>
      </x:c>
      <x:c r="I3189" s="38" t="b">
        <x:f t="shared" si="140">E3189&lt;G3189</x:f>
        <x:v>0</x:v>
      </x:c>
    </x:row>
    <x:row r="3190">
      <x:c r="A3190" s="31">
        <x:v>41653</x:v>
      </x:c>
      <x:c r="B3190" s="32">
        <x:v>521.13</x:v>
      </x:c>
      <x:c r="C3190" s="32">
        <x:v>524.59</x:v>
      </x:c>
      <x:c r="D3190" s="32">
        <x:v>520.63</x:v>
      </x:c>
      <x:c r="E3190" s="32">
        <x:v>522.30999999999995</x:v>
      </x:c>
      <x:c r="F3190" s="33">
        <x:v>85746090</x:v>
      </x:c>
      <x:c r="G3190" s="32" t="n">
        <x:f t="shared" si="138">AVERAGE(E2991:E3190)</x:f>
        <x:v>496.6504000000001</x:v>
      </x:c>
      <x:c r="H3190" s="37" t="n">
        <x:f t="shared" si="139">IFERROR(E3190/G3190-1,"")</x:f>
        <x:v>0.05166531628686877</x:v>
      </x:c>
      <x:c r="I3190" s="38" t="b">
        <x:f t="shared" si="140">E3190&lt;G3190</x:f>
        <x:v>0</x:v>
      </x:c>
    </x:row>
    <x:row r="3191">
      <x:c r="A3191" s="31">
        <x:v>41654</x:v>
      </x:c>
      <x:c r="B3191" s="32">
        <x:v>523.72</x:v>
      </x:c>
      <x:c r="C3191" s="32">
        <x:v>527.09</x:v>
      </x:c>
      <x:c r="D3191" s="32">
        <x:v>522.45000000000005</x:v>
      </x:c>
      <x:c r="E3191" s="32">
        <x:v>526.67999999999995</x:v>
      </x:c>
      <x:c r="F3191" s="33">
        <x:v>126092570</x:v>
      </x:c>
      <x:c r="G3191" s="32" t="n">
        <x:f t="shared" si="138">AVERAGE(E2992:E3191)</x:f>
        <x:v>496.73665</x:v>
      </x:c>
      <x:c r="H3191" s="37" t="n">
        <x:f t="shared" si="139">IFERROR(E3191/G3191-1,"")</x:f>
        <x:v>0.06028013032660251</x:v>
      </x:c>
      <x:c r="I3191" s="38" t="b">
        <x:f t="shared" si="140">E3191&lt;G3191</x:f>
        <x:v>0</x:v>
      </x:c>
    </x:row>
    <x:row r="3192">
      <x:c r="A3192" s="31">
        <x:v>41655</x:v>
      </x:c>
      <x:c r="B3192" s="32">
        <x:v>528.83000000000004</x:v>
      </x:c>
      <x:c r="C3192" s="32">
        <x:v>533.54</x:v>
      </x:c>
      <x:c r="D3192" s="32">
        <x:v>527.9</x:v>
      </x:c>
      <x:c r="E3192" s="32">
        <x:v>533.54</x:v>
      </x:c>
      <x:c r="F3192" s="33">
        <x:v>91792850</x:v>
      </x:c>
      <x:c r="G3192" s="32" t="n">
        <x:f t="shared" si="138">AVERAGE(E2993:E3192)</x:f>
        <x:v>496.8747</x:v>
      </x:c>
      <x:c r="H3192" s="37" t="n">
        <x:f t="shared" si="139">IFERROR(E3192/G3192-1,"")</x:f>
        <x:v>0.0737918432957041</x:v>
      </x:c>
      <x:c r="I3192" s="38" t="b">
        <x:f t="shared" si="140">E3192&lt;G3192</x:f>
        <x:v>0</x:v>
      </x:c>
    </x:row>
    <x:row r="3193">
      <x:c r="A3193" s="31">
        <x:v>41656</x:v>
      </x:c>
      <x:c r="B3193" s="32">
        <x:v>536.80999999999995</x:v>
      </x:c>
      <x:c r="C3193" s="32">
        <x:v>549.88</x:v>
      </x:c>
      <x:c r="D3193" s="32">
        <x:v>536.80999999999995</x:v>
      </x:c>
      <x:c r="E3193" s="32">
        <x:v>543.59</x:v>
      </x:c>
      <x:c r="F3193" s="33">
        <x:v>114980130</x:v>
      </x:c>
      <x:c r="G3193" s="32" t="n">
        <x:f t="shared" si="138">AVERAGE(E2994:E3193)</x:f>
        <x:v>497.10589999999996</x:v>
      </x:c>
      <x:c r="H3193" s="37" t="n">
        <x:f t="shared" si="139">IFERROR(E3193/G3193-1,"")</x:f>
        <x:v>0.09350945140663192</x:v>
      </x:c>
      <x:c r="I3193" s="38" t="b">
        <x:f t="shared" si="140">E3193&lt;G3193</x:f>
        <x:v>0</x:v>
      </x:c>
    </x:row>
    <x:row r="3194">
      <x:c r="A3194" s="31">
        <x:v>41659</x:v>
      </x:c>
      <x:c r="B3194" s="32">
        <x:v>548.22</x:v>
      </x:c>
      <x:c r="C3194" s="32">
        <x:v>559.92999999999995</x:v>
      </x:c>
      <x:c r="D3194" s="32">
        <x:v>548.22</x:v>
      </x:c>
      <x:c r="E3194" s="32">
        <x:v>553.66999999999996</x:v>
      </x:c>
      <x:c r="F3194" s="33">
        <x:v>101980700</x:v>
      </x:c>
      <x:c r="G3194" s="32" t="n">
        <x:f t="shared" si="138">AVERAGE(E2995:E3194)</x:f>
        <x:v>497.36135</x:v>
      </x:c>
      <x:c r="H3194" s="37" t="n">
        <x:f t="shared" si="139">IFERROR(E3194/G3194-1,"")</x:f>
        <x:v>0.11321476829673216</x:v>
      </x:c>
      <x:c r="I3194" s="38" t="b">
        <x:f t="shared" si="140">E3194&lt;G3194</x:f>
        <x:v>0</x:v>
      </x:c>
    </x:row>
    <x:row r="3195">
      <x:c r="A3195" s="31">
        <x:v>41660</x:v>
      </x:c>
      <x:c r="B3195" s="32">
        <x:v>555.72</x:v>
      </x:c>
      <x:c r="C3195" s="32">
        <x:v>560.17999999999995</x:v>
      </x:c>
      <x:c r="D3195" s="32">
        <x:v>547.65</x:v>
      </x:c>
      <x:c r="E3195" s="32">
        <x:v>559.91</x:v>
      </x:c>
      <x:c r="F3195" s="33">
        <x:v>91154110</x:v>
      </x:c>
      <x:c r="G3195" s="32" t="n">
        <x:f t="shared" si="138">AVERAGE(E2996:E3195)</x:f>
        <x:v>497.6276</x:v>
      </x:c>
      <x:c r="H3195" s="37" t="n">
        <x:f t="shared" si="139">IFERROR(E3195/G3195-1,"")</x:f>
        <x:v>0.12515865277569005</x:v>
      </x:c>
      <x:c r="I3195" s="38" t="b">
        <x:f t="shared" si="140">E3195&lt;G3195</x:f>
        <x:v>0</x:v>
      </x:c>
    </x:row>
    <x:row r="3196">
      <x:c r="A3196" s="31">
        <x:v>41661</x:v>
      </x:c>
      <x:c r="B3196" s="32">
        <x:v>561.34</x:v>
      </x:c>
      <x:c r="C3196" s="32">
        <x:v>564.61</x:v>
      </x:c>
      <x:c r="D3196" s="32">
        <x:v>551.91999999999996</x:v>
      </x:c>
      <x:c r="E3196" s="32">
        <x:v>551.91999999999996</x:v>
      </x:c>
      <x:c r="F3196" s="33">
        <x:v>114735990</x:v>
      </x:c>
      <x:c r="G3196" s="32" t="n">
        <x:f t="shared" si="138">AVERAGE(E2997:E3196)</x:f>
        <x:v>497.83475</x:v>
      </x:c>
      <x:c r="H3196" s="37" t="n">
        <x:f t="shared" si="139">IFERROR(E3196/G3196-1,"")</x:f>
        <x:v>0.10864096971936976</x:v>
      </x:c>
      <x:c r="I3196" s="38" t="b">
        <x:f t="shared" si="140">E3196&lt;G3196</x:f>
        <x:v>0</x:v>
      </x:c>
    </x:row>
    <x:row r="3197">
      <x:c r="A3197" s="31">
        <x:v>41662</x:v>
      </x:c>
      <x:c r="B3197" s="32">
        <x:v>550.88</x:v>
      </x:c>
      <x:c r="C3197" s="32">
        <x:v>556.5</x:v>
      </x:c>
      <x:c r="D3197" s="32">
        <x:v>550.52</x:v>
      </x:c>
      <x:c r="E3197" s="32">
        <x:v>553.54999999999995</x:v>
      </x:c>
      <x:c r="F3197" s="33">
        <x:v>68197050</x:v>
      </x:c>
      <x:c r="G3197" s="32" t="n">
        <x:f t="shared" si="138">AVERAGE(E2998:E3197)</x:f>
        <x:v>498.11999999999995</x:v>
      </x:c>
      <x:c r="H3197" s="37" t="n">
        <x:f t="shared" si="139">IFERROR(E3197/G3197-1,"")</x:f>
        <x:v>0.11127840680960421</x:v>
      </x:c>
      <x:c r="I3197" s="38" t="b">
        <x:f t="shared" si="140">E3197&lt;G3197</x:f>
        <x:v>0</x:v>
      </x:c>
    </x:row>
    <x:row r="3198">
      <x:c r="A3198" s="31">
        <x:v>41663</x:v>
      </x:c>
      <x:c r="B3198" s="32">
        <x:v>555.66</x:v>
      </x:c>
      <x:c r="C3198" s="32">
        <x:v>560.19000000000005</x:v>
      </x:c>
      <x:c r="D3198" s="32">
        <x:v>553.46</x:v>
      </x:c>
      <x:c r="E3198" s="32">
        <x:v>560.19000000000005</x:v>
      </x:c>
      <x:c r="F3198" s="33">
        <x:v>85521800</x:v>
      </x:c>
      <x:c r="G3198" s="32" t="n">
        <x:f t="shared" si="138">AVERAGE(E2999:E3198)</x:f>
        <x:v>498.4005999999999</x:v>
      </x:c>
      <x:c r="H3198" s="37" t="n">
        <x:f t="shared" si="139">IFERROR(E3198/G3198-1,"")</x:f>
        <x:v>0.12397537242130152</x:v>
      </x:c>
      <x:c r="I3198" s="38" t="b">
        <x:f t="shared" si="140">E3198&lt;G3198</x:f>
        <x:v>0</x:v>
      </x:c>
    </x:row>
    <x:row r="3199">
      <x:c r="A3199" s="31">
        <x:v>41666</x:v>
      </x:c>
      <x:c r="B3199" s="32">
        <x:v>560.45000000000005</x:v>
      </x:c>
      <x:c r="C3199" s="32">
        <x:v>560.49</x:v>
      </x:c>
      <x:c r="D3199" s="32">
        <x:v>556.35</x:v>
      </x:c>
      <x:c r="E3199" s="32">
        <x:v>556.52</x:v>
      </x:c>
      <x:c r="F3199" s="33">
        <x:v>65472100</x:v>
      </x:c>
      <x:c r="G3199" s="32" t="n">
        <x:f t="shared" si="138">AVERAGE(E3000:E3199)</x:f>
        <x:v>498.71184999999997</x:v>
      </x:c>
      <x:c r="H3199" s="37" t="n">
        <x:f t="shared" si="139">IFERROR(E3199/G3199-1,"")</x:f>
        <x:v>0.11591493163838007</x:v>
      </x:c>
      <x:c r="I3199" s="38" t="b">
        <x:f t="shared" si="140">E3199&lt;G3199</x:f>
        <x:v>0</x:v>
      </x:c>
    </x:row>
    <x:row r="3200">
      <x:c r="A3200" s="31">
        <x:v>41676</x:v>
      </x:c>
      <x:c r="B3200" s="32">
        <x:v>555.51</x:v>
      </x:c>
      <x:c r="C3200" s="32">
        <x:v>557.29</x:v>
      </x:c>
      <x:c r="D3200" s="32">
        <x:v>551.45000000000005</x:v>
      </x:c>
      <x:c r="E3200" s="32">
        <x:v>554.67999999999995</x:v>
      </x:c>
      <x:c r="F3200" s="33">
        <x:v>87875560</x:v>
      </x:c>
      <x:c r="G3200" s="32" t="n">
        <x:f t="shared" si="138">AVERAGE(E3001:E3200)</x:f>
        <x:v>499.08514999999994</x:v>
      </x:c>
      <x:c r="H3200" s="37" t="n">
        <x:f t="shared" si="139">IFERROR(E3200/G3200-1,"")</x:f>
        <x:v>0.11139351671753817</x:v>
      </x:c>
      <x:c r="I3200" s="38" t="b">
        <x:f t="shared" si="140">E3200&lt;G3200</x:f>
        <x:v>0</x:v>
      </x:c>
    </x:row>
    <x:row r="3201">
      <x:c r="A3201" s="31">
        <x:v>41677</x:v>
      </x:c>
      <x:c r="B3201" s="32">
        <x:v>557.71</x:v>
      </x:c>
      <x:c r="C3201" s="32">
        <x:v>558.51</x:v>
      </x:c>
      <x:c r="D3201" s="32">
        <x:v>549.37</x:v>
      </x:c>
      <x:c r="E3201" s="32">
        <x:v>549.76</x:v>
      </x:c>
      <x:c r="F3201" s="33">
        <x:v>119495580</x:v>
      </x:c>
      <x:c r="G3201" s="32" t="n">
        <x:f t="shared" si="138">AVERAGE(E3002:E3201)</x:f>
        <x:v>499.44359999999983</x:v>
      </x:c>
      <x:c r="H3201" s="37" t="n">
        <x:f t="shared" si="139">IFERROR(E3201/G3201-1,"")</x:f>
        <x:v>0.10074490893466281</x:v>
      </x:c>
      <x:c r="I3201" s="38" t="b">
        <x:f t="shared" si="140">E3201&lt;G3201</x:f>
        <x:v>0</x:v>
      </x:c>
    </x:row>
    <x:row r="3202">
      <x:c r="A3202" s="31">
        <x:v>41680</x:v>
      </x:c>
      <x:c r="B3202" s="32">
        <x:v>550.41</x:v>
      </x:c>
      <x:c r="C3202" s="32">
        <x:v>555.9</x:v>
      </x:c>
      <x:c r="D3202" s="32">
        <x:v>548.55999999999995</x:v>
      </x:c>
      <x:c r="E3202" s="32">
        <x:v>555.9</x:v>
      </x:c>
      <x:c r="F3202" s="33">
        <x:v>106904960</x:v>
      </x:c>
      <x:c r="G3202" s="32" t="n">
        <x:f t="shared" si="138">AVERAGE(E3003:E3202)</x:f>
        <x:v>499.8031499999998</x:v>
      </x:c>
      <x:c r="H3202" s="37" t="n">
        <x:f t="shared" si="139">IFERROR(E3202/G3202-1,"")</x:f>
        <x:v>0.11223788805652823</x:v>
      </x:c>
      <x:c r="I3202" s="38" t="b">
        <x:f t="shared" si="140">E3202&lt;G3202</x:f>
        <x:v>0</x:v>
      </x:c>
    </x:row>
    <x:row r="3203">
      <x:c r="A3203" s="31">
        <x:v>41681</x:v>
      </x:c>
      <x:c r="B3203" s="32">
        <x:v>559.74</x:v>
      </x:c>
      <x:c r="C3203" s="32">
        <x:v>561.83000000000004</x:v>
      </x:c>
      <x:c r="D3203" s="32">
        <x:v>553.9</x:v>
      </x:c>
      <x:c r="E3203" s="32">
        <x:v>553.9</x:v>
      </x:c>
      <x:c r="F3203" s="33">
        <x:v>170844850</x:v>
      </x:c>
      <x:c r="G3203" s="32" t="n">
        <x:f t="shared" si="138">AVERAGE(E3004:E3203)</x:f>
        <x:v>500.20659999999975</x:v>
      </x:c>
      <x:c r="H3203" s="37" t="n">
        <x:f t="shared" si="139">IFERROR(E3203/G3203-1,"")</x:f>
        <x:v>0.10734244610127153</x:v>
      </x:c>
      <x:c r="I3203" s="38" t="b">
        <x:f t="shared" si="140">E3203&lt;G3203</x:f>
        <x:v>0</x:v>
      </x:c>
    </x:row>
    <x:row r="3204">
      <x:c r="A3204" s="31">
        <x:v>41682</x:v>
      </x:c>
      <x:c r="B3204" s="32">
        <x:v>555.54999999999995</x:v>
      </x:c>
      <x:c r="C3204" s="32">
        <x:v>564.25</x:v>
      </x:c>
      <x:c r="D3204" s="32">
        <x:v>554.26</x:v>
      </x:c>
      <x:c r="E3204" s="32">
        <x:v>564.25</x:v>
      </x:c>
      <x:c r="F3204" s="33">
        <x:v>120916320</x:v>
      </x:c>
      <x:c r="G3204" s="32" t="n">
        <x:f t="shared" si="138">AVERAGE(E3005:E3204)</x:f>
        <x:v>500.68569999999977</x:v>
      </x:c>
      <x:c r="H3204" s="37" t="n">
        <x:f t="shared" si="139">IFERROR(E3204/G3204-1,"")</x:f>
        <x:v>0.12695449460609765</x:v>
      </x:c>
      <x:c r="I3204" s="38" t="b">
        <x:f t="shared" si="140">E3204&lt;G3204</x:f>
        <x:v>0</x:v>
      </x:c>
    </x:row>
    <x:row r="3205">
      <x:c r="A3205" s="31">
        <x:v>41683</x:v>
      </x:c>
      <x:c r="B3205" s="32">
        <x:v>567.58000000000004</x:v>
      </x:c>
      <x:c r="C3205" s="32">
        <x:v>570.67999999999995</x:v>
      </x:c>
      <x:c r="D3205" s="32">
        <x:v>565.27</x:v>
      </x:c>
      <x:c r="E3205" s="32">
        <x:v>570.17999999999995</x:v>
      </x:c>
      <x:c r="F3205" s="33">
        <x:v>145697620</x:v>
      </x:c>
      <x:c r="G3205" s="32" t="n">
        <x:f t="shared" si="138">AVERAGE(E3006:E3205)</x:f>
        <x:v>501.1681499999997</x:v>
      </x:c>
      <x:c r="H3205" s="37" t="n">
        <x:f t="shared" si="139">IFERROR(E3205/G3205-1,"")</x:f>
        <x:v>0.1377019868481273</x:v>
      </x:c>
      <x:c r="I3205" s="38" t="b">
        <x:f t="shared" si="140">E3205&lt;G3205</x:f>
        <x:v>0</x:v>
      </x:c>
    </x:row>
    <x:row r="3206">
      <x:c r="A3206" s="31">
        <x:v>41684</x:v>
      </x:c>
      <x:c r="B3206" s="32">
        <x:v>573.09</x:v>
      </x:c>
      <x:c r="C3206" s="32">
        <x:v>576.17999999999995</x:v>
      </x:c>
      <x:c r="D3206" s="32">
        <x:v>569.38</x:v>
      </x:c>
      <x:c r="E3206" s="32">
        <x:v>572.22</x:v>
      </x:c>
      <x:c r="F3206" s="33">
        <x:v>136937230</x:v>
      </x:c>
      <x:c r="G3206" s="32" t="n">
        <x:f t="shared" si="138">AVERAGE(E3007:E3206)</x:f>
        <x:v>501.6647999999997</x:v>
      </x:c>
      <x:c r="H3206" s="37" t="n">
        <x:f t="shared" si="139">IFERROR(E3206/G3206-1,"")</x:f>
        <x:v>0.14064211800389503</x:v>
      </x:c>
      <x:c r="I3206" s="38" t="b">
        <x:f t="shared" si="140">E3206&lt;G3206</x:f>
        <x:v>0</x:v>
      </x:c>
    </x:row>
    <x:row r="3207">
      <x:c r="A3207" s="31">
        <x:v>41687</x:v>
      </x:c>
      <x:c r="B3207" s="32">
        <x:v>571.91</x:v>
      </x:c>
      <x:c r="C3207" s="32">
        <x:v>572.85</x:v>
      </x:c>
      <x:c r="D3207" s="32">
        <x:v>567.89</x:v>
      </x:c>
      <x:c r="E3207" s="32">
        <x:v>570.20000000000005</x:v>
      </x:c>
      <x:c r="F3207" s="33">
        <x:v>159214880</x:v>
      </x:c>
      <x:c r="G3207" s="32" t="n">
        <x:f t="shared" si="138">AVERAGE(E3008:E3207)</x:f>
        <x:v>502.1328499999997</x:v>
      </x:c>
      <x:c r="H3207" s="37" t="n">
        <x:f t="shared" si="139">IFERROR(E3207/G3207-1,"")</x:f>
        <x:v>0.13555605852116703</x:v>
      </x:c>
      <x:c r="I3207" s="38" t="b">
        <x:f t="shared" si="140">E3207&lt;G3207</x:f>
        <x:v>0</x:v>
      </x:c>
    </x:row>
    <x:row r="3208">
      <x:c r="A3208" s="31">
        <x:v>41688</x:v>
      </x:c>
      <x:c r="B3208" s="32">
        <x:v>570.79999999999995</x:v>
      </x:c>
      <x:c r="C3208" s="32">
        <x:v>574.55999999999995</x:v>
      </x:c>
      <x:c r="D3208" s="32">
        <x:v>570.16</x:v>
      </x:c>
      <x:c r="E3208" s="32">
        <x:v>574.55999999999995</x:v>
      </x:c>
      <x:c r="F3208" s="33">
        <x:v>154772030</x:v>
      </x:c>
      <x:c r="G3208" s="32" t="n">
        <x:f t="shared" si="138">AVERAGE(E3009:E3208)</x:f>
        <x:v>502.6330999999996</x:v>
      </x:c>
      <x:c r="H3208" s="37" t="n">
        <x:f t="shared" si="139">IFERROR(E3208/G3208-1,"")</x:f>
        <x:v>0.14310020569676052</x:v>
      </x:c>
      <x:c r="I3208" s="38" t="b">
        <x:f t="shared" si="140">E3208&lt;G3208</x:f>
        <x:v>0</x:v>
      </x:c>
    </x:row>
    <x:row r="3209">
      <x:c r="A3209" s="31">
        <x:v>41689</x:v>
      </x:c>
      <x:c r="B3209" s="32">
        <x:v>578.53</x:v>
      </x:c>
      <x:c r="C3209" s="32">
        <x:v>578.79999999999995</x:v>
      </x:c>
      <x:c r="D3209" s="32">
        <x:v>573.86</x:v>
      </x:c>
      <x:c r="E3209" s="32">
        <x:v>578.12</x:v>
      </x:c>
      <x:c r="F3209" s="33">
        <x:v>153445030</x:v>
      </x:c>
      <x:c r="G3209" s="32" t="n">
        <x:f t="shared" si="138">AVERAGE(E3010:E3209)</x:f>
        <x:v>503.15859999999964</x:v>
      </x:c>
      <x:c r="H3209" s="37" t="n">
        <x:f t="shared" si="139">IFERROR(E3209/G3209-1,"")</x:f>
        <x:v>0.14898165310103106</x:v>
      </x:c>
      <x:c r="I3209" s="38" t="b">
        <x:f t="shared" si="140">E3209&lt;G3209</x:f>
        <x:v>0</x:v>
      </x:c>
    </x:row>
    <x:row r="3210">
      <x:c r="A3210" s="31">
        <x:v>41690</x:v>
      </x:c>
      <x:c r="B3210" s="32">
        <x:v>579.64</x:v>
      </x:c>
      <x:c r="C3210" s="32">
        <x:v>584.1</x:v>
      </x:c>
      <x:c r="D3210" s="32">
        <x:v>565.30999999999995</x:v>
      </x:c>
      <x:c r="E3210" s="32">
        <x:v>571.04</x:v>
      </x:c>
      <x:c r="F3210" s="33">
        <x:v>254367230</x:v>
      </x:c>
      <x:c r="G3210" s="32" t="n">
        <x:f t="shared" si="138">AVERAGE(E3011:E3210)</x:f>
        <x:v>503.6375999999995</x:v>
      </x:c>
      <x:c r="H3210" s="37" t="n">
        <x:f t="shared" si="139">IFERROR(E3210/G3210-1,"")</x:f>
        <x:v>0.13383115160583814</x:v>
      </x:c>
      <x:c r="I3210" s="38" t="b">
        <x:f t="shared" si="140">E3210&lt;G3210</x:f>
        <x:v>0</x:v>
      </x:c>
    </x:row>
    <x:row r="3211">
      <x:c r="A3211" s="31">
        <x:v>41691</x:v>
      </x:c>
      <x:c r="B3211" s="32">
        <x:v>570.95000000000005</x:v>
      </x:c>
      <x:c r="C3211" s="32">
        <x:v>574.61</x:v>
      </x:c>
      <x:c r="D3211" s="32">
        <x:v>565.33000000000004</x:v>
      </x:c>
      <x:c r="E3211" s="32">
        <x:v>570.57000000000005</x:v>
      </x:c>
      <x:c r="F3211" s="33">
        <x:v>116346370</x:v>
      </x:c>
      <x:c r="G3211" s="32" t="n">
        <x:f t="shared" si="138">AVERAGE(E3012:E3211)</x:f>
        <x:v>504.04884999999956</x:v>
      </x:c>
      <x:c r="H3211" s="37" t="n">
        <x:f t="shared" si="139">IFERROR(E3211/G3211-1,"")</x:f>
        <x:v>0.13197361723967926</x:v>
      </x:c>
      <x:c r="I3211" s="38" t="b">
        <x:f t="shared" si="140">E3211&lt;G3211</x:f>
        <x:v>0</x:v>
      </x:c>
    </x:row>
    <x:row r="3212">
      <x:c r="A3212" s="31">
        <x:v>41694</x:v>
      </x:c>
      <x:c r="B3212" s="32">
        <x:v>571.94000000000005</x:v>
      </x:c>
      <x:c r="C3212" s="32">
        <x:v>576.58000000000004</x:v>
      </x:c>
      <x:c r="D3212" s="32">
        <x:v>570.07000000000005</x:v>
      </x:c>
      <x:c r="E3212" s="32">
        <x:v>576.58000000000004</x:v>
      </x:c>
      <x:c r="F3212" s="33">
        <x:v>112732880</x:v>
      </x:c>
      <x:c r="G3212" s="32" t="n">
        <x:f t="shared" si="138">AVERAGE(E3013:E3212)</x:f>
        <x:v>504.5038499999996</x:v>
      </x:c>
      <x:c r="H3212" s="37" t="n">
        <x:f t="shared" si="139">IFERROR(E3212/G3212-1,"")</x:f>
        <x:v>0.14286541123521745</x:v>
      </x:c>
      <x:c r="I3212" s="38" t="b">
        <x:f t="shared" si="140">E3212&lt;G3212</x:f>
        <x:v>0</x:v>
      </x:c>
    </x:row>
    <x:row r="3213">
      <x:c r="A3213" s="31">
        <x:v>41695</x:v>
      </x:c>
      <x:c r="B3213" s="32">
        <x:v>575.49</x:v>
      </x:c>
      <x:c r="C3213" s="32">
        <x:v>586.20000000000005</x:v>
      </x:c>
      <x:c r="D3213" s="32">
        <x:v>575.49</x:v>
      </x:c>
      <x:c r="E3213" s="32">
        <x:v>586.20000000000005</x:v>
      </x:c>
      <x:c r="F3213" s="33">
        <x:v>141747900</x:v>
      </x:c>
      <x:c r="G3213" s="32" t="n">
        <x:f t="shared" ref="G3213:G3276" si="141">AVERAGE(E3014:E3213)</x:f>
        <x:v>505.0094999999996</x:v>
      </x:c>
      <x:c r="H3213" s="37" t="n">
        <x:f t="shared" ref="H3213:H3276" si="142">IFERROR(E3213/G3213-1,"")</x:f>
        <x:v>0.16077024293602493</x:v>
      </x:c>
      <x:c r="I3213" s="38" t="b">
        <x:f t="shared" ref="I3213:I3276" si="143">E3213&lt;G3213</x:f>
        <x:v>0</x:v>
      </x:c>
    </x:row>
    <x:row r="3214">
      <x:c r="A3214" s="31">
        <x:v>41696</x:v>
      </x:c>
      <x:c r="B3214" s="32">
        <x:v>590.64</x:v>
      </x:c>
      <x:c r="C3214" s="32">
        <x:v>590.79</x:v>
      </x:c>
      <x:c r="D3214" s="32">
        <x:v>582.96</x:v>
      </x:c>
      <x:c r="E3214" s="32">
        <x:v>589.80999999999995</x:v>
      </x:c>
      <x:c r="F3214" s="33">
        <x:v>153761340</x:v>
      </x:c>
      <x:c r="G3214" s="32" t="n">
        <x:f t="shared" si="141">AVERAGE(E3015:E3214)</x:f>
        <x:v>505.5274499999996</x:v>
      </x:c>
      <x:c r="H3214" s="37" t="n">
        <x:f t="shared" si="142">IFERROR(E3214/G3214-1,"")</x:f>
        <x:v>0.1667220049079441</x:v>
      </x:c>
      <x:c r="I3214" s="38" t="b">
        <x:f t="shared" si="143">E3214&lt;G3214</x:f>
        <x:v>0</x:v>
      </x:c>
    </x:row>
    <x:row r="3215">
      <x:c r="A3215" s="31">
        <x:v>41697</x:v>
      </x:c>
      <x:c r="B3215" s="32">
        <x:v>587.82000000000005</x:v>
      </x:c>
      <x:c r="C3215" s="32">
        <x:v>596.4</x:v>
      </x:c>
      <x:c r="D3215" s="32">
        <x:v>587.79</x:v>
      </x:c>
      <x:c r="E3215" s="32">
        <x:v>587.79</x:v>
      </x:c>
      <x:c r="F3215" s="33">
        <x:v>223033340</x:v>
      </x:c>
      <x:c r="G3215" s="32" t="n">
        <x:f t="shared" si="141">AVERAGE(E3016:E3215)</x:f>
        <x:v>506.03589999999963</x:v>
      </x:c>
      <x:c r="H3215" s="37" t="n">
        <x:f t="shared" si="142">IFERROR(E3215/G3215-1,"")</x:f>
        <x:v>0.16155790527905323</x:v>
      </x:c>
      <x:c r="I3215" s="38" t="b">
        <x:f t="shared" si="143">E3215&lt;G3215</x:f>
        <x:v>0</x:v>
      </x:c>
    </x:row>
    <x:row r="3216">
      <x:c r="A3216" s="31">
        <x:v>41698</x:v>
      </x:c>
      <x:c r="B3216" s="32">
        <x:v>586.12</x:v>
      </x:c>
      <x:c r="C3216" s="32">
        <x:v>591.36</x:v>
      </x:c>
      <x:c r="D3216" s="32">
        <x:v>581.63</x:v>
      </x:c>
      <x:c r="E3216" s="32">
        <x:v>586.48</x:v>
      </x:c>
      <x:c r="F3216" s="33">
        <x:v>116336020</x:v>
      </x:c>
      <x:c r="G3216" s="32" t="n">
        <x:f t="shared" si="141">AVERAGE(E3017:E3216)</x:f>
        <x:v>506.5236499999995</x:v>
      </x:c>
      <x:c r="H3216" s="37" t="n">
        <x:f t="shared" si="142">IFERROR(E3216/G3216-1,"")</x:f>
        <x:v>0.15785314269136408</x:v>
      </x:c>
      <x:c r="I3216" s="38" t="b">
        <x:f t="shared" si="143">E3216&lt;G3216</x:f>
        <x:v>0</x:v>
      </x:c>
    </x:row>
    <x:row r="3217">
      <x:c r="A3217" s="31">
        <x:v>41701</x:v>
      </x:c>
      <x:c r="B3217" s="32">
        <x:v>586.65</x:v>
      </x:c>
      <x:c r="C3217" s="32">
        <x:v>587.11</x:v>
      </x:c>
      <x:c r="D3217" s="32">
        <x:v>573.37</x:v>
      </x:c>
      <x:c r="E3217" s="32">
        <x:v>573.38</x:v>
      </x:c>
      <x:c r="F3217" s="33">
        <x:v>141965580</x:v>
      </x:c>
      <x:c r="G3217" s="32" t="n">
        <x:f t="shared" si="141">AVERAGE(E3018:E3217)</x:f>
        <x:v>506.9712999999996</x:v>
      </x:c>
      <x:c r="H3217" s="37" t="n">
        <x:f t="shared" si="142">IFERROR(E3217/G3217-1,"")</x:f>
        <x:v>0.13099104426621477</x:v>
      </x:c>
      <x:c r="I3217" s="38" t="b">
        <x:f t="shared" si="143">E3217&lt;G3217</x:f>
        <x:v>0</x:v>
      </x:c>
    </x:row>
    <x:row r="3218">
      <x:c r="A3218" s="31">
        <x:v>41702</x:v>
      </x:c>
      <x:c r="B3218" s="32">
        <x:v>569.34</x:v>
      </x:c>
      <x:c r="C3218" s="32">
        <x:v>572.28</x:v>
      </x:c>
      <x:c r="D3218" s="32">
        <x:v>563.54999999999995</x:v>
      </x:c>
      <x:c r="E3218" s="32">
        <x:v>569.97</x:v>
      </x:c>
      <x:c r="F3218" s="33">
        <x:v>122493930</x:v>
      </x:c>
      <x:c r="G3218" s="32" t="n">
        <x:f t="shared" si="141">AVERAGE(E3019:E3218)</x:f>
        <x:v>507.39129999999955</x:v>
      </x:c>
      <x:c r="H3218" s="37" t="n">
        <x:f t="shared" si="142">IFERROR(E3218/G3218-1,"")</x:f>
        <x:v>0.12333419985719218</x:v>
      </x:c>
      <x:c r="I3218" s="38" t="b">
        <x:f t="shared" si="143">E3218&lt;G3218</x:f>
        <x:v>0</x:v>
      </x:c>
    </x:row>
    <x:row r="3219">
      <x:c r="A3219" s="31">
        <x:v>41703</x:v>
      </x:c>
      <x:c r="B3219" s="32">
        <x:v>576.11</x:v>
      </x:c>
      <x:c r="C3219" s="32">
        <x:v>577.5</x:v>
      </x:c>
      <x:c r="D3219" s="32">
        <x:v>569.97</x:v>
      </x:c>
      <x:c r="E3219" s="32">
        <x:v>574.94000000000005</x:v>
      </x:c>
      <x:c r="F3219" s="33">
        <x:v>102976780</x:v>
      </x:c>
      <x:c r="G3219" s="32" t="n">
        <x:f t="shared" si="141">AVERAGE(E3020:E3219)</x:f>
        <x:v>507.81429999999955</x:v>
      </x:c>
      <x:c r="H3219" s="37" t="n">
        <x:f t="shared" si="142">IFERROR(E3219/G3219-1,"")</x:f>
        <x:v>0.13218552529930827</x:v>
      </x:c>
      <x:c r="I3219" s="38" t="b">
        <x:f t="shared" si="143">E3219&lt;G3219</x:f>
        <x:v>0</x:v>
      </x:c>
    </x:row>
    <x:row r="3220">
      <x:c r="A3220" s="31">
        <x:v>41704</x:v>
      </x:c>
      <x:c r="B3220" s="32">
        <x:v>576.16999999999996</x:v>
      </x:c>
      <x:c r="C3220" s="32">
        <x:v>580.04</x:v>
      </x:c>
      <x:c r="D3220" s="32">
        <x:v>574.58000000000004</x:v>
      </x:c>
      <x:c r="E3220" s="32">
        <x:v>578.55999999999995</x:v>
      </x:c>
      <x:c r="F3220" s="33">
        <x:v>131565670</x:v>
      </x:c>
      <x:c r="G3220" s="32" t="n">
        <x:f t="shared" si="141">AVERAGE(E3021:E3220)</x:f>
        <x:v>508.2690999999996</x:v>
      </x:c>
      <x:c r="H3220" s="37" t="n">
        <x:f t="shared" si="142">IFERROR(E3220/G3220-1,"")</x:f>
        <x:v>0.13829465533120233</x:v>
      </x:c>
      <x:c r="I3220" s="38" t="b">
        <x:f t="shared" si="143">E3220&lt;G3220</x:f>
        <x:v>0</x:v>
      </x:c>
    </x:row>
    <x:row r="3221">
      <x:c r="A3221" s="31">
        <x:v>41705</x:v>
      </x:c>
      <x:c r="B3221" s="32">
        <x:v>579.4</x:v>
      </x:c>
      <x:c r="C3221" s="32">
        <x:v>582.24</x:v>
      </x:c>
      <x:c r="D3221" s="32">
        <x:v>579.1</x:v>
      </x:c>
      <x:c r="E3221" s="32">
        <x:v>579.75</x:v>
      </x:c>
      <x:c r="F3221" s="33">
        <x:v>149392490</x:v>
      </x:c>
      <x:c r="G3221" s="32" t="n">
        <x:f t="shared" si="141">AVERAGE(E3022:E3221)</x:f>
        <x:v>508.70649999999966</x:v>
      </x:c>
      <x:c r="H3221" s="37" t="n">
        <x:f t="shared" si="142">IFERROR(E3221/G3221-1,"")</x:f>
        <x:v>0.13965518427619927</x:v>
      </x:c>
      <x:c r="I3221" s="38" t="b">
        <x:f t="shared" si="143">E3221&lt;G3221</x:f>
        <x:v>0</x:v>
      </x:c>
    </x:row>
    <x:row r="3222">
      <x:c r="A3222" s="31">
        <x:v>41708</x:v>
      </x:c>
      <x:c r="B3222" s="32">
        <x:v>580.84</x:v>
      </x:c>
      <x:c r="C3222" s="32">
        <x:v>584.64</x:v>
      </x:c>
      <x:c r="D3222" s="32">
        <x:v>579.98</x:v>
      </x:c>
      <x:c r="E3222" s="32">
        <x:v>583.69000000000005</x:v>
      </x:c>
      <x:c r="F3222" s="33">
        <x:v>140462540</x:v>
      </x:c>
      <x:c r="G3222" s="32" t="n">
        <x:f t="shared" si="141">AVERAGE(E3023:E3222)</x:f>
        <x:v>509.1240499999996</x:v>
      </x:c>
      <x:c r="H3222" s="37" t="n">
        <x:f t="shared" si="142">IFERROR(E3222/G3222-1,"")</x:f>
        <x:v>0.14645929611850095</x:v>
      </x:c>
      <x:c r="I3222" s="38" t="b">
        <x:f t="shared" si="143">E3222&lt;G3222</x:f>
        <x:v>0</x:v>
      </x:c>
    </x:row>
    <x:row r="3223">
      <x:c r="A3223" s="31">
        <x:v>41709</x:v>
      </x:c>
      <x:c r="B3223" s="32">
        <x:v>585.1</x:v>
      </x:c>
      <x:c r="C3223" s="32">
        <x:v>589.45000000000005</x:v>
      </x:c>
      <x:c r="D3223" s="32">
        <x:v>582.20000000000005</x:v>
      </x:c>
      <x:c r="E3223" s="32">
        <x:v>588.5</x:v>
      </x:c>
      <x:c r="F3223" s="33">
        <x:v>158741000</x:v>
      </x:c>
      <x:c r="G3223" s="32" t="n">
        <x:f t="shared" si="141">AVERAGE(E3024:E3223)</x:f>
        <x:v>509.55539999999957</x:v>
      </x:c>
      <x:c r="H3223" s="37" t="n">
        <x:f t="shared" si="142">IFERROR(E3223/G3223-1,"")</x:f>
        <x:v>0.15492839443954565</x:v>
      </x:c>
      <x:c r="I3223" s="38" t="b">
        <x:f t="shared" si="143">E3223&lt;G3223</x:f>
        <x:v>0</x:v>
      </x:c>
    </x:row>
    <x:row r="3224">
      <x:c r="A3224" s="31">
        <x:v>41710</x:v>
      </x:c>
      <x:c r="B3224" s="32">
        <x:v>590.94000000000005</x:v>
      </x:c>
      <x:c r="C3224" s="32">
        <x:v>596.38</x:v>
      </x:c>
      <x:c r="D3224" s="32">
        <x:v>590.02</x:v>
      </x:c>
      <x:c r="E3224" s="32">
        <x:v>590.02</x:v>
      </x:c>
      <x:c r="F3224" s="33">
        <x:v>168708960</x:v>
      </x:c>
      <x:c r="G3224" s="32" t="n">
        <x:f t="shared" si="141">AVERAGE(E3025:E3224)</x:f>
        <x:v>510.01439999999957</x:v>
      </x:c>
      <x:c r="H3224" s="37" t="n">
        <x:f t="shared" si="142">IFERROR(E3224/G3224-1,"")</x:f>
        <x:v>0.15686929623947976</x:v>
      </x:c>
      <x:c r="I3224" s="38" t="b">
        <x:f t="shared" si="143">E3224&lt;G3224</x:f>
        <x:v>0</x:v>
      </x:c>
    </x:row>
    <x:row r="3225">
      <x:c r="A3225" s="31">
        <x:v>41711</x:v>
      </x:c>
      <x:c r="B3225" s="32">
        <x:v>590.83000000000004</x:v>
      </x:c>
      <x:c r="C3225" s="32">
        <x:v>595.22</x:v>
      </x:c>
      <x:c r="D3225" s="32">
        <x:v>590.36</x:v>
      </x:c>
      <x:c r="E3225" s="32">
        <x:v>595.22</x:v>
      </x:c>
      <x:c r="F3225" s="33">
        <x:v>130339060</x:v>
      </x:c>
      <x:c r="G3225" s="32" t="n">
        <x:f t="shared" si="141">AVERAGE(E3026:E3225)</x:f>
        <x:v>510.48929999999956</x:v>
      </x:c>
      <x:c r="H3225" s="37" t="n">
        <x:f t="shared" si="142">IFERROR(E3225/G3225-1,"")</x:f>
        <x:v>0.16597938487643238</x:v>
      </x:c>
      <x:c r="I3225" s="38" t="b">
        <x:f t="shared" si="143">E3225&lt;G3225</x:f>
        <x:v>0</x:v>
      </x:c>
    </x:row>
    <x:row r="3226">
      <x:c r="A3226" s="31">
        <x:v>41712</x:v>
      </x:c>
      <x:c r="B3226" s="32">
        <x:v>596.20000000000005</x:v>
      </x:c>
      <x:c r="C3226" s="32">
        <x:v>600.67999999999995</x:v>
      </x:c>
      <x:c r="D3226" s="32">
        <x:v>594.51</x:v>
      </x:c>
      <x:c r="E3226" s="32">
        <x:v>596.83000000000004</x:v>
      </x:c>
      <x:c r="F3226" s="33">
        <x:v>160384630</x:v>
      </x:c>
      <x:c r="G3226" s="32" t="n">
        <x:f t="shared" si="141">AVERAGE(E3027:E3226)</x:f>
        <x:v>510.9113999999996</x:v>
      </x:c>
      <x:c r="H3226" s="37" t="n">
        <x:f t="shared" si="142">IFERROR(E3226/G3226-1,"")</x:f>
        <x:v>0.16816731824735265</x:v>
      </x:c>
      <x:c r="I3226" s="38" t="b">
        <x:f t="shared" si="143">E3226&lt;G3226</x:f>
        <x:v>0</x:v>
      </x:c>
    </x:row>
    <x:row r="3227">
      <x:c r="A3227" s="31">
        <x:v>41715</x:v>
      </x:c>
      <x:c r="B3227" s="32">
        <x:v>603.04999999999995</x:v>
      </x:c>
      <x:c r="C3227" s="32">
        <x:v>603.24</x:v>
      </x:c>
      <x:c r="D3227" s="32">
        <x:v>598.70000000000005</x:v>
      </x:c>
      <x:c r="E3227" s="32">
        <x:v>600.36</x:v>
      </x:c>
      <x:c r="F3227" s="33">
        <x:v>161239500</x:v>
      </x:c>
      <x:c r="G3227" s="32" t="n">
        <x:f t="shared" si="141">AVERAGE(E3028:E3227)</x:f>
        <x:v>511.33154999999965</x:v>
      </x:c>
      <x:c r="H3227" s="37" t="n">
        <x:f t="shared" si="142">IFERROR(E3227/G3227-1,"")</x:f>
        <x:v>0.17411100488518727</x:v>
      </x:c>
      <x:c r="I3227" s="38" t="b">
        <x:f t="shared" si="143">E3227&lt;G3227</x:f>
        <x:v>0</x:v>
      </x:c>
    </x:row>
    <x:row r="3228">
      <x:c r="A3228" s="31">
        <x:v>41716</x:v>
      </x:c>
      <x:c r="B3228" s="32">
        <x:v>602.01</x:v>
      </x:c>
      <x:c r="C3228" s="32">
        <x:v>603.21</x:v>
      </x:c>
      <x:c r="D3228" s="32">
        <x:v>597.78</x:v>
      </x:c>
      <x:c r="E3228" s="32">
        <x:v>599.85</x:v>
      </x:c>
      <x:c r="F3228" s="33">
        <x:v>193120370</x:v>
      </x:c>
      <x:c r="G3228" s="32" t="n">
        <x:f t="shared" si="141">AVERAGE(E3029:E3228)</x:f>
        <x:v>511.7553499999996</x:v>
      </x:c>
      <x:c r="H3228" s="37" t="n">
        <x:f t="shared" si="142">IFERROR(E3228/G3228-1,"")</x:f>
        <x:v>0.17214211829930148</x:v>
      </x:c>
      <x:c r="I3228" s="38" t="b">
        <x:f t="shared" si="143">E3228&lt;G3228</x:f>
        <x:v>0</x:v>
      </x:c>
    </x:row>
    <x:row r="3229">
      <x:c r="A3229" s="31">
        <x:v>41717</x:v>
      </x:c>
      <x:c r="B3229" s="32">
        <x:v>600.73</x:v>
      </x:c>
      <x:c r="C3229" s="32">
        <x:v>605.91</x:v>
      </x:c>
      <x:c r="D3229" s="32">
        <x:v>600.41999999999996</x:v>
      </x:c>
      <x:c r="E3229" s="32">
        <x:v>605.59</x:v>
      </x:c>
      <x:c r="F3229" s="33">
        <x:v>188807510</x:v>
      </x:c>
      <x:c r="G3229" s="32" t="n">
        <x:f t="shared" si="141">AVERAGE(E3030:E3229)</x:f>
        <x:v>512.1760499999996</x:v>
      </x:c>
      <x:c r="H3229" s="37" t="n">
        <x:f t="shared" si="142">IFERROR(E3229/G3229-1,"")</x:f>
        <x:v>0.18238640795484384</x:v>
      </x:c>
      <x:c r="I3229" s="38" t="b">
        <x:f t="shared" si="143">E3229&lt;G3229</x:f>
        <x:v>0</x:v>
      </x:c>
    </x:row>
    <x:row r="3230">
      <x:c r="A3230" s="31">
        <x:v>41718</x:v>
      </x:c>
      <x:c r="B3230" s="32">
        <x:v>607.39</x:v>
      </x:c>
      <x:c r="C3230" s="32">
        <x:v>608.51</x:v>
      </x:c>
      <x:c r="D3230" s="32">
        <x:v>600.03</x:v>
      </x:c>
      <x:c r="E3230" s="32">
        <x:v>600.26</x:v>
      </x:c>
      <x:c r="F3230" s="33">
        <x:v>183319960</x:v>
      </x:c>
      <x:c r="G3230" s="32" t="n">
        <x:f t="shared" si="141">AVERAGE(E3031:E3230)</x:f>
        <x:v>512.5853999999996</x:v>
      </x:c>
      <x:c r="H3230" s="37" t="n">
        <x:f t="shared" si="142">IFERROR(E3230/G3230-1,"")</x:f>
        <x:v>0.17104388849155772</x:v>
      </x:c>
      <x:c r="I3230" s="38" t="b">
        <x:f t="shared" si="143">E3230&lt;G3230</x:f>
        <x:v>0</x:v>
      </x:c>
    </x:row>
    <x:row r="3231">
      <x:c r="A3231" s="31">
        <x:v>41719</x:v>
      </x:c>
      <x:c r="B3231" s="32">
        <x:v>600.48</x:v>
      </x:c>
      <x:c r="C3231" s="32">
        <x:v>607.22</x:v>
      </x:c>
      <x:c r="D3231" s="32">
        <x:v>600.26</x:v>
      </x:c>
      <x:c r="E3231" s="32">
        <x:v>601.75</x:v>
      </x:c>
      <x:c r="F3231" s="33">
        <x:v>224867350</x:v>
      </x:c>
      <x:c r="G3231" s="32" t="n">
        <x:f t="shared" si="141">AVERAGE(E3032:E3231)</x:f>
        <x:v>513.0089999999996</x:v>
      </x:c>
      <x:c r="H3231" s="37" t="n">
        <x:f t="shared" si="142">IFERROR(E3231/G3231-1,"")</x:f>
        <x:v>0.1729813706972012</x:v>
      </x:c>
      <x:c r="I3231" s="38" t="b">
        <x:f t="shared" si="143">E3231&lt;G3231</x:f>
        <x:v>0</x:v>
      </x:c>
    </x:row>
    <x:row r="3232">
      <x:c r="A3232" s="31">
        <x:v>41722</x:v>
      </x:c>
      <x:c r="B3232" s="32">
        <x:v>606.54999999999995</x:v>
      </x:c>
      <x:c r="C3232" s="32">
        <x:v>609.20000000000005</x:v>
      </x:c>
      <x:c r="D3232" s="32">
        <x:v>604.17999999999995</x:v>
      </x:c>
      <x:c r="E3232" s="32">
        <x:v>607.54999999999995</x:v>
      </x:c>
      <x:c r="F3232" s="33">
        <x:v>189271920</x:v>
      </x:c>
      <x:c r="G3232" s="32" t="n">
        <x:f t="shared" si="141">AVERAGE(E3033:E3232)</x:f>
        <x:v>513.4932999999996</x:v>
      </x:c>
      <x:c r="H3232" s="37" t="n">
        <x:f t="shared" si="142">IFERROR(E3232/G3232-1,"")</x:f>
        <x:v>0.1831702575281906</x:v>
      </x:c>
      <x:c r="I3232" s="38" t="b">
        <x:f t="shared" si="143">E3232&lt;G3232</x:f>
        <x:v>0</x:v>
      </x:c>
    </x:row>
    <x:row r="3233">
      <x:c r="A3233" s="31">
        <x:v>41723</x:v>
      </x:c>
      <x:c r="B3233" s="32">
        <x:v>609.01</x:v>
      </x:c>
      <x:c r="C3233" s="32">
        <x:v>609.46</x:v>
      </x:c>
      <x:c r="D3233" s="32">
        <x:v>601.85</x:v>
      </x:c>
      <x:c r="E3233" s="32">
        <x:v>601.85</x:v>
      </x:c>
      <x:c r="F3233" s="33">
        <x:v>245217840</x:v>
      </x:c>
      <x:c r="G3233" s="32" t="n">
        <x:f t="shared" si="141">AVERAGE(E3034:E3233)</x:f>
        <x:v>513.9293499999997</x:v>
      </x:c>
      <x:c r="H3233" s="37" t="n">
        <x:f t="shared" si="142">IFERROR(E3233/G3233-1,"")</x:f>
        <x:v>0.17107536279062563</x:v>
      </x:c>
      <x:c r="I3233" s="38" t="b">
        <x:f t="shared" si="143">E3233&lt;G3233</x:f>
        <x:v>0</x:v>
      </x:c>
    </x:row>
    <x:row r="3234">
      <x:c r="A3234" s="31">
        <x:v>41724</x:v>
      </x:c>
      <x:c r="B3234" s="32">
        <x:v>603.54</x:v>
      </x:c>
      <x:c r="C3234" s="32">
        <x:v>603.67999999999995</x:v>
      </x:c>
      <x:c r="D3234" s="32">
        <x:v>587.52</x:v>
      </x:c>
      <x:c r="E3234" s="32">
        <x:v>588.05999999999995</x:v>
      </x:c>
      <x:c r="F3234" s="33">
        <x:v>246459570</x:v>
      </x:c>
      <x:c r="G3234" s="32" t="n">
        <x:f t="shared" si="141">AVERAGE(E3035:E3234)</x:f>
        <x:v>514.2651499999996</x:v>
      </x:c>
      <x:c r="H3234" s="37" t="n">
        <x:f t="shared" si="142">IFERROR(E3234/G3234-1,"")</x:f>
        <x:v>0.14349572394707355</x:v>
      </x:c>
      <x:c r="I3234" s="38" t="b">
        <x:f t="shared" si="143">E3234&lt;G3234</x:f>
        <x:v>0</x:v>
      </x:c>
    </x:row>
    <x:row r="3235">
      <x:c r="A3235" s="31">
        <x:v>41725</x:v>
      </x:c>
      <x:c r="B3235" s="32">
        <x:v>588.94000000000005</x:v>
      </x:c>
      <x:c r="C3235" s="32">
        <x:v>591.70000000000005</x:v>
      </x:c>
      <x:c r="D3235" s="32">
        <x:v>582.80999999999995</x:v>
      </x:c>
      <x:c r="E3235" s="32">
        <x:v>590.14</x:v>
      </x:c>
      <x:c r="F3235" s="33">
        <x:v>146465260</x:v>
      </x:c>
      <x:c r="G3235" s="32" t="n">
        <x:f t="shared" si="141">AVERAGE(E3036:E3235)</x:f>
        <x:v>514.5759999999996</x:v>
      </x:c>
      <x:c r="H3235" s="37" t="n">
        <x:f t="shared" si="142">IFERROR(E3235/G3235-1,"")</x:f>
        <x:v>0.1468471129629063</x:v>
      </x:c>
      <x:c r="I3235" s="38" t="b">
        <x:f t="shared" si="143">E3235&lt;G3235</x:f>
        <x:v>0</x:v>
      </x:c>
    </x:row>
    <x:row r="3236">
      <x:c r="A3236" s="31">
        <x:v>41726</x:v>
      </x:c>
      <x:c r="B3236" s="32">
        <x:v>592.82000000000005</x:v>
      </x:c>
      <x:c r="C3236" s="32">
        <x:v>595.70000000000005</x:v>
      </x:c>
      <x:c r="D3236" s="32">
        <x:v>590.59</x:v>
      </x:c>
      <x:c r="E3236" s="32">
        <x:v>594.29</x:v>
      </x:c>
      <x:c r="F3236" s="33">
        <x:v>116220650</x:v>
      </x:c>
      <x:c r="G3236" s="32" t="n">
        <x:f t="shared" si="141">AVERAGE(E3037:E3236)</x:f>
        <x:v>514.9246499999996</x:v>
      </x:c>
      <x:c r="H3236" s="37" t="n">
        <x:f t="shared" si="142">IFERROR(E3236/G3236-1,"")</x:f>
        <x:v>0.15413002659709618</x:v>
      </x:c>
      <x:c r="I3236" s="38" t="b">
        <x:f t="shared" si="143">E3236&lt;G3236</x:f>
        <x:v>0</x:v>
      </x:c>
    </x:row>
    <x:row r="3237">
      <x:c r="A3237" s="31">
        <x:v>41729</x:v>
      </x:c>
      <x:c r="B3237" s="32">
        <x:v>596.41</x:v>
      </x:c>
      <x:c r="C3237" s="32">
        <x:v>597.22</x:v>
      </x:c>
      <x:c r="D3237" s="32">
        <x:v>591.57000000000005</x:v>
      </x:c>
      <x:c r="E3237" s="32">
        <x:v>591.57000000000005</x:v>
      </x:c>
      <x:c r="F3237" s="33">
        <x:v>117084100</x:v>
      </x:c>
      <x:c r="G3237" s="32" t="n">
        <x:f t="shared" si="141">AVERAGE(E3038:E3237)</x:f>
        <x:v>515.2727499999996</x:v>
      </x:c>
      <x:c r="H3237" s="37" t="n">
        <x:f t="shared" si="142">IFERROR(E3237/G3237-1,"")</x:f>
        <x:v>0.14807157956635675</x:v>
      </x:c>
      <x:c r="I3237" s="38" t="b">
        <x:f t="shared" si="143">E3237&lt;G3237</x:f>
        <x:v>0</x:v>
      </x:c>
    </x:row>
    <x:row r="3238">
      <x:c r="A3238" s="31">
        <x:v>41730</x:v>
      </x:c>
      <x:c r="B3238" s="32">
        <x:v>590.92999999999995</x:v>
      </x:c>
      <x:c r="C3238" s="32">
        <x:v>593.03</x:v>
      </x:c>
      <x:c r="D3238" s="32">
        <x:v>582.29999999999995</x:v>
      </x:c>
      <x:c r="E3238" s="32">
        <x:v>583.85</x:v>
      </x:c>
      <x:c r="F3238" s="33">
        <x:v>167165310</x:v>
      </x:c>
      <x:c r="G3238" s="32" t="n">
        <x:f t="shared" si="141">AVERAGE(E3039:E3238)</x:f>
        <x:v>515.6007999999997</x:v>
      </x:c>
      <x:c r="H3238" s="37" t="n">
        <x:f t="shared" si="142">IFERROR(E3238/G3238-1,"")</x:f>
        <x:v>0.1323682973339071</x:v>
      </x:c>
      <x:c r="I3238" s="38" t="b">
        <x:f t="shared" si="143">E3238&lt;G3238</x:f>
        <x:v>0</x:v>
      </x:c>
    </x:row>
    <x:row r="3239">
      <x:c r="A3239" s="31">
        <x:v>41731</x:v>
      </x:c>
      <x:c r="B3239" s="32">
        <x:v>584.16999999999996</x:v>
      </x:c>
      <x:c r="C3239" s="32">
        <x:v>586.5</x:v>
      </x:c>
      <x:c r="D3239" s="32">
        <x:v>574.4</x:v>
      </x:c>
      <x:c r="E3239" s="32">
        <x:v>581.66999999999996</x:v>
      </x:c>
      <x:c r="F3239" s="33">
        <x:v>142309840</x:v>
      </x:c>
      <x:c r="G3239" s="32" t="n">
        <x:f t="shared" si="141">AVERAGE(E3040:E3239)</x:f>
        <x:v>515.9336999999997</x:v>
      </x:c>
      <x:c r="H3239" s="37" t="n">
        <x:f t="shared" si="142">IFERROR(E3239/G3239-1,"")</x:f>
        <x:v>0.12741230123172853</x:v>
      </x:c>
      <x:c r="I3239" s="38" t="b">
        <x:f t="shared" si="143">E3239&lt;G3239</x:f>
        <x:v>0</x:v>
      </x:c>
    </x:row>
    <x:row r="3240">
      <x:c r="A3240" s="31">
        <x:v>41732</x:v>
      </x:c>
      <x:c r="B3240" s="32">
        <x:v>584.45000000000005</x:v>
      </x:c>
      <x:c r="C3240" s="32">
        <x:v>590.91</x:v>
      </x:c>
      <x:c r="D3240" s="32">
        <x:v>582.83000000000004</x:v>
      </x:c>
      <x:c r="E3240" s="32">
        <x:v>589.44000000000005</x:v>
      </x:c>
      <x:c r="F3240" s="33">
        <x:v>99127880</x:v>
      </x:c>
      <x:c r="G3240" s="32" t="n">
        <x:f t="shared" si="141">AVERAGE(E3041:E3240)</x:f>
        <x:v>516.3357499999997</x:v>
      </x:c>
      <x:c r="H3240" s="37" t="n">
        <x:f t="shared" si="142">IFERROR(E3240/G3240-1,"")</x:f>
        <x:v>0.1415827782600767</x:v>
      </x:c>
      <x:c r="I3240" s="38" t="b">
        <x:f t="shared" si="143">E3240&lt;G3240</x:f>
        <x:v>0</x:v>
      </x:c>
    </x:row>
    <x:row r="3241">
      <x:c r="A3241" s="31">
        <x:v>41733</x:v>
      </x:c>
      <x:c r="B3241" s="32">
        <x:v>589.9</x:v>
      </x:c>
      <x:c r="C3241" s="32">
        <x:v>593.72</x:v>
      </x:c>
      <x:c r="D3241" s="32">
        <x:v>588.34</x:v>
      </x:c>
      <x:c r="E3241" s="32">
        <x:v>593.04</x:v>
      </x:c>
      <x:c r="F3241" s="33">
        <x:v>92353580</x:v>
      </x:c>
      <x:c r="G3241" s="32" t="n">
        <x:f t="shared" si="141">AVERAGE(E3042:E3241)</x:f>
        <x:v>516.8083499999997</x:v>
      </x:c>
      <x:c r="H3241" s="37" t="n">
        <x:f t="shared" si="142">IFERROR(E3241/G3241-1,"")</x:f>
        <x:v>0.14750467944258316</x:v>
      </x:c>
      <x:c r="I3241" s="38" t="b">
        <x:f t="shared" si="143">E3241&lt;G3241</x:f>
        <x:v>0</x:v>
      </x:c>
    </x:row>
    <x:row r="3242">
      <x:c r="A3242" s="31">
        <x:v>41736</x:v>
      </x:c>
      <x:c r="B3242" s="32">
        <x:v>595.72</x:v>
      </x:c>
      <x:c r="C3242" s="32">
        <x:v>602.54999999999995</x:v>
      </x:c>
      <x:c r="D3242" s="32">
        <x:v>595.35</x:v>
      </x:c>
      <x:c r="E3242" s="32">
        <x:v>600.57000000000005</x:v>
      </x:c>
      <x:c r="F3242" s="33">
        <x:v>108560420</x:v>
      </x:c>
      <x:c r="G3242" s="32" t="n">
        <x:f t="shared" si="141">AVERAGE(E3043:E3242)</x:f>
        <x:v>517.2943499999998</x:v>
      </x:c>
      <x:c r="H3242" s="37" t="n">
        <x:f t="shared" si="142">IFERROR(E3242/G3242-1,"")</x:f>
        <x:v>0.16098310372034863</x:v>
      </x:c>
      <x:c r="I3242" s="38" t="b">
        <x:f t="shared" si="143">E3242&lt;G3242</x:f>
        <x:v>0</x:v>
      </x:c>
    </x:row>
    <x:row r="3243">
      <x:c r="A3243" s="31">
        <x:v>41737</x:v>
      </x:c>
      <x:c r="B3243" s="32">
        <x:v>600.71</x:v>
      </x:c>
      <x:c r="C3243" s="32">
        <x:v>603.25</x:v>
      </x:c>
      <x:c r="D3243" s="32">
        <x:v>598.52</x:v>
      </x:c>
      <x:c r="E3243" s="32">
        <x:v>603.25</x:v>
      </x:c>
      <x:c r="F3243" s="33">
        <x:v>109210640</x:v>
      </x:c>
      <x:c r="G3243" s="32" t="n">
        <x:f t="shared" si="141">AVERAGE(E3044:E3243)</x:f>
        <x:v>517.7937499999998</x:v>
      </x:c>
      <x:c r="H3243" s="37" t="n">
        <x:f t="shared" si="142">IFERROR(E3243/G3243-1,"")</x:f>
        <x:v>0.16503916858787937</x:v>
      </x:c>
      <x:c r="I3243" s="38" t="b">
        <x:f t="shared" si="143">E3243&lt;G3243</x:f>
        <x:v>0</x:v>
      </x:c>
    </x:row>
    <x:row r="3244">
      <x:c r="A3244" s="31">
        <x:v>41739</x:v>
      </x:c>
      <x:c r="B3244" s="32">
        <x:v>605.4</x:v>
      </x:c>
      <x:c r="C3244" s="32">
        <x:v>608.89</x:v>
      </x:c>
      <x:c r="D3244" s="32">
        <x:v>600.42999999999995</x:v>
      </x:c>
      <x:c r="E3244" s="32">
        <x:v>601.33000000000004</x:v>
      </x:c>
      <x:c r="F3244" s="33">
        <x:v>110558340</x:v>
      </x:c>
      <x:c r="G3244" s="32" t="n">
        <x:f t="shared" si="141">AVERAGE(E3045:E3244)</x:f>
        <x:v>518.3028499999998</x:v>
      </x:c>
      <x:c r="H3244" s="37" t="n">
        <x:f t="shared" si="142">IFERROR(E3244/G3244-1,"")</x:f>
        <x:v>0.16019041762938446</x:v>
      </x:c>
      <x:c r="I3244" s="38" t="b">
        <x:f t="shared" si="143">E3244&lt;G3244</x:f>
        <x:v>0</x:v>
      </x:c>
    </x:row>
    <x:row r="3245">
      <x:c r="A3245" s="31">
        <x:v>41740</x:v>
      </x:c>
      <x:c r="B3245" s="32">
        <x:v>597.87</x:v>
      </x:c>
      <x:c r="C3245" s="32">
        <x:v>602.01</x:v>
      </x:c>
      <x:c r="D3245" s="32">
        <x:v>594.96</x:v>
      </x:c>
      <x:c r="E3245" s="32">
        <x:v>600.57000000000005</x:v>
      </x:c>
      <x:c r="F3245" s="33">
        <x:v>104068010</x:v>
      </x:c>
      <x:c r="G3245" s="32" t="n">
        <x:f t="shared" si="141">AVERAGE(E3046:E3245)</x:f>
        <x:v>518.8114999999998</x:v>
      </x:c>
      <x:c r="H3245" s="37" t="n">
        <x:f t="shared" si="142">IFERROR(E3245/G3245-1,"")</x:f>
        <x:v>0.15758806425840644</x:v>
      </x:c>
      <x:c r="I3245" s="38" t="b">
        <x:f t="shared" si="143">E3245&lt;G3245</x:f>
        <x:v>0</x:v>
      </x:c>
    </x:row>
    <x:row r="3246">
      <x:c r="A3246" s="31">
        <x:v>41743</x:v>
      </x:c>
      <x:c r="B3246" s="32">
        <x:v>602.66999999999996</x:v>
      </x:c>
      <x:c r="C3246" s="32">
        <x:v>602.70000000000005</x:v>
      </x:c>
      <x:c r="D3246" s="32">
        <x:v>596.04999999999995</x:v>
      </x:c>
      <x:c r="E3246" s="32">
        <x:v>596.11</x:v>
      </x:c>
      <x:c r="F3246" s="33">
        <x:v>96128090</x:v>
      </x:c>
      <x:c r="G3246" s="32" t="n">
        <x:f t="shared" si="141">AVERAGE(E3047:E3246)</x:f>
        <x:v>519.3433499999999</x:v>
      </x:c>
      <x:c r="H3246" s="37" t="n">
        <x:f t="shared" si="142">IFERROR(E3246/G3246-1,"")</x:f>
        <x:v>0.14781483194114298</x:v>
      </x:c>
      <x:c r="I3246" s="38" t="b">
        <x:f t="shared" si="143">E3246&lt;G3246</x:f>
        <x:v>0</x:v>
      </x:c>
    </x:row>
    <x:row r="3247">
      <x:c r="A3247" s="31">
        <x:v>41744</x:v>
      </x:c>
      <x:c r="B3247" s="32">
        <x:v>596</x:v>
      </x:c>
      <x:c r="C3247" s="32">
        <x:v>597.99</x:v>
      </x:c>
      <x:c r="D3247" s="32">
        <x:v>586.09</x:v>
      </x:c>
      <x:c r="E3247" s="32">
        <x:v>586.09</x:v>
      </x:c>
      <x:c r="F3247" s="33">
        <x:v>126833620</x:v>
      </x:c>
      <x:c r="G3247" s="32" t="n">
        <x:f t="shared" si="141">AVERAGE(E3048:E3247)</x:f>
        <x:v>519.9086999999998</x:v>
      </x:c>
      <x:c r="H3247" s="37" t="n">
        <x:f t="shared" si="142">IFERROR(E3247/G3247-1,"")</x:f>
        <x:v>0.12729408067224157</x:v>
      </x:c>
      <x:c r="I3247" s="38" t="b">
        <x:f t="shared" si="143">E3247&lt;G3247</x:f>
        <x:v>0</x:v>
      </x:c>
    </x:row>
    <x:row r="3248">
      <x:c r="A3248" s="31">
        <x:v>41745</x:v>
      </x:c>
      <x:c r="B3248" s="32">
        <x:v>583.64</x:v>
      </x:c>
      <x:c r="C3248" s="32">
        <x:v>585.51</x:v>
      </x:c>
      <x:c r="D3248" s="32">
        <x:v>567.61</x:v>
      </x:c>
      <x:c r="E3248" s="32">
        <x:v>574.29</x:v>
      </x:c>
      <x:c r="F3248" s="33">
        <x:v>143009880</x:v>
      </x:c>
      <x:c r="G3248" s="32" t="n">
        <x:f t="shared" si="141">AVERAGE(E3049:E3248)</x:f>
        <x:v>520.4124999999998</x:v>
      </x:c>
      <x:c r="H3248" s="37" t="n">
        <x:f t="shared" si="142">IFERROR(E3248/G3248-1,"")</x:f>
        <x:v>0.10352845098839891</x:v>
      </x:c>
      <x:c r="I3248" s="38" t="b">
        <x:f t="shared" si="143">E3248&lt;G3248</x:f>
        <x:v>0</x:v>
      </x:c>
    </x:row>
    <x:row r="3249">
      <x:c r="A3249" s="31">
        <x:v>41746</x:v>
      </x:c>
      <x:c r="B3249" s="32">
        <x:v>580.39</x:v>
      </x:c>
      <x:c r="C3249" s="32">
        <x:v>583.51</x:v>
      </x:c>
      <x:c r="D3249" s="32">
        <x:v>575.83000000000004</x:v>
      </x:c>
      <x:c r="E3249" s="32">
        <x:v>580.30999999999995</x:v>
      </x:c>
      <x:c r="F3249" s="33">
        <x:v>86527800</x:v>
      </x:c>
      <x:c r="G3249" s="32" t="n">
        <x:f t="shared" si="141">AVERAGE(E3050:E3249)</x:f>
        <x:v>520.8992999999998</x:v>
      </x:c>
      <x:c r="H3249" s="37" t="n">
        <x:f t="shared" si="142">IFERROR(E3249/G3249-1,"")</x:f>
        <x:v>0.11405409836411784</x:v>
      </x:c>
      <x:c r="I3249" s="38" t="b">
        <x:f t="shared" si="143">E3249&lt;G3249</x:f>
        <x:v>0</x:v>
      </x:c>
    </x:row>
    <x:row r="3250">
      <x:c r="A3250" s="31">
        <x:v>41747</x:v>
      </x:c>
      <x:c r="B3250" s="32">
        <x:v>580.89</x:v>
      </x:c>
      <x:c r="C3250" s="32">
        <x:v>580.89</x:v>
      </x:c>
      <x:c r="D3250" s="32">
        <x:v>565.33000000000004</x:v>
      </x:c>
      <x:c r="E3250" s="32">
        <x:v>565.33000000000004</x:v>
      </x:c>
      <x:c r="F3250" s="33">
        <x:v>106747120</x:v>
      </x:c>
      <x:c r="G3250" s="32" t="n">
        <x:f t="shared" si="141">AVERAGE(E3051:E3250)</x:f>
        <x:v>521.3202999999997</x:v>
      </x:c>
      <x:c r="H3250" s="37" t="n">
        <x:f t="shared" si="142">IFERROR(E3250/G3250-1,"")</x:f>
        <x:v>0.08441969361254542</x:v>
      </x:c>
      <x:c r="I3250" s="38" t="b">
        <x:f t="shared" si="143">E3250&lt;G3250</x:f>
        <x:v>0</x:v>
      </x:c>
    </x:row>
    <x:row r="3251">
      <x:c r="A3251" s="31">
        <x:v>41750</x:v>
      </x:c>
      <x:c r="B3251" s="32">
        <x:v>564.21</x:v>
      </x:c>
      <x:c r="C3251" s="32">
        <x:v>568.44000000000005</x:v>
      </x:c>
      <x:c r="D3251" s="32">
        <x:v>558.14</x:v>
      </x:c>
      <x:c r="E3251" s="32">
        <x:v>558.14</x:v>
      </x:c>
      <x:c r="F3251" s="33">
        <x:v>93868870</x:v>
      </x:c>
      <x:c r="G3251" s="32" t="n">
        <x:f t="shared" si="141">AVERAGE(E3052:E3251)</x:f>
        <x:v>521.7107999999997</x:v>
      </x:c>
      <x:c r="H3251" s="37" t="n">
        <x:f t="shared" si="142">IFERROR(E3251/G3251-1,"")</x:f>
        <x:v>0.06982642490820634</x:v>
      </x:c>
      <x:c r="I3251" s="38" t="b">
        <x:f t="shared" si="143">E3251&lt;G3251</x:f>
        <x:v>0</x:v>
      </x:c>
    </x:row>
    <x:row r="3252">
      <x:c r="A3252" s="31">
        <x:v>41751</x:v>
      </x:c>
      <x:c r="B3252" s="32">
        <x:v>560.63</x:v>
      </x:c>
      <x:c r="C3252" s="32">
        <x:v>569.87</x:v>
      </x:c>
      <x:c r="D3252" s="32">
        <x:v>556.47</x:v>
      </x:c>
      <x:c r="E3252" s="32">
        <x:v>569.87</x:v>
      </x:c>
      <x:c r="F3252" s="33">
        <x:v>84120410</x:v>
      </x:c>
      <x:c r="G3252" s="32" t="n">
        <x:f t="shared" si="141">AVERAGE(E3053:E3252)</x:f>
        <x:v>522.1109499999998</x:v>
      </x:c>
      <x:c r="H3252" s="37" t="n">
        <x:f t="shared" si="142">IFERROR(E3252/G3252-1,"")</x:f>
        <x:v>0.09147299055880787</x:v>
      </x:c>
      <x:c r="I3252" s="38" t="b">
        <x:f t="shared" si="143">E3252&lt;G3252</x:f>
        <x:v>0</x:v>
      </x:c>
    </x:row>
    <x:row r="3253">
      <x:c r="A3253" s="31">
        <x:v>41752</x:v>
      </x:c>
      <x:c r="B3253" s="32">
        <x:v>569.83000000000004</x:v>
      </x:c>
      <x:c r="C3253" s="32">
        <x:v>573.39</x:v>
      </x:c>
      <x:c r="D3253" s="32">
        <x:v>567.04</x:v>
      </x:c>
      <x:c r="E3253" s="32">
        <x:v>569.36</x:v>
      </x:c>
      <x:c r="F3253" s="33">
        <x:v>63157600</x:v>
      </x:c>
      <x:c r="G3253" s="32" t="n">
        <x:f t="shared" si="141">AVERAGE(E3054:E3253)</x:f>
        <x:v>522.5209999999997</x:v>
      </x:c>
      <x:c r="H3253" s="37" t="n">
        <x:f t="shared" si="142">IFERROR(E3253/G3253-1,"")</x:f>
        <x:v>0.08964041636604136</x:v>
      </x:c>
      <x:c r="I3253" s="38" t="b">
        <x:f t="shared" si="143">E3253&lt;G3253</x:f>
        <x:v>0</x:v>
      </x:c>
    </x:row>
    <x:row r="3254">
      <x:c r="A3254" s="31">
        <x:v>41753</x:v>
      </x:c>
      <x:c r="B3254" s="32">
        <x:v>568.38</x:v>
      </x:c>
      <x:c r="C3254" s="32">
        <x:v>571.57000000000005</x:v>
      </x:c>
      <x:c r="D3254" s="32">
        <x:v>566.94000000000005</x:v>
      </x:c>
      <x:c r="E3254" s="32">
        <x:v>570.46</x:v>
      </x:c>
      <x:c r="F3254" s="33">
        <x:v>48621460</x:v>
      </x:c>
      <x:c r="G3254" s="32" t="n">
        <x:f t="shared" si="141">AVERAGE(E3055:E3254)</x:f>
        <x:v>522.9371999999998</x:v>
      </x:c>
      <x:c r="H3254" s="37" t="n">
        <x:f t="shared" si="142">IFERROR(E3254/G3254-1,"")</x:f>
        <x:v>0.09087668653138503</x:v>
      </x:c>
      <x:c r="I3254" s="38" t="b">
        <x:f t="shared" si="143">E3254&lt;G3254</x:f>
        <x:v>0</x:v>
      </x:c>
    </x:row>
    <x:row r="3255">
      <x:c r="A3255" s="31">
        <x:v>41754</x:v>
      </x:c>
      <x:c r="B3255" s="32">
        <x:v>571.71</x:v>
      </x:c>
      <x:c r="C3255" s="32">
        <x:v>580.74</x:v>
      </x:c>
      <x:c r="D3255" s="32">
        <x:v>571.71</x:v>
      </x:c>
      <x:c r="E3255" s="32">
        <x:v>578.91999999999996</x:v>
      </x:c>
      <x:c r="F3255" s="33">
        <x:v>58226790</x:v>
      </x:c>
      <x:c r="G3255" s="32" t="n">
        <x:f t="shared" si="141">AVERAGE(E3056:E3255)</x:f>
        <x:v>523.4034999999999</x:v>
      </x:c>
      <x:c r="H3255" s="37" t="n">
        <x:f t="shared" si="142">IFERROR(E3255/G3255-1,"")</x:f>
        <x:v>0.10606826282208681</x:v>
      </x:c>
      <x:c r="I3255" s="38" t="b">
        <x:f t="shared" si="143">E3255&lt;G3255</x:f>
        <x:v>0</x:v>
      </x:c>
    </x:row>
    <x:row r="3256">
      <x:c r="A3256" s="31">
        <x:v>41757</x:v>
      </x:c>
      <x:c r="B3256" s="32">
        <x:v>579.04999999999995</x:v>
      </x:c>
      <x:c r="C3256" s="32">
        <x:v>580.70000000000005</x:v>
      </x:c>
      <x:c r="D3256" s="32">
        <x:v>573.1</x:v>
      </x:c>
      <x:c r="E3256" s="32">
        <x:v>573.1</x:v>
      </x:c>
      <x:c r="F3256" s="33">
        <x:v>53208230</x:v>
      </x:c>
      <x:c r="G3256" s="32" t="n">
        <x:f t="shared" si="141">AVERAGE(E3057:E3256)</x:f>
        <x:v>523.8551499999999</x:v>
      </x:c>
      <x:c r="H3256" s="37" t="n">
        <x:f t="shared" si="142">IFERROR(E3256/G3256-1,"")</x:f>
        <x:v>0.09400470721725296</x:v>
      </x:c>
      <x:c r="I3256" s="38" t="b">
        <x:f t="shared" si="143">E3256&lt;G3256</x:f>
        <x:v>0</x:v>
      </x:c>
    </x:row>
    <x:row r="3257">
      <x:c r="A3257" s="31">
        <x:v>41758</x:v>
      </x:c>
      <x:c r="B3257" s="32">
        <x:v>570.64</x:v>
      </x:c>
      <x:c r="C3257" s="32">
        <x:v>578.21</x:v>
      </x:c>
      <x:c r="D3257" s="32">
        <x:v>570.64</x:v>
      </x:c>
      <x:c r="E3257" s="32">
        <x:v>578</x:v>
      </x:c>
      <x:c r="F3257" s="33">
        <x:v>45941890</x:v>
      </x:c>
      <x:c r="G3257" s="32" t="n">
        <x:f t="shared" si="141">AVERAGE(E3058:E3257)</x:f>
        <x:v>524.31765</x:v>
      </x:c>
      <x:c r="H3257" s="37" t="n">
        <x:f t="shared" si="142">IFERROR(E3257/G3257-1,"")</x:f>
        <x:v>0.10238516670190312</x:v>
      </x:c>
      <x:c r="I3257" s="38" t="b">
        <x:f t="shared" si="143">E3257&lt;G3257</x:f>
        <x:v>0</x:v>
      </x:c>
    </x:row>
    <x:row r="3258">
      <x:c r="A3258" s="31">
        <x:v>41764</x:v>
      </x:c>
      <x:c r="B3258" s="32">
        <x:v>578.45000000000005</x:v>
      </x:c>
      <x:c r="C3258" s="32">
        <x:v>580.11</x:v>
      </x:c>
      <x:c r="D3258" s="32">
        <x:v>564.47</x:v>
      </x:c>
      <x:c r="E3258" s="32">
        <x:v>564.85</x:v>
      </x:c>
      <x:c r="F3258" s="33">
        <x:v>73606800</x:v>
      </x:c>
      <x:c r="G3258" s="32" t="n">
        <x:f t="shared" si="141">AVERAGE(E3059:E3258)</x:f>
        <x:v>524.7197499999999</x:v>
      </x:c>
      <x:c r="H3258" s="37" t="n">
        <x:f t="shared" si="142">IFERROR(E3258/G3258-1,"")</x:f>
        <x:v>0.0764793968589903</x:v>
      </x:c>
      <x:c r="I3258" s="38" t="b">
        <x:f t="shared" si="143">E3258&lt;G3258</x:f>
        <x:v>0</x:v>
      </x:c>
    </x:row>
    <x:row r="3259">
      <x:c r="A3259" s="31">
        <x:v>41765</x:v>
      </x:c>
      <x:c r="B3259" s="32">
        <x:v>561.86</x:v>
      </x:c>
      <x:c r="C3259" s="32">
        <x:v>562.36</x:v>
      </x:c>
      <x:c r="D3259" s="32">
        <x:v>545.97</x:v>
      </x:c>
      <x:c r="E3259" s="32">
        <x:v>555.11</x:v>
      </x:c>
      <x:c r="F3259" s="33">
        <x:v>98267720</x:v>
      </x:c>
      <x:c r="G3259" s="32" t="n">
        <x:f t="shared" si="141">AVERAGE(E3060:E3259)</x:f>
        <x:v>525.0729499999999</x:v>
      </x:c>
      <x:c r="H3259" s="37" t="n">
        <x:f t="shared" si="142">IFERROR(E3259/G3259-1,"")</x:f>
        <x:v>0.0572054797338164</x:v>
      </x:c>
      <x:c r="I3259" s="38" t="b">
        <x:f t="shared" si="143">E3259&lt;G3259</x:f>
        <x:v>0</x:v>
      </x:c>
    </x:row>
    <x:row r="3260">
      <x:c r="A3260" s="31">
        <x:v>41766</x:v>
      </x:c>
      <x:c r="B3260" s="32">
        <x:v>558.04</x:v>
      </x:c>
      <x:c r="C3260" s="32">
        <x:v>561.55999999999995</x:v>
      </x:c>
      <x:c r="D3260" s="32">
        <x:v>553.21</x:v>
      </x:c>
      <x:c r="E3260" s="32">
        <x:v>559.97</x:v>
      </x:c>
      <x:c r="F3260" s="33">
        <x:v>46793760</x:v>
      </x:c>
      <x:c r="G3260" s="32" t="n">
        <x:f t="shared" si="141">AVERAGE(E3061:E3260)</x:f>
        <x:v>525.40285</x:v>
      </x:c>
      <x:c r="H3260" s="37" t="n">
        <x:f t="shared" si="142">IFERROR(E3260/G3260-1,"")</x:f>
        <x:v>0.06579170630688447</x:v>
      </x:c>
      <x:c r="I3260" s="38" t="b">
        <x:f t="shared" si="143">E3260&lt;G3260</x:f>
        <x:v>0</x:v>
      </x:c>
    </x:row>
    <x:row r="3261">
      <x:c r="A3261" s="31">
        <x:v>41767</x:v>
      </x:c>
      <x:c r="B3261" s="32">
        <x:v>550.75</x:v>
      </x:c>
      <x:c r="C3261" s="32">
        <x:v>550.75</x:v>
      </x:c>
      <x:c r="D3261" s="32">
        <x:v>525.37</x:v>
      </x:c>
      <x:c r="E3261" s="32">
        <x:v>527.09</x:v>
      </x:c>
      <x:c r="F3261" s="33">
        <x:v>128293230</x:v>
      </x:c>
      <x:c r="G3261" s="32" t="n">
        <x:f t="shared" si="141">AVERAGE(E3062:E3261)</x:f>
        <x:v>525.5678</x:v>
      </x:c>
      <x:c r="H3261" s="37" t="n">
        <x:f t="shared" si="142">IFERROR(E3261/G3261-1,"")</x:f>
        <x:v>0.0028962961581739943</x:v>
      </x:c>
      <x:c r="I3261" s="38" t="b">
        <x:f t="shared" si="143">E3261&lt;G3261</x:f>
        <x:v>0</x:v>
      </x:c>
    </x:row>
    <x:row r="3262">
      <x:c r="A3262" s="31">
        <x:v>41768</x:v>
      </x:c>
      <x:c r="B3262" s="32">
        <x:v>522.82000000000005</x:v>
      </x:c>
      <x:c r="C3262" s="32">
        <x:v>542.55999999999995</x:v>
      </x:c>
      <x:c r="D3262" s="32">
        <x:v>522.70000000000005</x:v>
      </x:c>
      <x:c r="E3262" s="32">
        <x:v>542.46</x:v>
      </x:c>
      <x:c r="F3262" s="33">
        <x:v>115488640</x:v>
      </x:c>
      <x:c r="G3262" s="32" t="n">
        <x:f t="shared" si="141">AVERAGE(E3063:E3262)</x:f>
        <x:v>525.799</x:v>
      </x:c>
      <x:c r="H3262" s="37" t="n">
        <x:f t="shared" si="142">IFERROR(E3262/G3262-1,"")</x:f>
        <x:v>0.031687013478534753</x:v>
      </x:c>
      <x:c r="I3262" s="38" t="b">
        <x:f t="shared" si="143">E3262&lt;G3262</x:f>
        <x:v>0</x:v>
      </x:c>
    </x:row>
    <x:row r="3263">
      <x:c r="A3263" s="31">
        <x:v>41771</x:v>
      </x:c>
      <x:c r="B3263" s="32">
        <x:v>536.82000000000005</x:v>
      </x:c>
      <x:c r="C3263" s="32">
        <x:v>536.82000000000005</x:v>
      </x:c>
      <x:c r="D3263" s="32">
        <x:v>512.25</x:v>
      </x:c>
      <x:c r="E3263" s="32">
        <x:v>517.04999999999995</x:v>
      </x:c>
      <x:c r="F3263" s="33">
        <x:v>94224400</x:v>
      </x:c>
      <x:c r="G3263" s="32" t="n">
        <x:f t="shared" si="141">AVERAGE(E3064:E3263)</x:f>
        <x:v>525.89675</x:v>
      </x:c>
      <x:c r="H3263" s="37" t="n">
        <x:f t="shared" si="142">IFERROR(E3263/G3263-1,"")</x:f>
        <x:v>-0.016822218429758395</x:v>
      </x:c>
      <x:c r="I3263" s="38" t="b">
        <x:f t="shared" si="143">E3263&lt;G3263</x:f>
        <x:v>1</x:v>
      </x:c>
    </x:row>
    <x:row r="3264">
      <x:c r="A3264" s="31">
        <x:v>41772</x:v>
      </x:c>
      <x:c r="B3264" s="32">
        <x:v>508.76</x:v>
      </x:c>
      <x:c r="C3264" s="32">
        <x:v>518.45000000000005</x:v>
      </x:c>
      <x:c r="D3264" s="32">
        <x:v>508.51</x:v>
      </x:c>
      <x:c r="E3264" s="32">
        <x:v>513.91</x:v>
      </x:c>
      <x:c r="F3264" s="33">
        <x:v>92140330</x:v>
      </x:c>
      <x:c r="G3264" s="32" t="n">
        <x:f t="shared" si="141">AVERAGE(E3065:E3264)</x:f>
        <x:v>525.9821000000002</x:v>
      </x:c>
      <x:c r="H3264" s="37" t="n">
        <x:f t="shared" si="142">IFERROR(E3264/G3264-1,"")</x:f>
        <x:v>-0.022951541506831097</x:v>
      </x:c>
      <x:c r="I3264" s="38" t="b">
        <x:f t="shared" si="143">E3264&lt;G3264</x:f>
        <x:v>1</x:v>
      </x:c>
    </x:row>
    <x:row r="3265">
      <x:c r="A3265" s="31">
        <x:v>41773</x:v>
      </x:c>
      <x:c r="B3265" s="32">
        <x:v>510.16</x:v>
      </x:c>
      <x:c r="C3265" s="32">
        <x:v>529.59</x:v>
      </x:c>
      <x:c r="D3265" s="32">
        <x:v>509.82</x:v>
      </x:c>
      <x:c r="E3265" s="32">
        <x:v>529.53</x:v>
      </x:c>
      <x:c r="F3265" s="33">
        <x:v>106635850</x:v>
      </x:c>
      <x:c r="G3265" s="32" t="n">
        <x:f t="shared" si="141">AVERAGE(E3066:E3265)</x:f>
        <x:v>526.11095</x:v>
      </x:c>
      <x:c r="H3265" s="37" t="n">
        <x:f t="shared" si="142">IFERROR(E3265/G3265-1,"")</x:f>
        <x:v>0.0064987242709926285</x:v>
      </x:c>
      <x:c r="I3265" s="38" t="b">
        <x:f t="shared" si="143">E3265&lt;G3265</x:f>
        <x:v>0</x:v>
      </x:c>
    </x:row>
    <x:row r="3266">
      <x:c r="A3266" s="31">
        <x:v>41774</x:v>
      </x:c>
      <x:c r="B3266" s="32">
        <x:v>529.39</x:v>
      </x:c>
      <x:c r="C3266" s="32">
        <x:v>537.27</x:v>
      </x:c>
      <x:c r="D3266" s="32">
        <x:v>512.41</x:v>
      </x:c>
      <x:c r="E3266" s="32">
        <x:v>524.04999999999995</x:v>
      </x:c>
      <x:c r="F3266" s="33">
        <x:v>125655190</x:v>
      </x:c>
      <x:c r="G3266" s="32" t="n">
        <x:f t="shared" si="141">AVERAGE(E3067:E3266)</x:f>
        <x:v>526.2004000000001</x:v>
      </x:c>
      <x:c r="H3266" s="37" t="n">
        <x:f t="shared" si="142">IFERROR(E3266/G3266-1,"")</x:f>
        <x:v>-0.004086655958452479</x:v>
      </x:c>
      <x:c r="I3266" s="38" t="b">
        <x:f t="shared" si="143">E3266&lt;G3266</x:f>
        <x:v>1</x:v>
      </x:c>
    </x:row>
    <x:row r="3267">
      <x:c r="A3267" s="31">
        <x:v>41775</x:v>
      </x:c>
      <x:c r="B3267" s="32">
        <x:v>522</x:v>
      </x:c>
      <x:c r="C3267" s="32">
        <x:v>529.49</x:v>
      </x:c>
      <x:c r="D3267" s="32">
        <x:v>519.39</x:v>
      </x:c>
      <x:c r="E3267" s="32">
        <x:v>529.49</x:v>
      </x:c>
      <x:c r="F3267" s="33">
        <x:v>79135650</x:v>
      </x:c>
      <x:c r="G3267" s="32" t="n">
        <x:f t="shared" si="141">AVERAGE(E3068:E3267)</x:f>
        <x:v>526.3264</x:v>
      </x:c>
      <x:c r="H3267" s="37" t="n">
        <x:f t="shared" si="142">IFERROR(E3267/G3267-1,"")</x:f>
        <x:v>0.0060107188239084675</x:v>
      </x:c>
      <x:c r="I3267" s="38" t="b">
        <x:f t="shared" si="143">E3267&lt;G3267</x:f>
        <x:v>0</x:v>
      </x:c>
    </x:row>
    <x:row r="3268">
      <x:c r="A3268" s="31">
        <x:v>41778</x:v>
      </x:c>
      <x:c r="B3268" s="32">
        <x:v>530.30999999999995</x:v>
      </x:c>
      <x:c r="C3268" s="32">
        <x:v>534.67999999999995</x:v>
      </x:c>
      <x:c r="D3268" s="32">
        <x:v>525.82000000000005</x:v>
      </x:c>
      <x:c r="E3268" s="32">
        <x:v>533.04</x:v>
      </x:c>
      <x:c r="F3268" s="33">
        <x:v>94450040</x:v>
      </x:c>
      <x:c r="G3268" s="32" t="n">
        <x:f t="shared" si="141">AVERAGE(E3069:E3268)</x:f>
        <x:v>526.5207</x:v>
      </x:c>
      <x:c r="H3268" s="37" t="n">
        <x:f t="shared" si="142">IFERROR(E3268/G3268-1,"")</x:f>
        <x:v>0.012381849374582865</x:v>
      </x:c>
      <x:c r="I3268" s="38" t="b">
        <x:f t="shared" si="143">E3268&lt;G3268</x:f>
        <x:v>0</x:v>
      </x:c>
    </x:row>
    <x:row r="3269">
      <x:c r="A3269" s="31">
        <x:v>41779</x:v>
      </x:c>
      <x:c r="B3269" s="32">
        <x:v>531</x:v>
      </x:c>
      <x:c r="C3269" s="32">
        <x:v>537.92999999999995</x:v>
      </x:c>
      <x:c r="D3269" s="32">
        <x:v>527.69000000000005</x:v>
      </x:c>
      <x:c r="E3269" s="32">
        <x:v>537.52</x:v>
      </x:c>
      <x:c r="F3269" s="33">
        <x:v>102485880</x:v>
      </x:c>
      <x:c r="G3269" s="32" t="n">
        <x:f t="shared" si="141">AVERAGE(E3070:E3269)</x:f>
        <x:v>526.7494</x:v>
      </x:c>
      <x:c r="H3269" s="37" t="n">
        <x:f t="shared" si="142">IFERROR(E3269/G3269-1,"")</x:f>
        <x:v>0.02044729429212433</x:v>
      </x:c>
      <x:c r="I3269" s="38" t="b">
        <x:f t="shared" si="143">E3269&lt;G3269</x:f>
        <x:v>0</x:v>
      </x:c>
    </x:row>
    <x:row r="3270">
      <x:c r="A3270" s="31">
        <x:v>41780</x:v>
      </x:c>
      <x:c r="B3270" s="32">
        <x:v>537.95000000000005</x:v>
      </x:c>
      <x:c r="C3270" s="32">
        <x:v>543.92999999999995</x:v>
      </x:c>
      <x:c r="D3270" s="32">
        <x:v>533.19000000000005</x:v>
      </x:c>
      <x:c r="E3270" s="32">
        <x:v>543.88</x:v>
      </x:c>
      <x:c r="F3270" s="33">
        <x:v>99864170</x:v>
      </x:c>
      <x:c r="G3270" s="32" t="n">
        <x:f t="shared" si="141">AVERAGE(E3071:E3270)</x:f>
        <x:v>526.9991500000001</x:v>
      </x:c>
      <x:c r="H3270" s="37" t="n">
        <x:f t="shared" si="142">IFERROR(E3270/G3270-1,"")</x:f>
        <x:v>0.03203202509909153</x:v>
      </x:c>
      <x:c r="I3270" s="38" t="b">
        <x:f t="shared" si="143">E3270&lt;G3270</x:f>
        <x:v>0</x:v>
      </x:c>
    </x:row>
    <x:row r="3271">
      <x:c r="A3271" s="31">
        <x:v>41781</x:v>
      </x:c>
      <x:c r="B3271" s="32">
        <x:v>543.35</x:v>
      </x:c>
      <x:c r="C3271" s="32">
        <x:v>547.20000000000005</x:v>
      </x:c>
      <x:c r="D3271" s="32">
        <x:v>541.42999999999995</x:v>
      </x:c>
      <x:c r="E3271" s="32">
        <x:v>541.73</x:v>
      </x:c>
      <x:c r="F3271" s="33">
        <x:v>122207050</x:v>
      </x:c>
      <x:c r="G3271" s="32" t="n">
        <x:f t="shared" si="141">AVERAGE(E3072:E3271)</x:f>
        <x:v>527.2793500000001</x:v>
      </x:c>
      <x:c r="H3271" s="37" t="n">
        <x:f t="shared" si="142">IFERROR(E3271/G3271-1,"")</x:f>
        <x:v>0.027406060942837707</x:v>
      </x:c>
      <x:c r="I3271" s="38" t="b">
        <x:f t="shared" si="143">E3271&lt;G3271</x:f>
        <x:v>0</x:v>
      </x:c>
    </x:row>
    <x:row r="3272">
      <x:c r="A3272" s="31">
        <x:v>41782</x:v>
      </x:c>
      <x:c r="B3272" s="32">
        <x:v>542.44000000000005</x:v>
      </x:c>
      <x:c r="C3272" s="32">
        <x:v>545.29999999999995</x:v>
      </x:c>
      <x:c r="D3272" s="32">
        <x:v>540.51</x:v>
      </x:c>
      <x:c r="E3272" s="32">
        <x:v>541.49</x:v>
      </x:c>
      <x:c r="F3272" s="33">
        <x:v>84206790</x:v>
      </x:c>
      <x:c r="G3272" s="32" t="n">
        <x:f t="shared" si="141">AVERAGE(E3073:E3272)</x:f>
        <x:v>527.5441000000002</x:v>
      </x:c>
      <x:c r="H3272" s="37" t="n">
        <x:f t="shared" si="142">IFERROR(E3272/G3272-1,"")</x:f>
        <x:v>0.02643551505930941</x:v>
      </x:c>
      <x:c r="I3272" s="38" t="b">
        <x:f t="shared" si="143">E3272&lt;G3272</x:f>
        <x:v>0</x:v>
      </x:c>
    </x:row>
    <x:row r="3273">
      <x:c r="A3273" s="31">
        <x:v>41785</x:v>
      </x:c>
      <x:c r="B3273" s="32">
        <x:v>541.42999999999995</x:v>
      </x:c>
      <x:c r="C3273" s="32">
        <x:v>544.92999999999995</x:v>
      </x:c>
      <x:c r="D3273" s="32">
        <x:v>536.27</x:v>
      </x:c>
      <x:c r="E3273" s="32">
        <x:v>544.05999999999995</x:v>
      </x:c>
      <x:c r="F3273" s="33">
        <x:v>70350070</x:v>
      </x:c>
      <x:c r="G3273" s="32" t="n">
        <x:f t="shared" si="141">AVERAGE(E3074:E3273)</x:f>
        <x:v>527.8051500000003</x:v>
      </x:c>
      <x:c r="H3273" s="37" t="n">
        <x:f t="shared" si="142">IFERROR(E3273/G3273-1,"")</x:f>
        <x:v>0.03079706592480136</x:v>
      </x:c>
      <x:c r="I3273" s="38" t="b">
        <x:f t="shared" si="143">E3273&lt;G3273</x:f>
        <x:v>0</x:v>
      </x:c>
    </x:row>
    <x:row r="3274">
      <x:c r="A3274" s="31">
        <x:v>41786</x:v>
      </x:c>
      <x:c r="B3274" s="32">
        <x:v>543.54999999999995</x:v>
      </x:c>
      <x:c r="C3274" s="32">
        <x:v>552.75</x:v>
      </x:c>
      <x:c r="D3274" s="32">
        <x:v>542.49</x:v>
      </x:c>
      <x:c r="E3274" s="32">
        <x:v>552.75</x:v>
      </x:c>
      <x:c r="F3274" s="33">
        <x:v>121729360</x:v>
      </x:c>
      <x:c r="G3274" s="32" t="n">
        <x:f t="shared" si="141">AVERAGE(E3075:E3274)</x:f>
        <x:v>528.1067500000001</x:v>
      </x:c>
      <x:c r="H3274" s="37" t="n">
        <x:f t="shared" si="142">IFERROR(E3274/G3274-1,"")</x:f>
        <x:v>0.046663387657892796</x:v>
      </x:c>
      <x:c r="I3274" s="38" t="b">
        <x:f t="shared" si="143">E3274&lt;G3274</x:f>
        <x:v>0</x:v>
      </x:c>
    </x:row>
    <x:row r="3275">
      <x:c r="A3275" s="31">
        <x:v>41787</x:v>
      </x:c>
      <x:c r="B3275" s="32">
        <x:v>554.32000000000005</x:v>
      </x:c>
      <x:c r="C3275" s="32">
        <x:v>557.92999999999995</x:v>
      </x:c>
      <x:c r="D3275" s="32">
        <x:v>553.03</x:v>
      </x:c>
      <x:c r="E3275" s="32">
        <x:v>557.34</x:v>
      </x:c>
      <x:c r="F3275" s="33">
        <x:v>107355240</x:v>
      </x:c>
      <x:c r="G3275" s="32" t="n">
        <x:f t="shared" si="141">AVERAGE(E3076:E3275)</x:f>
        <x:v>528.4201500000003</x:v>
      </x:c>
      <x:c r="H3275" s="37" t="n">
        <x:f t="shared" si="142">IFERROR(E3275/G3275-1,"")</x:f>
        <x:v>0.05472889328690389</x:v>
      </x:c>
      <x:c r="I3275" s="38" t="b">
        <x:f t="shared" si="143">E3275&lt;G3275</x:f>
        <x:v>0</x:v>
      </x:c>
    </x:row>
    <x:row r="3276">
      <x:c r="A3276" s="31">
        <x:v>41788</x:v>
      </x:c>
      <x:c r="B3276" s="32">
        <x:v>556.29999999999995</x:v>
      </x:c>
      <x:c r="C3276" s="32">
        <x:v>562.33000000000004</x:v>
      </x:c>
      <x:c r="D3276" s="32">
        <x:v>555.32000000000005</x:v>
      </x:c>
      <x:c r="E3276" s="32">
        <x:v>558.45000000000005</x:v>
      </x:c>
      <x:c r="F3276" s="33">
        <x:v>114247620</x:v>
      </x:c>
      <x:c r="G3276" s="32" t="n">
        <x:f t="shared" si="141">AVERAGE(E3077:E3276)</x:f>
        <x:v>528.7441000000002</x:v>
      </x:c>
      <x:c r="H3276" s="37" t="n">
        <x:f t="shared" si="142">IFERROR(E3276/G3276-1,"")</x:f>
        <x:v>0.05618199805917423</x:v>
      </x:c>
      <x:c r="I3276" s="38" t="b">
        <x:f t="shared" si="143">E3276&lt;G3276</x:f>
        <x:v>0</x:v>
      </x:c>
    </x:row>
    <x:row r="3277">
      <x:c r="A3277" s="31">
        <x:v>41789</x:v>
      </x:c>
      <x:c r="B3277" s="32">
        <x:v>558.78</x:v>
      </x:c>
      <x:c r="C3277" s="32">
        <x:v>565.04999999999995</x:v>
      </x:c>
      <x:c r="D3277" s="32">
        <x:v>557.20000000000005</x:v>
      </x:c>
      <x:c r="E3277" s="32">
        <x:v>562.02</x:v>
      </x:c>
      <x:c r="F3277" s="33">
        <x:v>81363300</x:v>
      </x:c>
      <x:c r="G3277" s="32" t="n">
        <x:f t="shared" ref="G3277:G3340" si="144">AVERAGE(E3078:E3277)</x:f>
        <x:v>529.0714000000003</x:v>
      </x:c>
      <x:c r="H3277" s="37" t="n">
        <x:f t="shared" ref="H3277:H3340" si="145">IFERROR(E3277/G3277-1,"")</x:f>
        <x:v>0.062276282558459295</x:v>
      </x:c>
      <x:c r="I3277" s="38" t="b">
        <x:f t="shared" ref="I3277:I3340" si="146">E3277&lt;G3277</x:f>
        <x:v>0</x:v>
      </x:c>
    </x:row>
    <x:row r="3278">
      <x:c r="A3278" s="31">
        <x:v>41792</x:v>
      </x:c>
      <x:c r="B3278" s="32">
        <x:v>560.29</x:v>
      </x:c>
      <x:c r="C3278" s="32">
        <x:v>563.12</x:v>
      </x:c>
      <x:c r="D3278" s="32">
        <x:v>554.44000000000005</x:v>
      </x:c>
      <x:c r="E3278" s="32">
        <x:v>556.79999999999995</x:v>
      </x:c>
      <x:c r="F3278" s="33">
        <x:v>78700670</x:v>
      </x:c>
      <x:c r="G3278" s="32" t="n">
        <x:f t="shared" si="144">AVERAGE(E3079:E3278)</x:f>
        <x:v>529.3549000000003</x:v>
      </x:c>
      <x:c r="H3278" s="37" t="n">
        <x:f t="shared" si="145">IFERROR(E3278/G3278-1,"")</x:f>
        <x:v>0.05184631331456391</x:v>
      </x:c>
      <x:c r="I3278" s="38" t="b">
        <x:f t="shared" si="146">E3278&lt;G3278</x:f>
        <x:v>0</x:v>
      </x:c>
    </x:row>
    <x:row r="3279">
      <x:c r="A3279" s="31">
        <x:v>41793</x:v>
      </x:c>
      <x:c r="B3279" s="32">
        <x:v>557.34</x:v>
      </x:c>
      <x:c r="C3279" s="32">
        <x:v>560.62</x:v>
      </x:c>
      <x:c r="D3279" s="32">
        <x:v>554.96</x:v>
      </x:c>
      <x:c r="E3279" s="32">
        <x:v>558.76</x:v>
      </x:c>
      <x:c r="F3279" s="33">
        <x:v>53295920</x:v>
      </x:c>
      <x:c r="G3279" s="32" t="n">
        <x:f t="shared" si="144">AVERAGE(E3080:E3279)</x:f>
        <x:v>529.6576000000002</x:v>
      </x:c>
      <x:c r="H3279" s="37" t="n">
        <x:f t="shared" si="145">IFERROR(E3279/G3279-1,"")</x:f>
        <x:v>0.05494568566560698</x:v>
      </x:c>
      <x:c r="I3279" s="38" t="b">
        <x:f t="shared" si="146">E3279&lt;G3279</x:f>
        <x:v>0</x:v>
      </x:c>
    </x:row>
    <x:row r="3280">
      <x:c r="A3280" s="31">
        <x:v>41794</x:v>
      </x:c>
      <x:c r="B3280" s="32">
        <x:v>559.13</x:v>
      </x:c>
      <x:c r="C3280" s="32">
        <x:v>559.19000000000005</x:v>
      </x:c>
      <x:c r="D3280" s="32">
        <x:v>550.23</x:v>
      </x:c>
      <x:c r="E3280" s="32">
        <x:v>553.46</x:v>
      </x:c>
      <x:c r="F3280" s="33">
        <x:v>67155660</x:v>
      </x:c>
      <x:c r="G3280" s="32" t="n">
        <x:f t="shared" si="144">AVERAGE(E3081:E3280)</x:f>
        <x:v>529.9218000000003</x:v>
      </x:c>
      <x:c r="H3280" s="37" t="n">
        <x:f t="shared" si="145">IFERROR(E3280/G3280-1,"")</x:f>
        <x:v>0.04441825190056292</x:v>
      </x:c>
      <x:c r="I3280" s="38" t="b">
        <x:f t="shared" si="146">E3280&lt;G3280</x:f>
        <x:v>0</x:v>
      </x:c>
    </x:row>
    <x:row r="3281">
      <x:c r="A3281" s="31">
        <x:v>41795</x:v>
      </x:c>
      <x:c r="B3281" s="32">
        <x:v>552.20000000000005</x:v>
      </x:c>
      <x:c r="C3281" s="32">
        <x:v>553.96</x:v>
      </x:c>
      <x:c r="D3281" s="32">
        <x:v>548.47</x:v>
      </x:c>
      <x:c r="E3281" s="32">
        <x:v>551.1</x:v>
      </x:c>
      <x:c r="F3281" s="33">
        <x:v>53199850</x:v>
      </x:c>
      <x:c r="G3281" s="32" t="n">
        <x:f t="shared" si="144">AVERAGE(E3082:E3281)</x:f>
        <x:v>530.1800000000004</x:v>
      </x:c>
      <x:c r="H3281" s="37" t="n">
        <x:f t="shared" si="145">IFERROR(E3281/G3281-1,"")</x:f>
        <x:v>0.039458297182088264</x:v>
      </x:c>
      <x:c r="I3281" s="38" t="b">
        <x:f t="shared" si="146">E3281&lt;G3281</x:f>
        <x:v>0</x:v>
      </x:c>
    </x:row>
    <x:row r="3282">
      <x:c r="A3282" s="31">
        <x:v>41796</x:v>
      </x:c>
      <x:c r="B3282" s="32">
        <x:v>553.62</x:v>
      </x:c>
      <x:c r="C3282" s="32">
        <x:v>559.04</x:v>
      </x:c>
      <x:c r="D3282" s="32">
        <x:v>551.79999999999995</x:v>
      </x:c>
      <x:c r="E3282" s="32">
        <x:v>559.04</x:v>
      </x:c>
      <x:c r="F3282" s="33">
        <x:v>59778290</x:v>
      </x:c>
      <x:c r="G3282" s="32" t="n">
        <x:f t="shared" si="144">AVERAGE(E3083:E3282)</x:f>
        <x:v>530.4865500000003</x:v>
      </x:c>
      <x:c r="H3282" s="37" t="n">
        <x:f t="shared" si="145">IFERROR(E3282/G3282-1,"")</x:f>
        <x:v>0.0538250215768894</x:v>
      </x:c>
      <x:c r="I3282" s="38" t="b">
        <x:f t="shared" si="146">E3282&lt;G3282</x:f>
        <x:v>0</x:v>
      </x:c>
    </x:row>
    <x:row r="3283">
      <x:c r="A3283" s="31">
        <x:v>41799</x:v>
      </x:c>
      <x:c r="B3283" s="32">
        <x:v>561.25</x:v>
      </x:c>
      <x:c r="C3283" s="32">
        <x:v>571.83000000000004</x:v>
      </x:c>
      <x:c r="D3283" s="32">
        <x:v>558.64</x:v>
      </x:c>
      <x:c r="E3283" s="32">
        <x:v>565.61</x:v>
      </x:c>
      <x:c r="F3283" s="33">
        <x:v>107736660</x:v>
      </x:c>
      <x:c r="G3283" s="32" t="n">
        <x:f t="shared" si="144">AVERAGE(E3084:E3283)</x:f>
        <x:v>530.7967500000002</x:v>
      </x:c>
      <x:c r="H3283" s="37" t="n">
        <x:f t="shared" si="145">IFERROR(E3283/G3283-1,"")</x:f>
        <x:v>0.0655867806274244</x:v>
      </x:c>
      <x:c r="I3283" s="38" t="b">
        <x:f t="shared" si="146">E3283&lt;G3283</x:f>
        <x:v>0</x:v>
      </x:c>
    </x:row>
    <x:row r="3284">
      <x:c r="A3284" s="31">
        <x:v>41800</x:v>
      </x:c>
      <x:c r="B3284" s="32">
        <x:v>566.30999999999995</x:v>
      </x:c>
      <x:c r="C3284" s="32">
        <x:v>571.73</x:v>
      </x:c>
      <x:c r="D3284" s="32">
        <x:v>564.32000000000005</x:v>
      </x:c>
      <x:c r="E3284" s="32">
        <x:v>566.89</x:v>
      </x:c>
      <x:c r="F3284" s="33">
        <x:v>78132940</x:v>
      </x:c>
      <x:c r="G3284" s="32" t="n">
        <x:f t="shared" si="144">AVERAGE(E3085:E3284)</x:f>
        <x:v>531.0901000000003</x:v>
      </x:c>
      <x:c r="H3284" s="37" t="n">
        <x:f t="shared" si="145">IFERROR(E3284/G3284-1,"")</x:f>
        <x:v>0.06740833617497222</x:v>
      </x:c>
      <x:c r="I3284" s="38" t="b">
        <x:f t="shared" si="146">E3284&lt;G3284</x:f>
        <x:v>0</x:v>
      </x:c>
    </x:row>
    <x:row r="3285">
      <x:c r="A3285" s="31">
        <x:v>41801</x:v>
      </x:c>
      <x:c r="B3285" s="32">
        <x:v>567.77</x:v>
      </x:c>
      <x:c r="C3285" s="32">
        <x:v>573.04999999999995</x:v>
      </x:c>
      <x:c r="D3285" s="32">
        <x:v>566.51</x:v>
      </x:c>
      <x:c r="E3285" s="32">
        <x:v>570.36</x:v>
      </x:c>
      <x:c r="F3285" s="33">
        <x:v>75171290</x:v>
      </x:c>
      <x:c r="G3285" s="32" t="n">
        <x:f t="shared" si="144">AVERAGE(E3086:E3285)</x:f>
        <x:v>531.4029500000003</x:v>
      </x:c>
      <x:c r="H3285" s="37" t="n">
        <x:f t="shared" si="145">IFERROR(E3285/G3285-1,"")</x:f>
        <x:v>0.07330981132114478</x:v>
      </x:c>
      <x:c r="I3285" s="38" t="b">
        <x:f t="shared" si="146">E3285&lt;G3285</x:f>
        <x:v>0</x:v>
      </x:c>
    </x:row>
    <x:row r="3286">
      <x:c r="A3286" s="31">
        <x:v>41802</x:v>
      </x:c>
      <x:c r="B3286" s="32">
        <x:v>571.19000000000005</x:v>
      </x:c>
      <x:c r="C3286" s="32">
        <x:v>574.75</x:v>
      </x:c>
      <x:c r="D3286" s="32">
        <x:v>568.58000000000004</x:v>
      </x:c>
      <x:c r="E3286" s="32">
        <x:v>573.77</x:v>
      </x:c>
      <x:c r="F3286" s="33">
        <x:v>90147440</x:v>
      </x:c>
      <x:c r="G3286" s="32" t="n">
        <x:f t="shared" si="144">AVERAGE(E3087:E3286)</x:f>
        <x:v>531.7167000000003</x:v>
      </x:c>
      <x:c r="H3286" s="37" t="n">
        <x:f t="shared" si="145">IFERROR(E3286/G3286-1,"")</x:f>
        <x:v>0.07908967312856574</x:v>
      </x:c>
      <x:c r="I3286" s="38" t="b">
        <x:f t="shared" si="146">E3286&lt;G3286</x:f>
        <x:v>0</x:v>
      </x:c>
    </x:row>
    <x:row r="3287">
      <x:c r="A3287" s="31">
        <x:v>41803</x:v>
      </x:c>
      <x:c r="B3287" s="32">
        <x:v>573.58000000000004</x:v>
      </x:c>
      <x:c r="C3287" s="32">
        <x:v>577.27</x:v>
      </x:c>
      <x:c r="D3287" s="32">
        <x:v>573.03</x:v>
      </x:c>
      <x:c r="E3287" s="32">
        <x:v>574.48</x:v>
      </x:c>
      <x:c r="F3287" s="33">
        <x:v>67624300</x:v>
      </x:c>
      <x:c r="G3287" s="32" t="n">
        <x:f t="shared" si="144">AVERAGE(E3088:E3287)</x:f>
        <x:v>532.0650500000004</x:v>
      </x:c>
      <x:c r="H3287" s="37" t="n">
        <x:f t="shared" si="145">IFERROR(E3287/G3287-1,"")</x:f>
        <x:v>0.0797176021992041</x:v>
      </x:c>
      <x:c r="I3287" s="38" t="b">
        <x:f t="shared" si="146">E3287&lt;G3287</x:f>
        <x:v>0</x:v>
      </x:c>
    </x:row>
    <x:row r="3288">
      <x:c r="A3288" s="31">
        <x:v>41806</x:v>
      </x:c>
      <x:c r="B3288" s="32">
        <x:v>575.20000000000005</x:v>
      </x:c>
      <x:c r="C3288" s="32">
        <x:v>575.87</x:v>
      </x:c>
      <x:c r="D3288" s="32">
        <x:v>571.76</x:v>
      </x:c>
      <x:c r="E3288" s="32">
        <x:v>572.37</x:v>
      </x:c>
      <x:c r="F3288" s="33">
        <x:v>76547350</x:v>
      </x:c>
      <x:c r="G3288" s="32" t="n">
        <x:f t="shared" si="144">AVERAGE(E3089:E3288)</x:f>
        <x:v>532.4134000000004</x:v>
      </x:c>
      <x:c r="H3288" s="37" t="n">
        <x:f t="shared" si="145">IFERROR(E3288/G3288-1,"")</x:f>
        <x:v>0.07504807354585674</x:v>
      </x:c>
      <x:c r="I3288" s="38" t="b">
        <x:f t="shared" si="146">E3288&lt;G3288</x:f>
        <x:v>0</x:v>
      </x:c>
    </x:row>
    <x:row r="3289">
      <x:c r="A3289" s="31">
        <x:v>41807</x:v>
      </x:c>
      <x:c r="B3289" s="32">
        <x:v>571.79999999999995</x:v>
      </x:c>
      <x:c r="C3289" s="32">
        <x:v>573.15</x:v>
      </x:c>
      <x:c r="D3289" s="32">
        <x:v>567.58000000000004</x:v>
      </x:c>
      <x:c r="E3289" s="32">
        <x:v>572.25</x:v>
      </x:c>
      <x:c r="F3289" s="33">
        <x:v>103158970</x:v>
      </x:c>
      <x:c r="G3289" s="32" t="n">
        <x:f t="shared" si="144">AVERAGE(E3090:E3289)</x:f>
        <x:v>532.7940500000003</x:v>
      </x:c>
      <x:c r="H3289" s="37" t="n">
        <x:f t="shared" si="145">IFERROR(E3289/G3289-1,"")</x:f>
        <x:v>0.07405478721093006</x:v>
      </x:c>
      <x:c r="I3289" s="38" t="b">
        <x:f t="shared" si="146">E3289&lt;G3289</x:f>
        <x:v>0</x:v>
      </x:c>
    </x:row>
    <x:row r="3290">
      <x:c r="A3290" s="31">
        <x:v>41808</x:v>
      </x:c>
      <x:c r="B3290" s="32">
        <x:v>571.74</x:v>
      </x:c>
      <x:c r="C3290" s="32">
        <x:v>575.03</x:v>
      </x:c>
      <x:c r="D3290" s="32">
        <x:v>570.03</x:v>
      </x:c>
      <x:c r="E3290" s="32">
        <x:v>570.03</x:v>
      </x:c>
      <x:c r="F3290" s="33">
        <x:v>95680950</x:v>
      </x:c>
      <x:c r="G3290" s="32" t="n">
        <x:f t="shared" si="144">AVERAGE(E3091:E3290)</x:f>
        <x:v>533.2101000000002</x:v>
      </x:c>
      <x:c r="H3290" s="37" t="n">
        <x:f t="shared" si="145">IFERROR(E3290/G3290-1,"")</x:f>
        <x:v>0.06905326812076473</x:v>
      </x:c>
      <x:c r="I3290" s="38" t="b">
        <x:f t="shared" si="146">E3290&lt;G3290</x:f>
        <x:v>0</x:v>
      </x:c>
    </x:row>
    <x:row r="3291">
      <x:c r="A3291" s="31">
        <x:v>41809</x:v>
      </x:c>
      <x:c r="B3291" s="32">
        <x:v>564.92999999999995</x:v>
      </x:c>
      <x:c r="C3291" s="32">
        <x:v>569.41</x:v>
      </x:c>
      <x:c r="D3291" s="32">
        <x:v>558.65</x:v>
      </x:c>
      <x:c r="E3291" s="32">
        <x:v>567.35</x:v>
      </x:c>
      <x:c r="F3291" s="33">
        <x:v>122009510</x:v>
      </x:c>
      <x:c r="G3291" s="32" t="n">
        <x:f t="shared" si="144">AVERAGE(E3092:E3291)</x:f>
        <x:v>533.5941500000004</x:v>
      </x:c>
      <x:c r="H3291" s="37" t="n">
        <x:f t="shared" si="145">IFERROR(E3291/G3291-1,"")</x:f>
        <x:v>0.0632612820061833</x:v>
      </x:c>
      <x:c r="I3291" s="38" t="b">
        <x:f t="shared" si="146">E3291&lt;G3291</x:f>
        <x:v>0</x:v>
      </x:c>
    </x:row>
    <x:row r="3292">
      <x:c r="A3292" s="31">
        <x:v>41810</x:v>
      </x:c>
      <x:c r="B3292" s="32">
        <x:v>568.45000000000005</x:v>
      </x:c>
      <x:c r="C3292" s="32">
        <x:v>571.76</x:v>
      </x:c>
      <x:c r="D3292" s="32">
        <x:v>560.78</x:v>
      </x:c>
      <x:c r="E3292" s="32">
        <x:v>560.78</x:v>
      </x:c>
      <x:c r="F3292" s="33">
        <x:v>116175890</x:v>
      </x:c>
      <x:c r="G3292" s="32" t="n">
        <x:f t="shared" si="144">AVERAGE(E3093:E3292)</x:f>
        <x:v>533.9702000000003</x:v>
      </x:c>
      <x:c r="H3292" s="37" t="n">
        <x:f t="shared" si="145">IFERROR(E3292/G3292-1,"")</x:f>
        <x:v>0.05020841987062141</x:v>
      </x:c>
      <x:c r="I3292" s="38" t="b">
        <x:f t="shared" si="146">E3292&lt;G3292</x:f>
        <x:v>0</x:v>
      </x:c>
    </x:row>
    <x:row r="3293">
      <x:c r="A3293" s="31">
        <x:v>41813</x:v>
      </x:c>
      <x:c r="B3293" s="32">
        <x:v>561.97</x:v>
      </x:c>
      <x:c r="C3293" s="32">
        <x:v>567.71</x:v>
      </x:c>
      <x:c r="D3293" s="32">
        <x:v>561.97</x:v>
      </x:c>
      <x:c r="E3293" s="32">
        <x:v>565.91999999999996</x:v>
      </x:c>
      <x:c r="F3293" s="33">
        <x:v>47939680</x:v>
      </x:c>
      <x:c r="G3293" s="32" t="n">
        <x:f t="shared" si="144">AVERAGE(E3094:E3293)</x:f>
        <x:v>534.4333000000003</x:v>
      </x:c>
      <x:c r="H3293" s="37" t="n">
        <x:f t="shared" si="145">IFERROR(E3293/G3293-1,"")</x:f>
        <x:v>0.05891605182536286</x:v>
      </x:c>
      <x:c r="I3293" s="38" t="b">
        <x:f t="shared" si="146">E3293&lt;G3293</x:f>
        <x:v>0</x:v>
      </x:c>
    </x:row>
    <x:row r="3294">
      <x:c r="A3294" s="31">
        <x:v>41814</x:v>
      </x:c>
      <x:c r="B3294" s="32">
        <x:v>565.47</x:v>
      </x:c>
      <x:c r="C3294" s="32">
        <x:v>570.37</x:v>
      </x:c>
      <x:c r="D3294" s="32">
        <x:v>565.12</x:v>
      </x:c>
      <x:c r="E3294" s="32">
        <x:v>569.74</x:v>
      </x:c>
      <x:c r="F3294" s="33">
        <x:v>56799240</x:v>
      </x:c>
      <x:c r="G3294" s="32" t="n">
        <x:f t="shared" si="144">AVERAGE(E3095:E3294)</x:f>
        <x:v>534.9392500000002</x:v>
      </x:c>
      <x:c r="H3294" s="37" t="n">
        <x:f t="shared" si="145">IFERROR(E3294/G3294-1,"")</x:f>
        <x:v>0.06505551798638765</x:v>
      </x:c>
      <x:c r="I3294" s="38" t="b">
        <x:f t="shared" si="146">E3294&lt;G3294</x:f>
        <x:v>0</x:v>
      </x:c>
    </x:row>
    <x:row r="3295">
      <x:c r="A3295" s="31">
        <x:v>41815</x:v>
      </x:c>
      <x:c r="B3295" s="32">
        <x:v>570.33000000000004</x:v>
      </x:c>
      <x:c r="C3295" s="32">
        <x:v>574.62</x:v>
      </x:c>
      <x:c r="D3295" s="32">
        <x:v>569.27</x:v>
      </x:c>
      <x:c r="E3295" s="32">
        <x:v>572.27</x:v>
      </x:c>
      <x:c r="F3295" s="33">
        <x:v>87749020</x:v>
      </x:c>
      <x:c r="G3295" s="32" t="n">
        <x:f t="shared" si="144">AVERAGE(E3096:E3295)</x:f>
        <x:v>535.4371000000003</x:v>
      </x:c>
      <x:c r="H3295" s="37" t="n">
        <x:f t="shared" si="145">IFERROR(E3295/G3295-1,"")</x:f>
        <x:v>0.0687903397056342</x:v>
      </x:c>
      <x:c r="I3295" s="38" t="b">
        <x:f t="shared" si="146">E3295&lt;G3295</x:f>
        <x:v>0</x:v>
      </x:c>
    </x:row>
    <x:row r="3296">
      <x:c r="A3296" s="31">
        <x:v>41816</x:v>
      </x:c>
      <x:c r="B3296" s="32">
        <x:v>572.23</x:v>
      </x:c>
      <x:c r="C3296" s="32">
        <x:v>578.29</x:v>
      </x:c>
      <x:c r="D3296" s="32">
        <x:v>570.33000000000004</x:v>
      </x:c>
      <x:c r="E3296" s="32">
        <x:v>576.4</x:v>
      </x:c>
      <x:c r="F3296" s="33">
        <x:v>111053090</x:v>
      </x:c>
      <x:c r="G3296" s="32" t="n">
        <x:f t="shared" si="144">AVERAGE(E3097:E3296)</x:f>
        <x:v>535.9582500000002</x:v>
      </x:c>
      <x:c r="H3296" s="37" t="n">
        <x:f t="shared" si="145">IFERROR(E3296/G3296-1,"")</x:f>
        <x:v>0.07545690359276991</x:v>
      </x:c>
      <x:c r="I3296" s="38" t="b">
        <x:f t="shared" si="146">E3296&lt;G3296</x:f>
        <x:v>0</x:v>
      </x:c>
    </x:row>
    <x:row r="3297">
      <x:c r="A3297" s="31">
        <x:v>41817</x:v>
      </x:c>
      <x:c r="B3297" s="32">
        <x:v>576.29</x:v>
      </x:c>
      <x:c r="C3297" s="32">
        <x:v>580.75</x:v>
      </x:c>
      <x:c r="D3297" s="32">
        <x:v>575.1</x:v>
      </x:c>
      <x:c r="E3297" s="32">
        <x:v>578.82000000000005</x:v>
      </x:c>
      <x:c r="F3297" s="33">
        <x:v>59803530</x:v>
      </x:c>
      <x:c r="G3297" s="32" t="n">
        <x:f t="shared" si="144">AVERAGE(E3098:E3297)</x:f>
        <x:v>536.4951000000003</x:v>
      </x:c>
      <x:c r="H3297" s="37" t="n">
        <x:f t="shared" si="145">IFERROR(E3297/G3297-1,"")</x:f>
        <x:v>0.07889149406956308</x:v>
      </x:c>
      <x:c r="I3297" s="38" t="b">
        <x:f t="shared" si="146">E3297&lt;G3297</x:f>
        <x:v>0</x:v>
      </x:c>
    </x:row>
    <x:row r="3298">
      <x:c r="A3298" s="31">
        <x:v>41820</x:v>
      </x:c>
      <x:c r="B3298" s="32">
        <x:v>578.28</x:v>
      </x:c>
      <x:c r="C3298" s="32">
        <x:v>582.26</x:v>
      </x:c>
      <x:c r="D3298" s="32">
        <x:v>577.76</x:v>
      </x:c>
      <x:c r="E3298" s="32">
        <x:v>578.13</x:v>
      </x:c>
      <x:c r="F3298" s="33">
        <x:v>63785010</x:v>
      </x:c>
      <x:c r="G3298" s="32" t="n">
        <x:f t="shared" si="144">AVERAGE(E3099:E3298)</x:f>
        <x:v>536.9979000000003</x:v>
      </x:c>
      <x:c r="H3298" s="37" t="n">
        <x:f t="shared" si="145">IFERROR(E3298/G3298-1,"")</x:f>
        <x:v>0.07659638892442544</x:v>
      </x:c>
      <x:c r="I3298" s="38" t="b">
        <x:f t="shared" si="146">E3298&lt;G3298</x:f>
        <x:v>0</x:v>
      </x:c>
    </x:row>
    <x:row r="3299">
      <x:c r="A3299" s="31">
        <x:v>41821</x:v>
      </x:c>
      <x:c r="B3299" s="32">
        <x:v>578.92999999999995</x:v>
      </x:c>
      <x:c r="C3299" s="32">
        <x:v>582.16</x:v>
      </x:c>
      <x:c r="D3299" s="32">
        <x:v>577.29999999999995</x:v>
      </x:c>
      <x:c r="E3299" s="32">
        <x:v>578.07000000000005</x:v>
      </x:c>
      <x:c r="F3299" s="33">
        <x:v>101593980</x:v>
      </x:c>
      <x:c r="G3299" s="32" t="n">
        <x:f t="shared" si="144">AVERAGE(E3100:E3299)</x:f>
        <x:v>537.4881000000003</x:v>
      </x:c>
      <x:c r="H3299" s="37" t="n">
        <x:f t="shared" si="145">IFERROR(E3299/G3299-1,"")</x:f>
        <x:v>0.07550288090099078</x:v>
      </x:c>
      <x:c r="I3299" s="38" t="b">
        <x:f t="shared" si="146">E3299&lt;G3299</x:f>
        <x:v>0</x:v>
      </x:c>
    </x:row>
    <x:row r="3300">
      <x:c r="A3300" s="31">
        <x:v>41822</x:v>
      </x:c>
      <x:c r="B3300" s="32">
        <x:v>578.9</x:v>
      </x:c>
      <x:c r="C3300" s="32">
        <x:v>581.89</x:v>
      </x:c>
      <x:c r="D3300" s="32">
        <x:v>576.88</x:v>
      </x:c>
      <x:c r="E3300" s="32">
        <x:v>578.79999999999995</x:v>
      </x:c>
      <x:c r="F3300" s="33">
        <x:v>107018060</x:v>
      </x:c>
      <x:c r="G3300" s="32" t="n">
        <x:f t="shared" si="144">AVERAGE(E3101:E3300)</x:f>
        <x:v>538.0313000000003</x:v>
      </x:c>
      <x:c r="H3300" s="37" t="n">
        <x:f t="shared" si="145">IFERROR(E3300/G3300-1,"")</x:f>
        <x:v>0.07577384438414558</x:v>
      </x:c>
      <x:c r="I3300" s="38" t="b">
        <x:f t="shared" si="146">E3300&lt;G3300</x:f>
        <x:v>0</x:v>
      </x:c>
    </x:row>
    <x:row r="3301">
      <x:c r="A3301" s="31">
        <x:v>41823</x:v>
      </x:c>
      <x:c r="B3301" s="32">
        <x:v>581.24</x:v>
      </x:c>
      <x:c r="C3301" s="32">
        <x:v>585.02</x:v>
      </x:c>
      <x:c r="D3301" s="32">
        <x:v>580.54999999999995</x:v>
      </x:c>
      <x:c r="E3301" s="32">
        <x:v>585.02</x:v>
      </x:c>
      <x:c r="F3301" s="33">
        <x:v>127121960</x:v>
      </x:c>
      <x:c r="G3301" s="32" t="n">
        <x:f t="shared" si="144">AVERAGE(E3102:E3301)</x:f>
        <x:v>538.5837500000004</x:v>
      </x:c>
      <x:c r="H3301" s="37" t="n">
        <x:f t="shared" si="145">IFERROR(E3301/G3301-1,"")</x:f>
        <x:v>0.08621918132509498</x:v>
      </x:c>
      <x:c r="I3301" s="38" t="b">
        <x:f t="shared" si="146">E3301&lt;G3301</x:f>
        <x:v>0</x:v>
      </x:c>
    </x:row>
    <x:row r="3302">
      <x:c r="A3302" s="31">
        <x:v>41824</x:v>
      </x:c>
      <x:c r="B3302" s="32">
        <x:v>585.66</x:v>
      </x:c>
      <x:c r="C3302" s="32">
        <x:v>591.38</x:v>
      </x:c>
      <x:c r="D3302" s="32">
        <x:v>585.66</x:v>
      </x:c>
      <x:c r="E3302" s="32">
        <x:v>589.35</x:v>
      </x:c>
      <x:c r="F3302" s="33">
        <x:v>117186000</x:v>
      </x:c>
      <x:c r="G3302" s="32" t="n">
        <x:f t="shared" si="144">AVERAGE(E3103:E3302)</x:f>
        <x:v>539.1485000000005</x:v>
      </x:c>
      <x:c r="H3302" s="37" t="n">
        <x:f t="shared" si="145">IFERROR(E3302/G3302-1,"")</x:f>
        <x:v>0.09311256546201929</x:v>
      </x:c>
      <x:c r="I3302" s="38" t="b">
        <x:f t="shared" si="146">E3302&lt;G3302</x:f>
        <x:v>0</x:v>
      </x:c>
    </x:row>
    <x:row r="3303">
      <x:c r="A3303" s="31">
        <x:v>41827</x:v>
      </x:c>
      <x:c r="B3303" s="32">
        <x:v>592.23</x:v>
      </x:c>
      <x:c r="C3303" s="32">
        <x:v>594.84</x:v>
      </x:c>
      <x:c r="D3303" s="32">
        <x:v>589.61</x:v>
      </x:c>
      <x:c r="E3303" s="32">
        <x:v>590.69000000000005</x:v>
      </x:c>
      <x:c r="F3303" s="33">
        <x:v>114945340</x:v>
      </x:c>
      <x:c r="G3303" s="32" t="n">
        <x:f t="shared" si="144">AVERAGE(E3104:E3303)</x:f>
        <x:v>539.7240000000004</x:v>
      </x:c>
      <x:c r="H3303" s="37" t="n">
        <x:f t="shared" si="145">IFERROR(E3303/G3303-1,"")</x:f>
        <x:v>0.0944297455736629</x:v>
      </x:c>
      <x:c r="I3303" s="38" t="b">
        <x:f t="shared" si="146">E3303&lt;G3303</x:f>
        <x:v>0</x:v>
      </x:c>
    </x:row>
    <x:row r="3304">
      <x:c r="A3304" s="31">
        <x:v>41828</x:v>
      </x:c>
      <x:c r="B3304" s="32">
        <x:v>591.63</x:v>
      </x:c>
      <x:c r="C3304" s="32">
        <x:v>593.4</x:v>
      </x:c>
      <x:c r="D3304" s="32">
        <x:v>588.54</x:v>
      </x:c>
      <x:c r="E3304" s="32">
        <x:v>591.47</x:v>
      </x:c>
      <x:c r="F3304" s="33">
        <x:v>95623320</x:v>
      </x:c>
      <x:c r="G3304" s="32" t="n">
        <x:f t="shared" si="144">AVERAGE(E3105:E3304)</x:f>
        <x:v>540.2992500000004</x:v>
      </x:c>
      <x:c r="H3304" s="37" t="n">
        <x:f t="shared" si="145">IFERROR(E3304/G3304-1,"")</x:f>
        <x:v>0.09470816404057492</x:v>
      </x:c>
      <x:c r="I3304" s="38" t="b">
        <x:f t="shared" si="146">E3304&lt;G3304</x:f>
        <x:v>0</x:v>
      </x:c>
    </x:row>
    <x:row r="3305">
      <x:c r="A3305" s="31">
        <x:v>41829</x:v>
      </x:c>
      <x:c r="B3305" s="32">
        <x:v>591.82000000000005</x:v>
      </x:c>
      <x:c r="C3305" s="32">
        <x:v>593.41999999999996</x:v>
      </x:c>
      <x:c r="D3305" s="32">
        <x:v>590.46</x:v>
      </x:c>
      <x:c r="E3305" s="32">
        <x:v>591.6</x:v>
      </x:c>
      <x:c r="F3305" s="33">
        <x:v>99772410</x:v>
      </x:c>
      <x:c r="G3305" s="32" t="n">
        <x:f t="shared" si="144">AVERAGE(E3106:E3305)</x:f>
        <x:v>540.8794000000005</x:v>
      </x:c>
      <x:c r="H3305" s="37" t="n">
        <x:f t="shared" si="145">IFERROR(E3305/G3305-1,"")</x:f>
        <x:v>0.0937743238141433</x:v>
      </x:c>
      <x:c r="I3305" s="38" t="b">
        <x:f t="shared" si="146">E3305&lt;G3305</x:f>
        <x:v>0</x:v>
      </x:c>
    </x:row>
    <x:row r="3306">
      <x:c r="A3306" s="31">
        <x:v>41830</x:v>
      </x:c>
      <x:c r="B3306" s="32">
        <x:v>591.21</x:v>
      </x:c>
      <x:c r="C3306" s="32">
        <x:v>591.35</x:v>
      </x:c>
      <x:c r="D3306" s="32">
        <x:v>581.49</x:v>
      </x:c>
      <x:c r="E3306" s="32">
        <x:v>584.88</x:v>
      </x:c>
      <x:c r="F3306" s="33">
        <x:v>148042030</x:v>
      </x:c>
      <x:c r="G3306" s="32" t="n">
        <x:f t="shared" si="144">AVERAGE(E3107:E3306)</x:f>
        <x:v>541.4151500000004</x:v>
      </x:c>
      <x:c r="H3306" s="37" t="n">
        <x:f t="shared" si="145">IFERROR(E3306/G3306-1,"")</x:f>
        <x:v>0.08028007712750473</x:v>
      </x:c>
      <x:c r="I3306" s="38" t="b">
        <x:f t="shared" si="146">E3306&lt;G3306</x:f>
        <x:v>0</x:v>
      </x:c>
    </x:row>
    <x:row r="3307">
      <x:c r="A3307" s="31">
        <x:v>41831</x:v>
      </x:c>
      <x:c r="B3307" s="32">
        <x:v>584.29</x:v>
      </x:c>
      <x:c r="C3307" s="32">
        <x:v>586.57000000000005</x:v>
      </x:c>
      <x:c r="D3307" s="32">
        <x:v>580.54</x:v>
      </x:c>
      <x:c r="E3307" s="32">
        <x:v>582.77</x:v>
      </x:c>
      <x:c r="F3307" s="33">
        <x:v>76665490</x:v>
      </x:c>
      <x:c r="G3307" s="32" t="n">
        <x:f t="shared" si="144">AVERAGE(E3108:E3307)</x:f>
        <x:v>541.9577000000005</x:v>
      </x:c>
      <x:c r="H3307" s="37" t="n">
        <x:f t="shared" si="145">IFERROR(E3307/G3307-1,"")</x:f>
        <x:v>0.07530532364426135</x:v>
      </x:c>
      <x:c r="I3307" s="38" t="b">
        <x:f t="shared" si="146">E3307&lt;G3307</x:f>
        <x:v>0</x:v>
      </x:c>
    </x:row>
    <x:row r="3308">
      <x:c r="A3308" s="31">
        <x:v>41834</x:v>
      </x:c>
      <x:c r="B3308" s="32">
        <x:v>583.54999999999995</x:v>
      </x:c>
      <x:c r="C3308" s="32">
        <x:v>586.23</x:v>
      </x:c>
      <x:c r="D3308" s="32">
        <x:v>581.99</x:v>
      </x:c>
      <x:c r="E3308" s="32">
        <x:v>586.23</x:v>
      </x:c>
      <x:c r="F3308" s="33">
        <x:v>62767180</x:v>
      </x:c>
      <x:c r="G3308" s="32" t="n">
        <x:f t="shared" si="144">AVERAGE(E3109:E3308)</x:f>
        <x:v>542.5084000000005</x:v>
      </x:c>
      <x:c r="H3308" s="37" t="n">
        <x:f t="shared" si="145">IFERROR(E3308/G3308-1,"")</x:f>
        <x:v>0.0805915631905414</x:v>
      </x:c>
      <x:c r="I3308" s="38" t="b">
        <x:f t="shared" si="146">E3308&lt;G3308</x:f>
        <x:v>0</x:v>
      </x:c>
    </x:row>
    <x:row r="3309">
      <x:c r="A3309" s="31">
        <x:v>41835</x:v>
      </x:c>
      <x:c r="B3309" s="32">
        <x:v>587.91999999999996</x:v>
      </x:c>
      <x:c r="C3309" s="32">
        <x:v>590.09</x:v>
      </x:c>
      <x:c r="D3309" s="32">
        <x:v>587.67999999999995</x:v>
      </x:c>
      <x:c r="E3309" s="32">
        <x:v>589.30999999999995</x:v>
      </x:c>
      <x:c r="F3309" s="33">
        <x:v>98238770</x:v>
      </x:c>
      <x:c r="G3309" s="32" t="n">
        <x:f t="shared" si="144">AVERAGE(E3110:E3309)</x:f>
        <x:v>543.0690000000004</x:v>
      </x:c>
      <x:c r="H3309" s="37" t="n">
        <x:f t="shared" si="145">IFERROR(E3309/G3309-1,"")</x:f>
        <x:v>0.08514755951821873</x:v>
      </x:c>
      <x:c r="I3309" s="38" t="b">
        <x:f t="shared" si="146">E3309&lt;G3309</x:f>
        <x:v>0</x:v>
      </x:c>
    </x:row>
    <x:row r="3310">
      <x:c r="A3310" s="31">
        <x:v>41836</x:v>
      </x:c>
      <x:c r="B3310" s="32">
        <x:v>594.13</x:v>
      </x:c>
      <x:c r="C3310" s="32">
        <x:v>594.29</x:v>
      </x:c>
      <x:c r="D3310" s="32">
        <x:v>589.67999999999995</x:v>
      </x:c>
      <x:c r="E3310" s="32">
        <x:v>589.67999999999995</x:v>
      </x:c>
      <x:c r="F3310" s="33">
        <x:v>134145840</x:v>
      </x:c>
      <x:c r="G3310" s="32" t="n">
        <x:f t="shared" si="144">AVERAGE(E3111:E3310)</x:f>
        <x:v>543.6219500000004</x:v>
      </x:c>
      <x:c r="H3310" s="37" t="n">
        <x:f t="shared" si="145">IFERROR(E3310/G3310-1,"")</x:f>
        <x:v>0.08472441188219038</x:v>
      </x:c>
      <x:c r="I3310" s="38" t="b">
        <x:f t="shared" si="146">E3310&lt;G3310</x:f>
        <x:v>0</x:v>
      </x:c>
    </x:row>
    <x:row r="3311">
      <x:c r="A3311" s="31">
        <x:v>41837</x:v>
      </x:c>
      <x:c r="B3311" s="32">
        <x:v>588.99</x:v>
      </x:c>
      <x:c r="C3311" s="32">
        <x:v>591.41999999999996</x:v>
      </x:c>
      <x:c r="D3311" s="32">
        <x:v>586.07000000000005</x:v>
      </x:c>
      <x:c r="E3311" s="32">
        <x:v>590.37</x:v>
      </x:c>
      <x:c r="F3311" s="33">
        <x:v>94389680</x:v>
      </x:c>
      <x:c r="G3311" s="32" t="n">
        <x:f t="shared" si="144">AVERAGE(E3112:E3311)</x:f>
        <x:v>544.1597000000004</x:v>
      </x:c>
      <x:c r="H3311" s="37" t="n">
        <x:f t="shared" si="145">IFERROR(E3311/G3311-1,"")</x:f>
        <x:v>0.0849204746327219</x:v>
      </x:c>
      <x:c r="I3311" s="38" t="b">
        <x:f t="shared" si="146">E3311&lt;G3311</x:f>
        <x:v>0</x:v>
      </x:c>
    </x:row>
    <x:row r="3312">
      <x:c r="A3312" s="31">
        <x:v>41838</x:v>
      </x:c>
      <x:c r="B3312" s="32">
        <x:v>590.9</x:v>
      </x:c>
      <x:c r="C3312" s="32">
        <x:v>596.26</x:v>
      </x:c>
      <x:c r="D3312" s="32">
        <x:v>589.33000000000004</x:v>
      </x:c>
      <x:c r="E3312" s="32">
        <x:v>596.26</x:v>
      </x:c>
      <x:c r="F3312" s="33">
        <x:v>120565300</x:v>
      </x:c>
      <x:c r="G3312" s="32" t="n">
        <x:f t="shared" si="144">AVERAGE(E3113:E3312)</x:f>
        <x:v>544.7099000000003</x:v>
      </x:c>
      <x:c r="H3312" s="37" t="n">
        <x:f t="shared" si="145">IFERROR(E3312/G3312-1,"")</x:f>
        <x:v>0.09463771449720237</x:v>
      </x:c>
      <x:c r="I3312" s="38" t="b">
        <x:f t="shared" si="146">E3312&lt;G3312</x:f>
        <x:v>0</x:v>
      </x:c>
    </x:row>
    <x:row r="3313">
      <x:c r="A3313" s="31">
        <x:v>41841</x:v>
      </x:c>
      <x:c r="B3313" s="32">
        <x:v>598.11</x:v>
      </x:c>
      <x:c r="C3313" s="32">
        <x:v>604.64</x:v>
      </x:c>
      <x:c r="D3313" s="32">
        <x:v>596.96</x:v>
      </x:c>
      <x:c r="E3313" s="32">
        <x:v>601.04</x:v>
      </x:c>
      <x:c r="F3313" s="33">
        <x:v>109316960</x:v>
      </x:c>
      <x:c r="G3313" s="32" t="n">
        <x:f t="shared" si="144">AVERAGE(E3114:E3313)</x:f>
        <x:v>545.2895500000003</x:v>
      </x:c>
      <x:c r="H3313" s="37" t="n">
        <x:f t="shared" si="145">IFERROR(E3313/G3313-1,"")</x:f>
        <x:v>0.10224008510707683</x:v>
      </x:c>
      <x:c r="I3313" s="38" t="b">
        <x:f t="shared" si="146">E3313&lt;G3313</x:f>
        <x:v>0</x:v>
      </x:c>
    </x:row>
    <x:row r="3314">
      <x:c r="A3314" s="31">
        <x:v>41842</x:v>
      </x:c>
      <x:c r="B3314" s="32">
        <x:v>599.29999999999995</x:v>
      </x:c>
      <x:c r="C3314" s="32">
        <x:v>600.92999999999995</x:v>
      </x:c>
      <x:c r="D3314" s="32">
        <x:v>594.85</x:v>
      </x:c>
      <x:c r="E3314" s="32">
        <x:v>597.98</x:v>
      </x:c>
      <x:c r="F3314" s="33">
        <x:v>89952820</x:v>
      </x:c>
      <x:c r="G3314" s="32" t="n">
        <x:f t="shared" si="144">AVERAGE(E3115:E3314)</x:f>
        <x:v>545.8464000000002</x:v>
      </x:c>
      <x:c r="H3314" s="37" t="n">
        <x:f t="shared" si="145">IFERROR(E3314/G3314-1,"")</x:f>
        <x:v>0.09550965253228694</x:v>
      </x:c>
      <x:c r="I3314" s="38" t="b">
        <x:f t="shared" si="146">E3314&lt;G3314</x:f>
        <x:v>0</x:v>
      </x:c>
    </x:row>
    <x:row r="3315">
      <x:c r="A3315" s="31">
        <x:v>41843</x:v>
      </x:c>
      <x:c r="B3315" s="32">
        <x:v>599.55999999999995</x:v>
      </x:c>
      <x:c r="C3315" s="32">
        <x:v>599.55999999999995</x:v>
      </x:c>
      <x:c r="D3315" s="32">
        <x:v>594.1</x:v>
      </x:c>
      <x:c r="E3315" s="32">
        <x:v>597.5</x:v>
      </x:c>
      <x:c r="F3315" s="33">
        <x:v>58825520</x:v>
      </x:c>
      <x:c r="G3315" s="32" t="n">
        <x:f t="shared" si="144">AVERAGE(E3116:E3315)</x:f>
        <x:v>546.3707500000003</x:v>
      </x:c>
      <x:c r="H3315" s="37" t="n">
        <x:f t="shared" si="145">IFERROR(E3315/G3315-1,"")</x:f>
        <x:v>0.09357977161112618</x:v>
      </x:c>
      <x:c r="I3315" s="38" t="b">
        <x:f t="shared" si="146">E3315&lt;G3315</x:f>
        <x:v>0</x:v>
      </x:c>
    </x:row>
    <x:row r="3316">
      <x:c r="A3316" s="31">
        <x:v>41844</x:v>
      </x:c>
      <x:c r="B3316" s="32">
        <x:v>597.03</x:v>
      </x:c>
      <x:c r="C3316" s="32">
        <x:v>602.49</x:v>
      </x:c>
      <x:c r="D3316" s="32">
        <x:v>597.03</x:v>
      </x:c>
      <x:c r="E3316" s="32">
        <x:v>602.05999999999995</x:v>
      </x:c>
      <x:c r="F3316" s="33">
        <x:v>84773630</x:v>
      </x:c>
      <x:c r="G3316" s="32" t="n">
        <x:f t="shared" si="144">AVERAGE(E3117:E3316)</x:f>
        <x:v>546.9198500000002</x:v>
      </x:c>
      <x:c r="H3316" s="37" t="n">
        <x:f t="shared" si="145">IFERROR(E3316/G3316-1,"")</x:f>
        <x:v>0.10081943451129027</x:v>
      </x:c>
      <x:c r="I3316" s="38" t="b">
        <x:f t="shared" si="146">E3316&lt;G3316</x:f>
        <x:v>0</x:v>
      </x:c>
    </x:row>
    <x:row r="3317">
      <x:c r="A3317" s="31">
        <x:v>41845</x:v>
      </x:c>
      <x:c r="B3317" s="32">
        <x:v>603.54</x:v>
      </x:c>
      <x:c r="C3317" s="32">
        <x:v>605.78</x:v>
      </x:c>
      <x:c r="D3317" s="32">
        <x:v>600.14</x:v>
      </x:c>
      <x:c r="E3317" s="32">
        <x:v>600.14</x:v>
      </x:c>
      <x:c r="F3317" s="33">
        <x:v>94267820</x:v>
      </x:c>
      <x:c r="G3317" s="32" t="n">
        <x:f t="shared" si="144">AVERAGE(E3118:E3317)</x:f>
        <x:v>547.4486000000002</x:v>
      </x:c>
      <x:c r="H3317" s="37" t="n">
        <x:f t="shared" si="145">IFERROR(E3317/G3317-1,"")</x:f>
        <x:v>0.09624903598255585</x:v>
      </x:c>
      <x:c r="I3317" s="38" t="b">
        <x:f t="shared" si="146">E3317&lt;G3317</x:f>
        <x:v>0</x:v>
      </x:c>
    </x:row>
    <x:row r="3318">
      <x:c r="A3318" s="31">
        <x:v>41848</x:v>
      </x:c>
      <x:c r="B3318" s="32">
        <x:v>599.13</x:v>
      </x:c>
      <x:c r="C3318" s="32">
        <x:v>599.35</x:v>
      </x:c>
      <x:c r="D3318" s="32">
        <x:v>587.78</x:v>
      </x:c>
      <x:c r="E3318" s="32">
        <x:v>589.45000000000005</x:v>
      </x:c>
      <x:c r="F3318" s="33">
        <x:v>106264460</x:v>
      </x:c>
      <x:c r="G3318" s="32" t="n">
        <x:f t="shared" si="144">AVERAGE(E3119:E3318)</x:f>
        <x:v>547.9343500000002</x:v>
      </x:c>
      <x:c r="H3318" s="37" t="n">
        <x:f t="shared" si="145">IFERROR(E3318/G3318-1,"")</x:f>
        <x:v>0.07576756230011816</x:v>
      </x:c>
      <x:c r="I3318" s="38" t="b">
        <x:f t="shared" si="146">E3318&lt;G3318</x:f>
        <x:v>0</x:v>
      </x:c>
    </x:row>
    <x:row r="3319">
      <x:c r="A3319" s="31">
        <x:v>41849</x:v>
      </x:c>
      <x:c r="B3319" s="32">
        <x:v>590.57000000000005</x:v>
      </x:c>
      <x:c r="C3319" s="32">
        <x:v>592.24</x:v>
      </x:c>
      <x:c r="D3319" s="32">
        <x:v>585.75</x:v>
      </x:c>
      <x:c r="E3319" s="32">
        <x:v>592.24</x:v>
      </x:c>
      <x:c r="F3319" s="33">
        <x:v>60692450</x:v>
      </x:c>
      <x:c r="G3319" s="32" t="n">
        <x:f t="shared" si="144">AVERAGE(E3120:E3319)</x:f>
        <x:v>548.4080500000002</x:v>
      </x:c>
      <x:c r="H3319" s="37" t="n">
        <x:f t="shared" si="145">IFERROR(E3319/G3319-1,"")</x:f>
        <x:v>0.0799257961293598</x:v>
      </x:c>
      <x:c r="I3319" s="38" t="b">
        <x:f t="shared" si="146">E3319&lt;G3319</x:f>
        <x:v>0</x:v>
      </x:c>
    </x:row>
    <x:row r="3320">
      <x:c r="A3320" s="31">
        <x:v>41850</x:v>
      </x:c>
      <x:c r="B3320" s="32">
        <x:v>591.15</x:v>
      </x:c>
      <x:c r="C3320" s="32">
        <x:v>593.58000000000004</x:v>
      </x:c>
      <x:c r="D3320" s="32">
        <x:v>588.53</x:v>
      </x:c>
      <x:c r="E3320" s="32">
        <x:v>589.33000000000004</x:v>
      </x:c>
      <x:c r="F3320" s="33">
        <x:v>73191400</x:v>
      </x:c>
      <x:c r="G3320" s="32" t="n">
        <x:f t="shared" si="144">AVERAGE(E3121:E3320)</x:f>
        <x:v>548.8523500000001</x:v>
      </x:c>
      <x:c r="H3320" s="37" t="n">
        <x:f t="shared" si="145">IFERROR(E3320/G3320-1,"")</x:f>
        <x:v>0.0737496159030746</x:v>
      </x:c>
      <x:c r="I3320" s="38" t="b">
        <x:f t="shared" si="146">E3320&lt;G3320</x:f>
        <x:v>0</x:v>
      </x:c>
    </x:row>
    <x:row r="3321">
      <x:c r="A3321" s="31">
        <x:v>41851</x:v>
      </x:c>
      <x:c r="B3321" s="32">
        <x:v>589.35</x:v>
      </x:c>
      <x:c r="C3321" s="32">
        <x:v>596.11</x:v>
      </x:c>
      <x:c r="D3321" s="32">
        <x:v>587.67999999999995</x:v>
      </x:c>
      <x:c r="E3321" s="32">
        <x:v>596.07000000000005</x:v>
      </x:c>
      <x:c r="F3321" s="33">
        <x:v>61274970</x:v>
      </x:c>
      <x:c r="G3321" s="32" t="n">
        <x:f t="shared" si="144">AVERAGE(E3122:E3321)</x:f>
        <x:v>549.3216000000002</x:v>
      </x:c>
      <x:c r="H3321" s="37" t="n">
        <x:f t="shared" si="145">IFERROR(E3321/G3321-1,"")</x:f>
        <x:v>0.08510206043235846</x:v>
      </x:c>
      <x:c r="I3321" s="38" t="b">
        <x:f t="shared" si="146">E3321&lt;G3321</x:f>
        <x:v>0</x:v>
      </x:c>
    </x:row>
    <x:row r="3322">
      <x:c r="A3322" s="31">
        <x:v>41852</x:v>
      </x:c>
      <x:c r="B3322" s="32">
        <x:v>594.66</x:v>
      </x:c>
      <x:c r="C3322" s="32">
        <x:v>596.79999999999995</x:v>
      </x:c>
      <x:c r="D3322" s="32">
        <x:v>592.38</x:v>
      </x:c>
      <x:c r="E3322" s="32">
        <x:v>593.9</x:v>
      </x:c>
      <x:c r="F3322" s="33">
        <x:v>59841150</x:v>
      </x:c>
      <x:c r="G3322" s="32" t="n">
        <x:f t="shared" si="144">AVERAGE(E3123:E3322)</x:f>
        <x:v>549.7877500000002</x:v>
      </x:c>
      <x:c r="H3322" s="37" t="n">
        <x:f t="shared" si="145">IFERROR(E3322/G3322-1,"")</x:f>
        <x:v>0.08023505434597222</x:v>
      </x:c>
      <x:c r="I3322" s="38" t="b">
        <x:f t="shared" si="146">E3322&lt;G3322</x:f>
        <x:v>0</x:v>
      </x:c>
    </x:row>
    <x:row r="3323">
      <x:c r="A3323" s="31">
        <x:v>41855</x:v>
      </x:c>
      <x:c r="B3323" s="32">
        <x:v>592.04</x:v>
      </x:c>
      <x:c r="C3323" s="32">
        <x:v>600.52</x:v>
      </x:c>
      <x:c r="D3323" s="32">
        <x:v>592.04</x:v>
      </x:c>
      <x:c r="E3323" s="32">
        <x:v>599.04</x:v>
      </x:c>
      <x:c r="F3323" s="33">
        <x:v>71125720</x:v>
      </x:c>
      <x:c r="G3323" s="32" t="n">
        <x:f t="shared" si="144">AVERAGE(E3124:E3323)</x:f>
        <x:v>550.3089000000001</x:v>
      </x:c>
      <x:c r="H3323" s="37" t="n">
        <x:f t="shared" si="145">IFERROR(E3323/G3323-1,"")</x:f>
        <x:v>0.0885522658274287</x:v>
      </x:c>
      <x:c r="I3323" s="38" t="b">
        <x:f t="shared" si="146">E3323&lt;G3323</x:f>
        <x:v>0</x:v>
      </x:c>
    </x:row>
    <x:row r="3324">
      <x:c r="A3324" s="31">
        <x:v>41856</x:v>
      </x:c>
      <x:c r="B3324" s="32">
        <x:v>600.46</x:v>
      </x:c>
      <x:c r="C3324" s="32">
        <x:v>607.73</x:v>
      </x:c>
      <x:c r="D3324" s="32">
        <x:v>599.1</x:v>
      </x:c>
      <x:c r="E3324" s="32">
        <x:v>607.73</x:v>
      </x:c>
      <x:c r="F3324" s="33">
        <x:v>83711690</x:v>
      </x:c>
      <x:c r="G3324" s="32" t="n">
        <x:f t="shared" si="144">AVERAGE(E3125:E3324)</x:f>
        <x:v>550.8749</x:v>
      </x:c>
      <x:c r="H3324" s="37" t="n">
        <x:f t="shared" si="145">IFERROR(E3324/G3324-1,"")</x:f>
        <x:v>0.10320873214590098</x:v>
      </x:c>
      <x:c r="I3324" s="38" t="b">
        <x:f t="shared" si="146">E3324&lt;G3324</x:f>
        <x:v>0</x:v>
      </x:c>
    </x:row>
    <x:row r="3325">
      <x:c r="A3325" s="31">
        <x:v>41857</x:v>
      </x:c>
      <x:c r="B3325" s="32">
        <x:v>607.95000000000005</x:v>
      </x:c>
      <x:c r="C3325" s="32">
        <x:v>610.88</x:v>
      </x:c>
      <x:c r="D3325" s="32">
        <x:v>605.63</x:v>
      </x:c>
      <x:c r="E3325" s="32">
        <x:v>606.70000000000005</x:v>
      </x:c>
      <x:c r="F3325" s="33">
        <x:v>87400600</x:v>
      </x:c>
      <x:c r="G3325" s="32" t="n">
        <x:f t="shared" si="144">AVERAGE(E3126:E3325)</x:f>
        <x:v>551.4403000000001</x:v>
      </x:c>
      <x:c r="H3325" s="37" t="n">
        <x:f t="shared" si="145">IFERROR(E3325/G3325-1,"")</x:f>
        <x:v>0.10020975978723334</x:v>
      </x:c>
      <x:c r="I3325" s="38" t="b">
        <x:f t="shared" si="146">E3325&lt;G3325</x:f>
        <x:v>0</x:v>
      </x:c>
    </x:row>
    <x:row r="3326">
      <x:c r="A3326" s="31">
        <x:v>41858</x:v>
      </x:c>
      <x:c r="B3326" s="32">
        <x:v>603.94000000000005</x:v>
      </x:c>
      <x:c r="C3326" s="32">
        <x:v>608.41999999999996</x:v>
      </x:c>
      <x:c r="D3326" s="32">
        <x:v>603.13</x:v>
      </x:c>
      <x:c r="E3326" s="32">
        <x:v>607.62</x:v>
      </x:c>
      <x:c r="F3326" s="33">
        <x:v>87858760</x:v>
      </x:c>
      <x:c r="G3326" s="32" t="n">
        <x:f t="shared" si="144">AVERAGE(E3127:E3326)</x:f>
        <x:v>551.9998</x:v>
      </x:c>
      <x:c r="H3326" s="37" t="n">
        <x:f t="shared" si="145">IFERROR(E3326/G3326-1,"")</x:f>
        <x:v>0.1007612683917638</x:v>
      </x:c>
      <x:c r="I3326" s="38" t="b">
        <x:f t="shared" si="146">E3326&lt;G3326</x:f>
        <x:v>0</x:v>
      </x:c>
    </x:row>
    <x:row r="3327">
      <x:c r="A3327" s="31">
        <x:v>41859</x:v>
      </x:c>
      <x:c r="B3327" s="32">
        <x:v>607.17999999999995</x:v>
      </x:c>
      <x:c r="C3327" s="32">
        <x:v>610.09</x:v>
      </x:c>
      <x:c r="D3327" s="32">
        <x:v>604.08000000000004</x:v>
      </x:c>
      <x:c r="E3327" s="32">
        <x:v>605.42999999999995</x:v>
      </x:c>
      <x:c r="F3327" s="33">
        <x:v>101520160</x:v>
      </x:c>
      <x:c r="G3327" s="32" t="n">
        <x:f t="shared" si="144">AVERAGE(E3128:E3327)</x:f>
        <x:v>552.5321500000001</x:v>
      </x:c>
      <x:c r="H3327" s="37" t="n">
        <x:f t="shared" si="145">IFERROR(E3327/G3327-1,"")</x:f>
        <x:v>0.09573714398338606</x:v>
      </x:c>
      <x:c r="I3327" s="38" t="b">
        <x:f t="shared" si="146">E3327&lt;G3327</x:f>
        <x:v>0</x:v>
      </x:c>
    </x:row>
    <x:row r="3328">
      <x:c r="A3328" s="31">
        <x:v>41862</x:v>
      </x:c>
      <x:c r="B3328" s="32">
        <x:v>602.78</x:v>
      </x:c>
      <x:c r="C3328" s="32">
        <x:v>607.16</x:v>
      </x:c>
      <x:c r="D3328" s="32">
        <x:v>600.48</x:v>
      </x:c>
      <x:c r="E3328" s="32">
        <x:v>602.13</x:v>
      </x:c>
      <x:c r="F3328" s="33">
        <x:v>74249570</x:v>
      </x:c>
      <x:c r="G3328" s="32" t="n">
        <x:f t="shared" si="144">AVERAGE(E3129:E3328)</x:f>
        <x:v>553.0448500000001</x:v>
      </x:c>
      <x:c r="H3328" s="37" t="n">
        <x:f t="shared" si="145">IFERROR(E3328/G3328-1,"")</x:f>
        <x:v>0.08875437498423477</x:v>
      </x:c>
      <x:c r="I3328" s="38" t="b">
        <x:f t="shared" si="146">E3328&lt;G3328</x:f>
        <x:v>0</x:v>
      </x:c>
    </x:row>
    <x:row r="3329">
      <x:c r="A3329" s="31">
        <x:v>41863</x:v>
      </x:c>
      <x:c r="B3329" s="32">
        <x:v>600.52</x:v>
      </x:c>
      <x:c r="C3329" s="32">
        <x:v>604.89</x:v>
      </x:c>
      <x:c r="D3329" s="32">
        <x:v>598.71</x:v>
      </x:c>
      <x:c r="E3329" s="32">
        <x:v>601.78</x:v>
      </x:c>
      <x:c r="F3329" s="33">
        <x:v>78520730</x:v>
      </x:c>
      <x:c r="G3329" s="32" t="n">
        <x:f t="shared" si="144">AVERAGE(E3130:E3329)</x:f>
        <x:v>553.5496000000002</x:v>
      </x:c>
      <x:c r="H3329" s="37" t="n">
        <x:f t="shared" si="145">IFERROR(E3329/G3329-1,"")</x:f>
        <x:v>0.08712931957678194</x:v>
      </x:c>
      <x:c r="I3329" s="38" t="b">
        <x:f t="shared" si="146">E3329&lt;G3329</x:f>
        <x:v>0</x:v>
      </x:c>
    </x:row>
    <x:row r="3330">
      <x:c r="A3330" s="31">
        <x:v>41864</x:v>
      </x:c>
      <x:c r="B3330" s="32">
        <x:v>601.03</x:v>
      </x:c>
      <x:c r="C3330" s="32">
        <x:v>604.51</x:v>
      </x:c>
      <x:c r="D3330" s="32">
        <x:v>599.64</x:v>
      </x:c>
      <x:c r="E3330" s="32">
        <x:v>602.76</x:v>
      </x:c>
      <x:c r="F3330" s="33">
        <x:v>93087280</x:v>
      </x:c>
      <x:c r="G3330" s="32" t="n">
        <x:f t="shared" si="144">AVERAGE(E3131:E3330)</x:f>
        <x:v>554.05555</x:v>
      </x:c>
      <x:c r="H3330" s="37" t="n">
        <x:f t="shared" si="145">IFERROR(E3330/G3330-1,"")</x:f>
        <x:v>0.08790535533846722</x:v>
      </x:c>
      <x:c r="I3330" s="38" t="b">
        <x:f t="shared" si="146">E3330&lt;G3330</x:f>
        <x:v>0</x:v>
      </x:c>
    </x:row>
    <x:row r="3331">
      <x:c r="A3331" s="31">
        <x:v>41865</x:v>
      </x:c>
      <x:c r="B3331" s="32">
        <x:v>605.03</x:v>
      </x:c>
      <x:c r="C3331" s="32">
        <x:v>607.84</x:v>
      </x:c>
      <x:c r="D3331" s="32">
        <x:v>604.08000000000004</x:v>
      </x:c>
      <x:c r="E3331" s="32">
        <x:v>605.25</x:v>
      </x:c>
      <x:c r="F3331" s="33">
        <x:v>109406300</x:v>
      </x:c>
      <x:c r="G3331" s="32" t="n">
        <x:f t="shared" si="144">AVERAGE(E3132:E3331)</x:f>
        <x:v>554.5789500000001</x:v>
      </x:c>
      <x:c r="H3331" s="37" t="n">
        <x:f t="shared" si="145">IFERROR(E3331/G3331-1,"")</x:f>
        <x:v>0.09136850578263012</x:v>
      </x:c>
      <x:c r="I3331" s="38" t="b">
        <x:f t="shared" si="146">E3331&lt;G3331</x:f>
        <x:v>0</x:v>
      </x:c>
    </x:row>
    <x:row r="3332">
      <x:c r="A3332" s="31">
        <x:v>41866</x:v>
      </x:c>
      <x:c r="B3332" s="32">
        <x:v>607.03</x:v>
      </x:c>
      <x:c r="C3332" s="32">
        <x:v>608.46</x:v>
      </x:c>
      <x:c r="D3332" s="32">
        <x:v>603.24</x:v>
      </x:c>
      <x:c r="E3332" s="32">
        <x:v>604.24</x:v>
      </x:c>
      <x:c r="F3332" s="33">
        <x:v>101218780</x:v>
      </x:c>
      <x:c r="G3332" s="32" t="n">
        <x:f t="shared" si="144">AVERAGE(E3133:E3332)</x:f>
        <x:v>555.0799000000002</x:v>
      </x:c>
      <x:c r="H3332" s="37" t="n">
        <x:f t="shared" si="145">IFERROR(E3332/G3332-1,"")</x:f>
        <x:v>0.08856400673128295</x:v>
      </x:c>
      <x:c r="I3332" s="38" t="b">
        <x:f t="shared" si="146">E3332&lt;G3332</x:f>
        <x:v>0</x:v>
      </x:c>
    </x:row>
    <x:row r="3333">
      <x:c r="A3333" s="31">
        <x:v>41869</x:v>
      </x:c>
      <x:c r="B3333" s="32">
        <x:v>605.41999999999996</x:v>
      </x:c>
      <x:c r="C3333" s="32">
        <x:v>607.79</x:v>
      </x:c>
      <x:c r="D3333" s="32">
        <x:v>603.33000000000004</x:v>
      </x:c>
      <x:c r="E3333" s="32">
        <x:v>605.08000000000004</x:v>
      </x:c>
      <x:c r="F3333" s="33">
        <x:v>123678840</x:v>
      </x:c>
      <x:c r="G3333" s="32" t="n">
        <x:f t="shared" si="144">AVERAGE(E3134:E3333)</x:f>
        <x:v>555.5994500000002</x:v>
      </x:c>
      <x:c r="H3333" s="37" t="n">
        <x:f t="shared" si="145">IFERROR(E3333/G3333-1,"")</x:f>
        <x:v>0.08905795353109136</x:v>
      </x:c>
      <x:c r="I3333" s="38" t="b">
        <x:f t="shared" si="146">E3333&lt;G3333</x:f>
        <x:v>0</x:v>
      </x:c>
    </x:row>
    <x:row r="3334">
      <x:c r="A3334" s="31">
        <x:v>41870</x:v>
      </x:c>
      <x:c r="B3334" s="32">
        <x:v>607.27</x:v>
      </x:c>
      <x:c r="C3334" s="32">
        <x:v>609.04</x:v>
      </x:c>
      <x:c r="D3334" s="32">
        <x:v>603.61</x:v>
      </x:c>
      <x:c r="E3334" s="32">
        <x:v>604.64</x:v>
      </x:c>
      <x:c r="F3334" s="33">
        <x:v>125366090</x:v>
      </x:c>
      <x:c r="G3334" s="32" t="n">
        <x:f t="shared" si="144">AVERAGE(E3135:E3334)</x:f>
        <x:v>556.1189000000002</x:v>
      </x:c>
      <x:c r="H3334" s="37" t="n">
        <x:f t="shared" si="145">IFERROR(E3334/G3334-1,"")</x:f>
        <x:v>0.0872495072546533</x:v>
      </x:c>
      <x:c r="I3334" s="38" t="b">
        <x:f t="shared" si="146">E3334&lt;G3334</x:f>
        <x:v>0</x:v>
      </x:c>
    </x:row>
    <x:row r="3335">
      <x:c r="A3335" s="31">
        <x:v>41871</x:v>
      </x:c>
      <x:c r="B3335" s="32">
        <x:v>604.29999999999995</x:v>
      </x:c>
      <x:c r="C3335" s="32">
        <x:v>608.72</x:v>
      </x:c>
      <x:c r="D3335" s="32">
        <x:v>602.80999999999995</x:v>
      </x:c>
      <x:c r="E3335" s="32">
        <x:v>606.70000000000005</x:v>
      </x:c>
      <x:c r="F3335" s="33">
        <x:v>98377830</x:v>
      </x:c>
      <x:c r="G3335" s="32" t="n">
        <x:f t="shared" si="144">AVERAGE(E3136:E3335)</x:f>
        <x:v>556.6701</x:v>
      </x:c>
      <x:c r="H3335" s="37" t="n">
        <x:f t="shared" si="145">IFERROR(E3335/G3335-1,"")</x:f>
        <x:v>0.08987351754656836</x:v>
      </x:c>
      <x:c r="I3335" s="38" t="b">
        <x:f t="shared" si="146">E3335&lt;G3335</x:f>
        <x:v>0</x:v>
      </x:c>
    </x:row>
    <x:row r="3336">
      <x:c r="A3336" s="31">
        <x:v>41872</x:v>
      </x:c>
      <x:c r="B3336" s="32">
        <x:v>608.91</x:v>
      </x:c>
      <x:c r="C3336" s="32">
        <x:v>616.96</x:v>
      </x:c>
      <x:c r="D3336" s="32">
        <x:v>608.58000000000004</x:v>
      </x:c>
      <x:c r="E3336" s="32">
        <x:v>612.94000000000005</x:v>
      </x:c>
      <x:c r="F3336" s="33">
        <x:v>140343470</x:v>
      </x:c>
      <x:c r="G3336" s="32" t="n">
        <x:f t="shared" si="144">AVERAGE(E3137:E3336)</x:f>
        <x:v>557.2494</x:v>
      </x:c>
      <x:c r="H3336" s="37" t="n">
        <x:f t="shared" si="145">IFERROR(E3336/G3336-1,"")</x:f>
        <x:v>0.09993837588699073</x:v>
      </x:c>
      <x:c r="I3336" s="38" t="b">
        <x:f t="shared" si="146">E3336&lt;G3336</x:f>
        <x:v>0</x:v>
      </x:c>
    </x:row>
    <x:row r="3337">
      <x:c r="A3337" s="31">
        <x:v>41873</x:v>
      </x:c>
      <x:c r="B3337" s="32">
        <x:v>614.51</x:v>
      </x:c>
      <x:c r="C3337" s="32">
        <x:v>622.97</x:v>
      </x:c>
      <x:c r="D3337" s="32">
        <x:v>614.51</x:v>
      </x:c>
      <x:c r="E3337" s="32">
        <x:v>620.14</x:v>
      </x:c>
      <x:c r="F3337" s="33">
        <x:v>151323250</x:v>
      </x:c>
      <x:c r="G3337" s="32" t="n">
        <x:f t="shared" si="144">AVERAGE(E3138:E3337)</x:f>
        <x:v>557.8547500000001</x:v>
      </x:c>
      <x:c r="H3337" s="37" t="n">
        <x:f t="shared" si="145">IFERROR(E3337/G3337-1,"")</x:f>
        <x:v>0.11165137520116097</x:v>
      </x:c>
      <x:c r="I3337" s="38" t="b">
        <x:f t="shared" si="146">E3337&lt;G3337</x:f>
        <x:v>0</x:v>
      </x:c>
    </x:row>
    <x:row r="3338">
      <x:c r="A3338" s="31">
        <x:v>41876</x:v>
      </x:c>
      <x:c r="B3338" s="32">
        <x:v>622.71</x:v>
      </x:c>
      <x:c r="C3338" s="32">
        <x:v>629.58000000000004</x:v>
      </x:c>
      <x:c r="D3338" s="32">
        <x:v>622.16</x:v>
      </x:c>
      <x:c r="E3338" s="32">
        <x:v>625.88</x:v>
      </x:c>
      <x:c r="F3338" s="33">
        <x:v>156793900</x:v>
      </x:c>
      <x:c r="G3338" s="32" t="n">
        <x:f t="shared" si="144">AVERAGE(E3139:E3338)</x:f>
        <x:v>558.4971</x:v>
      </x:c>
      <x:c r="H3338" s="37" t="n">
        <x:f t="shared" si="145">IFERROR(E3338/G3338-1,"")</x:f>
        <x:v>0.12065040266099847</x:v>
      </x:c>
      <x:c r="I3338" s="38" t="b">
        <x:f t="shared" si="146">E3338&lt;G3338</x:f>
        <x:v>0</x:v>
      </x:c>
    </x:row>
    <x:row r="3339">
      <x:c r="A3339" s="31">
        <x:v>41877</x:v>
      </x:c>
      <x:c r="B3339" s="32">
        <x:v>627.13</x:v>
      </x:c>
      <x:c r="C3339" s="32">
        <x:v>631.16999999999996</x:v>
      </x:c>
      <x:c r="D3339" s="32">
        <x:v>625.1</x:v>
      </x:c>
      <x:c r="E3339" s="32">
        <x:v>629.05999999999995</x:v>
      </x:c>
      <x:c r="F3339" s="33">
        <x:v>129151110</x:v>
      </x:c>
      <x:c r="G3339" s="32" t="n">
        <x:f t="shared" si="144">AVERAGE(E3140:E3339)</x:f>
        <x:v>559.1569999999999</x:v>
      </x:c>
      <x:c r="H3339" s="37" t="n">
        <x:f t="shared" si="145">IFERROR(E3339/G3339-1,"")</x:f>
        <x:v>0.125014977904238</x:v>
      </x:c>
      <x:c r="I3339" s="38" t="b">
        <x:f t="shared" si="146">E3339&lt;G3339</x:f>
        <x:v>0</x:v>
      </x:c>
    </x:row>
    <x:row r="3340">
      <x:c r="A3340" s="31">
        <x:v>41878</x:v>
      </x:c>
      <x:c r="B3340" s="32">
        <x:v>630.84</x:v>
      </x:c>
      <x:c r="C3340" s="32">
        <x:v>632.25</x:v>
      </x:c>
      <x:c r="D3340" s="32">
        <x:v>624.67999999999995</x:v>
      </x:c>
      <x:c r="E3340" s="32">
        <x:v>628.77</x:v>
      </x:c>
      <x:c r="F3340" s="33">
        <x:v>152313560</x:v>
      </x:c>
      <x:c r="G3340" s="32" t="n">
        <x:f t="shared" si="144">AVERAGE(E3141:E3340)</x:f>
        <x:v>559.8155</x:v>
      </x:c>
      <x:c r="H3340" s="37" t="n">
        <x:f t="shared" si="145">IFERROR(E3340/G3340-1,"")</x:f>
        <x:v>0.12317361702203655</x:v>
      </x:c>
      <x:c r="I3340" s="38" t="b">
        <x:f t="shared" si="146">E3340&lt;G3340</x:f>
        <x:v>0</x:v>
      </x:c>
    </x:row>
    <x:row r="3341">
      <x:c r="A3341" s="31">
        <x:v>41879</x:v>
      </x:c>
      <x:c r="B3341" s="32">
        <x:v>627.41</x:v>
      </x:c>
      <x:c r="C3341" s="32">
        <x:v>635.94000000000005</x:v>
      </x:c>
      <x:c r="D3341" s="32">
        <x:v>626.32000000000005</x:v>
      </x:c>
      <x:c r="E3341" s="32">
        <x:v>632.03</x:v>
      </x:c>
      <x:c r="F3341" s="33">
        <x:v>134519830</x:v>
      </x:c>
      <x:c r="G3341" s="32" t="n">
        <x:f t="shared" ref="G3341:G3404" si="147">AVERAGE(E3142:E3341)</x:f>
        <x:v>560.4767</x:v>
      </x:c>
      <x:c r="H3341" s="37" t="n">
        <x:f t="shared" ref="H3341:H3404" si="148">IFERROR(E3341/G3341-1,"")</x:f>
        <x:v>0.12766507510481695</x:v>
      </x:c>
      <x:c r="I3341" s="38" t="b">
        <x:f t="shared" ref="I3341:I3404" si="149">E3341&lt;G3341</x:f>
        <x:v>0</x:v>
      </x:c>
    </x:row>
    <x:row r="3342">
      <x:c r="A3342" s="31">
        <x:v>41880</x:v>
      </x:c>
      <x:c r="B3342" s="32">
        <x:v>634.91</x:v>
      </x:c>
      <x:c r="C3342" s="32">
        <x:v>640.19000000000005</x:v>
      </x:c>
      <x:c r="D3342" s="32">
        <x:v>631.11</x:v>
      </x:c>
      <x:c r="E3342" s="32">
        <x:v>636.65</x:v>
      </x:c>
      <x:c r="F3342" s="33">
        <x:v>170612900</x:v>
      </x:c>
      <x:c r="G3342" s="32" t="n">
        <x:f t="shared" si="147">AVERAGE(E3143:E3342)</x:f>
        <x:v>561.14735</x:v>
      </x:c>
      <x:c r="H3342" s="37" t="n">
        <x:f t="shared" si="148">IFERROR(E3342/G3342-1,"")</x:f>
        <x:v>0.13455048838776484</x:v>
      </x:c>
      <x:c r="I3342" s="38" t="b">
        <x:f t="shared" si="149">E3342&lt;G3342</x:f>
        <x:v>0</x:v>
      </x:c>
    </x:row>
    <x:row r="3343">
      <x:c r="A3343" s="31">
        <x:v>41885</x:v>
      </x:c>
      <x:c r="B3343" s="32">
        <x:v>640.69000000000005</x:v>
      </x:c>
      <x:c r="C3343" s="32">
        <x:v>644.55999999999995</x:v>
      </x:c>
      <x:c r="D3343" s="32">
        <x:v>638.95000000000005</x:v>
      </x:c>
      <x:c r="E3343" s="32">
        <x:v>640.75</x:v>
      </x:c>
      <x:c r="F3343" s="33">
        <x:v>188155710</x:v>
      </x:c>
      <x:c r="G3343" s="32" t="n">
        <x:f t="shared" si="147">AVERAGE(E3144:E3343)</x:f>
        <x:v>561.8518</x:v>
      </x:c>
      <x:c r="H3343" s="37" t="n">
        <x:f t="shared" si="148">IFERROR(E3343/G3343-1,"")</x:f>
        <x:v>0.14042528652573494</x:v>
      </x:c>
      <x:c r="I3343" s="38" t="b">
        <x:f t="shared" si="149">E3343&lt;G3343</x:f>
        <x:v>0</x:v>
      </x:c>
    </x:row>
    <x:row r="3344">
      <x:c r="A3344" s="31">
        <x:v>41886</x:v>
      </x:c>
      <x:c r="B3344" s="32">
        <x:v>638.6</x:v>
      </x:c>
      <x:c r="C3344" s="32">
        <x:v>642.88</x:v>
      </x:c>
      <x:c r="D3344" s="32">
        <x:v>636.55999999999995</x:v>
      </x:c>
      <x:c r="E3344" s="32">
        <x:v>640.22</x:v>
      </x:c>
      <x:c r="F3344" s="33">
        <x:v>147679700</x:v>
      </x:c>
      <x:c r="G3344" s="32" t="n">
        <x:f t="shared" si="147">AVERAGE(E3145:E3344)</x:f>
        <x:v>562.55985</x:v>
      </x:c>
      <x:c r="H3344" s="37" t="n">
        <x:f t="shared" si="148">IFERROR(E3344/G3344-1,"")</x:f>
        <x:v>0.1380478006029049</x:v>
      </x:c>
      <x:c r="I3344" s="38" t="b">
        <x:f t="shared" si="149">E3344&lt;G3344</x:f>
        <x:v>0</x:v>
      </x:c>
    </x:row>
    <x:row r="3345">
      <x:c r="A3345" s="31">
        <x:v>41887</x:v>
      </x:c>
      <x:c r="B3345" s="32">
        <x:v>640.63</x:v>
      </x:c>
      <x:c r="C3345" s="32">
        <x:v>641.96</x:v>
      </x:c>
      <x:c r="D3345" s="32">
        <x:v>638.54999999999995</x:v>
      </x:c>
      <x:c r="E3345" s="32">
        <x:v>638.65</x:v>
      </x:c>
      <x:c r="F3345" s="33">
        <x:v>138632500</x:v>
      </x:c>
      <x:c r="G3345" s="32" t="n">
        <x:f t="shared" si="147">AVERAGE(E3146:E3345)</x:f>
        <x:v>563.2477</x:v>
      </x:c>
      <x:c r="H3345" s="37" t="n">
        <x:f t="shared" si="148">IFERROR(E3345/G3345-1,"")</x:f>
        <x:v>0.13387058659982087</x:v>
      </x:c>
      <x:c r="I3345" s="38" t="b">
        <x:f t="shared" si="149">E3345&lt;G3345</x:f>
        <x:v>0</x:v>
      </x:c>
    </x:row>
    <x:row r="3346">
      <x:c r="A3346" s="31">
        <x:v>41890</x:v>
      </x:c>
      <x:c r="B3346" s="32">
        <x:v>641.88</x:v>
      </x:c>
      <x:c r="C3346" s="32">
        <x:v>642.72</x:v>
      </x:c>
      <x:c r="D3346" s="32">
        <x:v>639.19000000000005</x:v>
      </x:c>
      <x:c r="E3346" s="32">
        <x:v>639.85</x:v>
      </x:c>
      <x:c r="F3346" s="33">
        <x:v>163757920</x:v>
      </x:c>
      <x:c r="G3346" s="32" t="n">
        <x:f t="shared" si="147">AVERAGE(E3147:E3346)</x:f>
        <x:v>563.9587</x:v>
      </x:c>
      <x:c r="H3346" s="37" t="n">
        <x:f t="shared" si="148">IFERROR(E3346/G3346-1,"")</x:f>
        <x:v>0.13456889662310378</x:v>
      </x:c>
      <x:c r="I3346" s="38" t="b">
        <x:f t="shared" si="149">E3346&lt;G3346</x:f>
        <x:v>0</x:v>
      </x:c>
    </x:row>
    <x:row r="3347">
      <x:c r="A3347" s="31">
        <x:v>41891</x:v>
      </x:c>
      <x:c r="B3347" s="32">
        <x:v>640.5</x:v>
      </x:c>
      <x:c r="C3347" s="32">
        <x:v>641.20000000000005</x:v>
      </x:c>
      <x:c r="D3347" s="32">
        <x:v>622.76</x:v>
      </x:c>
      <x:c r="E3347" s="32">
        <x:v>626.91999999999996</x:v>
      </x:c>
      <x:c r="F3347" s="33">
        <x:v>242576650</x:v>
      </x:c>
      <x:c r="G3347" s="32" t="n">
        <x:f t="shared" si="147">AVERAGE(E3148:E3347)</x:f>
        <x:v>564.6127</x:v>
      </x:c>
      <x:c r="H3347" s="37" t="n">
        <x:f t="shared" si="148">IFERROR(E3347/G3347-1,"")</x:f>
        <x:v>0.11035405331831871</x:v>
      </x:c>
      <x:c r="I3347" s="38" t="b">
        <x:f t="shared" si="149">E3347&lt;G3347</x:f>
        <x:v>0</x:v>
      </x:c>
    </x:row>
    <x:row r="3348">
      <x:c r="A3348" s="31">
        <x:v>41892</x:v>
      </x:c>
      <x:c r="B3348" s="32">
        <x:v>625.59</x:v>
      </x:c>
      <x:c r="C3348" s="32">
        <x:v>630.03</x:v>
      </x:c>
      <x:c r="D3348" s="32">
        <x:v>618.54</x:v>
      </x:c>
      <x:c r="E3348" s="32">
        <x:v>628.79999999999995</x:v>
      </x:c>
      <x:c r="F3348" s="33">
        <x:v>129722930</x:v>
      </x:c>
      <x:c r="G3348" s="32" t="n">
        <x:f t="shared" si="147">AVERAGE(E3149:E3348)</x:f>
        <x:v>565.26745</x:v>
      </x:c>
      <x:c r="H3348" s="37" t="n">
        <x:f t="shared" si="148">IFERROR(E3348/G3348-1,"")</x:f>
        <x:v>0.11239378810861989</x:v>
      </x:c>
      <x:c r="I3348" s="38" t="b">
        <x:f t="shared" si="149">E3348&lt;G3348</x:f>
        <x:v>0</x:v>
      </x:c>
    </x:row>
    <x:row r="3349">
      <x:c r="A3349" s="31">
        <x:v>41893</x:v>
      </x:c>
      <x:c r="B3349" s="32">
        <x:v>629.77</x:v>
      </x:c>
      <x:c r="C3349" s="32">
        <x:v>633.6</x:v>
      </x:c>
      <x:c r="D3349" s="32">
        <x:v>626.26</x:v>
      </x:c>
      <x:c r="E3349" s="32">
        <x:v>628.99</x:v>
      </x:c>
      <x:c r="F3349" s="33">
        <x:v>121586890</x:v>
      </x:c>
      <x:c r="G3349" s="32" t="n">
        <x:f t="shared" si="147">AVERAGE(E3150:E3349)</x:f>
        <x:v>565.9057</x:v>
      </x:c>
      <x:c r="H3349" s="37" t="n">
        <x:f t="shared" si="148">IFERROR(E3349/G3349-1,"")</x:f>
        <x:v>0.11147493301445799</x:v>
      </x:c>
      <x:c r="I3349" s="38" t="b">
        <x:f t="shared" si="149">E3349&lt;G3349</x:f>
        <x:v>0</x:v>
      </x:c>
    </x:row>
    <x:row r="3350">
      <x:c r="A3350" s="31">
        <x:v>41894</x:v>
      </x:c>
      <x:c r="B3350" s="32">
        <x:v>631.30999999999995</x:v>
      </x:c>
      <x:c r="C3350" s="32">
        <x:v>632.91</x:v>
      </x:c>
      <x:c r="D3350" s="32">
        <x:v>627.41999999999996</x:v>
      </x:c>
      <x:c r="E3350" s="32">
        <x:v>632.5</x:v>
      </x:c>
      <x:c r="F3350" s="33">
        <x:v>142042140</x:v>
      </x:c>
      <x:c r="G3350" s="32" t="n">
        <x:f t="shared" si="147">AVERAGE(E3151:E3350)</x:f>
        <x:v>566.5358</x:v>
      </x:c>
      <x:c r="H3350" s="37" t="n">
        <x:f t="shared" si="148">IFERROR(E3350/G3350-1,"")</x:f>
        <x:v>0.1164343012392155</x:v>
      </x:c>
      <x:c r="I3350" s="38" t="b">
        <x:f t="shared" si="149">E3350&lt;G3350</x:f>
        <x:v>0</x:v>
      </x:c>
    </x:row>
    <x:row r="3351">
      <x:c r="A3351" s="31">
        <x:v>41897</x:v>
      </x:c>
      <x:c r="B3351" s="32">
        <x:v>633.86</x:v>
      </x:c>
      <x:c r="C3351" s="32">
        <x:v>636.65</x:v>
      </x:c>
      <x:c r="D3351" s="32">
        <x:v>630.34</x:v>
      </x:c>
      <x:c r="E3351" s="32">
        <x:v>630.34</x:v>
      </x:c>
      <x:c r="F3351" s="33">
        <x:v>201078790</x:v>
      </x:c>
      <x:c r="G3351" s="32" t="n">
        <x:f t="shared" si="147">AVERAGE(E3152:E3351)</x:f>
        <x:v>567.16395</x:v>
      </x:c>
      <x:c r="H3351" s="37" t="n">
        <x:f t="shared" si="148">IFERROR(E3351/G3351-1,"")</x:f>
        <x:v>0.11138939631124312</x:v>
      </x:c>
      <x:c r="I3351" s="38" t="b">
        <x:f t="shared" si="149">E3351&lt;G3351</x:f>
        <x:v>0</x:v>
      </x:c>
    </x:row>
    <x:row r="3352">
      <x:c r="A3352" s="31">
        <x:v>41898</x:v>
      </x:c>
      <x:c r="B3352" s="32">
        <x:v>628.96</x:v>
      </x:c>
      <x:c r="C3352" s="32">
        <x:v>631.59</x:v>
      </x:c>
      <x:c r="D3352" s="32">
        <x:v>623.66</x:v>
      </x:c>
      <x:c r="E3352" s="32">
        <x:v>627.66</x:v>
      </x:c>
      <x:c r="F3352" s="33">
        <x:v>176189320</x:v>
      </x:c>
      <x:c r="G3352" s="32" t="n">
        <x:f t="shared" si="147">AVERAGE(E3153:E3352)</x:f>
        <x:v>567.7746500000001</x:v>
      </x:c>
      <x:c r="H3352" s="37" t="n">
        <x:f t="shared" si="148">IFERROR(E3352/G3352-1,"")</x:f>
        <x:v>0.10547380021281305</x:v>
      </x:c>
      <x:c r="I3352" s="38" t="b">
        <x:f t="shared" si="149">E3352&lt;G3352</x:f>
        <x:v>0</x:v>
      </x:c>
    </x:row>
    <x:row r="3353">
      <x:c r="A3353" s="31">
        <x:v>41899</x:v>
      </x:c>
      <x:c r="B3353" s="32">
        <x:v>630.48</x:v>
      </x:c>
      <x:c r="C3353" s="32">
        <x:v>632.22</x:v>
      </x:c>
      <x:c r="D3353" s="32">
        <x:v>625.66</x:v>
      </x:c>
      <x:c r="E3353" s="32">
        <x:v>625.66</x:v>
      </x:c>
      <x:c r="F3353" s="33">
        <x:v>183400380</x:v>
      </x:c>
      <x:c r="G3353" s="32" t="n">
        <x:f t="shared" si="147">AVERAGE(E3154:E3353)</x:f>
        <x:v>568.38525</x:v>
      </x:c>
      <x:c r="H3353" s="37" t="n">
        <x:f t="shared" si="148">IFERROR(E3353/G3353-1,"")</x:f>
        <x:v>0.10076748121102708</x:v>
      </x:c>
      <x:c r="I3353" s="38" t="b">
        <x:f t="shared" si="149">E3353&lt;G3353</x:f>
        <x:v>0</x:v>
      </x:c>
    </x:row>
    <x:row r="3354">
      <x:c r="A3354" s="31">
        <x:v>41900</x:v>
      </x:c>
      <x:c r="B3354" s="32">
        <x:v>625.95000000000005</x:v>
      </x:c>
      <x:c r="C3354" s="32">
        <x:v>627.29</x:v>
      </x:c>
      <x:c r="D3354" s="32">
        <x:v>615.79999999999995</x:v>
      </x:c>
      <x:c r="E3354" s="32">
        <x:v>615.79999999999995</x:v>
      </x:c>
      <x:c r="F3354" s="33">
        <x:v>162783900</x:v>
      </x:c>
      <x:c r="G3354" s="32" t="n">
        <x:f t="shared" si="147">AVERAGE(E3155:E3354)</x:f>
        <x:v>568.9360500000001</x:v>
      </x:c>
      <x:c r="H3354" s="37" t="n">
        <x:f t="shared" si="148">IFERROR(E3354/G3354-1,"")</x:f>
        <x:v>0.08237120850401336</x:v>
      </x:c>
      <x:c r="I3354" s="38" t="b">
        <x:f t="shared" si="149">E3354&lt;G3354</x:f>
        <x:v>0</x:v>
      </x:c>
    </x:row>
    <x:row r="3355">
      <x:c r="A3355" s="31">
        <x:v>41901</x:v>
      </x:c>
      <x:c r="B3355" s="32">
        <x:v>615.86</x:v>
      </x:c>
      <x:c r="C3355" s="32">
        <x:v>619.79999999999995</x:v>
      </x:c>
      <x:c r="D3355" s="32">
        <x:v>612.4</x:v>
      </x:c>
      <x:c r="E3355" s="32">
        <x:v>613.29</x:v>
      </x:c>
      <x:c r="F3355" s="33">
        <x:v>203749040</x:v>
      </x:c>
      <x:c r="G3355" s="32" t="n">
        <x:f t="shared" si="147">AVERAGE(E3156:E3355)</x:f>
        <x:v>569.4702000000001</x:v>
      </x:c>
      <x:c r="H3355" s="37" t="n">
        <x:f t="shared" si="148">IFERROR(E3355/G3355-1,"")</x:f>
        <x:v>0.0769483635842576</x:v>
      </x:c>
      <x:c r="I3355" s="38" t="b">
        <x:f t="shared" si="149">E3355&lt;G3355</x:f>
        <x:v>0</x:v>
      </x:c>
    </x:row>
    <x:row r="3356">
      <x:c r="A3356" s="31">
        <x:v>41904</x:v>
      </x:c>
      <x:c r="B3356" s="32">
        <x:v>617.71</x:v>
      </x:c>
      <x:c r="C3356" s="32">
        <x:v>621.36</x:v>
      </x:c>
      <x:c r="D3356" s="32">
        <x:v>611.92999999999995</x:v>
      </x:c>
      <x:c r="E3356" s="32">
        <x:v>611.92999999999995</x:v>
      </x:c>
      <x:c r="F3356" s="33">
        <x:v>99326220</x:v>
      </x:c>
      <x:c r="G3356" s="32" t="n">
        <x:f t="shared" si="147">AVERAGE(E3157:E3356)</x:f>
        <x:v>569.98405</x:v>
      </x:c>
      <x:c r="H3356" s="37" t="n">
        <x:f t="shared" si="148">IFERROR(E3356/G3356-1,"")</x:f>
        <x:v>0.07359144523430072</x:v>
      </x:c>
      <x:c r="I3356" s="38" t="b">
        <x:f t="shared" si="149">E3356&lt;G3356</x:f>
        <x:v>0</x:v>
      </x:c>
    </x:row>
    <x:row r="3357">
      <x:c r="A3357" s="31">
        <x:v>41905</x:v>
      </x:c>
      <x:c r="B3357" s="32">
        <x:v>611.75</x:v>
      </x:c>
      <x:c r="C3357" s="32">
        <x:v>615.99</x:v>
      </x:c>
      <x:c r="D3357" s="32">
        <x:v>610.39</x:v>
      </x:c>
      <x:c r="E3357" s="32">
        <x:v>610.39</x:v>
      </x:c>
      <x:c r="F3357" s="33">
        <x:v>131792630</x:v>
      </x:c>
      <x:c r="G3357" s="32" t="n">
        <x:f t="shared" si="147">AVERAGE(E3158:E3357)</x:f>
        <x:v>570.4938500000001</x:v>
      </x:c>
      <x:c r="H3357" s="37" t="n">
        <x:f t="shared" si="148">IFERROR(E3357/G3357-1,"")</x:f>
        <x:v>0.06993265571574514</x:v>
      </x:c>
      <x:c r="I3357" s="38" t="b">
        <x:f t="shared" si="149">E3357&lt;G3357</x:f>
        <x:v>0</x:v>
      </x:c>
    </x:row>
    <x:row r="3358">
      <x:c r="A3358" s="31">
        <x:v>41906</x:v>
      </x:c>
      <x:c r="B3358" s="32">
        <x:v>609.51</x:v>
      </x:c>
      <x:c r="C3358" s="32">
        <x:v>611.61</x:v>
      </x:c>
      <x:c r="D3358" s="32">
        <x:v>603.59</x:v>
      </x:c>
      <x:c r="E3358" s="32">
        <x:v>603.59</x:v>
      </x:c>
      <x:c r="F3358" s="33">
        <x:v>112776100</x:v>
      </x:c>
      <x:c r="G3358" s="32" t="n">
        <x:f t="shared" si="147">AVERAGE(E3159:E3358)</x:f>
        <x:v>570.97325</x:v>
      </x:c>
      <x:c r="H3358" s="37" t="n">
        <x:f t="shared" si="148">IFERROR(E3358/G3358-1,"")</x:f>
        <x:v>0.05712483027882653</x:v>
      </x:c>
      <x:c r="I3358" s="38" t="b">
        <x:f t="shared" si="149">E3358&lt;G3358</x:f>
        <x:v>0</x:v>
      </x:c>
    </x:row>
    <x:row r="3359">
      <x:c r="A3359" s="31">
        <x:v>41907</x:v>
      </x:c>
      <x:c r="B3359" s="32">
        <x:v>604.30999999999995</x:v>
      </x:c>
      <x:c r="C3359" s="32">
        <x:v>605.5</x:v>
      </x:c>
      <x:c r="D3359" s="32">
        <x:v>594.28</x:v>
      </x:c>
      <x:c r="E3359" s="32">
        <x:v>605.1</x:v>
      </x:c>
      <x:c r="F3359" s="33">
        <x:v>123016770</x:v>
      </x:c>
      <x:c r="G3359" s="32" t="n">
        <x:f t="shared" si="147">AVERAGE(E3160:E3359)</x:f>
        <x:v>571.45985</x:v>
      </x:c>
      <x:c r="H3359" s="37" t="n">
        <x:f t="shared" si="148">IFERROR(E3359/G3359-1,"")</x:f>
        <x:v>0.0588670402653837</x:v>
      </x:c>
      <x:c r="I3359" s="38" t="b">
        <x:f t="shared" si="149">E3359&lt;G3359</x:f>
        <x:v>0</x:v>
      </x:c>
    </x:row>
    <x:row r="3360">
      <x:c r="A3360" s="31">
        <x:v>41908</x:v>
      </x:c>
      <x:c r="B3360" s="32">
        <x:v>608.79999999999995</x:v>
      </x:c>
      <x:c r="C3360" s="32">
        <x:v>610.15</x:v>
      </x:c>
      <x:c r="D3360" s="32">
        <x:v>604.98</x:v>
      </x:c>
      <x:c r="E3360" s="32">
        <x:v>604.98</x:v>
      </x:c>
      <x:c r="F3360" s="33">
        <x:v>134501730</x:v>
      </x:c>
      <x:c r="G3360" s="32" t="n">
        <x:f t="shared" si="147">AVERAGE(E3161:E3360)</x:f>
        <x:v>571.9421</x:v>
      </x:c>
      <x:c r="H3360" s="37" t="n">
        <x:f t="shared" si="148">IFERROR(E3360/G3360-1,"")</x:f>
        <x:v>0.057764413565638995</x:v>
      </x:c>
      <x:c r="I3360" s="38" t="b">
        <x:f t="shared" si="149">E3360&lt;G3360</x:f>
        <x:v>0</x:v>
      </x:c>
    </x:row>
    <x:row r="3361">
      <x:c r="A3361" s="31">
        <x:v>41911</x:v>
      </x:c>
      <x:c r="B3361" s="32">
        <x:v>605.03</x:v>
      </x:c>
      <x:c r="C3361" s="32">
        <x:v>605.03</x:v>
      </x:c>
      <x:c r="D3361" s="32">
        <x:v>599.78</x:v>
      </x:c>
      <x:c r="E3361" s="32">
        <x:v>599.78</x:v>
      </x:c>
      <x:c r="F3361" s="33">
        <x:v>111034700</x:v>
      </x:c>
      <x:c r="G3361" s="32" t="n">
        <x:f t="shared" si="147">AVERAGE(E3162:E3361)</x:f>
        <x:v>572.3829</x:v>
      </x:c>
      <x:c r="H3361" s="37" t="n">
        <x:f t="shared" si="148">IFERROR(E3361/G3361-1,"")</x:f>
        <x:v>0.04786498688203311</x:v>
      </x:c>
      <x:c r="I3361" s="38" t="b">
        <x:f t="shared" si="149">E3361&lt;G3361</x:f>
        <x:v>0</x:v>
      </x:c>
    </x:row>
    <x:row r="3362">
      <x:c r="A3362" s="31">
        <x:v>41912</x:v>
      </x:c>
      <x:c r="B3362" s="32">
        <x:v>597.11</x:v>
      </x:c>
      <x:c r="C3362" s="32">
        <x:v>601.54</x:v>
      </x:c>
      <x:c r="D3362" s="32">
        <x:v>594</x:v>
      </x:c>
      <x:c r="E3362" s="32">
        <x:v>598.79999999999995</x:v>
      </x:c>
      <x:c r="F3362" s="33">
        <x:v>142531380</x:v>
      </x:c>
      <x:c r="G3362" s="32" t="n">
        <x:f t="shared" si="147">AVERAGE(E3163:E3362)</x:f>
        <x:v>572.8224999999999</x:v>
      </x:c>
      <x:c r="H3362" s="37" t="n">
        <x:f t="shared" si="148">IFERROR(E3362/G3362-1,"")</x:f>
        <x:v>0.045349999345347</x:v>
      </x:c>
      <x:c r="I3362" s="38" t="b">
        <x:f t="shared" si="149">E3362&lt;G3362</x:f>
        <x:v>0</x:v>
      </x:c>
    </x:row>
    <x:row r="3363">
      <x:c r="A3363" s="31">
        <x:v>41913</x:v>
      </x:c>
      <x:c r="B3363" s="32">
        <x:v>603.5</x:v>
      </x:c>
      <x:c r="C3363" s="32">
        <x:v>611.74</x:v>
      </x:c>
      <x:c r="D3363" s="32">
        <x:v>603.44000000000005</x:v>
      </x:c>
      <x:c r="E3363" s="32">
        <x:v>609.27</x:v>
      </x:c>
      <x:c r="F3363" s="33">
        <x:v>168682480</x:v>
      </x:c>
      <x:c r="G3363" s="32" t="n">
        <x:f t="shared" si="147">AVERAGE(E3164:E3363)</x:f>
        <x:v>573.3186999999999</x:v>
      </x:c>
      <x:c r="H3363" s="37" t="n">
        <x:f t="shared" si="148">IFERROR(E3363/G3363-1,"")</x:f>
        <x:v>0.06270735630985014</x:v>
      </x:c>
      <x:c r="I3363" s="38" t="b">
        <x:f t="shared" si="149">E3363&lt;G3363</x:f>
        <x:v>0</x:v>
      </x:c>
    </x:row>
    <x:row r="3364">
      <x:c r="A3364" s="31">
        <x:v>41914</x:v>
      </x:c>
      <x:c r="B3364" s="32">
        <x:v>612.42999999999995</x:v>
      </x:c>
      <x:c r="C3364" s="32">
        <x:v>614.79999999999995</x:v>
      </x:c>
      <x:c r="D3364" s="32">
        <x:v>607.57000000000005</x:v>
      </x:c>
      <x:c r="E3364" s="32">
        <x:v>612.66</x:v>
      </x:c>
      <x:c r="F3364" s="33">
        <x:v>165970840</x:v>
      </x:c>
      <x:c r="G3364" s="32" t="n">
        <x:f t="shared" si="147">AVERAGE(E3165:E3364)</x:f>
        <x:v>573.8314</x:v>
      </x:c>
      <x:c r="H3364" s="37" t="n">
        <x:f t="shared" si="148">IFERROR(E3364/G3364-1,"")</x:f>
        <x:v>0.06766551987221314</x:v>
      </x:c>
      <x:c r="I3364" s="38" t="b">
        <x:f t="shared" si="149">E3364&lt;G3364</x:f>
        <x:v>0</x:v>
      </x:c>
    </x:row>
    <x:row r="3365">
      <x:c r="A3365" s="31">
        <x:v>41915</x:v>
      </x:c>
      <x:c r="B3365" s="32">
        <x:v>613.38</x:v>
      </x:c>
      <x:c r="C3365" s="32">
        <x:v>615.41999999999996</x:v>
      </x:c>
      <x:c r="D3365" s="32">
        <x:v>610.54999999999995</x:v>
      </x:c>
      <x:c r="E3365" s="32">
        <x:v>611.54999999999995</x:v>
      </x:c>
      <x:c r="F3365" s="33">
        <x:v>170475580</x:v>
      </x:c>
      <x:c r="G3365" s="32" t="n">
        <x:f t="shared" si="147">AVERAGE(E3166:E3365)</x:f>
        <x:v>574.3330000000001</x:v>
      </x:c>
      <x:c r="H3365" s="37" t="n">
        <x:f t="shared" si="148">IFERROR(E3365/G3365-1,"")</x:f>
        <x:v>0.06480038583887726</x:v>
      </x:c>
      <x:c r="I3365" s="38" t="b">
        <x:f t="shared" si="149">E3365&lt;G3365</x:f>
        <x:v>0</x:v>
      </x:c>
    </x:row>
    <x:row r="3366">
      <x:c r="A3366" s="31">
        <x:v>41918</x:v>
      </x:c>
      <x:c r="B3366" s="32">
        <x:v>612.11</x:v>
      </x:c>
      <x:c r="C3366" s="32">
        <x:v>616.13</x:v>
      </x:c>
      <x:c r="D3366" s="32">
        <x:v>611.77</x:v>
      </x:c>
      <x:c r="E3366" s="32">
        <x:v>614.41999999999996</x:v>
      </x:c>
      <x:c r="F3366" s="33">
        <x:v>163261230</x:v>
      </x:c>
      <x:c r="G3366" s="32" t="n">
        <x:f t="shared" si="147">AVERAGE(E3167:E3366)</x:f>
        <x:v>574.8471</x:v>
      </x:c>
      <x:c r="H3366" s="37" t="n">
        <x:f t="shared" si="148">IFERROR(E3366/G3366-1,"")</x:f>
        <x:v>0.0688407404334126</x:v>
      </x:c>
      <x:c r="I3366" s="38" t="b">
        <x:f t="shared" si="149">E3366&lt;G3366</x:f>
        <x:v>0</x:v>
      </x:c>
    </x:row>
    <x:row r="3367">
      <x:c r="A3367" s="31">
        <x:v>41919</x:v>
      </x:c>
      <x:c r="B3367" s="32">
        <x:v>614.16</x:v>
      </x:c>
      <x:c r="C3367" s="32">
        <x:v>617.01</x:v>
      </x:c>
      <x:c r="D3367" s="32">
        <x:v>612.94000000000005</x:v>
      </x:c>
      <x:c r="E3367" s="32">
        <x:v>614.08000000000004</x:v>
      </x:c>
      <x:c r="F3367" s="33">
        <x:v>178871570</x:v>
      </x:c>
      <x:c r="G3367" s="32" t="n">
        <x:f t="shared" si="147">AVERAGE(E3168:E3367)</x:f>
        <x:v>575.39095</x:v>
      </x:c>
      <x:c r="H3367" s="37" t="n">
        <x:f t="shared" si="148">IFERROR(E3367/G3367-1,"")</x:f>
        <x:v>0.06723958727539947</x:v>
      </x:c>
      <x:c r="I3367" s="38" t="b">
        <x:f t="shared" si="149">E3367&lt;G3367</x:f>
        <x:v>0</x:v>
      </x:c>
    </x:row>
    <x:row r="3368">
      <x:c r="A3368" s="31">
        <x:v>41920</x:v>
      </x:c>
      <x:c r="B3368" s="32">
        <x:v>615.04</x:v>
      </x:c>
      <x:c r="C3368" s="32">
        <x:v>618.37</x:v>
      </x:c>
      <x:c r="D3368" s="32">
        <x:v>611.98</x:v>
      </x:c>
      <x:c r="E3368" s="32">
        <x:v>617.26</x:v>
      </x:c>
      <x:c r="F3368" s="33">
        <x:v>167590180</x:v>
      </x:c>
      <x:c r="G3368" s="32" t="n">
        <x:f t="shared" si="147">AVERAGE(E3169:E3368)</x:f>
        <x:v>575.94265</x:v>
      </x:c>
      <x:c r="H3368" s="37" t="n">
        <x:f t="shared" si="148">IFERROR(E3368/G3368-1,"")</x:f>
        <x:v>0.07173865314541317</x:v>
      </x:c>
      <x:c r="I3368" s="38" t="b">
        <x:f t="shared" si="149">E3368&lt;G3368</x:f>
        <x:v>0</x:v>
      </x:c>
    </x:row>
    <x:row r="3369">
      <x:c r="A3369" s="31">
        <x:v>41921</x:v>
      </x:c>
      <x:c r="B3369" s="32">
        <x:v>622.25</x:v>
      </x:c>
      <x:c r="C3369" s="32">
        <x:v>626.9</x:v>
      </x:c>
      <x:c r="D3369" s="32">
        <x:v>622.25</x:v>
      </x:c>
      <x:c r="E3369" s="32">
        <x:v>624.34</x:v>
      </x:c>
      <x:c r="F3369" s="33">
        <x:v>154923100</x:v>
      </x:c>
      <x:c r="G3369" s="32" t="n">
        <x:f t="shared" si="147">AVERAGE(E3170:E3369)</x:f>
        <x:v>576.53405</x:v>
      </x:c>
      <x:c r="H3369" s="37" t="n">
        <x:f t="shared" si="148">IFERROR(E3369/G3369-1,"")</x:f>
        <x:v>0.08291956043186</x:v>
      </x:c>
      <x:c r="I3369" s="38" t="b">
        <x:f t="shared" si="149">E3369&lt;G3369</x:f>
        <x:v>0</x:v>
      </x:c>
    </x:row>
    <x:row r="3370">
      <x:c r="A3370" s="31">
        <x:v>41922</x:v>
      </x:c>
      <x:c r="B3370" s="32">
        <x:v>623.85</x:v>
      </x:c>
      <x:c r="C3370" s="32">
        <x:v>627.49</x:v>
      </x:c>
      <x:c r="D3370" s="32">
        <x:v>617.72</x:v>
      </x:c>
      <x:c r="E3370" s="32">
        <x:v>617.72</x:v>
      </x:c>
      <x:c r="F3370" s="33">
        <x:v>143028680</x:v>
      </x:c>
      <x:c r="G3370" s="32" t="n">
        <x:f t="shared" si="147">AVERAGE(E3171:E3370)</x:f>
        <x:v>577.1124500000001</x:v>
      </x:c>
      <x:c r="H3370" s="37" t="n">
        <x:f t="shared" si="148">IFERROR(E3370/G3370-1,"")</x:f>
        <x:v>0.07036332347361407</x:v>
      </x:c>
      <x:c r="I3370" s="38" t="b">
        <x:f t="shared" si="149">E3370&lt;G3370</x:f>
        <x:v>0</x:v>
      </x:c>
    </x:row>
    <x:row r="3371">
      <x:c r="A3371" s="31">
        <x:v>41925</x:v>
      </x:c>
      <x:c r="B3371" s="32">
        <x:v>615.77</x:v>
      </x:c>
      <x:c r="C3371" s="32">
        <x:v>618.29</x:v>
      </x:c>
      <x:c r="D3371" s="32">
        <x:v>608.27</x:v>
      </x:c>
      <x:c r="E3371" s="32">
        <x:v>614.22</x:v>
      </x:c>
      <x:c r="F3371" s="33">
        <x:v>108441800</x:v>
      </x:c>
      <x:c r="G3371" s="32" t="n">
        <x:f t="shared" si="147">AVERAGE(E3172:E3371)</x:f>
        <x:v>577.6551999999999</x:v>
      </x:c>
      <x:c r="H3371" s="37" t="n">
        <x:f t="shared" si="148">IFERROR(E3371/G3371-1,"")</x:f>
        <x:v>0.06329865982336891</x:v>
      </x:c>
      <x:c r="I3371" s="38" t="b">
        <x:f t="shared" si="149">E3371&lt;G3371</x:f>
        <x:v>0</x:v>
      </x:c>
    </x:row>
    <x:row r="3372">
      <x:c r="A3372" s="31">
        <x:v>41926</x:v>
      </x:c>
      <x:c r="B3372" s="32">
        <x:v>614.84</x:v>
      </x:c>
      <x:c r="C3372" s="32">
        <x:v>616.71</x:v>
      </x:c>
      <x:c r="D3372" s="32">
        <x:v>605.79</x:v>
      </x:c>
      <x:c r="E3372" s="32">
        <x:v>605.79</x:v>
      </x:c>
      <x:c r="F3372" s="33">
        <x:v>112901760</x:v>
      </x:c>
      <x:c r="G3372" s="32" t="n">
        <x:f t="shared" si="147">AVERAGE(E3173:E3372)</x:f>
        <x:v>578.1579</x:v>
      </x:c>
      <x:c r="H3372" s="37" t="n">
        <x:f t="shared" si="148">IFERROR(E3372/G3372-1,"")</x:f>
        <x:v>0.04779334503601862</x:v>
      </x:c>
      <x:c r="I3372" s="38" t="b">
        <x:f t="shared" si="149">E3372&lt;G3372</x:f>
        <x:v>0</x:v>
      </x:c>
    </x:row>
    <x:row r="3373">
      <x:c r="A3373" s="31">
        <x:v>41927</x:v>
      </x:c>
      <x:c r="B3373" s="32">
        <x:v>603.73</x:v>
      </x:c>
      <x:c r="C3373" s="32">
        <x:v>606.4</x:v>
      </x:c>
      <x:c r="D3373" s="32">
        <x:v>596.5</x:v>
      </x:c>
      <x:c r="E3373" s="32">
        <x:v>604.29</x:v>
      </x:c>
      <x:c r="F3373" s="33">
        <x:v>117820960</x:v>
      </x:c>
      <x:c r="G3373" s="32" t="n">
        <x:f t="shared" si="147">AVERAGE(E3174:E3373)</x:f>
        <x:v>578.64795</x:v>
      </x:c>
      <x:c r="H3373" s="37" t="n">
        <x:f t="shared" si="148">IFERROR(E3373/G3373-1,"")</x:f>
        <x:v>0.04431373169126407</x:v>
      </x:c>
      <x:c r="I3373" s="38" t="b">
        <x:f t="shared" si="149">E3373&lt;G3373</x:f>
        <x:v>0</x:v>
      </x:c>
    </x:row>
    <x:row r="3374">
      <x:c r="A3374" s="31">
        <x:v>41928</x:v>
      </x:c>
      <x:c r="B3374" s="32">
        <x:v>603.11</x:v>
      </x:c>
      <x:c r="C3374" s="32">
        <x:v>603.59</x:v>
      </x:c>
      <x:c r="D3374" s="32">
        <x:v>585.76</x:v>
      </x:c>
      <x:c r="E3374" s="32">
        <x:v>587.16999999999996</x:v>
      </x:c>
      <x:c r="F3374" s="33">
        <x:v>165668630</x:v>
      </x:c>
      <x:c r="G3374" s="32" t="n">
        <x:f t="shared" si="147">AVERAGE(E3175:E3374)</x:f>
        <x:v>579.0615499999999</x:v>
      </x:c>
      <x:c r="H3374" s="37" t="n">
        <x:f t="shared" si="148">IFERROR(E3374/G3374-1,"")</x:f>
        <x:v>0.014002742886313424</x:v>
      </x:c>
      <x:c r="I3374" s="38" t="b">
        <x:f t="shared" si="149">E3374&lt;G3374</x:f>
        <x:v>0</x:v>
      </x:c>
    </x:row>
    <x:row r="3375">
      <x:c r="A3375" s="31">
        <x:v>41929</x:v>
      </x:c>
      <x:c r="B3375" s="32">
        <x:v>585.95000000000005</x:v>
      </x:c>
      <x:c r="C3375" s="32">
        <x:v>591.85</x:v>
      </x:c>
      <x:c r="D3375" s="32">
        <x:v>577.79</x:v>
      </x:c>
      <x:c r="E3375" s="32">
        <x:v>585.28</x:v>
      </x:c>
      <x:c r="F3375" s="33">
        <x:v>118004420</x:v>
      </x:c>
      <x:c r="G3375" s="32" t="n">
        <x:f t="shared" si="147">AVERAGE(E3176:E3375)</x:f>
        <x:v>579.4445499999999</x:v>
      </x:c>
      <x:c r="H3375" s="37" t="n">
        <x:f t="shared" si="148">IFERROR(E3375/G3375-1,"")</x:f>
        <x:v>0.010070765183657349</x:v>
      </x:c>
      <x:c r="I3375" s="38" t="b">
        <x:f t="shared" si="149">E3375&lt;G3375</x:f>
        <x:v>0</x:v>
      </x:c>
    </x:row>
    <x:row r="3376">
      <x:c r="A3376" s="31">
        <x:v>41932</x:v>
      </x:c>
      <x:c r="B3376" s="32">
        <x:v>588.38</x:v>
      </x:c>
      <x:c r="C3376" s="32">
        <x:v>593.20000000000005</x:v>
      </x:c>
      <x:c r="D3376" s="32">
        <x:v>585.70000000000005</x:v>
      </x:c>
      <x:c r="E3376" s="32">
        <x:v>589.24</x:v>
      </x:c>
      <x:c r="F3376" s="33">
        <x:v>75388460</x:v>
      </x:c>
      <x:c r="G3376" s="32" t="n">
        <x:f t="shared" si="147">AVERAGE(E3177:E3376)</x:f>
        <x:v>579.8626499999999</x:v>
      </x:c>
      <x:c r="H3376" s="37" t="n">
        <x:f t="shared" si="148">IFERROR(E3376/G3376-1,"")</x:f>
        <x:v>0.016171674447388762</x:v>
      </x:c>
      <x:c r="I3376" s="38" t="b">
        <x:f t="shared" si="149">E3376&lt;G3376</x:f>
        <x:v>0</x:v>
      </x:c>
    </x:row>
    <x:row r="3377">
      <x:c r="A3377" s="31">
        <x:v>41933</x:v>
      </x:c>
      <x:c r="B3377" s="32">
        <x:v>590.16999999999996</x:v>
      </x:c>
      <x:c r="C3377" s="32">
        <x:v>601.14</x:v>
      </x:c>
      <x:c r="D3377" s="32">
        <x:v>588.75</x:v>
      </x:c>
      <x:c r="E3377" s="32">
        <x:v>600.54999999999995</x:v>
      </x:c>
      <x:c r="F3377" s="33">
        <x:v>80475800</x:v>
      </x:c>
      <x:c r="G3377" s="32" t="n">
        <x:f t="shared" si="147">AVERAGE(E3178:E3377)</x:f>
        <x:v>580.3432999999999</x:v>
      </x:c>
      <x:c r="H3377" s="37" t="n">
        <x:f t="shared" si="148">IFERROR(E3377/G3377-1,"")</x:f>
        <x:v>0.03481852896380477</x:v>
      </x:c>
      <x:c r="I3377" s="38" t="b">
        <x:f t="shared" si="149">E3377&lt;G3377</x:f>
        <x:v>0</x:v>
      </x:c>
    </x:row>
    <x:row r="3378">
      <x:c r="A3378" s="31">
        <x:v>41934</x:v>
      </x:c>
      <x:c r="B3378" s="32">
        <x:v>600.27</x:v>
      </x:c>
      <x:c r="C3378" s="32">
        <x:v>603.97</x:v>
      </x:c>
      <x:c r="D3378" s="32">
        <x:v>598.99</x:v>
      </x:c>
      <x:c r="E3378" s="32">
        <x:v>601.59</x:v>
      </x:c>
      <x:c r="F3378" s="33">
        <x:v>97192990</x:v>
      </x:c>
      <x:c r="G3378" s="32" t="n">
        <x:f t="shared" si="147">AVERAGE(E3179:E3378)</x:f>
        <x:v>580.8184999999999</x:v>
      </x:c>
      <x:c r="H3378" s="37" t="n">
        <x:f t="shared" si="148">IFERROR(E3378/G3378-1,"")</x:f>
        <x:v>0.035762462800341455</x:v>
      </x:c>
      <x:c r="I3378" s="38" t="b">
        <x:f t="shared" si="149">E3378&lt;G3378</x:f>
        <x:v>0</x:v>
      </x:c>
    </x:row>
    <x:row r="3379">
      <x:c r="A3379" s="31">
        <x:v>41935</x:v>
      </x:c>
      <x:c r="B3379" s="32">
        <x:v>598.87</x:v>
      </x:c>
      <x:c r="C3379" s="32">
        <x:v>602.02</x:v>
      </x:c>
      <x:c r="D3379" s="32">
        <x:v>593.11</x:v>
      </x:c>
      <x:c r="E3379" s="32">
        <x:v>593.53</x:v>
      </x:c>
      <x:c r="F3379" s="33">
        <x:v>143961970</x:v>
      </x:c>
      <x:c r="G3379" s="32" t="n">
        <x:f t="shared" si="147">AVERAGE(E3180:E3379)</x:f>
        <x:v>581.2540999999999</x:v>
      </x:c>
      <x:c r="H3379" s="37" t="n">
        <x:f t="shared" si="148">IFERROR(E3379/G3379-1,"")</x:f>
        <x:v>0.021119678983769985</x:v>
      </x:c>
      <x:c r="I3379" s="38" t="b">
        <x:f t="shared" si="149">E3379&lt;G3379</x:f>
        <x:v>0</x:v>
      </x:c>
    </x:row>
    <x:row r="3380">
      <x:c r="A3380" s="31">
        <x:v>41936</x:v>
      </x:c>
      <x:c r="B3380" s="32">
        <x:v>592.66</x:v>
      </x:c>
      <x:c r="C3380" s="32">
        <x:v>595.33000000000004</x:v>
      </x:c>
      <x:c r="D3380" s="32">
        <x:v>588.72</x:v>
      </x:c>
      <x:c r="E3380" s="32">
        <x:v>591.51</x:v>
      </x:c>
      <x:c r="F3380" s="33">
        <x:v>90743200</x:v>
      </x:c>
      <x:c r="G3380" s="32" t="n">
        <x:f t="shared" si="147">AVERAGE(E3181:E3380)</x:f>
        <x:v>581.7098999999998</x:v>
      </x:c>
      <x:c r="H3380" s="37" t="n">
        <x:f t="shared" si="148">IFERROR(E3380/G3380-1,"")</x:f>
        <x:v>0.016847057270299448</x:v>
      </x:c>
      <x:c r="I3380" s="38" t="b">
        <x:f t="shared" si="149">E3380&lt;G3380</x:f>
        <x:v>0</x:v>
      </x:c>
    </x:row>
    <x:row r="3381">
      <x:c r="A3381" s="31">
        <x:v>41939</x:v>
      </x:c>
      <x:c r="B3381" s="32">
        <x:v>590.33000000000004</x:v>
      </x:c>
      <x:c r="C3381" s="32">
        <x:v>591.59</x:v>
      </x:c>
      <x:c r="D3381" s="32">
        <x:v>580.02</x:v>
      </x:c>
      <x:c r="E3381" s="32">
        <x:v>580.79999999999995</x:v>
      </x:c>
      <x:c r="F3381" s="33">
        <x:v>99712610</x:v>
      </x:c>
      <x:c r="G3381" s="32" t="n">
        <x:f t="shared" si="147">AVERAGE(E3182:E3381)</x:f>
        <x:v>582.0907499999998</x:v>
      </x:c>
      <x:c r="H3381" s="37" t="n">
        <x:f t="shared" si="148">IFERROR(E3381/G3381-1,"")</x:f>
        <x:v>-0.002217437744887474</x:v>
      </x:c>
      <x:c r="I3381" s="38" t="b">
        <x:f t="shared" si="149">E3381&lt;G3381</x:f>
        <x:v>1</x:v>
      </x:c>
    </x:row>
    <x:row r="3382">
      <x:c r="A3382" s="31">
        <x:v>41940</x:v>
      </x:c>
      <x:c r="B3382" s="32">
        <x:v>578.73</x:v>
      </x:c>
      <x:c r="C3382" s="32">
        <x:v>584.42999999999995</x:v>
      </x:c>
      <x:c r="D3382" s="32">
        <x:v>578.44000000000005</x:v>
      </x:c>
      <x:c r="E3382" s="32">
        <x:v>583.13</x:v>
      </x:c>
      <x:c r="F3382" s="33">
        <x:v>109692910</x:v>
      </x:c>
      <x:c r="G3382" s="32" t="n">
        <x:f t="shared" si="147">AVERAGE(E3183:E3382)</x:f>
        <x:v>582.4838499999998</x:v>
      </x:c>
      <x:c r="H3382" s="37" t="n">
        <x:f t="shared" si="148">IFERROR(E3382/G3382-1,"")</x:f>
        <x:v>0.0011093011419975873</x:v>
      </x:c>
      <x:c r="I3382" s="38" t="b">
        <x:f t="shared" si="149">E3382&lt;G3382</x:f>
        <x:v>0</x:v>
      </x:c>
    </x:row>
    <x:row r="3383">
      <x:c r="A3383" s="31">
        <x:v>41941</x:v>
      </x:c>
      <x:c r="B3383" s="32">
        <x:v>585.67999999999995</x:v>
      </x:c>
      <x:c r="C3383" s="32">
        <x:v>591.83000000000004</x:v>
      </x:c>
      <x:c r="D3383" s="32">
        <x:v>585.67999999999995</x:v>
      </x:c>
      <x:c r="E3383" s="32">
        <x:v>591.20000000000005</x:v>
      </x:c>
      <x:c r="F3383" s="33">
        <x:v>94659670</x:v>
      </x:c>
      <x:c r="G3383" s="32" t="n">
        <x:f t="shared" si="147">AVERAGE(E3184:E3383)</x:f>
        <x:v>582.9129999999998</x:v>
      </x:c>
      <x:c r="H3383" s="37" t="n">
        <x:f t="shared" si="148">IFERROR(E3383/G3383-1,"")</x:f>
        <x:v>0.014216529739429884</x:v>
      </x:c>
      <x:c r="I3383" s="38" t="b">
        <x:f t="shared" si="149">E3383&lt;G3383</x:f>
        <x:v>0</x:v>
      </x:c>
    </x:row>
    <x:row r="3384">
      <x:c r="A3384" s="31">
        <x:v>41942</x:v>
      </x:c>
      <x:c r="B3384" s="32">
        <x:v>593.09</x:v>
      </x:c>
      <x:c r="C3384" s="32">
        <x:v>594.29999999999995</x:v>
      </x:c>
      <x:c r="D3384" s="32">
        <x:v>589.14</x:v>
      </x:c>
      <x:c r="E3384" s="32">
        <x:v>589.14</x:v>
      </x:c>
      <x:c r="F3384" s="33">
        <x:v>94528450</x:v>
      </x:c>
      <x:c r="G3384" s="32" t="n">
        <x:f t="shared" si="147">AVERAGE(E3185:E3384)</x:f>
        <x:v>583.3131999999997</x:v>
      </x:c>
      <x:c r="H3384" s="37" t="n">
        <x:f t="shared" si="148">IFERROR(E3384/G3384-1,"")</x:f>
        <x:v>0.009989144768197011</x:v>
      </x:c>
      <x:c r="I3384" s="38" t="b">
        <x:f t="shared" si="149">E3384&lt;G3384</x:f>
        <x:v>0</x:v>
      </x:c>
    </x:row>
    <x:row r="3385">
      <x:c r="A3385" s="31">
        <x:v>41943</x:v>
      </x:c>
      <x:c r="B3385" s="32">
        <x:v>591.12</x:v>
      </x:c>
      <x:c r="C3385" s="32">
        <x:v>600.84</x:v>
      </x:c>
      <x:c r="D3385" s="32">
        <x:v>588.16</x:v>
      </x:c>
      <x:c r="E3385" s="32">
        <x:v>600.84</x:v>
      </x:c>
      <x:c r="F3385" s="33">
        <x:v>128902840</x:v>
      </x:c>
      <x:c r="G3385" s="32" t="n">
        <x:f t="shared" si="147">AVERAGE(E3186:E3385)</x:f>
        <x:v>583.7667999999998</x:v>
      </x:c>
      <x:c r="H3385" s="37" t="n">
        <x:f t="shared" si="148">IFERROR(E3385/G3385-1,"")</x:f>
        <x:v>0.02924661011897256</x:v>
      </x:c>
      <x:c r="I3385" s="38" t="b">
        <x:f t="shared" si="149">E3385&lt;G3385</x:f>
        <x:v>0</x:v>
      </x:c>
    </x:row>
    <x:row r="3386">
      <x:c r="A3386" s="31">
        <x:v>41946</x:v>
      </x:c>
      <x:c r="B3386" s="32">
        <x:v>603.44000000000005</x:v>
      </x:c>
      <x:c r="C3386" s="32">
        <x:v>606.94000000000005</x:v>
      </x:c>
      <x:c r="D3386" s="32">
        <x:v>602.51</x:v>
      </x:c>
      <x:c r="E3386" s="32">
        <x:v>603.15</x:v>
      </x:c>
      <x:c r="F3386" s="33">
        <x:v>109836450</x:v>
      </x:c>
      <x:c r="G3386" s="32" t="n">
        <x:f t="shared" si="147">AVERAGE(E3187:E3386)</x:f>
        <x:v>584.2130499999996</x:v>
      </x:c>
      <x:c r="H3386" s="37" t="n">
        <x:f t="shared" si="148">IFERROR(E3386/G3386-1,"")</x:f>
        <x:v>0.03241445907447704</x:v>
      </x:c>
      <x:c r="I3386" s="38" t="b">
        <x:f t="shared" si="149">E3386&lt;G3386</x:f>
        <x:v>0</x:v>
      </x:c>
    </x:row>
    <x:row r="3387">
      <x:c r="A3387" s="31">
        <x:v>41947</x:v>
      </x:c>
      <x:c r="B3387" s="32">
        <x:v>601.54999999999995</x:v>
      </x:c>
      <x:c r="C3387" s="32">
        <x:v>604.47</x:v>
      </x:c>
      <x:c r="D3387" s="32">
        <x:v>598.39</x:v>
      </x:c>
      <x:c r="E3387" s="32">
        <x:v>598.39</x:v>
      </x:c>
      <x:c r="F3387" s="33">
        <x:v>107482690</x:v>
      </x:c>
      <x:c r="G3387" s="32" t="n">
        <x:f t="shared" si="147">AVERAGE(E3188:E3387)</x:f>
        <x:v>584.6200999999996</x:v>
      </x:c>
      <x:c r="H3387" s="37" t="n">
        <x:f t="shared" si="148">IFERROR(E3387/G3387-1,"")</x:f>
        <x:v>0.02355358633752136</x:v>
      </x:c>
      <x:c r="I3387" s="38" t="b">
        <x:f t="shared" si="149">E3387&lt;G3387</x:f>
        <x:v>0</x:v>
      </x:c>
    </x:row>
    <x:row r="3388">
      <x:c r="A3388" s="31">
        <x:v>41948</x:v>
      </x:c>
      <x:c r="B3388" s="32">
        <x:v>599.64</x:v>
      </x:c>
      <x:c r="C3388" s="32">
        <x:v>602.53</x:v>
      </x:c>
      <x:c r="D3388" s="32">
        <x:v>593.53</x:v>
      </x:c>
      <x:c r="E3388" s="32">
        <x:v>597.01</x:v>
      </x:c>
      <x:c r="F3388" s="33">
        <x:v>129003800</x:v>
      </x:c>
      <x:c r="G3388" s="32" t="n">
        <x:f t="shared" si="147">AVERAGE(E3189:E3388)</x:f>
        <x:v>585.0104499999995</x:v>
      </x:c>
      <x:c r="H3388" s="37" t="n">
        <x:f t="shared" si="148">IFERROR(E3388/G3388-1,"")</x:f>
        <x:v>0.020511684876741043</x:v>
      </x:c>
      <x:c r="I3388" s="38" t="b">
        <x:f t="shared" si="149">E3388&lt;G3388</x:f>
        <x:v>0</x:v>
      </x:c>
    </x:row>
    <x:row r="3389">
      <x:c r="A3389" s="31">
        <x:v>41949</x:v>
      </x:c>
      <x:c r="B3389" s="32">
        <x:v>599.20000000000005</x:v>
      </x:c>
      <x:c r="C3389" s="32">
        <x:v>601.28</x:v>
      </x:c>
      <x:c r="D3389" s="32">
        <x:v>596.73</x:v>
      </x:c>
      <x:c r="E3389" s="32">
        <x:v>597.85</x:v>
      </x:c>
      <x:c r="F3389" s="33">
        <x:v>85175150</x:v>
      </x:c>
      <x:c r="G3389" s="32" t="n">
        <x:f t="shared" si="147">AVERAGE(E3190:E3389)</x:f>
        <x:v>585.3941499999996</x:v>
      </x:c>
      <x:c r="H3389" s="37" t="n">
        <x:f t="shared" si="148">IFERROR(E3389/G3389-1,"")</x:f>
        <x:v>0.021277715194113922</x:v>
      </x:c>
      <x:c r="I3389" s="38" t="b">
        <x:f t="shared" si="149">E3389&lt;G3389</x:f>
        <x:v>0</x:v>
      </x:c>
    </x:row>
    <x:row r="3390">
      <x:c r="A3390" s="31">
        <x:v>41950</x:v>
      </x:c>
      <x:c r="B3390" s="32">
        <x:v>598.41</x:v>
      </x:c>
      <x:c r="C3390" s="32">
        <x:v>603.32000000000005</x:v>
      </x:c>
      <x:c r="D3390" s="32">
        <x:v>597.73</x:v>
      </x:c>
      <x:c r="E3390" s="32">
        <x:v>602.59</x:v>
      </x:c>
      <x:c r="F3390" s="33">
        <x:v>119568150</x:v>
      </x:c>
      <x:c r="G3390" s="32" t="n">
        <x:f t="shared" si="147">AVERAGE(E3191:E3390)</x:f>
        <x:v>585.7955499999996</x:v>
      </x:c>
      <x:c r="H3390" s="37" t="n">
        <x:f t="shared" si="148">IFERROR(E3390/G3390-1,"")</x:f>
        <x:v>0.02866947350487803</x:v>
      </x:c>
      <x:c r="I3390" s="38" t="b">
        <x:f t="shared" si="149">E3390&lt;G3390</x:f>
        <x:v>0</x:v>
      </x:c>
    </x:row>
    <x:row r="3391">
      <x:c r="A3391" s="31">
        <x:v>41953</x:v>
      </x:c>
      <x:c r="B3391" s="32">
        <x:v>604.75</x:v>
      </x:c>
      <x:c r="C3391" s="32">
        <x:v>607.5</x:v>
      </x:c>
      <x:c r="D3391" s="32">
        <x:v>602.12</x:v>
      </x:c>
      <x:c r="E3391" s="32">
        <x:v>602.12</x:v>
      </x:c>
      <x:c r="F3391" s="33">
        <x:v>126939270</x:v>
      </x:c>
      <x:c r="G3391" s="32" t="n">
        <x:f t="shared" si="147">AVERAGE(E3192:E3391)</x:f>
        <x:v>586.1727499999995</x:v>
      </x:c>
      <x:c r="H3391" s="37" t="n">
        <x:f t="shared" si="148">IFERROR(E3391/G3391-1,"")</x:f>
        <x:v>0.02720571708596231</x:v>
      </x:c>
      <x:c r="I3391" s="38" t="b">
        <x:f t="shared" si="149">E3391&lt;G3391</x:f>
        <x:v>0</x:v>
      </x:c>
    </x:row>
    <x:row r="3392">
      <x:c r="A3392" s="31">
        <x:v>41954</x:v>
      </x:c>
      <x:c r="B3392" s="32">
        <x:v>603.48</x:v>
      </x:c>
      <x:c r="C3392" s="32">
        <x:v>608.67999999999995</x:v>
      </x:c>
      <x:c r="D3392" s="32">
        <x:v>601.85</x:v>
      </x:c>
      <x:c r="E3392" s="32">
        <x:v>604.23</x:v>
      </x:c>
      <x:c r="F3392" s="33">
        <x:v>132043890</x:v>
      </x:c>
      <x:c r="G3392" s="32" t="n">
        <x:f t="shared" si="147">AVERAGE(E3193:E3392)</x:f>
        <x:v>586.5261999999994</x:v>
      </x:c>
      <x:c r="H3392" s="37" t="n">
        <x:f t="shared" si="148">IFERROR(E3392/G3392-1,"")</x:f>
        <x:v>0.03018415886622039</x:v>
      </x:c>
      <x:c r="I3392" s="38" t="b">
        <x:f t="shared" si="149">E3392&lt;G3392</x:f>
        <x:v>0</x:v>
      </x:c>
    </x:row>
    <x:row r="3393">
      <x:c r="A3393" s="31">
        <x:v>41955</x:v>
      </x:c>
      <x:c r="B3393" s="32">
        <x:v>605.14</x:v>
      </x:c>
      <x:c r="C3393" s="32">
        <x:v>606.36</x:v>
      </x:c>
      <x:c r="D3393" s="32">
        <x:v>603.12</x:v>
      </x:c>
      <x:c r="E3393" s="32">
        <x:v>604.01</x:v>
      </x:c>
      <x:c r="F3393" s="33">
        <x:v>121877550</x:v>
      </x:c>
      <x:c r="G3393" s="32" t="n">
        <x:f t="shared" si="147">AVERAGE(E3194:E3393)</x:f>
        <x:v>586.8282999999994</x:v>
      </x:c>
      <x:c r="H3393" s="37" t="n">
        <x:f t="shared" si="148">IFERROR(E3393/G3393-1,"")</x:f>
        <x:v>0.029278921960649518</x:v>
      </x:c>
      <x:c r="I3393" s="38" t="b">
        <x:f t="shared" si="149">E3393&lt;G3393</x:f>
        <x:v>0</x:v>
      </x:c>
    </x:row>
    <x:row r="3394">
      <x:c r="A3394" s="31">
        <x:v>41956</x:v>
      </x:c>
      <x:c r="B3394" s="32">
        <x:v>605.25</x:v>
      </x:c>
      <x:c r="C3394" s="32">
        <x:v>607.29</x:v>
      </x:c>
      <x:c r="D3394" s="32">
        <x:v>602.62</x:v>
      </x:c>
      <x:c r="E3394" s="32">
        <x:v>603.16</x:v>
      </x:c>
      <x:c r="F3394" s="33">
        <x:v>139365180</x:v>
      </x:c>
      <x:c r="G3394" s="32" t="n">
        <x:f t="shared" si="147">AVERAGE(E3195:E3394)</x:f>
        <x:v>587.0757499999995</x:v>
      </x:c>
      <x:c r="H3394" s="37" t="n">
        <x:f t="shared" si="148">IFERROR(E3394/G3394-1,"")</x:f>
        <x:v>0.02739723110688952</x:v>
      </x:c>
      <x:c r="I3394" s="38" t="b">
        <x:f t="shared" si="149">E3394&lt;G3394</x:f>
        <x:v>0</x:v>
      </x:c>
    </x:row>
    <x:row r="3395">
      <x:c r="A3395" s="31">
        <x:v>41957</x:v>
      </x:c>
      <x:c r="B3395" s="32">
        <x:v>601.69000000000005</x:v>
      </x:c>
      <x:c r="C3395" s="32">
        <x:v>602.51</x:v>
      </x:c>
      <x:c r="D3395" s="32">
        <x:v>596.95000000000005</x:v>
      </x:c>
      <x:c r="E3395" s="32">
        <x:v>600.36</x:v>
      </x:c>
      <x:c r="F3395" s="33">
        <x:v>141302230</x:v>
      </x:c>
      <x:c r="G3395" s="32" t="n">
        <x:f t="shared" si="147">AVERAGE(E3196:E3395)</x:f>
        <x:v>587.2779999999995</x:v>
      </x:c>
      <x:c r="H3395" s="37" t="n">
        <x:f t="shared" si="148">IFERROR(E3395/G3395-1,"")</x:f>
        <x:v>0.022275651395081253</x:v>
      </x:c>
      <x:c r="I3395" s="38" t="b">
        <x:f t="shared" si="149">E3395&lt;G3395</x:f>
        <x:v>0</x:v>
      </x:c>
    </x:row>
    <x:row r="3396">
      <x:c r="A3396" s="31">
        <x:v>41960</x:v>
      </x:c>
      <x:c r="B3396" s="32">
        <x:v>602.4</x:v>
      </x:c>
      <x:c r="C3396" s="32">
        <x:v>604.63</x:v>
      </x:c>
      <x:c r="D3396" s="32">
        <x:v>600.92999999999995</x:v>
      </x:c>
      <x:c r="E3396" s="32">
        <x:v>600.92999999999995</x:v>
      </x:c>
      <x:c r="F3396" s="33">
        <x:v>108861540</x:v>
      </x:c>
      <x:c r="G3396" s="32" t="n">
        <x:f t="shared" si="147">AVERAGE(E3197:E3396)</x:f>
        <x:v>587.5230499999994</x:v>
      </x:c>
      <x:c r="H3396" s="37" t="n">
        <x:f t="shared" si="148">IFERROR(E3396/G3396-1,"")</x:f>
        <x:v>0.02281944512645162</x:v>
      </x:c>
      <x:c r="I3396" s="38" t="b">
        <x:f t="shared" si="149">E3396&lt;G3396</x:f>
        <x:v>0</x:v>
      </x:c>
    </x:row>
    <x:row r="3397">
      <x:c r="A3397" s="31">
        <x:v>41961</x:v>
      </x:c>
      <x:c r="B3397" s="32">
        <x:v>600.86</x:v>
      </x:c>
      <x:c r="C3397" s="32">
        <x:v>602.53</x:v>
      </x:c>
      <x:c r="D3397" s="32">
        <x:v>594.25</x:v>
      </x:c>
      <x:c r="E3397" s="32">
        <x:v>594.25</x:v>
      </x:c>
      <x:c r="F3397" s="33">
        <x:v>128868510</x:v>
      </x:c>
      <x:c r="G3397" s="32" t="n">
        <x:f t="shared" si="147">AVERAGE(E3198:E3397)</x:f>
        <x:v>587.7265499999995</x:v>
      </x:c>
      <x:c r="H3397" s="37" t="n">
        <x:f t="shared" si="148">IFERROR(E3397/G3397-1,"")</x:f>
        <x:v>0.011099464538398829</x:v>
      </x:c>
      <x:c r="I3397" s="38" t="b">
        <x:f t="shared" si="149">E3397&lt;G3397</x:f>
        <x:v>0</x:v>
      </x:c>
    </x:row>
    <x:row r="3398">
      <x:c r="A3398" s="31">
        <x:v>41962</x:v>
      </x:c>
      <x:c r="B3398" s="32">
        <x:v>594.88</x:v>
      </x:c>
      <x:c r="C3398" s="32">
        <x:v>597.29</x:v>
      </x:c>
      <x:c r="D3398" s="32">
        <x:v>588.35</x:v>
      </x:c>
      <x:c r="E3398" s="32">
        <x:v>588.35</x:v>
      </x:c>
      <x:c r="F3398" s="33">
        <x:v>131657230</x:v>
      </x:c>
      <x:c r="G3398" s="32" t="n">
        <x:f t="shared" si="147">AVERAGE(E3199:E3398)</x:f>
        <x:v>587.8673499999995</x:v>
      </x:c>
      <x:c r="H3398" s="37" t="n">
        <x:f t="shared" si="148">IFERROR(E3398/G3398-1,"")</x:f>
        <x:v>0.0008210185512096402</x:v>
      </x:c>
      <x:c r="I3398" s="38" t="b">
        <x:f t="shared" si="149">E3398&lt;G3398</x:f>
        <x:v>0</x:v>
      </x:c>
    </x:row>
    <x:row r="3399">
      <x:c r="A3399" s="31">
        <x:v>41963</x:v>
      </x:c>
      <x:c r="B3399" s="32">
        <x:v>592.16999999999996</x:v>
      </x:c>
      <x:c r="C3399" s="32">
        <x:v>594.76</x:v>
      </x:c>
      <x:c r="D3399" s="32">
        <x:v>589.84</x:v>
      </x:c>
      <x:c r="E3399" s="32">
        <x:v>593.32000000000005</x:v>
      </x:c>
      <x:c r="F3399" s="33">
        <x:v>147023610</x:v>
      </x:c>
      <x:c r="G3399" s="32" t="n">
        <x:f t="shared" si="147">AVERAGE(E3200:E3399)</x:f>
        <x:v>588.0513499999996</x:v>
      </x:c>
      <x:c r="H3399" s="37" t="n">
        <x:f t="shared" si="148">IFERROR(E3399/G3399-1,"")</x:f>
        <x:v>0.008959506682537866</x:v>
      </x:c>
      <x:c r="I3399" s="38" t="b">
        <x:f t="shared" si="149">E3399&lt;G3399</x:f>
        <x:v>0</x:v>
      </x:c>
    </x:row>
    <x:row r="3400">
      <x:c r="A3400" s="31">
        <x:v>41964</x:v>
      </x:c>
      <x:c r="B3400" s="32">
        <x:v>594.71</x:v>
      </x:c>
      <x:c r="C3400" s="32">
        <x:v>596.02</x:v>
      </x:c>
      <x:c r="D3400" s="32">
        <x:v>588.03</x:v>
      </x:c>
      <x:c r="E3400" s="32">
        <x:v>588.03</x:v>
      </x:c>
      <x:c r="F3400" s="33">
        <x:v>157836660</x:v>
      </x:c>
      <x:c r="G3400" s="32" t="n">
        <x:f t="shared" si="147">AVERAGE(E3201:E3400)</x:f>
        <x:v>588.2180999999996</x:v>
      </x:c>
      <x:c r="H3400" s="37" t="n">
        <x:f t="shared" si="148">IFERROR(E3400/G3400-1,"")</x:f>
        <x:v>-0.0003197793471496624</x:v>
      </x:c>
      <x:c r="I3400" s="38" t="b">
        <x:f t="shared" si="149">E3400&lt;G3400</x:f>
        <x:v>1</x:v>
      </x:c>
    </x:row>
    <x:row r="3401">
      <x:c r="A3401" s="31">
        <x:v>41967</x:v>
      </x:c>
      <x:c r="B3401" s="32">
        <x:v>585.08000000000004</x:v>
      </x:c>
      <x:c r="C3401" s="32">
        <x:v>586.54</x:v>
      </x:c>
      <x:c r="D3401" s="32">
        <x:v>580.91999999999996</x:v>
      </x:c>
      <x:c r="E3401" s="32">
        <x:v>582.53</x:v>
      </x:c>
      <x:c r="F3401" s="33">
        <x:v>111511310</x:v>
      </x:c>
      <x:c r="G3401" s="32" t="n">
        <x:f t="shared" si="147">AVERAGE(E3202:E3401)</x:f>
        <x:v>588.3819499999997</x:v>
      </x:c>
      <x:c r="H3401" s="37" t="n">
        <x:f t="shared" si="148">IFERROR(E3401/G3401-1,"")</x:f>
        <x:v>-0.009945835354058352</x:v>
      </x:c>
      <x:c r="I3401" s="38" t="b">
        <x:f t="shared" si="149">E3401&lt;G3401</x:f>
        <x:v>1</x:v>
      </x:c>
    </x:row>
    <x:row r="3402">
      <x:c r="A3402" s="31">
        <x:v>41968</x:v>
      </x:c>
      <x:c r="B3402" s="32">
        <x:v>583.53</x:v>
      </x:c>
      <x:c r="C3402" s="32">
        <x:v>588.41999999999996</x:v>
      </x:c>
      <x:c r="D3402" s="32">
        <x:v>583.53</x:v>
      </x:c>
      <x:c r="E3402" s="32">
        <x:v>585.91</x:v>
      </x:c>
      <x:c r="F3402" s="33">
        <x:v>102742670</x:v>
      </x:c>
      <x:c r="G3402" s="32" t="n">
        <x:f t="shared" si="147">AVERAGE(E3203:E3402)</x:f>
        <x:v>588.5319999999997</x:v>
      </x:c>
      <x:c r="H3402" s="37" t="n">
        <x:f t="shared" si="148">IFERROR(E3402/G3402-1,"")</x:f>
        <x:v>-0.004455152820916686</x:v>
      </x:c>
      <x:c r="I3402" s="38" t="b">
        <x:f t="shared" si="149">E3402&lt;G3402</x:f>
        <x:v>1</x:v>
      </x:c>
    </x:row>
    <x:row r="3403">
      <x:c r="A3403" s="31">
        <x:v>41969</x:v>
      </x:c>
      <x:c r="B3403" s="32">
        <x:v>587.58000000000004</x:v>
      </x:c>
      <x:c r="C3403" s="32">
        <x:v>588.16</x:v>
      </x:c>
      <x:c r="D3403" s="32">
        <x:v>575.09</x:v>
      </x:c>
      <x:c r="E3403" s="32">
        <x:v>576.04</x:v>
      </x:c>
      <x:c r="F3403" s="33">
        <x:v>153001780</x:v>
      </x:c>
      <x:c r="G3403" s="32" t="n">
        <x:f t="shared" si="147">AVERAGE(E3204:E3403)</x:f>
        <x:v>588.6426999999996</x:v>
      </x:c>
      <x:c r="H3403" s="37" t="n">
        <x:f t="shared" si="148">IFERROR(E3403/G3403-1,"")</x:f>
        <x:v>-0.02140976181306542</x:v>
      </x:c>
      <x:c r="I3403" s="38" t="b">
        <x:f t="shared" si="149">E3403&lt;G3403</x:f>
        <x:v>1</x:v>
      </x:c>
    </x:row>
    <x:row r="3404">
      <x:c r="A3404" s="31">
        <x:v>41970</x:v>
      </x:c>
      <x:c r="B3404" s="32">
        <x:v>575.63</x:v>
      </x:c>
      <x:c r="C3404" s="32">
        <x:v>575.82000000000005</x:v>
      </x:c>
      <x:c r="D3404" s="32">
        <x:v>567.36</x:v>
      </x:c>
      <x:c r="E3404" s="32">
        <x:v>572.89</x:v>
      </x:c>
      <x:c r="F3404" s="33">
        <x:v>107299540</x:v>
      </x:c>
      <x:c r="G3404" s="32" t="n">
        <x:f t="shared" si="147">AVERAGE(E3205:E3404)</x:f>
        <x:v>588.6858999999997</x:v>
      </x:c>
      <x:c r="H3404" s="37" t="n">
        <x:f t="shared" si="148">IFERROR(E3404/G3404-1,"")</x:f>
        <x:v>-0.026832475518777876</x:v>
      </x:c>
      <x:c r="I3404" s="38" t="b">
        <x:f t="shared" si="149">E3404&lt;G3404</x:f>
        <x:v>1</x:v>
      </x:c>
    </x:row>
    <x:row r="3405">
      <x:c r="A3405" s="31">
        <x:v>41971</x:v>
      </x:c>
      <x:c r="B3405" s="32">
        <x:v>570.61</x:v>
      </x:c>
      <x:c r="C3405" s="32">
        <x:v>572.12</x:v>
      </x:c>
      <x:c r="D3405" s="32">
        <x:v>565.1</x:v>
      </x:c>
      <x:c r="E3405" s="32">
        <x:v>566.58000000000004</x:v>
      </x:c>
      <x:c r="F3405" s="33">
        <x:v>138169790</x:v>
      </x:c>
      <x:c r="G3405" s="32" t="n">
        <x:f t="shared" ref="G3405:G3468" si="150">AVERAGE(E3206:E3405)</x:f>
        <x:v>588.6678999999997</x:v>
      </x:c>
      <x:c r="H3405" s="37" t="n">
        <x:f t="shared" ref="H3405:H3468" si="151">IFERROR(E3405/G3405-1,"")</x:f>
        <x:v>-0.03752183531665254</x:v>
      </x:c>
      <x:c r="I3405" s="38" t="b">
        <x:f t="shared" ref="I3405:I3468" si="152">E3405&lt;G3405</x:f>
        <x:v>1</x:v>
      </x:c>
    </x:row>
    <x:row r="3406">
      <x:c r="A3406" s="31">
        <x:v>41974</x:v>
      </x:c>
      <x:c r="B3406" s="32">
        <x:v>566.22</x:v>
      </x:c>
      <x:c r="C3406" s="32">
        <x:v>571.69000000000005</x:v>
      </x:c>
      <x:c r="D3406" s="32">
        <x:v>565.09</x:v>
      </x:c>
      <x:c r="E3406" s="32">
        <x:v>568.01</x:v>
      </x:c>
      <x:c r="F3406" s="33">
        <x:v>108033330</x:v>
      </x:c>
      <x:c r="G3406" s="32" t="n">
        <x:f t="shared" si="150">AVERAGE(E3207:E3406)</x:f>
        <x:v>588.6468499999996</x:v>
      </x:c>
      <x:c r="H3406" s="37" t="n">
        <x:f t="shared" si="151">IFERROR(E3406/G3406-1,"")</x:f>
        <x:v>-0.03505811676389614</x:v>
      </x:c>
      <x:c r="I3406" s="38" t="b">
        <x:f t="shared" si="152">E3406&lt;G3406</x:f>
        <x:v>1</x:v>
      </x:c>
    </x:row>
    <x:row r="3407">
      <x:c r="A3407" s="31">
        <x:v>41975</x:v>
      </x:c>
      <x:c r="B3407" s="32">
        <x:v>570.44000000000005</x:v>
      </x:c>
      <x:c r="C3407" s="32">
        <x:v>570.79</x:v>
      </x:c>
      <x:c r="D3407" s="32">
        <x:v>568.54999999999995</x:v>
      </x:c>
      <x:c r="E3407" s="32">
        <x:v>569.42999999999995</x:v>
      </x:c>
      <x:c r="F3407" s="33">
        <x:v>95251130</x:v>
      </x:c>
      <x:c r="G3407" s="32" t="n">
        <x:f t="shared" si="150">AVERAGE(E3208:E3407)</x:f>
        <x:v>588.6429999999996</x:v>
      </x:c>
      <x:c r="H3407" s="37" t="n">
        <x:f t="shared" si="151">IFERROR(E3407/G3407-1,"")</x:f>
        <x:v>-0.03263947757809005</x:v>
      </x:c>
      <x:c r="I3407" s="38" t="b">
        <x:f t="shared" si="152">E3407&lt;G3407</x:f>
        <x:v>1</x:v>
      </x:c>
    </x:row>
    <x:row r="3408">
      <x:c r="A3408" s="31">
        <x:v>41976</x:v>
      </x:c>
      <x:c r="B3408" s="32">
        <x:v>570.48</x:v>
      </x:c>
      <x:c r="C3408" s="32">
        <x:v>575.95000000000005</x:v>
      </x:c>
      <x:c r="D3408" s="32">
        <x:v>570.44000000000005</x:v>
      </x:c>
      <x:c r="E3408" s="32">
        <x:v>574.88</x:v>
      </x:c>
      <x:c r="F3408" s="33">
        <x:v>111414110</x:v>
      </x:c>
      <x:c r="G3408" s="32" t="n">
        <x:f t="shared" si="150">AVERAGE(E3209:E3408)</x:f>
        <x:v>588.6445999999995</x:v>
      </x:c>
      <x:c r="H3408" s="37" t="n">
        <x:f t="shared" si="151">IFERROR(E3408/G3408-1,"")</x:f>
        <x:v>-0.023383549258753966</x:v>
      </x:c>
      <x:c r="I3408" s="38" t="b">
        <x:f t="shared" si="152">E3408&lt;G3408</x:f>
        <x:v>1</x:v>
      </x:c>
    </x:row>
    <x:row r="3409">
      <x:c r="A3409" s="31">
        <x:v>41977</x:v>
      </x:c>
      <x:c r="B3409" s="32">
        <x:v>576.63</x:v>
      </x:c>
      <x:c r="C3409" s="32">
        <x:v>581.27</x:v>
      </x:c>
      <x:c r="D3409" s="32">
        <x:v>576.63</x:v>
      </x:c>
      <x:c r="E3409" s="32">
        <x:v>578.38</x:v>
      </x:c>
      <x:c r="F3409" s="33">
        <x:v>105904080</x:v>
      </x:c>
      <x:c r="G3409" s="32" t="n">
        <x:f t="shared" si="150">AVERAGE(E3210:E3409)</x:f>
        <x:v>588.6458999999996</x:v>
      </x:c>
      <x:c r="H3409" s="37" t="n">
        <x:f t="shared" si="151">IFERROR(E3409/G3409-1,"")</x:f>
        <x:v>-0.01743985645699675</x:v>
      </x:c>
      <x:c r="I3409" s="38" t="b">
        <x:f t="shared" si="152">E3409&lt;G3409</x:f>
        <x:v>1</x:v>
      </x:c>
    </x:row>
    <x:row r="3410">
      <x:c r="A3410" s="31">
        <x:v>41978</x:v>
      </x:c>
      <x:c r="B3410" s="32">
        <x:v>578.52</x:v>
      </x:c>
      <x:c r="C3410" s="32">
        <x:v>582.41999999999996</x:v>
      </x:c>
      <x:c r="D3410" s="32">
        <x:v>578.17999999999995</x:v>
      </x:c>
      <x:c r="E3410" s="32">
        <x:v>578.76</x:v>
      </x:c>
      <x:c r="F3410" s="33">
        <x:v>95316490</x:v>
      </x:c>
      <x:c r="G3410" s="32" t="n">
        <x:f t="shared" si="150">AVERAGE(E3211:E3410)</x:f>
        <x:v>588.6844999999996</x:v>
      </x:c>
      <x:c r="H3410" s="37" t="n">
        <x:f t="shared" si="151">IFERROR(E3410/G3410-1,"")</x:f>
        <x:v>-0.016858775795862813</x:v>
      </x:c>
      <x:c r="I3410" s="38" t="b">
        <x:f t="shared" si="152">E3410&lt;G3410</x:f>
        <x:v>1</x:v>
      </x:c>
    </x:row>
    <x:row r="3411">
      <x:c r="A3411" s="31">
        <x:v>41981</x:v>
      </x:c>
      <x:c r="B3411" s="32">
        <x:v>577.44000000000005</x:v>
      </x:c>
      <x:c r="C3411" s="32">
        <x:v>577.44000000000005</x:v>
      </x:c>
      <x:c r="D3411" s="32">
        <x:v>569.24</x:v>
      </x:c>
      <x:c r="E3411" s="32">
        <x:v>571.67999999999995</x:v>
      </x:c>
      <x:c r="F3411" s="33">
        <x:v>105840990</x:v>
      </x:c>
      <x:c r="G3411" s="32" t="n">
        <x:f t="shared" si="150">AVERAGE(E3212:E3411)</x:f>
        <x:v>588.6900499999996</x:v>
      </x:c>
      <x:c r="H3411" s="37" t="n">
        <x:f t="shared" si="151">IFERROR(E3411/G3411-1,"")</x:f>
        <x:v>-0.02889474690458871</x:v>
      </x:c>
      <x:c r="I3411" s="38" t="b">
        <x:f t="shared" si="152">E3411&lt;G3411</x:f>
        <x:v>1</x:v>
      </x:c>
    </x:row>
    <x:row r="3412">
      <x:c r="A3412" s="31">
        <x:v>41982</x:v>
      </x:c>
      <x:c r="B3412" s="32">
        <x:v>567.54999999999995</x:v>
      </x:c>
      <x:c r="C3412" s="32">
        <x:v>567.54999999999995</x:v>
      </x:c>
      <x:c r="D3412" s="32">
        <x:v>554.51</x:v>
      </x:c>
      <x:c r="E3412" s="32">
        <x:v>555.30999999999995</x:v>
      </x:c>
      <x:c r="F3412" s="33">
        <x:v>169970680</x:v>
      </x:c>
      <x:c r="G3412" s="32" t="n">
        <x:f t="shared" si="150">AVERAGE(E3213:E3412)</x:f>
        <x:v>588.5836999999997</x:v>
      </x:c>
      <x:c r="H3412" s="37" t="n">
        <x:f t="shared" si="151">IFERROR(E3412/G3412-1,"")</x:f>
        <x:v>-0.056531806776164095</x:v>
      </x:c>
      <x:c r="I3412" s="38" t="b">
        <x:f t="shared" si="152">E3412&lt;G3412</x:f>
        <x:v>1</x:v>
      </x:c>
    </x:row>
    <x:row r="3413">
      <x:c r="A3413" s="31">
        <x:v>41983</x:v>
      </x:c>
      <x:c r="B3413" s="32">
        <x:v>550.35</x:v>
      </x:c>
      <x:c r="C3413" s="32">
        <x:v>558.47</x:v>
      </x:c>
      <x:c r="D3413" s="32">
        <x:v>544.78</x:v>
      </x:c>
      <x:c r="E3413" s="32">
        <x:v>557.19000000000005</x:v>
      </x:c>
      <x:c r="F3413" s="33">
        <x:v>111615650</x:v>
      </x:c>
      <x:c r="G3413" s="32" t="n">
        <x:f t="shared" si="150">AVERAGE(E3214:E3413)</x:f>
        <x:v>588.4386499999997</x:v>
      </x:c>
      <x:c r="H3413" s="37" t="n">
        <x:f t="shared" si="151">IFERROR(E3413/G3413-1,"")</x:f>
        <x:v>-0.05310434656187124</x:v>
      </x:c>
      <x:c r="I3413" s="38" t="b">
        <x:f t="shared" si="152">E3413&lt;G3413</x:f>
        <x:v>1</x:v>
      </x:c>
    </x:row>
    <x:row r="3414">
      <x:c r="A3414" s="31">
        <x:v>41984</x:v>
      </x:c>
      <x:c r="B3414" s="32">
        <x:v>549.78</x:v>
      </x:c>
      <x:c r="C3414" s="32">
        <x:v>557.96</x:v>
      </x:c>
      <x:c r="D3414" s="32">
        <x:v>547.54999999999995</x:v>
      </x:c>
      <x:c r="E3414" s="32">
        <x:v>550.11</x:v>
      </x:c>
      <x:c r="F3414" s="33">
        <x:v>87052690</x:v>
      </x:c>
      <x:c r="G3414" s="32" t="n">
        <x:f t="shared" si="150">AVERAGE(E3215:E3414)</x:f>
        <x:v>588.2401499999997</x:v>
      </x:c>
      <x:c r="H3414" s="37" t="n">
        <x:f t="shared" si="151">IFERROR(E3414/G3414-1,"")</x:f>
        <x:v>-0.06482071990495675</x:v>
      </x:c>
      <x:c r="I3414" s="38" t="b">
        <x:f t="shared" si="152">E3414&lt;G3414</x:f>
        <x:v>1</x:v>
      </x:c>
    </x:row>
    <x:row r="3415">
      <x:c r="A3415" s="31">
        <x:v>41985</x:v>
      </x:c>
      <x:c r="B3415" s="32">
        <x:v>547.69000000000005</x:v>
      </x:c>
      <x:c r="C3415" s="32">
        <x:v>554.82000000000005</x:v>
      </x:c>
      <x:c r="D3415" s="32">
        <x:v>547.69000000000005</x:v>
      </x:c>
      <x:c r="E3415" s="32">
        <x:v>553.92999999999995</x:v>
      </x:c>
      <x:c r="F3415" s="33">
        <x:v>73938730</x:v>
      </x:c>
      <x:c r="G3415" s="32" t="n">
        <x:f t="shared" si="150">AVERAGE(E3216:E3415)</x:f>
        <x:v>588.0708499999997</x:v>
      </x:c>
      <x:c r="H3415" s="37" t="n">
        <x:f t="shared" si="151">IFERROR(E3415/G3415-1,"")</x:f>
        <x:v>-0.05805567475415552</x:v>
      </x:c>
      <x:c r="I3415" s="38" t="b">
        <x:f t="shared" si="152">E3415&lt;G3415</x:f>
        <x:v>1</x:v>
      </x:c>
    </x:row>
    <x:row r="3416">
      <x:c r="A3416" s="31">
        <x:v>41988</x:v>
      </x:c>
      <x:c r="B3416" s="32">
        <x:v>550.79999999999995</x:v>
      </x:c>
      <x:c r="C3416" s="32">
        <x:v>554.35</x:v>
      </x:c>
      <x:c r="D3416" s="32">
        <x:v>547.92999999999995</x:v>
      </x:c>
      <x:c r="E3416" s="32">
        <x:v>547.92999999999995</x:v>
      </x:c>
      <x:c r="F3416" s="33">
        <x:v>77841880</x:v>
      </x:c>
      <x:c r="G3416" s="32" t="n">
        <x:f t="shared" si="150">AVERAGE(E3217:E3416)</x:f>
        <x:v>587.8780999999996</x:v>
      </x:c>
      <x:c r="H3416" s="37" t="n">
        <x:f t="shared" si="151">IFERROR(E3416/G3416-1,"")</x:f>
        <x:v>-0.06795303312030099</x:v>
      </x:c>
      <x:c r="I3416" s="38" t="b">
        <x:f t="shared" si="152">E3416&lt;G3416</x:f>
        <x:v>1</x:v>
      </x:c>
    </x:row>
    <x:row r="3417">
      <x:c r="A3417" s="31">
        <x:v>41989</x:v>
      </x:c>
      <x:c r="B3417" s="32">
        <x:v>545.33000000000004</x:v>
      </x:c>
      <x:c r="C3417" s="32">
        <x:v>545.66</x:v>
      </x:c>
      <x:c r="D3417" s="32">
        <x:v>535</x:v>
      </x:c>
      <x:c r="E3417" s="32">
        <x:v>535.14</x:v>
      </x:c>
      <x:c r="F3417" s="33">
        <x:v>114699800</x:v>
      </x:c>
      <x:c r="G3417" s="32" t="n">
        <x:f t="shared" si="150">AVERAGE(E3218:E3417)</x:f>
        <x:v>587.6868999999997</x:v>
      </x:c>
      <x:c r="H3417" s="37" t="n">
        <x:f t="shared" si="151">IFERROR(E3417/G3417-1,"")</x:f>
        <x:v>-0.0894130871387464</x:v>
      </x:c>
      <x:c r="I3417" s="38" t="b">
        <x:f t="shared" si="152">E3417&lt;G3417</x:f>
        <x:v>1</x:v>
      </x:c>
    </x:row>
    <x:row r="3418">
      <x:c r="A3418" s="31">
        <x:v>41990</x:v>
      </x:c>
      <x:c r="B3418" s="32">
        <x:v>535.27</x:v>
      </x:c>
      <x:c r="C3418" s="32">
        <x:v>536.64</x:v>
      </x:c>
      <x:c r="D3418" s="32">
        <x:v>513.05999999999995</x:v>
      </x:c>
      <x:c r="E3418" s="32">
        <x:v>518.22</x:v>
      </x:c>
      <x:c r="F3418" s="33">
        <x:v>165055720</x:v>
      </x:c>
      <x:c r="G3418" s="32" t="n">
        <x:f t="shared" si="150">AVERAGE(E3219:E3418)</x:f>
        <x:v>587.4281499999996</x:v>
      </x:c>
      <x:c r="H3418" s="37" t="n">
        <x:f t="shared" si="151">IFERROR(E3418/G3418-1,"")</x:f>
        <x:v>-0.1178155149697876</x:v>
      </x:c>
      <x:c r="I3418" s="38" t="b">
        <x:f t="shared" si="152">E3418&lt;G3418</x:f>
        <x:v>1</x:v>
      </x:c>
    </x:row>
    <x:row r="3419">
      <x:c r="A3419" s="31">
        <x:v>41991</x:v>
      </x:c>
      <x:c r="B3419" s="32">
        <x:v>522.9</x:v>
      </x:c>
      <x:c r="C3419" s="32">
        <x:v>528.6</x:v>
      </x:c>
      <x:c r="D3419" s="32">
        <x:v>521.33000000000004</x:v>
      </x:c>
      <x:c r="E3419" s="32">
        <x:v>528.45000000000005</x:v>
      </x:c>
      <x:c r="F3419" s="33">
        <x:v>94737920</x:v>
      </x:c>
      <x:c r="G3419" s="32" t="n">
        <x:f t="shared" si="150">AVERAGE(E3220:E3419)</x:f>
        <x:v>587.1956999999996</x:v>
      </x:c>
      <x:c r="H3419" s="37" t="n">
        <x:f t="shared" si="151">IFERROR(E3419/G3419-1,"")</x:f>
        <x:v>-0.10004449964466644</x:v>
      </x:c>
      <x:c r="I3419" s="38" t="b">
        <x:f t="shared" si="152">E3419&lt;G3419</x:f>
        <x:v>1</x:v>
      </x:c>
    </x:row>
    <x:row r="3420">
      <x:c r="A3420" s="31">
        <x:v>41992</x:v>
      </x:c>
      <x:c r="B3420" s="32">
        <x:v>527.61</x:v>
      </x:c>
      <x:c r="C3420" s="32">
        <x:v>533.29999999999995</x:v>
      </x:c>
      <x:c r="D3420" s="32">
        <x:v>522.1</x:v>
      </x:c>
      <x:c r="E3420" s="32">
        <x:v>523.09</x:v>
      </x:c>
      <x:c r="F3420" s="33">
        <x:v>171218450</x:v>
      </x:c>
      <x:c r="G3420" s="32" t="n">
        <x:f t="shared" si="150">AVERAGE(E3221:E3420)</x:f>
        <x:v>586.9183499999996</x:v>
      </x:c>
      <x:c r="H3420" s="37" t="n">
        <x:f t="shared" si="151">IFERROR(E3420/G3420-1,"")</x:f>
        <x:v>-0.1087516687798219</x:v>
      </x:c>
      <x:c r="I3420" s="38" t="b">
        <x:f t="shared" si="152">E3420&lt;G3420</x:f>
        <x:v>1</x:v>
      </x:c>
    </x:row>
    <x:row r="3421">
      <x:c r="A3421" s="31">
        <x:v>41995</x:v>
      </x:c>
      <x:c r="B3421" s="32">
        <x:v>527.28</x:v>
      </x:c>
      <x:c r="C3421" s="32">
        <x:v>537.54</x:v>
      </x:c>
      <x:c r="D3421" s="32">
        <x:v>527.28</x:v>
      </x:c>
      <x:c r="E3421" s="32">
        <x:v>537.54</x:v>
      </x:c>
      <x:c r="F3421" s="33">
        <x:v>70396910</x:v>
      </x:c>
      <x:c r="G3421" s="32" t="n">
        <x:f t="shared" si="150">AVERAGE(E3222:E3421)</x:f>
        <x:v>586.7072999999996</x:v>
      </x:c>
      <x:c r="H3421" s="37" t="n">
        <x:f t="shared" si="151">IFERROR(E3421/G3421-1,"")</x:f>
        <x:v>-0.08380209348000212</x:v>
      </x:c>
      <x:c r="I3421" s="38" t="b">
        <x:f t="shared" si="152">E3421&lt;G3421</x:f>
        <x:v>1</x:v>
      </x:c>
    </x:row>
    <x:row r="3422">
      <x:c r="A3422" s="31">
        <x:v>41996</x:v>
      </x:c>
      <x:c r="B3422" s="32">
        <x:v>535.61</x:v>
      </x:c>
      <x:c r="C3422" s="32">
        <x:v>543.22</x:v>
      </x:c>
      <x:c r="D3422" s="32">
        <x:v>532.78</x:v>
      </x:c>
      <x:c r="E3422" s="32">
        <x:v>537.88</x:v>
      </x:c>
      <x:c r="F3422" s="33">
        <x:v>76021280</x:v>
      </x:c>
      <x:c r="G3422" s="32" t="n">
        <x:f t="shared" si="150">AVERAGE(E3223:E3422)</x:f>
        <x:v>586.4782499999997</x:v>
      </x:c>
      <x:c r="H3422" s="37" t="n">
        <x:f t="shared" si="151">IFERROR(E3422/G3422-1,"")</x:f>
        <x:v>-0.08286453930729687</x:v>
      </x:c>
      <x:c r="I3422" s="38" t="b">
        <x:f t="shared" si="152">E3422&lt;G3422</x:f>
        <x:v>1</x:v>
      </x:c>
    </x:row>
    <x:row r="3423">
      <x:c r="A3423" s="31">
        <x:v>41997</x:v>
      </x:c>
      <x:c r="B3423" s="32">
        <x:v>540.46</x:v>
      </x:c>
      <x:c r="C3423" s="32">
        <x:v>541.73</x:v>
      </x:c>
      <x:c r="D3423" s="32">
        <x:v>536.79</x:v>
      </x:c>
      <x:c r="E3423" s="32">
        <x:v>539.44000000000005</x:v>
      </x:c>
      <x:c r="F3423" s="33">
        <x:v>57168000</x:v>
      </x:c>
      <x:c r="G3423" s="32" t="n">
        <x:f t="shared" si="150">AVERAGE(E3224:E3423)</x:f>
        <x:v>586.2329499999996</x:v>
      </x:c>
      <x:c r="H3423" s="37" t="n">
        <x:f t="shared" si="151">IFERROR(E3423/G3423-1,"")</x:f>
        <x:v>-0.07981972013002614</x:v>
      </x:c>
      <x:c r="I3423" s="38" t="b">
        <x:f t="shared" si="152">E3423&lt;G3423</x:f>
        <x:v>1</x:v>
      </x:c>
    </x:row>
    <x:row r="3424">
      <x:c r="A3424" s="31">
        <x:v>41998</x:v>
      </x:c>
      <x:c r="B3424" s="32">
        <x:v>536.21</x:v>
      </x:c>
      <x:c r="C3424" s="32">
        <x:v>537.47</x:v>
      </x:c>
      <x:c r="D3424" s="32">
        <x:v>531.52</x:v>
      </x:c>
      <x:c r="E3424" s="32">
        <x:v>532.01</x:v>
      </x:c>
      <x:c r="F3424" s="33">
        <x:v>67648520</x:v>
      </x:c>
      <x:c r="G3424" s="32" t="n">
        <x:f t="shared" si="150">AVERAGE(E3225:E3424)</x:f>
        <x:v>585.9428999999996</x:v>
      </x:c>
      <x:c r="H3424" s="37" t="n">
        <x:f t="shared" si="151">IFERROR(E3424/G3424-1,"")</x:f>
        <x:v>-0.09204463438331556</x:v>
      </x:c>
      <x:c r="I3424" s="38" t="b">
        <x:f t="shared" si="152">E3424&lt;G3424</x:f>
        <x:v>1</x:v>
      </x:c>
    </x:row>
    <x:row r="3425">
      <x:c r="A3425" s="31">
        <x:v>41999</x:v>
      </x:c>
      <x:c r="B3425" s="32">
        <x:v>531.84</x:v>
      </x:c>
      <x:c r="C3425" s="32">
        <x:v>537.89</x:v>
      </x:c>
      <x:c r="D3425" s="32">
        <x:v>527.41</x:v>
      </x:c>
      <x:c r="E3425" s="32">
        <x:v>533.37</x:v>
      </x:c>
      <x:c r="F3425" s="33">
        <x:v>85103360</x:v>
      </x:c>
      <x:c r="G3425" s="32" t="n">
        <x:f t="shared" si="150">AVERAGE(E3226:E3425)</x:f>
        <x:v>585.6336499999995</x:v>
      </x:c>
      <x:c r="H3425" s="37" t="n">
        <x:f t="shared" si="151">IFERROR(E3425/G3425-1,"")</x:f>
        <x:v>-0.08924290808767488</x:v>
      </x:c>
      <x:c r="I3425" s="38" t="b">
        <x:f t="shared" si="152">E3425&lt;G3425</x:f>
        <x:v>1</x:v>
      </x:c>
    </x:row>
    <x:row r="3426">
      <x:c r="A3426" s="31">
        <x:v>42002</x:v>
      </x:c>
      <x:c r="B3426" s="32">
        <x:v>534.55999999999995</x:v>
      </x:c>
      <x:c r="C3426" s="32">
        <x:v>538.83000000000004</x:v>
      </x:c>
      <x:c r="D3426" s="32">
        <x:v>528.63</x:v>
      </x:c>
      <x:c r="E3426" s="32">
        <x:v>532.67999999999995</x:v>
      </x:c>
      <x:c r="F3426" s="33">
        <x:v>94978280</x:v>
      </x:c>
      <x:c r="G3426" s="32" t="n">
        <x:f t="shared" si="150">AVERAGE(E3227:E3426)</x:f>
        <x:v>585.3128999999994</x:v>
      </x:c>
      <x:c r="H3426" s="37" t="n">
        <x:f t="shared" si="151">IFERROR(E3426/G3426-1,"")</x:f>
        <x:v>-0.08992267212972671</x:v>
      </x:c>
      <x:c r="I3426" s="38" t="b">
        <x:f t="shared" si="152">E3426&lt;G3426</x:f>
        <x:v>1</x:v>
      </x:c>
    </x:row>
    <x:row r="3427">
      <x:c r="A3427" s="31">
        <x:v>42003</x:v>
      </x:c>
      <x:c r="B3427" s="32">
        <x:v>531.07000000000005</x:v>
      </x:c>
      <x:c r="C3427" s="32">
        <x:v>537.57000000000005</x:v>
      </x:c>
      <x:c r="D3427" s="32">
        <x:v>526.61</x:v>
      </x:c>
      <x:c r="E3427" s="32">
        <x:v>537.57000000000005</x:v>
      </x:c>
      <x:c r="F3427" s="33">
        <x:v>80298630</x:v>
      </x:c>
      <x:c r="G3427" s="32" t="n">
        <x:f t="shared" si="150">AVERAGE(E3228:E3427)</x:f>
        <x:v>584.9989499999996</x:v>
      </x:c>
      <x:c r="H3427" s="37" t="n">
        <x:f t="shared" si="151">IFERROR(E3427/G3427-1,"")</x:f>
        <x:v>-0.08107527372484957</x:v>
      </x:c>
      <x:c r="I3427" s="38" t="b">
        <x:f t="shared" si="152">E3427&lt;G3427</x:f>
        <x:v>1</x:v>
      </x:c>
    </x:row>
    <x:row r="3428">
      <x:c r="A3428" s="31">
        <x:v>42004</x:v>
      </x:c>
      <x:c r="B3428" s="32">
        <x:v>538.67999999999995</x:v>
      </x:c>
      <x:c r="C3428" s="32">
        <x:v>546.62</x:v>
      </x:c>
      <x:c r="D3428" s="32">
        <x:v>537.91</x:v>
      </x:c>
      <x:c r="E3428" s="32">
        <x:v>545.63</x:v>
      </x:c>
      <x:c r="F3428" s="33">
        <x:v>106297220</x:v>
      </x:c>
      <x:c r="G3428" s="32" t="n">
        <x:f t="shared" si="150">AVERAGE(E3229:E3428)</x:f>
        <x:v>584.7278499999996</x:v>
      </x:c>
      <x:c r="H3428" s="37" t="n">
        <x:f t="shared" si="151">IFERROR(E3428/G3428-1,"")</x:f>
        <x:v>-0.06686503815407407</x:v>
      </x:c>
      <x:c r="I3428" s="38" t="b">
        <x:f t="shared" si="152">E3428&lt;G3428</x:f>
        <x:v>1</x:v>
      </x:c>
    </x:row>
    <x:row r="3429">
      <x:c r="A3429" s="31">
        <x:v>42009</x:v>
      </x:c>
      <x:c r="B3429" s="32">
        <x:v>545.42999999999995</x:v>
      </x:c>
      <x:c r="C3429" s="32">
        <x:v>549.22</x:v>
      </x:c>
      <x:c r="D3429" s="32">
        <x:v>543.78</x:v>
      </x:c>
      <x:c r="E3429" s="32">
        <x:v>544.45000000000005</x:v>
      </x:c>
      <x:c r="F3429" s="33">
        <x:v>91834620</x:v>
      </x:c>
      <x:c r="G3429" s="32" t="n">
        <x:f t="shared" si="150">AVERAGE(E3230:E3429)</x:f>
        <x:v>584.4221499999995</x:v>
      </x:c>
      <x:c r="H3429" s="37" t="n">
        <x:f t="shared" si="151">IFERROR(E3429/G3429-1,"")</x:f>
        <x:v>-0.06839602160869418</x:v>
      </x:c>
      <x:c r="I3429" s="38" t="b">
        <x:f t="shared" si="152">E3429&lt;G3429</x:f>
        <x:v>1</x:v>
      </x:c>
    </x:row>
    <x:row r="3430">
      <x:c r="A3430" s="31">
        <x:v>42010</x:v>
      </x:c>
      <x:c r="B3430" s="32">
        <x:v>539.08000000000004</x:v>
      </x:c>
      <x:c r="C3430" s="32">
        <x:v>550.11</x:v>
      </x:c>
      <x:c r="D3430" s="32">
        <x:v>538.82000000000005</x:v>
      </x:c>
      <x:c r="E3430" s="32">
        <x:v>549.66</x:v>
      </x:c>
      <x:c r="F3430" s="33">
        <x:v>94081890</x:v>
      </x:c>
      <x:c r="G3430" s="32" t="n">
        <x:f t="shared" si="150">AVERAGE(E3231:E3430)</x:f>
        <x:v>584.1691499999996</x:v>
      </x:c>
      <x:c r="H3430" s="37" t="n">
        <x:f t="shared" si="151">IFERROR(E3430/G3430-1,"")</x:f>
        <x:v>-0.059073900085274356</x:v>
      </x:c>
      <x:c r="I3430" s="38" t="b">
        <x:f t="shared" si="152">E3430&lt;G3430</x:f>
        <x:v>1</x:v>
      </x:c>
    </x:row>
    <x:row r="3431">
      <x:c r="A3431" s="31">
        <x:v>42011</x:v>
      </x:c>
      <x:c r="B3431" s="32">
        <x:v>548.44000000000005</x:v>
      </x:c>
      <x:c r="C3431" s="32">
        <x:v>555.83000000000004</x:v>
      </x:c>
      <x:c r="D3431" s="32">
        <x:v>548.44000000000005</x:v>
      </x:c>
      <x:c r="E3431" s="32">
        <x:v>552.04999999999995</x:v>
      </x:c>
      <x:c r="F3431" s="33">
        <x:v>109445780</x:v>
      </x:c>
      <x:c r="G3431" s="32" t="n">
        <x:f t="shared" si="150">AVERAGE(E3232:E3431)</x:f>
        <x:v>583.9206499999996</x:v>
      </x:c>
      <x:c r="H3431" s="37" t="n">
        <x:f t="shared" si="151">IFERROR(E3431/G3431-1,"")</x:f>
        <x:v>-0.05458044684667285</x:v>
      </x:c>
      <x:c r="I3431" s="38" t="b">
        <x:f t="shared" si="152">E3431&lt;G3431</x:f>
        <x:v>1</x:v>
      </x:c>
    </x:row>
    <x:row r="3432">
      <x:c r="A3432" s="31">
        <x:v>42012</x:v>
      </x:c>
      <x:c r="B3432" s="32">
        <x:v>553.49</x:v>
      </x:c>
      <x:c r="C3432" s="32">
        <x:v>556.79999999999995</x:v>
      </x:c>
      <x:c r="D3432" s="32">
        <x:v>552.15</x:v>
      </x:c>
      <x:c r="E3432" s="32">
        <x:v>553.47</x:v>
      </x:c>
      <x:c r="F3432" s="33">
        <x:v>73883040</x:v>
      </x:c>
      <x:c r="G3432" s="32" t="n">
        <x:f t="shared" si="150">AVERAGE(E3233:E3432)</x:f>
        <x:v>583.6502499999996</x:v>
      </x:c>
      <x:c r="H3432" s="37" t="n">
        <x:f t="shared" si="151">IFERROR(E3432/G3432-1,"")</x:f>
        <x:v>-0.051709478407658604</x:v>
      </x:c>
      <x:c r="I3432" s="38" t="b">
        <x:f t="shared" si="152">E3432&lt;G3432</x:f>
        <x:v>1</x:v>
      </x:c>
    </x:row>
    <x:row r="3433">
      <x:c r="A3433" s="31">
        <x:v>42013</x:v>
      </x:c>
      <x:c r="B3433" s="32">
        <x:v>555.53</x:v>
      </x:c>
      <x:c r="C3433" s="32">
        <x:v>570.52</x:v>
      </x:c>
      <x:c r="D3433" s="32">
        <x:v>555.53</x:v>
      </x:c>
      <x:c r="E3433" s="32">
        <x:v>569.73</x:v>
      </x:c>
      <x:c r="F3433" s="33">
        <x:v>104203680</x:v>
      </x:c>
      <x:c r="G3433" s="32" t="n">
        <x:f t="shared" si="150">AVERAGE(E3234:E3433)</x:f>
        <x:v>583.4896499999996</x:v>
      </x:c>
      <x:c r="H3433" s="37" t="n">
        <x:f t="shared" si="151">IFERROR(E3433/G3433-1,"")</x:f>
        <x:v>-0.023581652219537452</x:v>
      </x:c>
      <x:c r="I3433" s="38" t="b">
        <x:f t="shared" si="152">E3433&lt;G3433</x:f>
        <x:v>1</x:v>
      </x:c>
    </x:row>
    <x:row r="3434">
      <x:c r="A3434" s="31">
        <x:v>42016</x:v>
      </x:c>
      <x:c r="B3434" s="32">
        <x:v>575.86</x:v>
      </x:c>
      <x:c r="C3434" s="32">
        <x:v>579.73</x:v>
      </x:c>
      <x:c r="D3434" s="32">
        <x:v>574.07000000000005</x:v>
      </x:c>
      <x:c r="E3434" s="32">
        <x:v>574.32000000000005</x:v>
      </x:c>
      <x:c r="F3434" s="33">
        <x:v>123328210</x:v>
      </x:c>
      <x:c r="G3434" s="32" t="n">
        <x:f t="shared" si="150">AVERAGE(E3235:E3434)</x:f>
        <x:v>583.4209499999996</x:v>
      </x:c>
      <x:c r="H3434" s="37" t="n">
        <x:f t="shared" si="151">IFERROR(E3434/G3434-1,"")</x:f>
        <x:v>-0.015599285558736908</x:v>
      </x:c>
      <x:c r="I3434" s="38" t="b">
        <x:f t="shared" si="152">E3434&lt;G3434</x:f>
        <x:v>1</x:v>
      </x:c>
    </x:row>
    <x:row r="3435">
      <x:c r="A3435" s="31">
        <x:v>42017</x:v>
      </x:c>
      <x:c r="B3435" s="32">
        <x:v>573.26</x:v>
      </x:c>
      <x:c r="C3435" s="32">
        <x:v>580.65</x:v>
      </x:c>
      <x:c r="D3435" s="32">
        <x:v>573.26</x:v>
      </x:c>
      <x:c r="E3435" s="32">
        <x:v>580.6</x:v>
      </x:c>
      <x:c r="F3435" s="33">
        <x:v>93250940</x:v>
      </x:c>
      <x:c r="G3435" s="32" t="n">
        <x:f t="shared" si="150">AVERAGE(E3236:E3435)</x:f>
        <x:v>583.3732499999996</x:v>
      </x:c>
      <x:c r="H3435" s="37" t="n">
        <x:f t="shared" si="151">IFERROR(E3435/G3435-1,"")</x:f>
        <x:v>-0.004753817560197771</x:v>
      </x:c>
      <x:c r="I3435" s="38" t="b">
        <x:f t="shared" si="152">E3435&lt;G3435</x:f>
        <x:v>1</x:v>
      </x:c>
    </x:row>
    <x:row r="3436">
      <x:c r="A3436" s="31">
        <x:v>42018</x:v>
      </x:c>
      <x:c r="B3436" s="32">
        <x:v>579.77</x:v>
      </x:c>
      <x:c r="C3436" s="32">
        <x:v>582.21</x:v>
      </x:c>
      <x:c r="D3436" s="32">
        <x:v>571.66999999999996</x:v>
      </x:c>
      <x:c r="E3436" s="32">
        <x:v>577.01</x:v>
      </x:c>
      <x:c r="F3436" s="33">
        <x:v>105588770</x:v>
      </x:c>
      <x:c r="G3436" s="32" t="n">
        <x:f t="shared" si="150">AVERAGE(E3237:E3436)</x:f>
        <x:v>583.2868499999996</x:v>
      </x:c>
      <x:c r="H3436" s="37" t="n">
        <x:f t="shared" si="151">IFERROR(E3436/G3436-1,"")</x:f>
        <x:v>-0.010761171797374902</x:v>
      </x:c>
      <x:c r="I3436" s="38" t="b">
        <x:f t="shared" si="152">E3436&lt;G3436</x:f>
        <x:v>1</x:v>
      </x:c>
    </x:row>
    <x:row r="3437">
      <x:c r="A3437" s="31">
        <x:v>42019</x:v>
      </x:c>
      <x:c r="B3437" s="32">
        <x:v>578.30999999999995</x:v>
      </x:c>
      <x:c r="C3437" s="32">
        <x:v>581.24</x:v>
      </x:c>
      <x:c r="D3437" s="32">
        <x:v>575.36</x:v>
      </x:c>
      <x:c r="E3437" s="32">
        <x:v>577.74</x:v>
      </x:c>
      <x:c r="F3437" s="33">
        <x:v>111809300</x:v>
      </x:c>
      <x:c r="G3437" s="32" t="n">
        <x:f t="shared" si="150">AVERAGE(E3238:E3437)</x:f>
        <x:v>583.2176999999997</x:v>
      </x:c>
      <x:c r="H3437" s="37" t="n">
        <x:f t="shared" si="151">IFERROR(E3437/G3437-1,"")</x:f>
        <x:v>-0.009392204660454762</x:v>
      </x:c>
      <x:c r="I3437" s="38" t="b">
        <x:f t="shared" si="152">E3437&lt;G3437</x:f>
        <x:v>1</x:v>
      </x:c>
    </x:row>
    <x:row r="3438">
      <x:c r="A3438" s="31">
        <x:v>42020</x:v>
      </x:c>
      <x:c r="B3438" s="32">
        <x:v>576.88</x:v>
      </x:c>
      <x:c r="C3438" s="32">
        <x:v>578.51</x:v>
      </x:c>
      <x:c r="D3438" s="32">
        <x:v>574.08000000000004</x:v>
      </x:c>
      <x:c r="E3438" s="32">
        <x:v>574.80999999999995</x:v>
      </x:c>
      <x:c r="F3438" s="33">
        <x:v>103715770</x:v>
      </x:c>
      <x:c r="G3438" s="32" t="n">
        <x:f t="shared" si="150">AVERAGE(E3239:E3438)</x:f>
        <x:v>583.1724999999997</x:v>
      </x:c>
      <x:c r="H3438" s="37" t="n">
        <x:f t="shared" si="151">IFERROR(E3438/G3438-1,"")</x:f>
        <x:v>-0.014339667937016465</x:v>
      </x:c>
      <x:c r="I3438" s="38" t="b">
        <x:f t="shared" si="152">E3438&lt;G3438</x:f>
        <x:v>1</x:v>
      </x:c>
    </x:row>
    <x:row r="3439">
      <x:c r="A3439" s="31">
        <x:v>42023</x:v>
      </x:c>
      <x:c r="B3439" s="32">
        <x:v>576.5</x:v>
      </x:c>
      <x:c r="C3439" s="32">
        <x:v>579.05999999999995</x:v>
      </x:c>
      <x:c r="D3439" s="32">
        <x:v>570.1</x:v>
      </x:c>
      <x:c r="E3439" s="32">
        <x:v>571.51</x:v>
      </x:c>
      <x:c r="F3439" s="33">
        <x:v>85869950</x:v>
      </x:c>
      <x:c r="G3439" s="32" t="n">
        <x:f t="shared" si="150">AVERAGE(E3240:E3439)</x:f>
        <x:v>583.1216999999996</x:v>
      </x:c>
      <x:c r="H3439" s="37" t="n">
        <x:f t="shared" si="151">IFERROR(E3439/G3439-1,"")</x:f>
        <x:v>-0.01991299586346995</x:v>
      </x:c>
      <x:c r="I3439" s="38" t="b">
        <x:f t="shared" si="152">E3439&lt;G3439</x:f>
        <x:v>1</x:v>
      </x:c>
    </x:row>
    <x:row r="3440">
      <x:c r="A3440" s="31">
        <x:v>42024</x:v>
      </x:c>
      <x:c r="B3440" s="32">
        <x:v>570.78</x:v>
      </x:c>
      <x:c r="C3440" s="32">
        <x:v>574.96</x:v>
      </x:c>
      <x:c r="D3440" s="32">
        <x:v>570.14</x:v>
      </x:c>
      <x:c r="E3440" s="32">
        <x:v>572.22</x:v>
      </x:c>
      <x:c r="F3440" s="33">
        <x:v>72955320</x:v>
      </x:c>
      <x:c r="G3440" s="32" t="n">
        <x:f t="shared" si="150">AVERAGE(E3241:E3440)</x:f>
        <x:v>583.0355999999996</x:v>
      </x:c>
      <x:c r="H3440" s="37" t="n">
        <x:f t="shared" si="151">IFERROR(E3440/G3440-1,"")</x:f>
        <x:v>-0.01855049674496645</x:v>
      </x:c>
      <x:c r="I3440" s="38" t="b">
        <x:f t="shared" si="152">E3440&lt;G3440</x:f>
        <x:v>1</x:v>
      </x:c>
    </x:row>
    <x:row r="3441">
      <x:c r="A3441" s="31">
        <x:v>42025</x:v>
      </x:c>
      <x:c r="B3441" s="32">
        <x:v>573.54</x:v>
      </x:c>
      <x:c r="C3441" s="32">
        <x:v>574.41</x:v>
      </x:c>
      <x:c r="D3441" s="32">
        <x:v>569.12</x:v>
      </x:c>
      <x:c r="E3441" s="32">
        <x:v>569.12</x:v>
      </x:c>
      <x:c r="F3441" s="33">
        <x:v>75650990</x:v>
      </x:c>
      <x:c r="G3441" s="32" t="n">
        <x:f t="shared" si="150">AVERAGE(E3242:E3441)</x:f>
        <x:v>582.9159999999996</x:v>
      </x:c>
      <x:c r="H3441" s="37" t="n">
        <x:f t="shared" si="151">IFERROR(E3441/G3441-1,"")</x:f>
        <x:v>-0.02366721791818993</x:v>
      </x:c>
      <x:c r="I3441" s="38" t="b">
        <x:f t="shared" si="152">E3441&lt;G3441</x:f>
        <x:v>1</x:v>
      </x:c>
    </x:row>
    <x:row r="3442">
      <x:c r="A3442" s="31">
        <x:v>42026</x:v>
      </x:c>
      <x:c r="B3442" s="32">
        <x:v>569.74</x:v>
      </x:c>
      <x:c r="C3442" s="32">
        <x:v>576.48</x:v>
      </x:c>
      <x:c r="D3442" s="32">
        <x:v>567.82000000000005</x:v>
      </x:c>
      <x:c r="E3442" s="32">
        <x:v>574.54</x:v>
      </x:c>
      <x:c r="F3442" s="33">
        <x:v>77924420</x:v>
      </x:c>
      <x:c r="G3442" s="32" t="n">
        <x:f t="shared" si="150">AVERAGE(E3243:E3442)</x:f>
        <x:v>582.7858499999995</x:v>
      </x:c>
      <x:c r="H3442" s="37" t="n">
        <x:f t="shared" si="151">IFERROR(E3442/G3442-1,"")</x:f>
        <x:v>-0.014149022320977034</x:v>
      </x:c>
      <x:c r="I3442" s="38" t="b">
        <x:f t="shared" si="152">E3442&lt;G3442</x:f>
        <x:v>1</x:v>
      </x:c>
    </x:row>
    <x:row r="3443">
      <x:c r="A3443" s="31">
        <x:v>42027</x:v>
      </x:c>
      <x:c r="B3443" s="32">
        <x:v>578.22</x:v>
      </x:c>
      <x:c r="C3443" s="32">
        <x:v>583.57000000000005</x:v>
      </x:c>
      <x:c r="D3443" s="32">
        <x:v>577.57000000000005</x:v>
      </x:c>
      <x:c r="E3443" s="32">
        <x:v>582.38</x:v>
      </x:c>
      <x:c r="F3443" s="33">
        <x:v>116961120</x:v>
      </x:c>
      <x:c r="G3443" s="32" t="n">
        <x:f t="shared" si="150">AVERAGE(E3244:E3443)</x:f>
        <x:v>582.6814999999997</x:v>
      </x:c>
      <x:c r="H3443" s="37" t="n">
        <x:f t="shared" si="151">IFERROR(E3443/G3443-1,"")</x:f>
        <x:v>-0.0005174353398892384</x:v>
      </x:c>
      <x:c r="I3443" s="38" t="b">
        <x:f t="shared" si="152">E3443&lt;G3443</x:f>
        <x:v>1</x:v>
      </x:c>
    </x:row>
    <x:row r="3444">
      <x:c r="A3444" s="31">
        <x:v>42030</x:v>
      </x:c>
      <x:c r="B3444" s="32">
        <x:v>584.89</x:v>
      </x:c>
      <x:c r="C3444" s="32">
        <x:v>586.76</x:v>
      </x:c>
      <x:c r="D3444" s="32">
        <x:v>580.64</x:v>
      </x:c>
      <x:c r="E3444" s="32">
        <x:v>580.64</x:v>
      </x:c>
      <x:c r="F3444" s="33">
        <x:v>92614650</x:v>
      </x:c>
      <x:c r="G3444" s="32" t="n">
        <x:f t="shared" si="150">AVERAGE(E3245:E3444)</x:f>
        <x:v>582.5780499999996</x:v>
      </x:c>
      <x:c r="H3444" s="37" t="n">
        <x:f t="shared" si="151">IFERROR(E3444/G3444-1,"")</x:f>
        <x:v>-0.003326678717125775</x:v>
      </x:c>
      <x:c r="I3444" s="38" t="b">
        <x:f t="shared" si="152">E3444&lt;G3444</x:f>
        <x:v>1</x:v>
      </x:c>
    </x:row>
    <x:row r="3445">
      <x:c r="A3445" s="31">
        <x:v>42031</x:v>
      </x:c>
      <x:c r="B3445" s="32">
        <x:v>580.45000000000005</x:v>
      </x:c>
      <x:c r="C3445" s="32">
        <x:v>584.28</x:v>
      </x:c>
      <x:c r="D3445" s="32">
        <x:v>575.5</x:v>
      </x:c>
      <x:c r="E3445" s="32">
        <x:v>579.29999999999995</x:v>
      </x:c>
      <x:c r="F3445" s="33">
        <x:v>138720400</x:v>
      </x:c>
      <x:c r="G3445" s="32" t="n">
        <x:f t="shared" si="150">AVERAGE(E3246:E3445)</x:f>
        <x:v>582.4716999999996</x:v>
      </x:c>
      <x:c r="H3445" s="37" t="n">
        <x:f t="shared" si="151">IFERROR(E3445/G3445-1,"")</x:f>
        <x:v>-0.00544524309077965</x:v>
      </x:c>
      <x:c r="I3445" s="38" t="b">
        <x:f t="shared" si="152">E3445&lt;G3445</x:f>
        <x:v>1</x:v>
      </x:c>
    </x:row>
    <x:row r="3446">
      <x:c r="A3446" s="31">
        <x:v>42032</x:v>
      </x:c>
      <x:c r="B3446" s="32">
        <x:v>579.55999999999995</x:v>
      </x:c>
      <x:c r="C3446" s="32">
        <x:v>584.35</x:v>
      </x:c>
      <x:c r="D3446" s="32">
        <x:v>578.59</x:v>
      </x:c>
      <x:c r="E3446" s="32">
        <x:v>583.76</x:v>
      </x:c>
      <x:c r="F3446" s="33">
        <x:v>107448470</x:v>
      </x:c>
      <x:c r="G3446" s="32" t="n">
        <x:f t="shared" si="150">AVERAGE(E3247:E3446)</x:f>
        <x:v>582.4099499999996</x:v>
      </x:c>
      <x:c r="H3446" s="37" t="n">
        <x:f t="shared" si="151">IFERROR(E3446/G3446-1,"")</x:f>
        <x:v>0.0023180407546270487</x:v>
      </x:c>
      <x:c r="I3446" s="38" t="b">
        <x:f t="shared" si="152">E3446&lt;G3446</x:f>
        <x:v>0</x:v>
      </x:c>
    </x:row>
    <x:row r="3447">
      <x:c r="A3447" s="31">
        <x:v>42033</x:v>
      </x:c>
      <x:c r="B3447" s="32">
        <x:v>584.17999999999995</x:v>
      </x:c>
      <x:c r="C3447" s="32">
        <x:v>585.66</x:v>
      </x:c>
      <x:c r="D3447" s="32">
        <x:v>580.37</x:v>
      </x:c>
      <x:c r="E3447" s="32">
        <x:v>583.28</x:v>
      </x:c>
      <x:c r="F3447" s="33">
        <x:v>93424200</x:v>
      </x:c>
      <x:c r="G3447" s="32" t="n">
        <x:f t="shared" si="150">AVERAGE(E3248:E3447)</x:f>
        <x:v>582.3958999999995</x:v>
      </x:c>
      <x:c r="H3447" s="37" t="n">
        <x:f t="shared" si="151">IFERROR(E3447/G3447-1,"")</x:f>
        <x:v>0.0015180395329026375</x:v>
      </x:c>
      <x:c r="I3447" s="38" t="b">
        <x:f t="shared" si="152">E3447&lt;G3447</x:f>
        <x:v>0</x:v>
      </x:c>
    </x:row>
    <x:row r="3448">
      <x:c r="A3448" s="31">
        <x:v>42034</x:v>
      </x:c>
      <x:c r="B3448" s="32">
        <x:v>584.08000000000004</x:v>
      </x:c>
      <x:c r="C3448" s="32">
        <x:v>584.08000000000004</x:v>
      </x:c>
      <x:c r="D3448" s="32">
        <x:v>574.46</x:v>
      </x:c>
      <x:c r="E3448" s="32">
        <x:v>576.07000000000005</x:v>
      </x:c>
      <x:c r="F3448" s="33">
        <x:v>97717870</x:v>
      </x:c>
      <x:c r="G3448" s="32" t="n">
        <x:f t="shared" si="150">AVERAGE(E3249:E3448)</x:f>
        <x:v>582.4047999999997</x:v>
      </x:c>
      <x:c r="H3448" s="37" t="n">
        <x:f t="shared" si="151">IFERROR(E3448/G3448-1,"")</x:f>
        <x:v>-0.010876970794196139</x:v>
      </x:c>
      <x:c r="I3448" s="38" t="b">
        <x:f t="shared" si="152">E3448&lt;G3448</x:f>
        <x:v>1</x:v>
      </x:c>
    </x:row>
    <x:row r="3449">
      <x:c r="A3449" s="31">
        <x:v>42037</x:v>
      </x:c>
      <x:c r="B3449" s="32">
        <x:v>576.07000000000005</x:v>
      </x:c>
      <x:c r="C3449" s="32">
        <x:v>579.73</x:v>
      </x:c>
      <x:c r="D3449" s="32">
        <x:v>570.37</x:v>
      </x:c>
      <x:c r="E3449" s="32">
        <x:v>570.37</x:v>
      </x:c>
      <x:c r="F3449" s="33">
        <x:v>66840420</x:v>
      </x:c>
      <x:c r="G3449" s="32" t="n">
        <x:f t="shared" si="150">AVERAGE(E3250:E3449)</x:f>
        <x:v>582.3550999999997</x:v>
      </x:c>
      <x:c r="H3449" s="37" t="n">
        <x:f t="shared" si="151">IFERROR(E3449/G3449-1,"")</x:f>
        <x:v>-0.020580398454481896</x:v>
      </x:c>
      <x:c r="I3449" s="38" t="b">
        <x:f t="shared" si="152">E3449&lt;G3449</x:f>
        <x:v>1</x:v>
      </x:c>
    </x:row>
    <x:row r="3450">
      <x:c r="A3450" s="31">
        <x:v>42038</x:v>
      </x:c>
      <x:c r="B3450" s="32">
        <x:v>572.55999999999995</x:v>
      </x:c>
      <x:c r="C3450" s="32">
        <x:v>574.83000000000004</x:v>
      </x:c>
      <x:c r="D3450" s="32">
        <x:v>557.47</x:v>
      </x:c>
      <x:c r="E3450" s="32">
        <x:v>557.47</x:v>
      </x:c>
      <x:c r="F3450" s="33">
        <x:v>93996200</x:v>
      </x:c>
      <x:c r="G3450" s="32" t="n">
        <x:f t="shared" si="150">AVERAGE(E3251:E3450)</x:f>
        <x:v>582.3157999999996</x:v>
      </x:c>
      <x:c r="H3450" s="37" t="n">
        <x:f t="shared" si="151">IFERROR(E3450/G3450-1,"")</x:f>
        <x:v>-0.042667226271379866</x:v>
      </x:c>
      <x:c r="I3450" s="38" t="b">
        <x:f t="shared" si="152">E3450&lt;G3450</x:f>
        <x:v>1</x:v>
      </x:c>
    </x:row>
    <x:row r="3451">
      <x:c r="A3451" s="31">
        <x:v>42039</x:v>
      </x:c>
      <x:c r="B3451" s="32">
        <x:v>556.92999999999995</x:v>
      </x:c>
      <x:c r="C3451" s="32">
        <x:v>561.69000000000005</x:v>
      </x:c>
      <x:c r="D3451" s="32">
        <x:v>553.21</x:v>
      </x:c>
      <x:c r="E3451" s="32">
        <x:v>561.45000000000005</x:v>
      </x:c>
      <x:c r="F3451" s="33">
        <x:v>90940000</x:v>
      </x:c>
      <x:c r="G3451" s="32" t="n">
        <x:f t="shared" si="150">AVERAGE(E3252:E3451)</x:f>
        <x:v>582.3323499999996</x:v>
      </x:c>
      <x:c r="H3451" s="37" t="n">
        <x:f t="shared" si="151">IFERROR(E3451/G3451-1,"")</x:f>
        <x:v>-0.035859848761621294</x:v>
      </x:c>
      <x:c r="I3451" s="38" t="b">
        <x:f t="shared" si="152">E3451&lt;G3451</x:f>
        <x:v>1</x:v>
      </x:c>
    </x:row>
    <x:row r="3452">
      <x:c r="A3452" s="31">
        <x:v>42040</x:v>
      </x:c>
      <x:c r="B3452" s="32">
        <x:v>562.16999999999996</x:v>
      </x:c>
      <x:c r="C3452" s="32">
        <x:v>568.22</x:v>
      </x:c>
      <x:c r="D3452" s="32">
        <x:v>562.04999999999995</x:v>
      </x:c>
      <x:c r="E3452" s="32">
        <x:v>567.16999999999996</x:v>
      </x:c>
      <x:c r="F3452" s="33">
        <x:v>69467520</x:v>
      </x:c>
      <x:c r="G3452" s="32" t="n">
        <x:f t="shared" si="150">AVERAGE(E3253:E3452)</x:f>
        <x:v>582.3188499999995</x:v>
      </x:c>
      <x:c r="H3452" s="37" t="n">
        <x:f t="shared" si="151">IFERROR(E3452/G3452-1,"")</x:f>
        <x:v>-0.026014699678706288</x:v>
      </x:c>
      <x:c r="I3452" s="38" t="b">
        <x:f t="shared" si="152">E3452&lt;G3452</x:f>
        <x:v>1</x:v>
      </x:c>
    </x:row>
    <x:row r="3453">
      <x:c r="A3453" s="31">
        <x:v>42041</x:v>
      </x:c>
      <x:c r="B3453" s="32">
        <x:v>569.03</x:v>
      </x:c>
      <x:c r="C3453" s="32">
        <x:v>574.36</x:v>
      </x:c>
      <x:c r="D3453" s="32">
        <x:v>569.03</x:v>
      </x:c>
      <x:c r="E3453" s="32">
        <x:v>574.13</x:v>
      </x:c>
      <x:c r="F3453" s="33">
        <x:v>58140870</x:v>
      </x:c>
      <x:c r="G3453" s="32" t="n">
        <x:f t="shared" si="150">AVERAGE(E3254:E3453)</x:f>
        <x:v>582.3426999999996</x:v>
      </x:c>
      <x:c r="H3453" s="37" t="n">
        <x:f t="shared" si="151">IFERROR(E3453/G3453-1,"")</x:f>
        <x:v>-0.014102864172590435</x:v>
      </x:c>
      <x:c r="I3453" s="38" t="b">
        <x:f t="shared" si="152">E3453&lt;G3453</x:f>
        <x:v>1</x:v>
      </x:c>
    </x:row>
    <x:row r="3454">
      <x:c r="A3454" s="31">
        <x:v>42044</x:v>
      </x:c>
      <x:c r="B3454" s="32">
        <x:v>574.05999999999995</x:v>
      </x:c>
      <x:c r="C3454" s="32">
        <x:v>577.04</x:v>
      </x:c>
      <x:c r="D3454" s="32">
        <x:v>572.79</x:v>
      </x:c>
      <x:c r="E3454" s="32">
        <x:v>573.54999999999995</x:v>
      </x:c>
      <x:c r="F3454" s="33">
        <x:v>62712850</x:v>
      </x:c>
      <x:c r="G3454" s="32" t="n">
        <x:f t="shared" si="150">AVERAGE(E3255:E3454)</x:f>
        <x:v>582.3581499999996</x:v>
      </x:c>
      <x:c r="H3454" s="37" t="n">
        <x:f t="shared" si="151">IFERROR(E3454/G3454-1,"")</x:f>
        <x:v>-0.015124970776144608</x:v>
      </x:c>
      <x:c r="I3454" s="38" t="b">
        <x:f t="shared" si="152">E3454&lt;G3454</x:f>
        <x:v>1</x:v>
      </x:c>
    </x:row>
    <x:row r="3455">
      <x:c r="A3455" s="31">
        <x:v>42045</x:v>
      </x:c>
      <x:c r="B3455" s="32">
        <x:v>575.74</x:v>
      </x:c>
      <x:c r="C3455" s="32">
        <x:v>578.41999999999996</x:v>
      </x:c>
      <x:c r="D3455" s="32">
        <x:v>574.24</x:v>
      </x:c>
      <x:c r="E3455" s="32">
        <x:v>574.52</x:v>
      </x:c>
      <x:c r="F3455" s="33">
        <x:v>61234350</x:v>
      </x:c>
      <x:c r="G3455" s="32" t="n">
        <x:f t="shared" si="150">AVERAGE(E3256:E3455)</x:f>
        <x:v>582.3361499999996</x:v>
      </x:c>
      <x:c r="H3455" s="37" t="n">
        <x:f t="shared" si="151">IFERROR(E3455/G3455-1,"")</x:f>
        <x:v>-0.013422058719864238</x:v>
      </x:c>
      <x:c r="I3455" s="38" t="b">
        <x:f t="shared" si="152">E3455&lt;G3455</x:f>
        <x:v>1</x:v>
      </x:c>
    </x:row>
    <x:row r="3456">
      <x:c r="A3456" s="31">
        <x:v>42046</x:v>
      </x:c>
      <x:c r="B3456" s="32">
        <x:v>574.88</x:v>
      </x:c>
      <x:c r="C3456" s="32">
        <x:v>581.76</x:v>
      </x:c>
      <x:c r="D3456" s="32">
        <x:v>574.88</x:v>
      </x:c>
      <x:c r="E3456" s="32">
        <x:v>581.76</x:v>
      </x:c>
      <x:c r="F3456" s="33">
        <x:v>70560970</x:v>
      </x:c>
      <x:c r="G3456" s="32" t="n">
        <x:f t="shared" si="150">AVERAGE(E3257:E3456)</x:f>
        <x:v>582.3794499999997</x:v>
      </x:c>
      <x:c r="H3456" s="37" t="n">
        <x:f t="shared" si="151">IFERROR(E3456/G3456-1,"")</x:f>
        <x:v>-0.0010636536024746235</x:v>
      </x:c>
      <x:c r="I3456" s="38" t="b">
        <x:f t="shared" si="152">E3456&lt;G3456</x:f>
        <x:v>1</x:v>
      </x:c>
    </x:row>
    <x:row r="3457">
      <x:c r="A3457" s="31">
        <x:v>42047</x:v>
      </x:c>
      <x:c r="B3457" s="32">
        <x:v>582.52</x:v>
      </x:c>
      <x:c r="C3457" s="32">
        <x:v>584.99</x:v>
      </x:c>
      <x:c r="D3457" s="32">
        <x:v>581.86</x:v>
      </x:c>
      <x:c r="E3457" s="32">
        <x:v>584.66999999999996</x:v>
      </x:c>
      <x:c r="F3457" s="33">
        <x:v>79108960</x:v>
      </x:c>
      <x:c r="G3457" s="32" t="n">
        <x:f t="shared" si="150">AVERAGE(E3258:E3457)</x:f>
        <x:v>582.4127999999996</x:v>
      </x:c>
      <x:c r="H3457" s="37" t="n">
        <x:f t="shared" si="151">IFERROR(E3457/G3457-1,"")</x:f>
        <x:v>0.0038756016351295663</x:v>
      </x:c>
      <x:c r="I3457" s="38" t="b">
        <x:f t="shared" si="152">E3457&lt;G3457</x:f>
        <x:v>0</x:v>
      </x:c>
    </x:row>
    <x:row r="3458">
      <x:c r="A3458" s="31">
        <x:v>42048</x:v>
      </x:c>
      <x:c r="B3458" s="32">
        <x:v>586.26</x:v>
      </x:c>
      <x:c r="C3458" s="32">
        <x:v>589.02</x:v>
      </x:c>
      <x:c r="D3458" s="32">
        <x:v>585.6</x:v>
      </x:c>
      <x:c r="E3458" s="32">
        <x:v>587.24</x:v>
      </x:c>
      <x:c r="F3458" s="33">
        <x:v>72295080</x:v>
      </x:c>
      <x:c r="G3458" s="32" t="n">
        <x:f t="shared" si="150">AVERAGE(E3259:E3458)</x:f>
        <x:v>582.5247499999996</x:v>
      </x:c>
      <x:c r="H3458" s="37" t="n">
        <x:f t="shared" si="151">IFERROR(E3458/G3458-1,"")</x:f>
        <x:v>0.008094505855760437</x:v>
      </x:c>
      <x:c r="I3458" s="38" t="b">
        <x:f t="shared" si="152">E3458&lt;G3458</x:f>
        <x:v>0</x:v>
      </x:c>
    </x:row>
    <x:row r="3459">
      <x:c r="A3459" s="31">
        <x:v>42059</x:v>
      </x:c>
      <x:c r="B3459" s="32">
        <x:v>590.17999999999995</x:v>
      </x:c>
      <x:c r="C3459" s="32">
        <x:v>596.95000000000005</x:v>
      </x:c>
      <x:c r="D3459" s="32">
        <x:v>589.74</x:v>
      </x:c>
      <x:c r="E3459" s="32">
        <x:v>596.95000000000005</x:v>
      </x:c>
      <x:c r="F3459" s="33">
        <x:v>61107780</x:v>
      </x:c>
      <x:c r="G3459" s="32" t="n">
        <x:f t="shared" si="150">AVERAGE(E3260:E3459)</x:f>
        <x:v>582.7339499999996</x:v>
      </x:c>
      <x:c r="H3459" s="37" t="n">
        <x:f t="shared" si="151">IFERROR(E3459/G3459-1,"")</x:f>
        <x:v>0.02439543808971556</x:v>
      </x:c>
      <x:c r="I3459" s="38" t="b">
        <x:f t="shared" si="152">E3459&lt;G3459</x:f>
        <x:v>0</x:v>
      </x:c>
    </x:row>
    <x:row r="3460">
      <x:c r="A3460" s="31">
        <x:v>42060</x:v>
      </x:c>
      <x:c r="B3460" s="32">
        <x:v>596.9</x:v>
      </x:c>
      <x:c r="C3460" s="32">
        <x:v>601.54999999999995</x:v>
      </x:c>
      <x:c r="D3460" s="32">
        <x:v>592.66</x:v>
      </x:c>
      <x:c r="E3460" s="32">
        <x:v>592.66</x:v>
      </x:c>
      <x:c r="F3460" s="33">
        <x:v>96802090</x:v>
      </x:c>
      <x:c r="G3460" s="32" t="n">
        <x:f t="shared" si="150">AVERAGE(E3261:E3460)</x:f>
        <x:v>582.8973999999997</x:v>
      </x:c>
      <x:c r="H3460" s="37" t="n">
        <x:f t="shared" si="151">IFERROR(E3460/G3460-1,"")</x:f>
        <x:v>0.01674840203438932</x:v>
      </x:c>
      <x:c r="I3460" s="38" t="b">
        <x:f t="shared" si="152">E3460&lt;G3460</x:f>
        <x:v>0</x:v>
      </x:c>
    </x:row>
    <x:row r="3461">
      <x:c r="A3461" s="31">
        <x:v>42061</x:v>
      </x:c>
      <x:c r="B3461" s="32">
        <x:v>593.95000000000005</x:v>
      </x:c>
      <x:c r="C3461" s="32">
        <x:v>597.07000000000005</x:v>
      </x:c>
      <x:c r="D3461" s="32">
        <x:v>591.78</x:v>
      </x:c>
      <x:c r="E3461" s="32">
        <x:v>596.72</x:v>
      </x:c>
      <x:c r="F3461" s="33">
        <x:v>84963550</x:v>
      </x:c>
      <x:c r="G3461" s="32" t="n">
        <x:f t="shared" si="150">AVERAGE(E3262:E3461)</x:f>
        <x:v>583.2455499999998</x:v>
      </x:c>
      <x:c r="H3461" s="37" t="n">
        <x:f t="shared" si="151">IFERROR(E3461/G3461-1,"")</x:f>
        <x:v>0.023102533744149945</x:v>
      </x:c>
      <x:c r="I3461" s="38" t="b">
        <x:f t="shared" si="152">E3461&lt;G3461</x:f>
        <x:v>0</x:v>
      </x:c>
    </x:row>
    <x:row r="3462">
      <x:c r="A3462" s="31">
        <x:v>42062</x:v>
      </x:c>
      <x:c r="B3462" s="32">
        <x:v>598</x:v>
      </x:c>
      <x:c r="C3462" s="32">
        <x:v>598.4</x:v>
      </x:c>
      <x:c r="D3462" s="32">
        <x:v>590.58000000000004</x:v>
      </x:c>
      <x:c r="E3462" s="32">
        <x:v>592.57000000000005</x:v>
      </x:c>
      <x:c r="F3462" s="33">
        <x:v>76140470</x:v>
      </x:c>
      <x:c r="G3462" s="32" t="n">
        <x:f t="shared" si="150">AVERAGE(E3263:E3462)</x:f>
        <x:v>583.4960999999998</x:v>
      </x:c>
      <x:c r="H3462" s="37" t="n">
        <x:f t="shared" si="151">IFERROR(E3462/G3462-1,"")</x:f>
        <x:v>0.015550917992425584</x:v>
      </x:c>
      <x:c r="I3462" s="38" t="b">
        <x:f t="shared" si="152">E3462&lt;G3462</x:f>
        <x:v>0</x:v>
      </x:c>
    </x:row>
    <x:row r="3463">
      <x:c r="A3463" s="31">
        <x:v>42065</x:v>
      </x:c>
      <x:c r="B3463" s="32">
        <x:v>591.75</x:v>
      </x:c>
      <x:c r="C3463" s="32">
        <x:v>593.72</x:v>
      </x:c>
      <x:c r="D3463" s="32">
        <x:v>588.59</x:v>
      </x:c>
      <x:c r="E3463" s="32">
        <x:v>590.73</x:v>
      </x:c>
      <x:c r="F3463" s="33">
        <x:v>76507740</x:v>
      </x:c>
      <x:c r="G3463" s="32" t="n">
        <x:f t="shared" si="150">AVERAGE(E3264:E3463)</x:f>
        <x:v>583.8644999999998</x:v>
      </x:c>
      <x:c r="H3463" s="37" t="n">
        <x:f t="shared" si="151">IFERROR(E3463/G3463-1,"")</x:f>
        <x:v>0.011758721415671358</x:v>
      </x:c>
      <x:c r="I3463" s="38" t="b">
        <x:f t="shared" si="152">E3463&lt;G3463</x:f>
        <x:v>0</x:v>
      </x:c>
    </x:row>
    <x:row r="3464">
      <x:c r="A3464" s="31">
        <x:v>42066</x:v>
      </x:c>
      <x:c r="B3464" s="32">
        <x:v>590.41999999999996</x:v>
      </x:c>
      <x:c r="C3464" s="32">
        <x:v>597.45000000000005</x:v>
      </x:c>
      <x:c r="D3464" s="32">
        <x:v>590.41999999999996</x:v>
      </x:c>
      <x:c r="E3464" s="32">
        <x:v>596.72</x:v>
      </x:c>
      <x:c r="F3464" s="33">
        <x:v>108805820</x:v>
      </x:c>
      <x:c r="G3464" s="32" t="n">
        <x:f t="shared" si="150">AVERAGE(E3265:E3464)</x:f>
        <x:v>584.2785499999998</x:v>
      </x:c>
      <x:c r="H3464" s="37" t="n">
        <x:f t="shared" si="151">IFERROR(E3464/G3464-1,"")</x:f>
        <x:v>0.021293696302902454</x:v>
      </x:c>
      <x:c r="I3464" s="38" t="b">
        <x:f t="shared" si="152">E3464&lt;G3464</x:f>
        <x:v>0</x:v>
      </x:c>
    </x:row>
    <x:row r="3465">
      <x:c r="A3465" s="31">
        <x:v>42067</x:v>
      </x:c>
      <x:c r="B3465" s="32">
        <x:v>598.49</x:v>
      </x:c>
      <x:c r="C3465" s="32">
        <x:v>600.69000000000005</x:v>
      </x:c>
      <x:c r="D3465" s="32">
        <x:v>595.34</x:v>
      </x:c>
      <x:c r="E3465" s="32">
        <x:v>600.39</x:v>
      </x:c>
      <x:c r="F3465" s="33">
        <x:v>115432610</x:v>
      </x:c>
      <x:c r="G3465" s="32" t="n">
        <x:f t="shared" si="150">AVERAGE(E3266:E3465)</x:f>
        <x:v>584.6328499999998</x:v>
      </x:c>
      <x:c r="H3465" s="37" t="n">
        <x:f t="shared" si="151">IFERROR(E3465/G3465-1,"")</x:f>
        <x:v>0.026952214539432973</x:v>
      </x:c>
      <x:c r="I3465" s="38" t="b">
        <x:f t="shared" si="152">E3465&lt;G3465</x:f>
        <x:v>0</x:v>
      </x:c>
    </x:row>
    <x:row r="3466">
      <x:c r="A3466" s="31">
        <x:v>42068</x:v>
      </x:c>
      <x:c r="B3466" s="32">
        <x:v>601.08000000000004</x:v>
      </x:c>
      <x:c r="C3466" s="32">
        <x:v>602.4</x:v>
      </x:c>
      <x:c r="D3466" s="32">
        <x:v>596.75</x:v>
      </x:c>
      <x:c r="E3466" s="32">
        <x:v>596.91</x:v>
      </x:c>
      <x:c r="F3466" s="33">
        <x:v>121956230</x:v>
      </x:c>
      <x:c r="G3466" s="32" t="n">
        <x:f t="shared" si="150">AVERAGE(E3267:E3466)</x:f>
        <x:v>584.9971499999997</x:v>
      </x:c>
      <x:c r="H3466" s="37" t="n">
        <x:f t="shared" si="151">IFERROR(E3466/G3466-1,"")</x:f>
        <x:v>0.020363945362811275</x:v>
      </x:c>
      <x:c r="I3466" s="38" t="b">
        <x:f t="shared" si="152">E3466&lt;G3466</x:f>
        <x:v>0</x:v>
      </x:c>
    </x:row>
    <x:row r="3467">
      <x:c r="A3467" s="31">
        <x:v>42069</x:v>
      </x:c>
      <x:c r="B3467" s="32">
        <x:v>596.41999999999996</x:v>
      </x:c>
      <x:c r="C3467" s="32">
        <x:v>598.33000000000004</x:v>
      </x:c>
      <x:c r="D3467" s="32">
        <x:v>592.71</x:v>
      </x:c>
      <x:c r="E3467" s="32">
        <x:v>593.97</x:v>
      </x:c>
      <x:c r="F3467" s="33">
        <x:v>96217780</x:v>
      </x:c>
      <x:c r="G3467" s="32" t="n">
        <x:f t="shared" si="150">AVERAGE(E3268:E3467)</x:f>
        <x:v>585.3195499999998</x:v>
      </x:c>
      <x:c r="H3467" s="37" t="n">
        <x:f t="shared" si="151">IFERROR(E3467/G3467-1,"")</x:f>
        <x:v>0.01477902113469498</x:v>
      </x:c>
      <x:c r="I3467" s="38" t="b">
        <x:f t="shared" si="152">E3467&lt;G3467</x:f>
        <x:v>0</x:v>
      </x:c>
    </x:row>
    <x:row r="3468">
      <x:c r="A3468" s="31">
        <x:v>42072</x:v>
      </x:c>
      <x:c r="B3468" s="32">
        <x:v>594.08000000000004</x:v>
      </x:c>
      <x:c r="C3468" s="32">
        <x:v>596.32000000000005</x:v>
      </x:c>
      <x:c r="D3468" s="32">
        <x:v>587.27</x:v>
      </x:c>
      <x:c r="E3468" s="32">
        <x:v>588.44000000000005</x:v>
      </x:c>
      <x:c r="F3468" s="33">
        <x:v>90927440</x:v>
      </x:c>
      <x:c r="G3468" s="32" t="n">
        <x:f t="shared" si="150">AVERAGE(E3269:E3468)</x:f>
        <x:v>585.5965499999999</x:v>
      </x:c>
      <x:c r="H3468" s="37" t="n">
        <x:f t="shared" si="151">IFERROR(E3468/G3468-1,"")</x:f>
        <x:v>0.004855646775924871</x:v>
      </x:c>
      <x:c r="I3468" s="38" t="b">
        <x:f t="shared" si="152">E3468&lt;G3468</x:f>
        <x:v>0</x:v>
      </x:c>
    </x:row>
    <x:row r="3469">
      <x:c r="A3469" s="31">
        <x:v>42073</x:v>
      </x:c>
      <x:c r="B3469" s="32">
        <x:v>586.38</x:v>
      </x:c>
      <x:c r="C3469" s="32">
        <x:v>591.16999999999996</x:v>
      </x:c>
      <x:c r="D3469" s="32">
        <x:v>586.38</x:v>
      </x:c>
      <x:c r="E3469" s="32">
        <x:v>589.66</x:v>
      </x:c>
      <x:c r="F3469" s="33">
        <x:v>93334410</x:v>
      </x:c>
      <x:c r="G3469" s="32" t="n">
        <x:f t="shared" ref="G3469:G3532" si="153">AVERAGE(E3270:E3469)</x:f>
        <x:v>585.8572499999998</x:v>
      </x:c>
      <x:c r="H3469" s="37" t="n">
        <x:f t="shared" ref="H3469:H3532" si="154">IFERROR(E3469/G3469-1,"")</x:f>
        <x:v>0.006490915662476171</x:v>
      </x:c>
      <x:c r="I3469" s="38" t="b">
        <x:f t="shared" ref="I3469:I3532" si="155">E3469&lt;G3469</x:f>
        <x:v>0</x:v>
      </x:c>
    </x:row>
    <x:row r="3470">
      <x:c r="A3470" s="31">
        <x:v>42074</x:v>
      </x:c>
      <x:c r="B3470" s="32">
        <x:v>589.04</x:v>
      </x:c>
      <x:c r="C3470" s="32">
        <x:v>590.55999999999995</x:v>
      </x:c>
      <x:c r="D3470" s="32">
        <x:v>586.49</x:v>
      </x:c>
      <x:c r="E3470" s="32">
        <x:v>586.54</x:v>
      </x:c>
      <x:c r="F3470" s="33">
        <x:v>79076070</x:v>
      </x:c>
      <x:c r="G3470" s="32" t="n">
        <x:f t="shared" si="153">AVERAGE(E3271:E3470)</x:f>
        <x:v>586.0705499999998</x:v>
      </x:c>
      <x:c r="H3470" s="37" t="n">
        <x:f t="shared" si="154">IFERROR(E3470/G3470-1,"")</x:f>
        <x:v>0.0008010127790931687</x:v>
      </x:c>
      <x:c r="I3470" s="38" t="b">
        <x:f t="shared" si="155">E3470&lt;G3470</x:f>
        <x:v>0</x:v>
      </x:c>
    </x:row>
    <x:row r="3471">
      <x:c r="A3471" s="31">
        <x:v>42075</x:v>
      </x:c>
      <x:c r="B3471" s="32">
        <x:v>585.89</x:v>
      </x:c>
      <x:c r="C3471" s="32">
        <x:v>589.66999999999996</x:v>
      </x:c>
      <x:c r="D3471" s="32">
        <x:v>585.48</x:v>
      </x:c>
      <x:c r="E3471" s="32">
        <x:v>588.53</x:v>
      </x:c>
      <x:c r="F3471" s="33">
        <x:v>79994860</x:v>
      </x:c>
      <x:c r="G3471" s="32" t="n">
        <x:f t="shared" si="153">AVERAGE(E3272:E3471)</x:f>
        <x:v>586.3045499999998</x:v>
      </x:c>
      <x:c r="H3471" s="37" t="n">
        <x:f t="shared" si="154">IFERROR(E3471/G3471-1,"")</x:f>
        <x:v>0.003795723570625853</x:v>
      </x:c>
      <x:c r="I3471" s="38" t="b">
        <x:f t="shared" si="155">E3471&lt;G3471</x:f>
        <x:v>0</x:v>
      </x:c>
    </x:row>
    <x:row r="3472">
      <x:c r="A3472" s="31">
        <x:v>42076</x:v>
      </x:c>
      <x:c r="B3472" s="32">
        <x:v>589.04</x:v>
      </x:c>
      <x:c r="C3472" s="32">
        <x:v>591.75</x:v>
      </x:c>
      <x:c r="D3472" s="32">
        <x:v>586.1</x:v>
      </x:c>
      <x:c r="E3472" s="32">
        <x:v>586.1</x:v>
      </x:c>
      <x:c r="F3472" s="33">
        <x:v>88834970</x:v>
      </x:c>
      <x:c r="G3472" s="32" t="n">
        <x:f t="shared" si="153">AVERAGE(E3273:E3472)</x:f>
        <x:v>586.5275999999998</x:v>
      </x:c>
      <x:c r="H3472" s="37" t="n">
        <x:f t="shared" si="154">IFERROR(E3472/G3472-1,"")</x:f>
        <x:v>-0.000729036451140197</x:v>
      </x:c>
      <x:c r="I3472" s="38" t="b">
        <x:f t="shared" si="155">E3472&lt;G3472</x:f>
        <x:v>1</x:v>
      </x:c>
    </x:row>
    <x:row r="3473">
      <x:c r="A3473" s="31">
        <x:v>42079</x:v>
      </x:c>
      <x:c r="B3473" s="32">
        <x:v>583.26</x:v>
      </x:c>
      <x:c r="C3473" s="32">
        <x:v>586.19000000000005</x:v>
      </x:c>
      <x:c r="D3473" s="32">
        <x:v>580.54999999999995</x:v>
      </x:c>
      <x:c r="E3473" s="32">
        <x:v>580.79999999999995</x:v>
      </x:c>
      <x:c r="F3473" s="33">
        <x:v>98790020</x:v>
      </x:c>
      <x:c r="G3473" s="32" t="n">
        <x:f t="shared" si="153">AVERAGE(E3274:E3473)</x:f>
        <x:v>586.7112999999998</x:v>
      </x:c>
      <x:c r="H3473" s="37" t="n">
        <x:f t="shared" si="154">IFERROR(E3473/G3473-1,"")</x:f>
        <x:v>-0.010075313020219467</x:v>
      </x:c>
      <x:c r="I3473" s="38" t="b">
        <x:f t="shared" si="155">E3473&lt;G3473</x:f>
        <x:v>1</x:v>
      </x:c>
    </x:row>
    <x:row r="3474">
      <x:c r="A3474" s="31">
        <x:v>42080</x:v>
      </x:c>
      <x:c r="B3474" s="32">
        <x:v>580.6</x:v>
      </x:c>
      <x:c r="C3474" s="32">
        <x:v>583.59</x:v>
      </x:c>
      <x:c r="D3474" s="32">
        <x:v>580.6</x:v>
      </x:c>
      <x:c r="E3474" s="32">
        <x:v>581.76</x:v>
      </x:c>
      <x:c r="F3474" s="33">
        <x:v>88737460</x:v>
      </x:c>
      <x:c r="G3474" s="32" t="n">
        <x:f t="shared" si="153">AVERAGE(E3275:E3474)</x:f>
        <x:v>586.8563499999998</x:v>
      </x:c>
      <x:c r="H3474" s="37" t="n">
        <x:f t="shared" si="154">IFERROR(E3474/G3474-1,"")</x:f>
        <x:v>-0.008684152433555137</x:v>
      </x:c>
      <x:c r="I3474" s="38" t="b">
        <x:f t="shared" si="155">E3474&lt;G3474</x:f>
        <x:v>1</x:v>
      </x:c>
    </x:row>
    <x:row r="3475">
      <x:c r="A3475" s="31">
        <x:v>42081</x:v>
      </x:c>
      <x:c r="B3475" s="32">
        <x:v>580.80999999999995</x:v>
      </x:c>
      <x:c r="C3475" s="32">
        <x:v>581.53</x:v>
      </x:c>
      <x:c r="D3475" s="32">
        <x:v>577.26</x:v>
      </x:c>
      <x:c r="E3475" s="32">
        <x:v>578.67999999999995</x:v>
      </x:c>
      <x:c r="F3475" s="33">
        <x:v>86795050</x:v>
      </x:c>
      <x:c r="G3475" s="32" t="n">
        <x:f t="shared" si="153">AVERAGE(E3276:E3475)</x:f>
        <x:v>586.9630499999998</x:v>
      </x:c>
      <x:c r="H3475" s="37" t="n">
        <x:f t="shared" si="154">IFERROR(E3475/G3475-1,"")</x:f>
        <x:v>-0.014111706009432567</x:v>
      </x:c>
      <x:c r="I3475" s="38" t="b">
        <x:f t="shared" si="155">E3475&lt;G3475</x:f>
        <x:v>1</x:v>
      </x:c>
    </x:row>
    <x:row r="3476">
      <x:c r="A3476" s="31">
        <x:v>42082</x:v>
      </x:c>
      <x:c r="B3476" s="32">
        <x:v>579.39</x:v>
      </x:c>
      <x:c r="C3476" s="32">
        <x:v>580.32000000000005</x:v>
      </x:c>
      <x:c r="D3476" s="32">
        <x:v>573.52</x:v>
      </x:c>
      <x:c r="E3476" s="32">
        <x:v>573.74</x:v>
      </x:c>
      <x:c r="F3476" s="33">
        <x:v>81752950</x:v>
      </x:c>
      <x:c r="G3476" s="32" t="n">
        <x:f t="shared" si="153">AVERAGE(E3277:E3476)</x:f>
        <x:v>587.0394999999999</x:v>
      </x:c>
      <x:c r="H3476" s="37" t="n">
        <x:f t="shared" si="154">IFERROR(E3476/G3476-1,"")</x:f>
        <x:v>-0.022655204632737402</x:v>
      </x:c>
      <x:c r="I3476" s="38" t="b">
        <x:f t="shared" si="155">E3476&lt;G3476</x:f>
        <x:v>1</x:v>
      </x:c>
    </x:row>
    <x:row r="3477">
      <x:c r="A3477" s="31">
        <x:v>42083</x:v>
      </x:c>
      <x:c r="B3477" s="32">
        <x:v>572.57000000000005</x:v>
      </x:c>
      <x:c r="C3477" s="32">
        <x:v>577.55999999999995</x:v>
      </x:c>
      <x:c r="D3477" s="32">
        <x:v>571.91999999999996</x:v>
      </x:c>
      <x:c r="E3477" s="32">
        <x:v>575.44000000000005</x:v>
      </x:c>
      <x:c r="F3477" s="33">
        <x:v>145321980</x:v>
      </x:c>
      <x:c r="G3477" s="32" t="n">
        <x:f t="shared" si="153">AVERAGE(E3278:E3477)</x:f>
        <x:v>587.1065999999998</x:v>
      </x:c>
      <x:c r="H3477" s="37" t="n">
        <x:f t="shared" si="154">IFERROR(E3477/G3477-1,"")</x:f>
        <x:v>-0.0198713487465475</x:v>
      </x:c>
      <x:c r="I3477" s="38" t="b">
        <x:f t="shared" si="155">E3477&lt;G3477</x:f>
        <x:v>1</x:v>
      </x:c>
    </x:row>
    <x:row r="3478">
      <x:c r="A3478" s="31">
        <x:v>42086</x:v>
      </x:c>
      <x:c r="B3478" s="32">
        <x:v>576.64</x:v>
      </x:c>
      <x:c r="C3478" s="32">
        <x:v>579.39</x:v>
      </x:c>
      <x:c r="D3478" s="32">
        <x:v>570.44000000000005</x:v>
      </x:c>
      <x:c r="E3478" s="32">
        <x:v>570.89</x:v>
      </x:c>
      <x:c r="F3478" s="33">
        <x:v>92533430</x:v>
      </x:c>
      <x:c r="G3478" s="32" t="n">
        <x:f t="shared" si="153">AVERAGE(E3279:E3478)</x:f>
        <x:v>587.1770499999999</x:v>
      </x:c>
      <x:c r="H3478" s="37" t="n">
        <x:f t="shared" si="154">IFERROR(E3478/G3478-1,"")</x:f>
        <x:v>-0.027737885872753165</x:v>
      </x:c>
      <x:c r="I3478" s="38" t="b">
        <x:f t="shared" si="155">E3478&lt;G3478</x:f>
        <x:v>1</x:v>
      </x:c>
    </x:row>
    <x:row r="3479">
      <x:c r="A3479" s="31">
        <x:v>42087</x:v>
      </x:c>
      <x:c r="B3479" s="32">
        <x:v>569.33000000000004</x:v>
      </x:c>
      <x:c r="C3479" s="32">
        <x:v>569.91</x:v>
      </x:c>
      <x:c r="D3479" s="32">
        <x:v>562.07000000000005</x:v>
      </x:c>
      <x:c r="E3479" s="32">
        <x:v>567.42999999999995</x:v>
      </x:c>
      <x:c r="F3479" s="33">
        <x:v>85257700</x:v>
      </x:c>
      <x:c r="G3479" s="32" t="n">
        <x:f t="shared" si="153">AVERAGE(E3280:E3479)</x:f>
        <x:v>587.2203999999998</x:v>
      </x:c>
      <x:c r="H3479" s="37" t="n">
        <x:f t="shared" si="154">IFERROR(E3479/G3479-1,"")</x:f>
        <x:v>-0.033701826435184934</x:v>
      </x:c>
      <x:c r="I3479" s="38" t="b">
        <x:f t="shared" si="155">E3479&lt;G3479</x:f>
        <x:v>1</x:v>
      </x:c>
    </x:row>
    <x:row r="3480">
      <x:c r="A3480" s="31">
        <x:v>42088</x:v>
      </x:c>
      <x:c r="B3480" s="32">
        <x:v>567.62</x:v>
      </x:c>
      <x:c r="C3480" s="32">
        <x:v>568.4</x:v>
      </x:c>
      <x:c r="D3480" s="32">
        <x:v>559.87</x:v>
      </x:c>
      <x:c r="E3480" s="32">
        <x:v>560.92999999999995</x:v>
      </x:c>
      <x:c r="F3480" s="33">
        <x:v>83089270</x:v>
      </x:c>
      <x:c r="G3480" s="32" t="n">
        <x:f t="shared" si="153">AVERAGE(E3281:E3480)</x:f>
        <x:v>587.2577499999998</x:v>
      </x:c>
      <x:c r="H3480" s="37" t="n">
        <x:f t="shared" si="154">IFERROR(E3480/G3480-1,"")</x:f>
        <x:v>-0.044831677402298764</x:v>
      </x:c>
      <x:c r="I3480" s="38" t="b">
        <x:f t="shared" si="155">E3480&lt;G3480</x:f>
        <x:v>1</x:v>
      </x:c>
    </x:row>
    <x:row r="3481">
      <x:c r="A3481" s="31">
        <x:v>42089</x:v>
      </x:c>
      <x:c r="B3481" s="32">
        <x:v>556.12</x:v>
      </x:c>
      <x:c r="C3481" s="32">
        <x:v>559.67999999999995</x:v>
      </x:c>
      <x:c r="D3481" s="32">
        <x:v>553.19000000000005</x:v>
      </x:c>
      <x:c r="E3481" s="32">
        <x:v>556.16</x:v>
      </x:c>
      <x:c r="F3481" s="33">
        <x:v>78108910</x:v>
      </x:c>
      <x:c r="G3481" s="32" t="n">
        <x:f t="shared" si="153">AVERAGE(E3282:E3481)</x:f>
        <x:v>587.2830499999998</x:v>
      </x:c>
      <x:c r="H3481" s="37" t="n">
        <x:f t="shared" si="154">IFERROR(E3481/G3481-1,"")</x:f>
        <x:v>-0.052994974058930944</x:v>
      </x:c>
      <x:c r="I3481" s="38" t="b">
        <x:f t="shared" si="155">E3481&lt;G3481</x:f>
        <x:v>1</x:v>
      </x:c>
    </x:row>
    <x:row r="3482">
      <x:c r="A3482" s="31">
        <x:v>42090</x:v>
      </x:c>
      <x:c r="B3482" s="32">
        <x:v>558.92999999999995</x:v>
      </x:c>
      <x:c r="C3482" s="32">
        <x:v>561.13</x:v>
      </x:c>
      <x:c r="D3482" s="32">
        <x:v>549.65</x:v>
      </x:c>
      <x:c r="E3482" s="32">
        <x:v>551.41999999999996</x:v>
      </x:c>
      <x:c r="F3482" s="33">
        <x:v>83668500</x:v>
      </x:c>
      <x:c r="G3482" s="32" t="n">
        <x:f t="shared" si="153">AVERAGE(E3283:E3482)</x:f>
        <x:v>587.2449499999998</x:v>
      </x:c>
      <x:c r="H3482" s="37" t="n">
        <x:f t="shared" si="154">IFERROR(E3482/G3482-1,"")</x:f>
        <x:v>-0.06100512230884203</x:v>
      </x:c>
      <x:c r="I3482" s="38" t="b">
        <x:f t="shared" si="155">E3482&lt;G3482</x:f>
        <x:v>1</x:v>
      </x:c>
    </x:row>
    <x:row r="3483">
      <x:c r="A3483" s="31">
        <x:v>42093</x:v>
      </x:c>
      <x:c r="B3483" s="32">
        <x:v>551.75</x:v>
      </x:c>
      <x:c r="C3483" s="32">
        <x:v>554.26</x:v>
      </x:c>
      <x:c r="D3483" s="32">
        <x:v>545.07000000000005</x:v>
      </x:c>
      <x:c r="E3483" s="32">
        <x:v>545.19000000000005</x:v>
      </x:c>
      <x:c r="F3483" s="33">
        <x:v>85631540</x:v>
      </x:c>
      <x:c r="G3483" s="32" t="n">
        <x:f t="shared" si="153">AVERAGE(E3284:E3483)</x:f>
        <x:v>587.1428499999998</x:v>
      </x:c>
      <x:c r="H3483" s="37" t="n">
        <x:f t="shared" si="154">IFERROR(E3483/G3483-1,"")</x:f>
        <x:v>-0.07145254344832741</x:v>
      </x:c>
      <x:c r="I3483" s="38" t="b">
        <x:f t="shared" si="155">E3483&lt;G3483</x:f>
        <x:v>1</x:v>
      </x:c>
    </x:row>
    <x:row r="3484">
      <x:c r="A3484" s="31">
        <x:v>42094</x:v>
      </x:c>
      <x:c r="B3484" s="32">
        <x:v>544.87</x:v>
      </x:c>
      <x:c r="C3484" s="32">
        <x:v>552.72</x:v>
      </x:c>
      <x:c r="D3484" s="32">
        <x:v>544.87</x:v>
      </x:c>
      <x:c r="E3484" s="32">
        <x:v>551.13</x:v>
      </x:c>
      <x:c r="F3484" s="33">
        <x:v>80466510</x:v>
      </x:c>
      <x:c r="G3484" s="32" t="n">
        <x:f t="shared" si="153">AVERAGE(E3285:E3484)</x:f>
        <x:v>587.06405</x:v>
      </x:c>
      <x:c r="H3484" s="37" t="n">
        <x:f t="shared" si="154">IFERROR(E3484/G3484-1,"")</x:f>
        <x:v>-0.06120976067262163</x:v>
      </x:c>
      <x:c r="I3484" s="38" t="b">
        <x:f t="shared" si="155">E3484&lt;G3484</x:f>
        <x:v>1</x:v>
      </x:c>
    </x:row>
    <x:row r="3485">
      <x:c r="A3485" s="31">
        <x:v>42095</x:v>
      </x:c>
      <x:c r="B3485" s="32">
        <x:v>550.79999999999995</x:v>
      </x:c>
      <x:c r="C3485" s="32">
        <x:v>551.69000000000005</x:v>
      </x:c>
      <x:c r="D3485" s="32">
        <x:v>537.29999999999995</x:v>
      </x:c>
      <x:c r="E3485" s="32">
        <x:v>538.91</x:v>
      </x:c>
      <x:c r="F3485" s="33">
        <x:v>109335350</x:v>
      </x:c>
      <x:c r="G3485" s="32" t="n">
        <x:f t="shared" si="153">AVERAGE(E3286:E3485)</x:f>
        <x:v>586.9068</x:v>
      </x:c>
      <x:c r="H3485" s="37" t="n">
        <x:f t="shared" si="154">IFERROR(E3485/G3485-1,"")</x:f>
        <x:v>-0.08177925353735893</x:v>
      </x:c>
      <x:c r="I3485" s="38" t="b">
        <x:f t="shared" si="155">E3485&lt;G3485</x:f>
        <x:v>1</x:v>
      </x:c>
    </x:row>
    <x:row r="3486">
      <x:c r="A3486" s="31">
        <x:v>42096</x:v>
      </x:c>
      <x:c r="B3486" s="32">
        <x:v>540.54</x:v>
      </x:c>
      <x:c r="C3486" s="32">
        <x:v>546.85</x:v>
      </x:c>
      <x:c r="D3486" s="32">
        <x:v>536.87</x:v>
      </x:c>
      <x:c r="E3486" s="32">
        <x:v>546.85</x:v>
      </x:c>
      <x:c r="F3486" s="33">
        <x:v>85076890</x:v>
      </x:c>
      <x:c r="G3486" s="32" t="n">
        <x:f t="shared" si="153">AVERAGE(E3287:E3486)</x:f>
        <x:v>586.7722</x:v>
      </x:c>
      <x:c r="H3486" s="37" t="n">
        <x:f t="shared" si="154">IFERROR(E3486/G3486-1,"")</x:f>
        <x:v>-0.06803696562311567</x:v>
      </x:c>
      <x:c r="I3486" s="38" t="b">
        <x:f t="shared" si="155">E3486&lt;G3486</x:f>
        <x:v>1</x:v>
      </x:c>
    </x:row>
    <x:row r="3487">
      <x:c r="A3487" s="31">
        <x:v>42097</x:v>
      </x:c>
      <x:c r="B3487" s="32">
        <x:v>548.69000000000005</x:v>
      </x:c>
      <x:c r="C3487" s="32">
        <x:v>550.29999999999995</x:v>
      </x:c>
      <x:c r="D3487" s="32">
        <x:v>544.22</x:v>
      </x:c>
      <x:c r="E3487" s="32">
        <x:v>547.85</x:v>
      </x:c>
      <x:c r="F3487" s="33">
        <x:v>69546330</x:v>
      </x:c>
      <x:c r="G3487" s="32" t="n">
        <x:f t="shared" si="153">AVERAGE(E3288:E3487)</x:f>
        <x:v>586.6390500000001</x:v>
      </x:c>
      <x:c r="H3487" s="37" t="n">
        <x:f t="shared" si="154">IFERROR(E3487/G3487-1,"")</x:f>
        <x:v>-0.06612081142569703</x:v>
      </x:c>
      <x:c r="I3487" s="38" t="b">
        <x:f t="shared" si="155">E3487&lt;G3487</x:f>
        <x:v>1</x:v>
      </x:c>
    </x:row>
    <x:row r="3488">
      <x:c r="A3488" s="31">
        <x:v>42100</x:v>
      </x:c>
      <x:c r="B3488" s="32">
        <x:v>548.11</x:v>
      </x:c>
      <x:c r="C3488" s="32">
        <x:v>549.28</x:v>
      </x:c>
      <x:c r="D3488" s="32">
        <x:v>542.97</x:v>
      </x:c>
      <x:c r="E3488" s="32">
        <x:v>542.97</x:v>
      </x:c>
      <x:c r="F3488" s="33">
        <x:v>54696270</x:v>
      </x:c>
      <x:c r="G3488" s="32" t="n">
        <x:f t="shared" si="153">AVERAGE(E3289:E3488)</x:f>
        <x:v>586.4920500000001</x:v>
      </x:c>
      <x:c r="H3488" s="37" t="n">
        <x:f t="shared" si="154">IFERROR(E3488/G3488-1,"")</x:f>
        <x:v>-0.07420739974224722</x:v>
      </x:c>
      <x:c r="I3488" s="38" t="b">
        <x:f t="shared" si="155">E3488&lt;G3488</x:f>
        <x:v>1</x:v>
      </x:c>
    </x:row>
    <x:row r="3489">
      <x:c r="A3489" s="31">
        <x:v>42101</x:v>
      </x:c>
      <x:c r="B3489" s="32">
        <x:v>542.71</x:v>
      </x:c>
      <x:c r="C3489" s="32">
        <x:v>548.37</x:v>
      </x:c>
      <x:c r="D3489" s="32">
        <x:v>540.79</x:v>
      </x:c>
      <x:c r="E3489" s="32">
        <x:v>548.11</x:v>
      </x:c>
      <x:c r="F3489" s="33">
        <x:v>89727690</x:v>
      </x:c>
      <x:c r="G3489" s="32" t="n">
        <x:f t="shared" si="153">AVERAGE(E3290:E3489)</x:f>
        <x:v>586.37135</x:v>
      </x:c>
      <x:c r="H3489" s="37" t="n">
        <x:f t="shared" si="154">IFERROR(E3489/G3489-1,"")</x:f>
        <x:v>-0.06525105634850681</x:v>
      </x:c>
      <x:c r="I3489" s="38" t="b">
        <x:f t="shared" si="155">E3489&lt;G3489</x:f>
        <x:v>1</x:v>
      </x:c>
    </x:row>
    <x:row r="3490">
      <x:c r="A3490" s="31">
        <x:v>42102</x:v>
      </x:c>
      <x:c r="B3490" s="32">
        <x:v>549.69000000000005</x:v>
      </x:c>
      <x:c r="C3490" s="32">
        <x:v>551.23</x:v>
      </x:c>
      <x:c r="D3490" s="32">
        <x:v>546.29</x:v>
      </x:c>
      <x:c r="E3490" s="32">
        <x:v>547.72</x:v>
      </x:c>
      <x:c r="F3490" s="33">
        <x:v>70218920</x:v>
      </x:c>
      <x:c r="G3490" s="32" t="n">
        <x:f t="shared" si="153">AVERAGE(E3291:E3490)</x:f>
        <x:v>586.2598</x:v>
      </x:c>
      <x:c r="H3490" s="37" t="n">
        <x:f t="shared" si="154">IFERROR(E3490/G3490-1,"")</x:f>
        <x:v>-0.06573843200574214</x:v>
      </x:c>
      <x:c r="I3490" s="38" t="b">
        <x:f t="shared" si="155">E3490&lt;G3490</x:f>
        <x:v>1</x:v>
      </x:c>
    </x:row>
    <x:row r="3491">
      <x:c r="A3491" s="31">
        <x:v>42103</x:v>
      </x:c>
      <x:c r="B3491" s="32">
        <x:v>547.26</x:v>
      </x:c>
      <x:c r="C3491" s="32">
        <x:v>552.53</x:v>
      </x:c>
      <x:c r="D3491" s="32">
        <x:v>546.76</x:v>
      </x:c>
      <x:c r="E3491" s="32">
        <x:v>550.52</x:v>
      </x:c>
      <x:c r="F3491" s="33">
        <x:v>83461270</x:v>
      </x:c>
      <x:c r="G3491" s="32" t="n">
        <x:f t="shared" si="153">AVERAGE(E3292:E3491)</x:f>
        <x:v>586.1756500000001</x:v>
      </x:c>
      <x:c r="H3491" s="37" t="n">
        <x:f t="shared" si="154">IFERROR(E3491/G3491-1,"")</x:f>
        <x:v>-0.06082758640690744</x:v>
      </x:c>
      <x:c r="I3491" s="38" t="b">
        <x:f t="shared" si="155">E3491&lt;G3491</x:f>
        <x:v>1</x:v>
      </x:c>
    </x:row>
    <x:row r="3492">
      <x:c r="A3492" s="31">
        <x:v>42104</x:v>
      </x:c>
      <x:c r="B3492" s="32">
        <x:v>550.96</x:v>
      </x:c>
      <x:c r="C3492" s="32">
        <x:v>557.65</x:v>
      </x:c>
      <x:c r="D3492" s="32">
        <x:v>550.96</x:v>
      </x:c>
      <x:c r="E3492" s="32">
        <x:v>554.03</x:v>
      </x:c>
      <x:c r="F3492" s="33">
        <x:v>94475400</x:v>
      </x:c>
      <x:c r="G3492" s="32" t="n">
        <x:f t="shared" si="153">AVERAGE(E3293:E3492)</x:f>
        <x:v>586.1419000000001</x:v>
      </x:c>
      <x:c r="H3492" s="37" t="n">
        <x:f t="shared" si="154">IFERROR(E3492/G3492-1,"")</x:f>
        <x:v>-0.05478519791879766</x:v>
      </x:c>
      <x:c r="I3492" s="38" t="b">
        <x:f t="shared" si="155">E3492&lt;G3492</x:f>
        <x:v>1</x:v>
      </x:c>
    </x:row>
    <x:row r="3493">
      <x:c r="A3493" s="31">
        <x:v>42107</x:v>
      </x:c>
      <x:c r="B3493" s="32">
        <x:v>556.35</x:v>
      </x:c>
      <x:c r="C3493" s="32">
        <x:v>559.67999999999995</x:v>
      </x:c>
      <x:c r="D3493" s="32">
        <x:v>555.97</x:v>
      </x:c>
      <x:c r="E3493" s="32">
        <x:v>559.54</x:v>
      </x:c>
      <x:c r="F3493" s="33">
        <x:v>68397200</x:v>
      </x:c>
      <x:c r="G3493" s="32" t="n">
        <x:f t="shared" si="153">AVERAGE(E3294:E3493)</x:f>
        <x:v>586.11</x:v>
      </x:c>
      <x:c r="H3493" s="37" t="n">
        <x:f t="shared" si="154">IFERROR(E3493/G3493-1,"")</x:f>
        <x:v>-0.04533278736073443</x:v>
      </x:c>
      <x:c r="I3493" s="38" t="b">
        <x:f t="shared" si="155">E3493&lt;G3493</x:f>
        <x:v>1</x:v>
      </x:c>
    </x:row>
    <x:row r="3494">
      <x:c r="A3494" s="31">
        <x:v>42108</x:v>
      </x:c>
      <x:c r="B3494" s="32">
        <x:v>559.80999999999995</x:v>
      </x:c>
      <x:c r="C3494" s="32">
        <x:v>562.95000000000005</x:v>
      </x:c>
      <x:c r="D3494" s="32">
        <x:v>558.49</x:v>
      </x:c>
      <x:c r="E3494" s="32">
        <x:v>558.66999999999996</x:v>
      </x:c>
      <x:c r="F3494" s="33">
        <x:v>64342770</x:v>
      </x:c>
      <x:c r="G3494" s="32" t="n">
        <x:f t="shared" si="153">AVERAGE(E3295:E3494)</x:f>
        <x:v>586.0546499999999</x:v>
      </x:c>
      <x:c r="H3494" s="37" t="n">
        <x:f t="shared" si="154">IFERROR(E3494/G3494-1,"")</x:f>
        <x:v>-0.04672712689848968</x:v>
      </x:c>
      <x:c r="I3494" s="38" t="b">
        <x:f t="shared" si="155">E3494&lt;G3494</x:f>
        <x:v>1</x:v>
      </x:c>
    </x:row>
    <x:row r="3495">
      <x:c r="A3495" s="31">
        <x:v>42109</x:v>
      </x:c>
      <x:c r="B3495" s="32">
        <x:v>558.94000000000005</x:v>
      </x:c>
      <x:c r="C3495" s="32">
        <x:v>565.39</x:v>
      </x:c>
      <x:c r="D3495" s="32">
        <x:v>558.94000000000005</x:v>
      </x:c>
      <x:c r="E3495" s="32">
        <x:v>564.5</x:v>
      </x:c>
      <x:c r="F3495" s="33">
        <x:v>74772590</x:v>
      </x:c>
      <x:c r="G3495" s="32" t="n">
        <x:f t="shared" si="153">AVERAGE(E3296:E3495)</x:f>
        <x:v>586.0158</x:v>
      </x:c>
      <x:c r="H3495" s="37" t="n">
        <x:f t="shared" si="154">IFERROR(E3495/G3495-1,"")</x:f>
        <x:v>-0.036715392315360806</x:v>
      </x:c>
      <x:c r="I3495" s="38" t="b">
        <x:f t="shared" si="155">E3495&lt;G3495</x:f>
        <x:v>1</x:v>
      </x:c>
    </x:row>
    <x:row r="3496">
      <x:c r="A3496" s="31">
        <x:v>42110</x:v>
      </x:c>
      <x:c r="B3496" s="32">
        <x:v>564.5</x:v>
      </x:c>
      <x:c r="C3496" s="32">
        <x:v>570.67999999999995</x:v>
      </x:c>
      <x:c r="D3496" s="32">
        <x:v>564.5</x:v>
      </x:c>
      <x:c r="E3496" s="32">
        <x:v>568.28</x:v>
      </x:c>
      <x:c r="F3496" s="33">
        <x:v>96584510</x:v>
      </x:c>
      <x:c r="G3496" s="32" t="n">
        <x:f t="shared" si="153">AVERAGE(E3297:E3496)</x:f>
        <x:v>585.9752</x:v>
      </x:c>
      <x:c r="H3496" s="37" t="n">
        <x:f t="shared" si="154">IFERROR(E3496/G3496-1,"")</x:f>
        <x:v>-0.030197865029100157</x:v>
      </x:c>
      <x:c r="I3496" s="38" t="b">
        <x:f t="shared" si="155">E3496&lt;G3496</x:f>
        <x:v>1</x:v>
      </x:c>
    </x:row>
    <x:row r="3497">
      <x:c r="A3497" s="31">
        <x:v>42111</x:v>
      </x:c>
      <x:c r="B3497" s="32">
        <x:v>568.28</x:v>
      </x:c>
      <x:c r="C3497" s="32">
        <x:v>572.76</x:v>
      </x:c>
      <x:c r="D3497" s="32">
        <x:v>568.28</x:v>
      </x:c>
      <x:c r="E3497" s="32">
        <x:v>568.32000000000005</x:v>
      </x:c>
      <x:c r="F3497" s="33">
        <x:v>104793290</x:v>
      </x:c>
      <x:c r="G3497" s="32" t="n">
        <x:f t="shared" si="153">AVERAGE(E3298:E3497)</x:f>
        <x:v>585.9227000000001</x:v>
      </x:c>
      <x:c r="H3497" s="37" t="n">
        <x:f t="shared" si="154">IFERROR(E3497/G3497-1,"")</x:f>
        <x:v>-0.03004270017188282</x:v>
      </x:c>
      <x:c r="I3497" s="38" t="b">
        <x:f t="shared" si="155">E3497&lt;G3497</x:f>
        <x:v>1</x:v>
      </x:c>
    </x:row>
    <x:row r="3498">
      <x:c r="A3498" s="31">
        <x:v>42114</x:v>
      </x:c>
      <x:c r="B3498" s="32">
        <x:v>568.52</x:v>
      </x:c>
      <x:c r="C3498" s="32">
        <x:v>568.83000000000004</x:v>
      </x:c>
      <x:c r="D3498" s="32">
        <x:v>562.66</x:v>
      </x:c>
      <x:c r="E3498" s="32">
        <x:v>565.04</x:v>
      </x:c>
      <x:c r="F3498" s="33">
        <x:v>65083490</x:v>
      </x:c>
      <x:c r="G3498" s="32" t="n">
        <x:f t="shared" si="153">AVERAGE(E3299:E3498)</x:f>
        <x:v>585.85725</x:v>
      </x:c>
      <x:c r="H3498" s="37" t="n">
        <x:f t="shared" si="154">IFERROR(E3498/G3498-1,"")</x:f>
        <x:v>-0.035532973262684786</x:v>
      </x:c>
      <x:c r="I3498" s="38" t="b">
        <x:f t="shared" si="155">E3498&lt;G3498</x:f>
        <x:v>1</x:v>
      </x:c>
    </x:row>
    <x:row r="3499">
      <x:c r="A3499" s="31">
        <x:v>42115</x:v>
      </x:c>
      <x:c r="B3499" s="32">
        <x:v>563.78</x:v>
      </x:c>
      <x:c r="C3499" s="32">
        <x:v>567.52</x:v>
      </x:c>
      <x:c r="D3499" s="32">
        <x:v>562.24</x:v>
      </x:c>
      <x:c r="E3499" s="32">
        <x:v>562.24</x:v>
      </x:c>
      <x:c r="F3499" s="33">
        <x:v>81797060</x:v>
      </x:c>
      <x:c r="G3499" s="32" t="n">
        <x:f t="shared" si="153">AVERAGE(E3300:E3499)</x:f>
        <x:v>585.7781</x:v>
      </x:c>
      <x:c r="H3499" s="37" t="n">
        <x:f t="shared" si="154">IFERROR(E3499/G3499-1,"")</x:f>
        <x:v>-0.04018262205432399</x:v>
      </x:c>
      <x:c r="I3499" s="38" t="b">
        <x:f t="shared" si="155">E3499&lt;G3499</x:f>
        <x:v>1</x:v>
      </x:c>
    </x:row>
    <x:row r="3500">
      <x:c r="A3500" s="31">
        <x:v>42116</x:v>
      </x:c>
      <x:c r="B3500" s="32">
        <x:v>562.58000000000004</x:v>
      </x:c>
      <x:c r="C3500" s="32">
        <x:v>565.04</x:v>
      </x:c>
      <x:c r="D3500" s="32">
        <x:v>561.53</x:v>
      </x:c>
      <x:c r="E3500" s="32">
        <x:v>562.51</x:v>
      </x:c>
      <x:c r="F3500" s="33">
        <x:v>89314350</x:v>
      </x:c>
      <x:c r="G3500" s="32" t="n">
        <x:f t="shared" si="153">AVERAGE(E3301:E3500)</x:f>
        <x:v>585.69665</x:v>
      </x:c>
      <x:c r="H3500" s="37" t="n">
        <x:f t="shared" si="154">IFERROR(E3500/G3500-1,"")</x:f>
        <x:v>-0.03958815540433769</x:v>
      </x:c>
      <x:c r="I3500" s="38" t="b">
        <x:f t="shared" si="155">E3500&lt;G3500</x:f>
        <x:v>1</x:v>
      </x:c>
    </x:row>
    <x:row r="3501">
      <x:c r="A3501" s="31">
        <x:v>42117</x:v>
      </x:c>
      <x:c r="B3501" s="32">
        <x:v>562.85</x:v>
      </x:c>
      <x:c r="C3501" s="32">
        <x:v>564.45000000000005</x:v>
      </x:c>
      <x:c r="D3501" s="32">
        <x:v>557.57000000000005</x:v>
      </x:c>
      <x:c r="E3501" s="32">
        <x:v>561.25</x:v>
      </x:c>
      <x:c r="F3501" s="33">
        <x:v>71098650</x:v>
      </x:c>
      <x:c r="G3501" s="32" t="n">
        <x:f t="shared" si="153">AVERAGE(E3302:E3501)</x:f>
        <x:v>585.5778</x:v>
      </x:c>
      <x:c r="H3501" s="37" t="n">
        <x:f t="shared" si="154">IFERROR(E3501/G3501-1,"")</x:f>
        <x:v>-0.04154494927915642</x:v>
      </x:c>
      <x:c r="I3501" s="38" t="b">
        <x:f t="shared" si="155">E3501&lt;G3501</x:f>
        <x:v>1</x:v>
      </x:c>
    </x:row>
    <x:row r="3502">
      <x:c r="A3502" s="31">
        <x:v>42118</x:v>
      </x:c>
      <x:c r="B3502" s="32">
        <x:v>563.16999999999996</x:v>
      </x:c>
      <x:c r="C3502" s="32">
        <x:v>567.36</x:v>
      </x:c>
      <x:c r="D3502" s="32">
        <x:v>561.55999999999995</x:v>
      </x:c>
      <x:c r="E3502" s="32">
        <x:v>565.77</x:v>
      </x:c>
      <x:c r="F3502" s="33">
        <x:v>54121630</x:v>
      </x:c>
      <x:c r="G3502" s="32" t="n">
        <x:f t="shared" si="153">AVERAGE(E3303:E3502)</x:f>
        <x:v>585.4599000000001</x:v>
      </x:c>
      <x:c r="H3502" s="37" t="n">
        <x:f t="shared" si="154">IFERROR(E3502/G3502-1,"")</x:f>
        <x:v>-0.03363150917765689</x:v>
      </x:c>
      <x:c r="I3502" s="38" t="b">
        <x:f t="shared" si="155">E3502&lt;G3502</x:f>
        <x:v>1</x:v>
      </x:c>
    </x:row>
    <x:row r="3503">
      <x:c r="A3503" s="31">
        <x:v>42121</x:v>
      </x:c>
      <x:c r="B3503" s="32">
        <x:v>567.77</x:v>
      </x:c>
      <x:c r="C3503" s="32">
        <x:v>568.47</x:v>
      </x:c>
      <x:c r="D3503" s="32">
        <x:v>562.4</x:v>
      </x:c>
      <x:c r="E3503" s="32">
        <x:v>562.4</x:v>
      </x:c>
      <x:c r="F3503" s="33">
        <x:v>53676760</x:v>
      </x:c>
      <x:c r="G3503" s="32" t="n">
        <x:f t="shared" si="153">AVERAGE(E3304:E3503)</x:f>
        <x:v>585.3184500000001</x:v>
      </x:c>
      <x:c r="H3503" s="37" t="n">
        <x:f t="shared" si="154">IFERROR(E3503/G3503-1,"")</x:f>
        <x:v>-0.03915552294652613</x:v>
      </x:c>
      <x:c r="I3503" s="38" t="b">
        <x:f t="shared" si="155">E3503&lt;G3503</x:f>
        <x:v>1</x:v>
      </x:c>
    </x:row>
    <x:row r="3504">
      <x:c r="A3504" s="31">
        <x:v>42128</x:v>
      </x:c>
      <x:c r="B3504" s="32">
        <x:v>560.62</x:v>
      </x:c>
      <x:c r="C3504" s="32">
        <x:v>563.36</x:v>
      </x:c>
      <x:c r="D3504" s="32">
        <x:v>545.08000000000004</x:v>
      </x:c>
      <x:c r="E3504" s="32">
        <x:v>545.08000000000004</x:v>
      </x:c>
      <x:c r="F3504" s="33">
        <x:v>111153790</x:v>
      </x:c>
      <x:c r="G3504" s="32" t="n">
        <x:f t="shared" si="153">AVERAGE(E3305:E3504)</x:f>
        <x:v>585.0865</x:v>
      </x:c>
      <x:c r="H3504" s="37" t="n">
        <x:f t="shared" si="154">IFERROR(E3504/G3504-1,"")</x:f>
        <x:v>-0.06837706903167307</x:v>
      </x:c>
      <x:c r="I3504" s="38" t="b">
        <x:f t="shared" si="155">E3504&lt;G3504</x:f>
        <x:v>1</x:v>
      </x:c>
    </x:row>
    <x:row r="3505">
      <x:c r="A3505" s="31">
        <x:v>42129</x:v>
      </x:c>
      <x:c r="B3505" s="32">
        <x:v>544.79999999999995</x:v>
      </x:c>
      <x:c r="C3505" s="32">
        <x:v>552.65</x:v>
      </x:c>
      <x:c r="D3505" s="32">
        <x:v>539.04</x:v>
      </x:c>
      <x:c r="E3505" s="32">
        <x:v>552.65</x:v>
      </x:c>
      <x:c r="F3505" s="33">
        <x:v>100089470</x:v>
      </x:c>
      <x:c r="G3505" s="32" t="n">
        <x:f t="shared" si="153">AVERAGE(E3306:E3505)</x:f>
        <x:v>584.89175</x:v>
      </x:c>
      <x:c r="H3505" s="37" t="n">
        <x:f t="shared" si="154">IFERROR(E3505/G3505-1,"")</x:f>
        <x:v>-0.05512430291588144</x:v>
      </x:c>
      <x:c r="I3505" s="38" t="b">
        <x:f t="shared" si="155">E3505&lt;G3505</x:f>
        <x:v>1</x:v>
      </x:c>
    </x:row>
    <x:row r="3506">
      <x:c r="A3506" s="31">
        <x:v>42130</x:v>
      </x:c>
      <x:c r="B3506" s="32">
        <x:v>553.29999999999995</x:v>
      </x:c>
      <x:c r="C3506" s="32">
        <x:v>555.51</x:v>
      </x:c>
      <x:c r="D3506" s="32">
        <x:v>548.16999999999996</x:v>
      </x:c>
      <x:c r="E3506" s="32">
        <x:v>549.29999999999995</x:v>
      </x:c>
      <x:c r="F3506" s="33">
        <x:v>80300720</x:v>
      </x:c>
      <x:c r="G3506" s="32" t="n">
        <x:f t="shared" si="153">AVERAGE(E3307:E3506)</x:f>
        <x:v>584.7138500000001</x:v>
      </x:c>
      <x:c r="H3506" s="37" t="n">
        <x:f t="shared" si="154">IFERROR(E3506/G3506-1,"")</x:f>
        <x:v>-0.06056612136004669</x:v>
      </x:c>
      <x:c r="I3506" s="38" t="b">
        <x:f t="shared" si="155">E3506&lt;G3506</x:f>
        <x:v>1</x:v>
      </x:c>
    </x:row>
    <x:row r="3507">
      <x:c r="A3507" s="31">
        <x:v>42131</x:v>
      </x:c>
      <x:c r="B3507" s="32">
        <x:v>548.51</x:v>
      </x:c>
      <x:c r="C3507" s="32">
        <x:v>554.22</x:v>
      </x:c>
      <x:c r="D3507" s="32">
        <x:v>547.53</x:v>
      </x:c>
      <x:c r="E3507" s="32">
        <x:v>552.98</x:v>
      </x:c>
      <x:c r="F3507" s="33">
        <x:v>65236660</x:v>
      </x:c>
      <x:c r="G3507" s="32" t="n">
        <x:f t="shared" si="153">AVERAGE(E3308:E3507)</x:f>
        <x:v>584.5649000000001</x:v>
      </x:c>
      <x:c r="H3507" s="37" t="n">
        <x:f t="shared" si="154">IFERROR(E3507/G3507-1,"")</x:f>
        <x:v>-0.054031468533263016</x:v>
      </x:c>
      <x:c r="I3507" s="38" t="b">
        <x:f t="shared" si="155">E3507&lt;G3507</x:f>
        <x:v>1</x:v>
      </x:c>
    </x:row>
    <x:row r="3508">
      <x:c r="A3508" s="31">
        <x:v>42132</x:v>
      </x:c>
      <x:c r="B3508" s="32">
        <x:v>551.57000000000005</x:v>
      </x:c>
      <x:c r="C3508" s="32">
        <x:v>556.39</x:v>
      </x:c>
      <x:c r="D3508" s="32">
        <x:v>550.92999999999995</x:v>
      </x:c>
      <x:c r="E3508" s="32">
        <x:v>554.51</x:v>
      </x:c>
      <x:c r="F3508" s="33">
        <x:v>70875790</x:v>
      </x:c>
      <x:c r="G3508" s="32" t="n">
        <x:f t="shared" si="153">AVERAGE(E3309:E3508)</x:f>
        <x:v>584.4063000000001</x:v>
      </x:c>
      <x:c r="H3508" s="37" t="n">
        <x:f t="shared" si="154">IFERROR(E3508/G3508-1,"")</x:f>
        <x:v>-0.05115670382061266</x:v>
      </x:c>
      <x:c r="I3508" s="38" t="b">
        <x:f t="shared" si="155">E3508&lt;G3508</x:f>
        <x:v>1</x:v>
      </x:c>
    </x:row>
    <x:row r="3509">
      <x:c r="A3509" s="31">
        <x:v>42135</x:v>
      </x:c>
      <x:c r="B3509" s="32">
        <x:v>554.5</x:v>
      </x:c>
      <x:c r="C3509" s="32">
        <x:v>556.20000000000005</x:v>
      </x:c>
      <x:c r="D3509" s="32">
        <x:v>550.57000000000005</x:v>
      </x:c>
      <x:c r="E3509" s="32">
        <x:v>551.66999999999996</x:v>
      </x:c>
      <x:c r="F3509" s="33">
        <x:v>88473680</x:v>
      </x:c>
      <x:c r="G3509" s="32" t="n">
        <x:f t="shared" si="153">AVERAGE(E3310:E3509)</x:f>
        <x:v>584.2181</x:v>
      </x:c>
      <x:c r="H3509" s="37" t="n">
        <x:f t="shared" si="154">IFERROR(E3509/G3509-1,"")</x:f>
        <x:v>-0.055712241712470245</x:v>
      </x:c>
      <x:c r="I3509" s="38" t="b">
        <x:f t="shared" si="155">E3509&lt;G3509</x:f>
        <x:v>1</x:v>
      </x:c>
    </x:row>
    <x:row r="3510">
      <x:c r="A3510" s="31">
        <x:v>42136</x:v>
      </x:c>
      <x:c r="B3510" s="32">
        <x:v>551.98</x:v>
      </x:c>
      <x:c r="C3510" s="32">
        <x:v>552.55999999999995</x:v>
      </x:c>
      <x:c r="D3510" s="32">
        <x:v>542.70000000000005</x:v>
      </x:c>
      <x:c r="E3510" s="32">
        <x:v>544.41</x:v>
      </x:c>
      <x:c r="F3510" s="33">
        <x:v>72362280</x:v>
      </x:c>
      <x:c r="G3510" s="32" t="n">
        <x:f t="shared" si="153">AVERAGE(E3311:E3510)</x:f>
        <x:v>583.9917500000001</x:v>
      </x:c>
      <x:c r="H3510" s="37" t="n">
        <x:f t="shared" si="154">IFERROR(E3510/G3510-1,"")</x:f>
        <x:v>-0.0677779266573546</x:v>
      </x:c>
      <x:c r="I3510" s="38" t="b">
        <x:f t="shared" si="155">E3510&lt;G3510</x:f>
        <x:v>1</x:v>
      </x:c>
    </x:row>
    <x:row r="3511">
      <x:c r="A3511" s="31">
        <x:v>42137</x:v>
      </x:c>
      <x:c r="B3511" s="32">
        <x:v>545.5</x:v>
      </x:c>
      <x:c r="C3511" s="32">
        <x:v>546.99</x:v>
      </x:c>
      <x:c r="D3511" s="32">
        <x:v>538.76</x:v>
      </x:c>
      <x:c r="E3511" s="32">
        <x:v>542.82000000000005</x:v>
      </x:c>
      <x:c r="F3511" s="33">
        <x:v>76185760</x:v>
      </x:c>
      <x:c r="G3511" s="32" t="n">
        <x:f t="shared" si="153">AVERAGE(E3312:E3511)</x:f>
        <x:v>583.7540000000001</x:v>
      </x:c>
      <x:c r="H3511" s="37" t="n">
        <x:f t="shared" si="154">IFERROR(E3511/G3511-1,"")</x:f>
        <x:v>-0.07012200344665742</x:v>
      </x:c>
      <x:c r="I3511" s="38" t="b">
        <x:f t="shared" si="155">E3511&lt;G3511</x:f>
        <x:v>1</x:v>
      </x:c>
    </x:row>
    <x:row r="3512">
      <x:c r="A3512" s="31">
        <x:v>42138</x:v>
      </x:c>
      <x:c r="B3512" s="32">
        <x:v>542.53</x:v>
      </x:c>
      <x:c r="C3512" s="32">
        <x:v>545</x:v>
      </x:c>
      <x:c r="D3512" s="32">
        <x:v>540.72</x:v>
      </x:c>
      <x:c r="E3512" s="32">
        <x:v>543.69000000000005</x:v>
      </x:c>
      <x:c r="F3512" s="33">
        <x:v>64983330</x:v>
      </x:c>
      <x:c r="G3512" s="32" t="n">
        <x:f t="shared" si="153">AVERAGE(E3313:E3512)</x:f>
        <x:v>583.4911500000001</x:v>
      </x:c>
      <x:c r="H3512" s="37" t="n">
        <x:f t="shared" si="154">IFERROR(E3512/G3512-1,"")</x:f>
        <x:v>-0.06821208856381111</x:v>
      </x:c>
      <x:c r="I3512" s="38" t="b">
        <x:f t="shared" si="155">E3512&lt;G3512</x:f>
        <x:v>1</x:v>
      </x:c>
    </x:row>
    <x:row r="3513">
      <x:c r="A3513" s="31">
        <x:v>42139</x:v>
      </x:c>
      <x:c r="B3513" s="32">
        <x:v>543.61</x:v>
      </x:c>
      <x:c r="C3513" s="32">
        <x:v>545.48</x:v>
      </x:c>
      <x:c r="D3513" s="32">
        <x:v>537.44000000000005</x:v>
      </x:c>
      <x:c r="E3513" s="32">
        <x:v>537.44000000000005</x:v>
      </x:c>
      <x:c r="F3513" s="33">
        <x:v>72939360</x:v>
      </x:c>
      <x:c r="G3513" s="32" t="n">
        <x:f t="shared" si="153">AVERAGE(E3314:E3513)</x:f>
        <x:v>583.1731500000001</x:v>
      </x:c>
      <x:c r="H3513" s="37" t="n">
        <x:f t="shared" si="154">IFERROR(E3513/G3513-1,"")</x:f>
        <x:v>-0.07842122018134756</x:v>
      </x:c>
      <x:c r="I3513" s="38" t="b">
        <x:f t="shared" si="155">E3513&lt;G3513</x:f>
        <x:v>1</x:v>
      </x:c>
    </x:row>
    <x:row r="3514">
      <x:c r="A3514" s="31">
        <x:v>42142</x:v>
      </x:c>
      <x:c r="B3514" s="32">
        <x:v>535.82000000000005</x:v>
      </x:c>
      <x:c r="C3514" s="32">
        <x:v>536.71</x:v>
      </x:c>
      <x:c r="D3514" s="32">
        <x:v>528.9</x:v>
      </x:c>
      <x:c r="E3514" s="32">
        <x:v>528.95000000000005</x:v>
      </x:c>
      <x:c r="F3514" s="33">
        <x:v>101571460</x:v>
      </x:c>
      <x:c r="G3514" s="32" t="n">
        <x:f t="shared" si="153">AVERAGE(E3315:E3514)</x:f>
        <x:v>582.828</x:v>
      </x:c>
      <x:c r="H3514" s="37" t="n">
        <x:f t="shared" si="154">IFERROR(E3514/G3514-1,"")</x:f>
        <x:v>-0.09244236721639987</x:v>
      </x:c>
      <x:c r="I3514" s="38" t="b">
        <x:f t="shared" si="155">E3514&lt;G3514</x:f>
        <x:v>1</x:v>
      </x:c>
    </x:row>
    <x:row r="3515">
      <x:c r="A3515" s="31">
        <x:v>42143</x:v>
      </x:c>
      <x:c r="B3515" s="32">
        <x:v>530</x:v>
      </x:c>
      <x:c r="C3515" s="32">
        <x:v>537.19000000000005</x:v>
      </x:c>
      <x:c r="D3515" s="32">
        <x:v>530</x:v>
      </x:c>
      <x:c r="E3515" s="32">
        <x:v>536.82000000000005</x:v>
      </x:c>
      <x:c r="F3515" s="33">
        <x:v>83713920</x:v>
      </x:c>
      <x:c r="G3515" s="32" t="n">
        <x:f t="shared" si="153">AVERAGE(E3316:E3515)</x:f>
        <x:v>582.5246000000002</x:v>
      </x:c>
      <x:c r="H3515" s="37" t="n">
        <x:f t="shared" si="154">IFERROR(E3515/G3515-1,"")</x:f>
        <x:v>-0.07845951913447113</x:v>
      </x:c>
      <x:c r="I3515" s="38" t="b">
        <x:f t="shared" si="155">E3515&lt;G3515</x:f>
        <x:v>1</x:v>
      </x:c>
    </x:row>
    <x:row r="3516">
      <x:c r="A3516" s="31">
        <x:v>42144</x:v>
      </x:c>
      <x:c r="B3516" s="32">
        <x:v>536.35</x:v>
      </x:c>
      <x:c r="C3516" s="32">
        <x:v>550.33000000000004</x:v>
      </x:c>
      <x:c r="D3516" s="32">
        <x:v>536.07000000000005</x:v>
      </x:c>
      <x:c r="E3516" s="32">
        <x:v>550.1</x:v>
      </x:c>
      <x:c r="F3516" s="33">
        <x:v>123636990</x:v>
      </x:c>
      <x:c r="G3516" s="32" t="n">
        <x:f t="shared" si="153">AVERAGE(E3317:E3516)</x:f>
        <x:v>582.2648000000002</x:v>
      </x:c>
      <x:c r="H3516" s="37" t="n">
        <x:f t="shared" si="154">IFERROR(E3516/G3516-1,"")</x:f>
        <x:v>-0.055240845745784584</x:v>
      </x:c>
      <x:c r="I3516" s="38" t="b">
        <x:f t="shared" si="155">E3516&lt;G3516</x:f>
        <x:v>1</x:v>
      </x:c>
    </x:row>
    <x:row r="3517">
      <x:c r="A3517" s="31">
        <x:v>42145</x:v>
      </x:c>
      <x:c r="B3517" s="32">
        <x:v>550.99</x:v>
      </x:c>
      <x:c r="C3517" s="32">
        <x:v>554</x:v>
      </x:c>
      <x:c r="D3517" s="32">
        <x:v>547.95000000000005</x:v>
      </x:c>
      <x:c r="E3517" s="32">
        <x:v>552.55999999999995</x:v>
      </x:c>
      <x:c r="F3517" s="33">
        <x:v>103114440</x:v>
      </x:c>
      <x:c r="G3517" s="32" t="n">
        <x:f t="shared" si="153">AVERAGE(E3318:E3517)</x:f>
        <x:v>582.0269000000002</x:v>
      </x:c>
      <x:c r="H3517" s="37" t="n">
        <x:f t="shared" si="154">IFERROR(E3517/G3517-1,"")</x:f>
        <x:v>-0.05062807234511024</x:v>
      </x:c>
      <x:c r="I3517" s="38" t="b">
        <x:f t="shared" si="155">E3517&lt;G3517</x:f>
        <x:v>1</x:v>
      </x:c>
    </x:row>
    <x:row r="3518">
      <x:c r="A3518" s="31">
        <x:v>42146</x:v>
      </x:c>
      <x:c r="B3518" s="32">
        <x:v>553.41</x:v>
      </x:c>
      <x:c r="C3518" s="32">
        <x:v>561.82000000000005</x:v>
      </x:c>
      <x:c r="D3518" s="32">
        <x:v>550.80999999999995</x:v>
      </x:c>
      <x:c r="E3518" s="32">
        <x:v>561.82000000000005</x:v>
      </x:c>
      <x:c r="F3518" s="33">
        <x:v>112920050</x:v>
      </x:c>
      <x:c r="G3518" s="32" t="n">
        <x:f t="shared" si="153">AVERAGE(E3319:E3518)</x:f>
        <x:v>581.8887500000002</x:v>
      </x:c>
      <x:c r="H3518" s="37" t="n">
        <x:f t="shared" si="154">IFERROR(E3518/G3518-1,"")</x:f>
        <x:v>-0.03448898092633712</x:v>
      </x:c>
      <x:c r="I3518" s="38" t="b">
        <x:f t="shared" si="155">E3518&lt;G3518</x:f>
        <x:v>1</x:v>
      </x:c>
    </x:row>
    <x:row r="3519">
      <x:c r="A3519" s="31">
        <x:v>42149</x:v>
      </x:c>
      <x:c r="B3519" s="32">
        <x:v>560.79999999999995</x:v>
      </x:c>
      <x:c r="C3519" s="32">
        <x:v>563.84</x:v>
      </x:c>
      <x:c r="D3519" s="32">
        <x:v>558.5</x:v>
      </x:c>
      <x:c r="E3519" s="32">
        <x:v>563</x:v>
      </x:c>
      <x:c r="F3519" s="33">
        <x:v>106078240</x:v>
      </x:c>
      <x:c r="G3519" s="32" t="n">
        <x:f t="shared" si="153">AVERAGE(E3320:E3519)</x:f>
        <x:v>581.7425500000002</x:v>
      </x:c>
      <x:c r="H3519" s="37" t="n">
        <x:f t="shared" si="154">IFERROR(E3519/G3519-1,"")</x:f>
        <x:v>-0.03221794589376381</x:v>
      </x:c>
      <x:c r="I3519" s="38" t="b">
        <x:f t="shared" si="155">E3519&lt;G3519</x:f>
        <x:v>1</x:v>
      </x:c>
    </x:row>
    <x:row r="3520">
      <x:c r="A3520" s="31">
        <x:v>42150</x:v>
      </x:c>
      <x:c r="B3520" s="32">
        <x:v>563.30999999999995</x:v>
      </x:c>
      <x:c r="C3520" s="32">
        <x:v>570.29</x:v>
      </x:c>
      <x:c r="D3520" s="32">
        <x:v>562.58000000000004</x:v>
      </x:c>
      <x:c r="E3520" s="32">
        <x:v>567.20000000000005</x:v>
      </x:c>
      <x:c r="F3520" s="33">
        <x:v>133053010</x:v>
      </x:c>
      <x:c r="G3520" s="32" t="n">
        <x:f t="shared" si="153">AVERAGE(E3321:E3520)</x:f>
        <x:v>581.6319000000002</x:v>
      </x:c>
      <x:c r="H3520" s="37" t="n">
        <x:f t="shared" si="154">IFERROR(E3520/G3520-1,"")</x:f>
        <x:v>-0.02481277247688818</x:v>
      </x:c>
      <x:c r="I3520" s="38" t="b">
        <x:f t="shared" si="155">E3520&lt;G3520</x:f>
        <x:v>1</x:v>
      </x:c>
    </x:row>
    <x:row r="3521">
      <x:c r="A3521" s="31">
        <x:v>42151</x:v>
      </x:c>
      <x:c r="B3521" s="32">
        <x:v>564.64</x:v>
      </x:c>
      <x:c r="C3521" s="32">
        <x:v>569.63</x:v>
      </x:c>
      <x:c r="D3521" s="32">
        <x:v>563.28</x:v>
      </x:c>
      <x:c r="E3521" s="32">
        <x:v>566.48</x:v>
      </x:c>
      <x:c r="F3521" s="33">
        <x:v>111368810</x:v>
      </x:c>
      <x:c r="G3521" s="32" t="n">
        <x:f t="shared" si="153">AVERAGE(E3322:E3521)</x:f>
        <x:v>581.4839500000002</x:v>
      </x:c>
      <x:c r="H3521" s="37" t="n">
        <x:f t="shared" si="154">IFERROR(E3521/G3521-1,"")</x:f>
        <x:v>-0.0258028617986793</x:v>
      </x:c>
      <x:c r="I3521" s="38" t="b">
        <x:f t="shared" si="155">E3521&lt;G3521</x:f>
        <x:v>1</x:v>
      </x:c>
    </x:row>
    <x:row r="3522">
      <x:c r="A3522" s="31">
        <x:v>42152</x:v>
      </x:c>
      <x:c r="B3522" s="32">
        <x:v>566.13</x:v>
      </x:c>
      <x:c r="C3522" s="32">
        <x:v>576.91999999999996</x:v>
      </x:c>
      <x:c r="D3522" s="32">
        <x:v>564.73</x:v>
      </x:c>
      <x:c r="E3522" s="32">
        <x:v>572.97</x:v>
      </x:c>
      <x:c r="F3522" s="33">
        <x:v>145617460</x:v>
      </x:c>
      <x:c r="G3522" s="32" t="n">
        <x:f t="shared" si="153">AVERAGE(E3323:E3522)</x:f>
        <x:v>581.3793000000002</x:v>
      </x:c>
      <x:c r="H3522" s="37" t="n">
        <x:f t="shared" si="154">IFERROR(E3522/G3522-1,"")</x:f>
        <x:v>-0.014464395275167408</x:v>
      </x:c>
      <x:c r="I3522" s="38" t="b">
        <x:f t="shared" si="155">E3522&lt;G3522</x:f>
        <x:v>1</x:v>
      </x:c>
    </x:row>
    <x:row r="3523">
      <x:c r="A3523" s="31">
        <x:v>42153</x:v>
      </x:c>
      <x:c r="B3523" s="32">
        <x:v>572.73</x:v>
      </x:c>
      <x:c r="C3523" s="32">
        <x:v>577.03</x:v>
      </x:c>
      <x:c r="D3523" s="32">
        <x:v>568.70000000000005</x:v>
      </x:c>
      <x:c r="E3523" s="32">
        <x:v>569.55999999999995</x:v>
      </x:c>
      <x:c r="F3523" s="33">
        <x:v>129559300</x:v>
      </x:c>
      <x:c r="G3523" s="32" t="n">
        <x:f t="shared" si="153">AVERAGE(E3324:E3523)</x:f>
        <x:v>581.2319000000002</x:v>
      </x:c>
      <x:c r="H3523" s="37" t="n">
        <x:f t="shared" si="154">IFERROR(E3523/G3523-1,"")</x:f>
        <x:v>-0.020081313499827336</x:v>
      </x:c>
      <x:c r="I3523" s="38" t="b">
        <x:f t="shared" si="155">E3523&lt;G3523</x:f>
        <x:v>1</x:v>
      </x:c>
    </x:row>
    <x:row r="3524">
      <x:c r="A3524" s="31">
        <x:v>42156</x:v>
      </x:c>
      <x:c r="B3524" s="32">
        <x:v>571.15</x:v>
      </x:c>
      <x:c r="C3524" s="32">
        <x:v>579.58000000000004</x:v>
      </x:c>
      <x:c r="D3524" s="32">
        <x:v>570.14</x:v>
      </x:c>
      <x:c r="E3524" s="32">
        <x:v>574.98</x:v>
      </x:c>
      <x:c r="F3524" s="33">
        <x:v>112680510</x:v>
      </x:c>
      <x:c r="G3524" s="32" t="n">
        <x:f t="shared" si="153">AVERAGE(E3325:E3524)</x:f>
        <x:v>581.0681500000001</x:v>
      </x:c>
      <x:c r="H3524" s="37" t="n">
        <x:f t="shared" si="154">IFERROR(E3524/G3524-1,"")</x:f>
        <x:v>-0.01047751455659729</x:v>
      </x:c>
      <x:c r="I3524" s="38" t="b">
        <x:f t="shared" si="155">E3524&lt;G3524</x:f>
        <x:v>1</x:v>
      </x:c>
    </x:row>
    <x:row r="3525">
      <x:c r="A3525" s="31">
        <x:v>42157</x:v>
      </x:c>
      <x:c r="B3525" s="32">
        <x:v>575.70000000000005</x:v>
      </x:c>
      <x:c r="C3525" s="32">
        <x:v>581.24</x:v>
      </x:c>
      <x:c r="D3525" s="32">
        <x:v>570.30999999999995</x:v>
      </x:c>
      <x:c r="E3525" s="32">
        <x:v>570.30999999999995</x:v>
      </x:c>
      <x:c r="F3525" s="33">
        <x:v>120805280</x:v>
      </x:c>
      <x:c r="G3525" s="32" t="n">
        <x:f t="shared" si="153">AVERAGE(E3326:E3525)</x:f>
        <x:v>580.8862000000001</x:v>
      </x:c>
      <x:c r="H3525" s="37" t="n">
        <x:f t="shared" si="154">IFERROR(E3525/G3525-1,"")</x:f>
        <x:v>-0.018207008532824864</x:v>
      </x:c>
      <x:c r="I3525" s="38" t="b">
        <x:f t="shared" si="155">E3525&lt;G3525</x:f>
        <x:v>1</x:v>
      </x:c>
    </x:row>
    <x:row r="3526">
      <x:c r="A3526" s="31">
        <x:v>42158</x:v>
      </x:c>
      <x:c r="B3526" s="32">
        <x:v>570.54999999999995</x:v>
      </x:c>
      <x:c r="C3526" s="32">
        <x:v>573.91</x:v>
      </x:c>
      <x:c r="D3526" s="32">
        <x:v>567.80999999999995</x:v>
      </x:c>
      <x:c r="E3526" s="32">
        <x:v>567.9</x:v>
      </x:c>
      <x:c r="F3526" s="33">
        <x:v>120677080</x:v>
      </x:c>
      <x:c r="G3526" s="32" t="n">
        <x:f t="shared" si="153">AVERAGE(E3327:E3526)</x:f>
        <x:v>580.6876000000001</x:v>
      </x:c>
      <x:c r="H3526" s="37" t="n">
        <x:f t="shared" si="154">IFERROR(E3526/G3526-1,"")</x:f>
        <x:v>-0.022021479363430685</x:v>
      </x:c>
      <x:c r="I3526" s="38" t="b">
        <x:f t="shared" si="155">E3526&lt;G3526</x:f>
        <x:v>1</x:v>
      </x:c>
    </x:row>
    <x:row r="3527">
      <x:c r="A3527" s="31">
        <x:v>42159</x:v>
      </x:c>
      <x:c r="B3527" s="32">
        <x:v>568.01</x:v>
      </x:c>
      <x:c r="C3527" s="32">
        <x:v>573.5</x:v>
      </x:c>
      <x:c r="D3527" s="32">
        <x:v>567.89</x:v>
      </x:c>
      <x:c r="E3527" s="32">
        <x:v>568.99</x:v>
      </x:c>
      <x:c r="F3527" s="33">
        <x:v>102465870</x:v>
      </x:c>
      <x:c r="G3527" s="32" t="n">
        <x:f t="shared" si="153">AVERAGE(E3328:E3527)</x:f>
        <x:v>580.5054000000001</x:v>
      </x:c>
      <x:c r="H3527" s="37" t="n">
        <x:f t="shared" si="154">IFERROR(E3527/G3527-1,"")</x:f>
        <x:v>-0.019836852508176683</x:v>
      </x:c>
      <x:c r="I3527" s="38" t="b">
        <x:f t="shared" si="155">E3527&lt;G3527</x:f>
        <x:v>1</x:v>
      </x:c>
    </x:row>
    <x:row r="3528">
      <x:c r="A3528" s="31">
        <x:v>42160</x:v>
      </x:c>
      <x:c r="B3528" s="32">
        <x:v>568.63</x:v>
      </x:c>
      <x:c r="C3528" s="32">
        <x:v>579.01</x:v>
      </x:c>
      <x:c r="D3528" s="32">
        <x:v>568.37</x:v>
      </x:c>
      <x:c r="E3528" s="32">
        <x:v>578.07000000000005</x:v>
      </x:c>
      <x:c r="F3528" s="33">
        <x:v>141129610</x:v>
      </x:c>
      <x:c r="G3528" s="32" t="n">
        <x:f t="shared" si="153">AVERAGE(E3329:E3528)</x:f>
        <x:v>580.3851000000001</x:v>
      </x:c>
      <x:c r="H3528" s="37" t="n">
        <x:f t="shared" si="154">IFERROR(E3528/G3528-1,"")</x:f>
        <x:v>-0.00398890322994172</x:v>
      </x:c>
      <x:c r="I3528" s="38" t="b">
        <x:f t="shared" si="155">E3528&lt;G3528</x:f>
        <x:v>1</x:v>
      </x:c>
    </x:row>
    <x:row r="3529">
      <x:c r="A3529" s="31">
        <x:v>42163</x:v>
      </x:c>
      <x:c r="B3529" s="32">
        <x:v>580.74</x:v>
      </x:c>
      <x:c r="C3529" s="32">
        <x:v>585.51</x:v>
      </x:c>
      <x:c r="D3529" s="32">
        <x:v>580.74</x:v>
      </x:c>
      <x:c r="E3529" s="32">
        <x:v>579.83000000000004</x:v>
      </x:c>
      <x:c r="F3529" s="33">
        <x:v>181609700</x:v>
      </x:c>
      <x:c r="G3529" s="32" t="n">
        <x:f t="shared" si="153">AVERAGE(E3330:E3529)</x:f>
        <x:v>580.2753500000001</x:v>
      </x:c>
      <x:c r="H3529" s="37" t="n">
        <x:f t="shared" si="154">IFERROR(E3529/G3529-1,"")</x:f>
        <x:v>-0.0007674804728480256</x:v>
      </x:c>
      <x:c r="I3529" s="38" t="b">
        <x:f t="shared" si="155">E3529&lt;G3529</x:f>
        <x:v>1</x:v>
      </x:c>
    </x:row>
    <x:row r="3530">
      <x:c r="A3530" s="31">
        <x:v>42164</x:v>
      </x:c>
      <x:c r="B3530" s="32">
        <x:v>578.67999999999995</x:v>
      </x:c>
      <x:c r="C3530" s="32">
        <x:v>582.13</x:v>
      </x:c>
      <x:c r="D3530" s="32">
        <x:v>573.73</x:v>
      </x:c>
      <x:c r="E3530" s="32">
        <x:v>574.47</x:v>
      </x:c>
      <x:c r="F3530" s="33">
        <x:v>146632640</x:v>
      </x:c>
      <x:c r="G3530" s="32" t="n">
        <x:f t="shared" si="153">AVERAGE(E3331:E3530)</x:f>
        <x:v>580.1339000000003</x:v>
      </x:c>
      <x:c r="H3530" s="37" t="n">
        <x:f t="shared" si="154">IFERROR(E3530/G3530-1,"")</x:f>
        <x:v>-0.009763090900221871</x:v>
      </x:c>
      <x:c r="I3530" s="38" t="b">
        <x:f t="shared" si="155">E3530&lt;G3530</x:f>
        <x:v>1</x:v>
      </x:c>
    </x:row>
    <x:row r="3531">
      <x:c r="A3531" s="31">
        <x:v>42165</x:v>
      </x:c>
      <x:c r="B3531" s="32">
        <x:v>576.05999999999995</x:v>
      </x:c>
      <x:c r="C3531" s="32">
        <x:v>576.62</x:v>
      </x:c>
      <x:c r="D3531" s="32">
        <x:v>569.59</x:v>
      </x:c>
      <x:c r="E3531" s="32">
        <x:v>574.1</x:v>
      </x:c>
      <x:c r="F3531" s="33">
        <x:v>123193810</x:v>
      </x:c>
      <x:c r="G3531" s="32" t="n">
        <x:f t="shared" si="153">AVERAGE(E3332:E3531)</x:f>
        <x:v>579.9781500000003</x:v>
      </x:c>
      <x:c r="H3531" s="37" t="n">
        <x:f t="shared" si="154">IFERROR(E3531/G3531-1,"")</x:f>
        <x:v>-0.010135123193865558</x:v>
      </x:c>
      <x:c r="I3531" s="38" t="b">
        <x:f t="shared" si="155">E3531&lt;G3531</x:f>
        <x:v>1</x:v>
      </x:c>
    </x:row>
    <x:row r="3532">
      <x:c r="A3532" s="31">
        <x:v>42166</x:v>
      </x:c>
      <x:c r="B3532" s="32">
        <x:v>577.32000000000005</x:v>
      </x:c>
      <x:c r="C3532" s="32">
        <x:v>582.67999999999995</x:v>
      </x:c>
      <x:c r="D3532" s="32">
        <x:v>575.25</x:v>
      </x:c>
      <x:c r="E3532" s="32">
        <x:v>581.04999999999995</x:v>
      </x:c>
      <x:c r="F3532" s="33">
        <x:v>158674570</x:v>
      </x:c>
      <x:c r="G3532" s="32" t="n">
        <x:f t="shared" si="153">AVERAGE(E3333:E3532)</x:f>
        <x:v>579.8622000000003</x:v>
      </x:c>
      <x:c r="H3532" s="37" t="n">
        <x:f t="shared" si="154">IFERROR(E3532/G3532-1,"")</x:f>
        <x:v>0.002048417710276196</x:v>
      </x:c>
      <x:c r="I3532" s="38" t="b">
        <x:f t="shared" si="155">E3532&lt;G3532</x:f>
        <x:v>0</x:v>
      </x:c>
    </x:row>
    <x:row r="3533">
      <x:c r="A3533" s="31">
        <x:v>42167</x:v>
      </x:c>
      <x:c r="B3533" s="32">
        <x:v>582.54</x:v>
      </x:c>
      <x:c r="C3533" s="32">
        <x:v>585.01</x:v>
      </x:c>
      <x:c r="D3533" s="32">
        <x:v>578.79999999999995</x:v>
      </x:c>
      <x:c r="E3533" s="32">
        <x:v>582.73</x:v>
      </x:c>
      <x:c r="F3533" s="33">
        <x:v>154356240</x:v>
      </x:c>
      <x:c r="G3533" s="32" t="n">
        <x:f t="shared" ref="G3533:G3596" si="156">AVERAGE(E3334:E3533)</x:f>
        <x:v>579.7504500000002</x:v>
      </x:c>
      <x:c r="H3533" s="37" t="n">
        <x:f t="shared" ref="H3533:H3596" si="157">IFERROR(E3533/G3533-1,"")</x:f>
        <x:v>0.005139366429124381</x:v>
      </x:c>
      <x:c r="I3533" s="38" t="b">
        <x:f t="shared" ref="I3533:I3596" si="158">E3533&lt;G3533</x:f>
        <x:v>0</x:v>
      </x:c>
    </x:row>
    <x:row r="3534">
      <x:c r="A3534" s="31">
        <x:v>42170</x:v>
      </x:c>
      <x:c r="B3534" s="32">
        <x:v>583.51</x:v>
      </x:c>
      <x:c r="C3534" s="32">
        <x:v>586.66999999999996</x:v>
      </x:c>
      <x:c r="D3534" s="32">
        <x:v>581.35</x:v>
      </x:c>
      <x:c r="E3534" s="32">
        <x:v>586.48</x:v>
      </x:c>
      <x:c r="F3534" s="33">
        <x:v>146447610</x:v>
      </x:c>
      <x:c r="G3534" s="32" t="n">
        <x:f t="shared" si="156">AVERAGE(E3335:E3534)</x:f>
        <x:v>579.6596500000003</x:v>
      </x:c>
      <x:c r="H3534" s="37" t="n">
        <x:f t="shared" si="157">IFERROR(E3534/G3534-1,"")</x:f>
        <x:v>0.011766128623925676</x:v>
      </x:c>
      <x:c r="I3534" s="38" t="b">
        <x:f t="shared" si="158">E3534&lt;G3534</x:f>
        <x:v>0</x:v>
      </x:c>
    </x:row>
    <x:row r="3535">
      <x:c r="A3535" s="31">
        <x:v>42171</x:v>
      </x:c>
      <x:c r="B3535" s="32">
        <x:v>587.76</x:v>
      </x:c>
      <x:c r="C3535" s="32">
        <x:v>589.33000000000004</x:v>
      </x:c>
      <x:c r="D3535" s="32">
        <x:v>580.35</x:v>
      </x:c>
      <x:c r="E3535" s="32">
        <x:v>580.35</x:v>
      </x:c>
      <x:c r="F3535" s="33">
        <x:v>152124380</x:v>
      </x:c>
      <x:c r="G3535" s="32" t="n">
        <x:f t="shared" si="156">AVERAGE(E3336:E3535)</x:f>
        <x:v>579.5279000000003</x:v>
      </x:c>
      <x:c r="H3535" s="37" t="n">
        <x:f t="shared" si="157">IFERROR(E3535/G3535-1,"")</x:f>
        <x:v>0.001418568458912528</x:v>
      </x:c>
      <x:c r="I3535" s="38" t="b">
        <x:f t="shared" si="158">E3535&lt;G3535</x:f>
        <x:v>0</x:v>
      </x:c>
    </x:row>
    <x:row r="3536">
      <x:c r="A3536" s="31">
        <x:v>42172</x:v>
      </x:c>
      <x:c r="B3536" s="32">
        <x:v>578.53</x:v>
      </x:c>
      <x:c r="C3536" s="32">
        <x:v>584.04</x:v>
      </x:c>
      <x:c r="D3536" s="32">
        <x:v>575.88</x:v>
      </x:c>
      <x:c r="E3536" s="32">
        <x:v>578.87</x:v>
      </x:c>
      <x:c r="F3536" s="33">
        <x:v>118202310</x:v>
      </x:c>
      <x:c r="G3536" s="32" t="n">
        <x:f t="shared" si="156">AVERAGE(E3337:E3536)</x:f>
        <x:v>579.3575500000003</x:v>
      </x:c>
      <x:c r="H3536" s="37" t="n">
        <x:f t="shared" si="157">IFERROR(E3536/G3536-1,"")</x:f>
        <x:v>-0.0008415355940391001</x:v>
      </x:c>
      <x:c r="I3536" s="38" t="b">
        <x:f t="shared" si="158">E3536&lt;G3536</x:f>
        <x:v>1</x:v>
      </x:c>
    </x:row>
    <x:row r="3537">
      <x:c r="A3537" s="31">
        <x:v>42173</x:v>
      </x:c>
      <x:c r="B3537" s="32">
        <x:v>578.73</x:v>
      </x:c>
      <x:c r="C3537" s="32">
        <x:v>583.02</x:v>
      </x:c>
      <x:c r="D3537" s="32">
        <x:v>578.47</x:v>
      </x:c>
      <x:c r="E3537" s="32">
        <x:v>580.35</x:v>
      </x:c>
      <x:c r="F3537" s="33">
        <x:v>90021550</x:v>
      </x:c>
      <x:c r="G3537" s="32" t="n">
        <x:f t="shared" si="156">AVERAGE(E3338:E3537)</x:f>
        <x:v>579.1586000000003</x:v>
      </x:c>
      <x:c r="H3537" s="37" t="n">
        <x:f t="shared" si="157">IFERROR(E3537/G3537-1,"")</x:f>
        <x:v>0.002057122176895465</x:v>
      </x:c>
      <x:c r="I3537" s="38" t="b">
        <x:f t="shared" si="158">E3537&lt;G3537</x:f>
        <x:v>0</x:v>
      </x:c>
    </x:row>
    <x:row r="3538">
      <x:c r="A3538" s="31">
        <x:v>42174</x:v>
      </x:c>
      <x:c r="B3538" s="32">
        <x:v>584.08000000000004</x:v>
      </x:c>
      <x:c r="C3538" s="32">
        <x:v>588.48</x:v>
      </x:c>
      <x:c r="D3538" s="32">
        <x:v>582.47</x:v>
      </x:c>
      <x:c r="E3538" s="32">
        <x:v>584.70000000000005</x:v>
      </x:c>
      <x:c r="F3538" s="33">
        <x:v>184477640</x:v>
      </x:c>
      <x:c r="G3538" s="32" t="n">
        <x:f t="shared" si="156">AVERAGE(E3339:E3538)</x:f>
        <x:v>578.9527000000003</x:v>
      </x:c>
      <x:c r="H3538" s="37" t="n">
        <x:f t="shared" si="157">IFERROR(E3538/G3538-1,"")</x:f>
        <x:v>0.009927063126227376</x:v>
      </x:c>
      <x:c r="I3538" s="38" t="b">
        <x:f t="shared" si="158">E3538&lt;G3538</x:f>
        <x:v>0</x:v>
      </x:c>
    </x:row>
    <x:row r="3539">
      <x:c r="A3539" s="31">
        <x:v>42177</x:v>
      </x:c>
      <x:c r="B3539" s="32">
        <x:v>588.33000000000004</x:v>
      </x:c>
      <x:c r="C3539" s="32">
        <x:v>594.08000000000004</x:v>
      </x:c>
      <x:c r="D3539" s="32">
        <x:v>588.01</x:v>
      </x:c>
      <x:c r="E3539" s="32">
        <x:v>594.08000000000004</x:v>
      </x:c>
      <x:c r="F3539" s="33">
        <x:v>145223130</x:v>
      </x:c>
      <x:c r="G3539" s="32" t="n">
        <x:f t="shared" si="156">AVERAGE(E3340:E3539)</x:f>
        <x:v>578.7778000000003</x:v>
      </x:c>
      <x:c r="H3539" s="37" t="n">
        <x:f t="shared" si="157">IFERROR(E3539/G3539-1,"")</x:f>
        <x:v>0.02643881641624768</x:v>
      </x:c>
      <x:c r="I3539" s="38" t="b">
        <x:f t="shared" si="158">E3539&lt;G3539</x:f>
        <x:v>0</x:v>
      </x:c>
    </x:row>
    <x:row r="3540">
      <x:c r="A3540" s="31">
        <x:v>42178</x:v>
      </x:c>
      <x:c r="B3540" s="32">
        <x:v>592.44000000000005</x:v>
      </x:c>
      <x:c r="C3540" s="32">
        <x:v>595.11</x:v>
      </x:c>
      <x:c r="D3540" s="32">
        <x:v>590.76</x:v>
      </x:c>
      <x:c r="E3540" s="32">
        <x:v>593.07000000000005</x:v>
      </x:c>
      <x:c r="F3540" s="33">
        <x:v>99831620</x:v>
      </x:c>
      <x:c r="G3540" s="32" t="n">
        <x:f t="shared" si="156">AVERAGE(E3341:E3540)</x:f>
        <x:v>578.5993000000003</x:v>
      </x:c>
      <x:c r="H3540" s="37" t="n">
        <x:f t="shared" si="157">IFERROR(E3540/G3540-1,"")</x:f>
        <x:v>0.025009881622739094</x:v>
      </x:c>
      <x:c r="I3540" s="38" t="b">
        <x:f t="shared" si="158">E3540&lt;G3540</x:f>
        <x:v>0</x:v>
      </x:c>
    </x:row>
    <x:row r="3541">
      <x:c r="A3541" s="31">
        <x:v>42179</x:v>
      </x:c>
      <x:c r="B3541" s="32">
        <x:v>592.19000000000005</x:v>
      </x:c>
      <x:c r="C3541" s="32">
        <x:v>594.01</x:v>
      </x:c>
      <x:c r="D3541" s="32">
        <x:v>589.02</x:v>
      </x:c>
      <x:c r="E3541" s="32">
        <x:v>590.02</x:v>
      </x:c>
      <x:c r="F3541" s="33">
        <x:v>112994500</x:v>
      </x:c>
      <x:c r="G3541" s="32" t="n">
        <x:f t="shared" si="156">AVERAGE(E3342:E3541)</x:f>
        <x:v>578.3892500000003</x:v>
      </x:c>
      <x:c r="H3541" s="37" t="n">
        <x:f t="shared" si="157">IFERROR(E3541/G3541-1,"")</x:f>
        <x:v>0.020108862673363426</x:v>
      </x:c>
      <x:c r="I3541" s="38" t="b">
        <x:f t="shared" si="158">E3541&lt;G3541</x:f>
        <x:v>0</x:v>
      </x:c>
    </x:row>
    <x:row r="3542">
      <x:c r="A3542" s="31">
        <x:v>42180</x:v>
      </x:c>
      <x:c r="B3542" s="32">
        <x:v>589.29</x:v>
      </x:c>
      <x:c r="C3542" s="32">
        <x:v>590.37</x:v>
      </x:c>
      <x:c r="D3542" s="32">
        <x:v>585.34</x:v>
      </x:c>
      <x:c r="E3542" s="32">
        <x:v>587.99</x:v>
      </x:c>
      <x:c r="F3542" s="33">
        <x:v>106046100</x:v>
      </x:c>
      <x:c r="G3542" s="32" t="n">
        <x:f t="shared" si="156">AVERAGE(E3343:E3542)</x:f>
        <x:v>578.1459500000002</x:v>
      </x:c>
      <x:c r="H3542" s="37" t="n">
        <x:f t="shared" si="157">IFERROR(E3542/G3542-1,"")</x:f>
        <x:v>0.01702692892685631</x:v>
      </x:c>
      <x:c r="I3542" s="38" t="b">
        <x:f t="shared" si="158">E3542&lt;G3542</x:f>
        <x:v>0</x:v>
      </x:c>
    </x:row>
    <x:row r="3543">
      <x:c r="A3543" s="31">
        <x:v>42181</x:v>
      </x:c>
      <x:c r="B3543" s="32">
        <x:v>586.04</x:v>
      </x:c>
      <x:c r="C3543" s="32">
        <x:v>592.59</x:v>
      </x:c>
      <x:c r="D3543" s="32">
        <x:v>581.75</x:v>
      </x:c>
      <x:c r="E3543" s="32">
        <x:v>581.75</x:v>
      </x:c>
      <x:c r="F3543" s="33">
        <x:v>138270500</x:v>
      </x:c>
      <x:c r="G3543" s="32" t="n">
        <x:f t="shared" si="156">AVERAGE(E3344:E3543)</x:f>
        <x:v>577.8509500000002</x:v>
      </x:c>
      <x:c r="H3543" s="37" t="n">
        <x:f t="shared" si="157">IFERROR(E3543/G3543-1,"")</x:f>
        <x:v>0.00674750123712653</x:v>
      </x:c>
      <x:c r="I3543" s="38" t="b">
        <x:f t="shared" si="158">E3543&lt;G3543</x:f>
        <x:v>0</x:v>
      </x:c>
    </x:row>
    <x:row r="3544">
      <x:c r="A3544" s="31">
        <x:v>42184</x:v>
      </x:c>
      <x:c r="B3544" s="32">
        <x:v>580.16</x:v>
      </x:c>
      <x:c r="C3544" s="32">
        <x:v>591.75</x:v>
      </x:c>
      <x:c r="D3544" s="32">
        <x:v>579.61</x:v>
      </x:c>
      <x:c r="E3544" s="32">
        <x:v>591.75</x:v>
      </x:c>
      <x:c r="F3544" s="33">
        <x:v>104599850</x:v>
      </x:c>
      <x:c r="G3544" s="32" t="n">
        <x:f t="shared" si="156">AVERAGE(E3345:E3544)</x:f>
        <x:v>577.6086000000003</x:v>
      </x:c>
      <x:c r="H3544" s="37" t="n">
        <x:f t="shared" si="157">IFERROR(E3544/G3544-1,"")</x:f>
        <x:v>0.024482668713727174</x:v>
      </x:c>
      <x:c r="I3544" s="38" t="b">
        <x:f t="shared" si="158">E3544&lt;G3544</x:f>
        <x:v>0</x:v>
      </x:c>
    </x:row>
    <x:row r="3545">
      <x:c r="A3545" s="31">
        <x:v>42185</x:v>
      </x:c>
      <x:c r="B3545" s="32">
        <x:v>588.77</x:v>
      </x:c>
      <x:c r="C3545" s="32">
        <x:v>598.98</x:v>
      </x:c>
      <x:c r="D3545" s="32">
        <x:v>588.77</x:v>
      </x:c>
      <x:c r="E3545" s="32">
        <x:v>593.04999999999995</x:v>
      </x:c>
      <x:c r="F3545" s="33">
        <x:v>136064740</x:v>
      </x:c>
      <x:c r="G3545" s="32" t="n">
        <x:f t="shared" si="156">AVERAGE(E3346:E3545)</x:f>
        <x:v>577.3806000000003</x:v>
      </x:c>
      <x:c r="H3545" s="37" t="n">
        <x:f t="shared" si="157">IFERROR(E3545/G3545-1,"")</x:f>
        <x:v>0.027138771202218415</x:v>
      </x:c>
      <x:c r="I3545" s="38" t="b">
        <x:f t="shared" si="158">E3545&lt;G3545</x:f>
        <x:v>0</x:v>
      </x:c>
    </x:row>
    <x:row r="3546">
      <x:c r="A3546" s="31">
        <x:v>42186</x:v>
      </x:c>
      <x:c r="B3546" s="32">
        <x:v>594.52</x:v>
      </x:c>
      <x:c r="C3546" s="32">
        <x:v>594.52</x:v>
      </x:c>
      <x:c r="D3546" s="32">
        <x:v>587.33000000000004</x:v>
      </x:c>
      <x:c r="E3546" s="32">
        <x:v>591.5</x:v>
      </x:c>
      <x:c r="F3546" s="33">
        <x:v>114932070</x:v>
      </x:c>
      <x:c r="G3546" s="32" t="n">
        <x:f t="shared" si="156">AVERAGE(E3347:E3546)</x:f>
        <x:v>577.1388500000003</x:v>
      </x:c>
      <x:c r="H3546" s="37" t="n">
        <x:f t="shared" si="157">IFERROR(E3546/G3546-1,"")</x:f>
        <x:v>0.024883353459916435</x:v>
      </x:c>
      <x:c r="I3546" s="38" t="b">
        <x:f t="shared" si="158">E3546&lt;G3546</x:f>
        <x:v>0</x:v>
      </x:c>
    </x:row>
    <x:row r="3547">
      <x:c r="A3547" s="31">
        <x:v>42187</x:v>
      </x:c>
      <x:c r="B3547" s="32">
        <x:v>591.5</x:v>
      </x:c>
      <x:c r="C3547" s="32">
        <x:v>605.70000000000005</x:v>
      </x:c>
      <x:c r="D3547" s="32">
        <x:v>590.52</x:v>
      </x:c>
      <x:c r="E3547" s="32">
        <x:v>605.70000000000005</x:v>
      </x:c>
      <x:c r="F3547" s="33">
        <x:v>117495710</x:v>
      </x:c>
      <x:c r="G3547" s="32" t="n">
        <x:f t="shared" si="156">AVERAGE(E3348:E3547)</x:f>
        <x:v>577.0327500000002</x:v>
      </x:c>
      <x:c r="H3547" s="37" t="n">
        <x:f t="shared" si="157">IFERROR(E3547/G3547-1,"")</x:f>
        <x:v>0.049680455745362506</x:v>
      </x:c>
      <x:c r="I3547" s="38" t="b">
        <x:f t="shared" si="158">E3547&lt;G3547</x:f>
        <x:v>0</x:v>
      </x:c>
    </x:row>
    <x:row r="3548">
      <x:c r="A3548" s="31">
        <x:v>42188</x:v>
      </x:c>
      <x:c r="B3548" s="32">
        <x:v>608.82000000000005</x:v>
      </x:c>
      <x:c r="C3548" s="32">
        <x:v>617.96</x:v>
      </x:c>
      <x:c r="D3548" s="32">
        <x:v>608.82000000000005</x:v>
      </x:c>
      <x:c r="E3548" s="32">
        <x:v>616.42999999999995</x:v>
      </x:c>
      <x:c r="F3548" s="33">
        <x:v>154568920</x:v>
      </x:c>
      <x:c r="G3548" s="32" t="n">
        <x:f t="shared" si="156">AVERAGE(E3349:E3548)</x:f>
        <x:v>576.9709000000001</x:v>
      </x:c>
      <x:c r="H3548" s="37" t="n">
        <x:f t="shared" si="157">IFERROR(E3548/G3548-1,"")</x:f>
        <x:v>0.06839010424962466</x:v>
      </x:c>
      <x:c r="I3548" s="38" t="b">
        <x:f t="shared" si="158">E3548&lt;G3548</x:f>
        <x:v>0</x:v>
      </x:c>
    </x:row>
    <x:row r="3549">
      <x:c r="A3549" s="31">
        <x:v>42191</x:v>
      </x:c>
      <x:c r="B3549" s="32">
        <x:v>618.75</x:v>
      </x:c>
      <x:c r="C3549" s="32">
        <x:v>625.34</x:v>
      </x:c>
      <x:c r="D3549" s="32">
        <x:v>618.65</x:v>
      </x:c>
      <x:c r="E3549" s="32">
        <x:v>625.22</x:v>
      </x:c>
      <x:c r="F3549" s="33">
        <x:v>161305630</x:v>
      </x:c>
      <x:c r="G3549" s="32" t="n">
        <x:f t="shared" si="156">AVERAGE(E3350:E3549)</x:f>
        <x:v>576.9520500000002</x:v>
      </x:c>
      <x:c r="H3549" s="37" t="n">
        <x:f t="shared" si="157">IFERROR(E3549/G3549-1,"")</x:f>
        <x:v>0.08366024524914994</x:v>
      </x:c>
      <x:c r="I3549" s="38" t="b">
        <x:f t="shared" si="158">E3549&lt;G3549</x:f>
        <x:v>0</x:v>
      </x:c>
    </x:row>
    <x:row r="3550">
      <x:c r="A3550" s="31">
        <x:v>42192</x:v>
      </x:c>
      <x:c r="B3550" s="32">
        <x:v>623.89</x:v>
      </x:c>
      <x:c r="C3550" s="32">
        <x:v>633.73</x:v>
      </x:c>
      <x:c r="D3550" s="32">
        <x:v>620.59</x:v>
      </x:c>
      <x:c r="E3550" s="32">
        <x:v>630.27</x:v>
      </x:c>
      <x:c r="F3550" s="33">
        <x:v>167953860</x:v>
      </x:c>
      <x:c r="G3550" s="32" t="n">
        <x:f t="shared" si="156">AVERAGE(E3351:E3550)</x:f>
        <x:v>576.9409000000002</x:v>
      </x:c>
      <x:c r="H3550" s="37" t="n">
        <x:f t="shared" si="157">IFERROR(E3550/G3550-1,"")</x:f>
        <x:v>0.09243425106453684</x:v>
      </x:c>
      <x:c r="I3550" s="38" t="b">
        <x:f t="shared" si="158">E3550&lt;G3550</x:f>
        <x:v>0</x:v>
      </x:c>
    </x:row>
    <x:row r="3551">
      <x:c r="A3551" s="31">
        <x:v>42193</x:v>
      </x:c>
      <x:c r="B3551" s="32">
        <x:v>630.4</x:v>
      </x:c>
      <x:c r="C3551" s="32">
        <x:v>634.13</x:v>
      </x:c>
      <x:c r="D3551" s="32">
        <x:v>617.29</x:v>
      </x:c>
      <x:c r="E3551" s="32">
        <x:v>623.16999999999996</x:v>
      </x:c>
      <x:c r="F3551" s="33">
        <x:v>180512890</x:v>
      </x:c>
      <x:c r="G3551" s="32" t="n">
        <x:f t="shared" si="156">AVERAGE(E3352:E3551)</x:f>
        <x:v>576.9050500000002</x:v>
      </x:c>
      <x:c r="H3551" s="37" t="n">
        <x:f t="shared" si="157">IFERROR(E3551/G3551-1,"")</x:f>
        <x:v>0.08019508582911472</x:v>
      </x:c>
      <x:c r="I3551" s="38" t="b">
        <x:f t="shared" si="158">E3551&lt;G3551</x:f>
        <x:v>0</x:v>
      </x:c>
    </x:row>
    <x:row r="3552">
      <x:c r="A3552" s="31">
        <x:v>42194</x:v>
      </x:c>
      <x:c r="B3552" s="32">
        <x:v>616.20000000000005</x:v>
      </x:c>
      <x:c r="C3552" s="32">
        <x:v>626.38</x:v>
      </x:c>
      <x:c r="D3552" s="32">
        <x:v>613.34</x:v>
      </x:c>
      <x:c r="E3552" s="32">
        <x:v>622.1</x:v>
      </x:c>
      <x:c r="F3552" s="33">
        <x:v>128611000</x:v>
      </x:c>
      <x:c r="G3552" s="32" t="n">
        <x:f t="shared" si="156">AVERAGE(E3353:E3552)</x:f>
        <x:v>576.8772500000002</x:v>
      </x:c>
      <x:c r="H3552" s="37" t="n">
        <x:f t="shared" si="157">IFERROR(E3552/G3552-1,"")</x:f>
        <x:v>0.07839232696383802</x:v>
      </x:c>
      <x:c r="I3552" s="38" t="b">
        <x:f t="shared" si="158">E3552&lt;G3552</x:f>
        <x:v>0</x:v>
      </x:c>
    </x:row>
    <x:row r="3553">
      <x:c r="A3553" s="31">
        <x:v>42195</x:v>
      </x:c>
      <x:c r="B3553" s="32">
        <x:v>627.55999999999995</x:v>
      </x:c>
      <x:c r="C3553" s="32">
        <x:v>630.79</x:v>
      </x:c>
      <x:c r="D3553" s="32">
        <x:v>624.70000000000005</x:v>
      </x:c>
      <x:c r="E3553" s="32">
        <x:v>627.28</x:v>
      </x:c>
      <x:c r="F3553" s="33">
        <x:v>149796670</x:v>
      </x:c>
      <x:c r="G3553" s="32" t="n">
        <x:f t="shared" si="156">AVERAGE(E3354:E3553)</x:f>
        <x:v>576.8853500000002</x:v>
      </x:c>
      <x:c r="H3553" s="37" t="n">
        <x:f t="shared" si="157">IFERROR(E3553/G3553-1,"")</x:f>
        <x:v>0.08735643919541336</x:v>
      </x:c>
      <x:c r="I3553" s="38" t="b">
        <x:f t="shared" si="158">E3553&lt;G3553</x:f>
        <x:v>0</x:v>
      </x:c>
    </x:row>
    <x:row r="3554">
      <x:c r="A3554" s="31">
        <x:v>42198</x:v>
      </x:c>
      <x:c r="B3554" s="32">
        <x:v>631.55999999999995</x:v>
      </x:c>
      <x:c r="C3554" s="32">
        <x:v>637.07000000000005</x:v>
      </x:c>
      <x:c r="D3554" s="32">
        <x:v>627.69000000000005</x:v>
      </x:c>
      <x:c r="E3554" s="32">
        <x:v>634.05999999999995</x:v>
      </x:c>
      <x:c r="F3554" s="33">
        <x:v>129559110</x:v>
      </x:c>
      <x:c r="G3554" s="32" t="n">
        <x:f t="shared" si="156">AVERAGE(E3355:E3554)</x:f>
        <x:v>576.9766500000002</x:v>
      </x:c>
      <x:c r="H3554" s="37" t="n">
        <x:f t="shared" si="157">IFERROR(E3554/G3554-1,"")</x:f>
        <x:v>0.09893528620265601</x:v>
      </x:c>
      <x:c r="I3554" s="38" t="b">
        <x:f t="shared" si="158">E3554&lt;G3554</x:f>
        <x:v>0</x:v>
      </x:c>
    </x:row>
    <x:row r="3555">
      <x:c r="A3555" s="31">
        <x:v>42199</x:v>
      </x:c>
      <x:c r="B3555" s="32">
        <x:v>635.54999999999995</x:v>
      </x:c>
      <x:c r="C3555" s="32">
        <x:v>640.42999999999995</x:v>
      </x:c>
      <x:c r="D3555" s="32">
        <x:v>628.42999999999995</x:v>
      </x:c>
      <x:c r="E3555" s="32">
        <x:v>638.69000000000005</x:v>
      </x:c>
      <x:c r="F3555" s="33">
        <x:v>148321440</x:v>
      </x:c>
      <x:c r="G3555" s="32" t="n">
        <x:f t="shared" si="156">AVERAGE(E3356:E3555)</x:f>
        <x:v>577.1036500000002</x:v>
      </x:c>
      <x:c r="H3555" s="37" t="n">
        <x:f t="shared" si="157">IFERROR(E3555/G3555-1,"")</x:f>
        <x:v>0.1067162718516852</x:v>
      </x:c>
      <x:c r="I3555" s="38" t="b">
        <x:f t="shared" si="158">E3555&lt;G3555</x:f>
        <x:v>0</x:v>
      </x:c>
    </x:row>
    <x:row r="3556">
      <x:c r="A3556" s="31">
        <x:v>42200</x:v>
      </x:c>
      <x:c r="B3556" s="32">
        <x:v>640.42999999999995</x:v>
      </x:c>
      <x:c r="C3556" s="32">
        <x:v>641.05999999999995</x:v>
      </x:c>
      <x:c r="D3556" s="32">
        <x:v>630.89</x:v>
      </x:c>
      <x:c r="E3556" s="32">
        <x:v>630.89</x:v>
      </x:c>
      <x:c r="F3556" s="33">
        <x:v>135994360</x:v>
      </x:c>
      <x:c r="G3556" s="32" t="n">
        <x:f t="shared" si="156">AVERAGE(E3357:E3556)</x:f>
        <x:v>577.1984500000002</x:v>
      </x:c>
      <x:c r="H3556" s="37" t="n">
        <x:f t="shared" si="157">IFERROR(E3556/G3556-1,"")</x:f>
        <x:v>0.09302095319209491</x:v>
      </x:c>
      <x:c r="I3556" s="38" t="b">
        <x:f t="shared" si="158">E3556&lt;G3556</x:f>
        <x:v>0</x:v>
      </x:c>
    </x:row>
    <x:row r="3557">
      <x:c r="A3557" s="31">
        <x:v>42201</x:v>
      </x:c>
      <x:c r="B3557" s="32">
        <x:v>627.32000000000005</x:v>
      </x:c>
      <x:c r="C3557" s="32">
        <x:v>632.21</x:v>
      </x:c>
      <x:c r="D3557" s="32">
        <x:v>622.57000000000005</x:v>
      </x:c>
      <x:c r="E3557" s="32">
        <x:v>626.9</x:v>
      </x:c>
      <x:c r="F3557" s="33">
        <x:v>113628750</x:v>
      </x:c>
      <x:c r="G3557" s="32" t="n">
        <x:f t="shared" si="156">AVERAGE(E3358:E3557)</x:f>
        <x:v>577.2810000000003</x:v>
      </x:c>
      <x:c r="H3557" s="37" t="n">
        <x:f t="shared" si="157">IFERROR(E3557/G3557-1,"")</x:f>
        <x:v>0.08595294146178323</x:v>
      </x:c>
      <x:c r="I3557" s="38" t="b">
        <x:f t="shared" si="158">E3557&lt;G3557</x:f>
        <x:v>0</x:v>
      </x:c>
    </x:row>
    <x:row r="3558">
      <x:c r="A3558" s="31">
        <x:v>42202</x:v>
      </x:c>
      <x:c r="B3558" s="32">
        <x:v>628.45000000000005</x:v>
      </x:c>
      <x:c r="C3558" s="32">
        <x:v>631.66999999999996</x:v>
      </x:c>
      <x:c r="D3558" s="32">
        <x:v>626.21</x:v>
      </x:c>
      <x:c r="E3558" s="32">
        <x:v>628.63</x:v>
      </x:c>
      <x:c r="F3558" s="33">
        <x:v>97179130</x:v>
      </x:c>
      <x:c r="G3558" s="32" t="n">
        <x:f t="shared" si="156">AVERAGE(E3359:E3558)</x:f>
        <x:v>577.4062000000004</x:v>
      </x:c>
      <x:c r="H3558" s="37" t="n">
        <x:f t="shared" si="157">IFERROR(E3558/G3558-1,"")</x:f>
        <x:v>0.0887136300233693</x:v>
      </x:c>
      <x:c r="I3558" s="38" t="b">
        <x:f t="shared" si="158">E3558&lt;G3558</x:f>
        <x:v>0</x:v>
      </x:c>
    </x:row>
    <x:row r="3559">
      <x:c r="A3559" s="31">
        <x:v>42205</x:v>
      </x:c>
      <x:c r="B3559" s="32">
        <x:v>624.84</x:v>
      </x:c>
      <x:c r="C3559" s="32">
        <x:v>624.84</x:v>
      </x:c>
      <x:c r="D3559" s="32">
        <x:v>616.11</x:v>
      </x:c>
      <x:c r="E3559" s="32">
        <x:v>620.54</x:v>
      </x:c>
      <x:c r="F3559" s="33">
        <x:v>105000850</x:v>
      </x:c>
      <x:c r="G3559" s="32" t="n">
        <x:f t="shared" si="156">AVERAGE(E3360:E3559)</x:f>
        <x:v>577.4834000000002</x:v>
      </x:c>
      <x:c r="H3559" s="37" t="n">
        <x:f t="shared" si="157">IFERROR(E3559/G3559-1,"")</x:f>
        <x:v>0.07455902628543054</x:v>
      </x:c>
      <x:c r="I3559" s="38" t="b">
        <x:f t="shared" si="158">E3559&lt;G3559</x:f>
        <x:v>0</x:v>
      </x:c>
    </x:row>
    <x:row r="3560">
      <x:c r="A3560" s="31">
        <x:v>42206</x:v>
      </x:c>
      <x:c r="B3560" s="32">
        <x:v>619.9</x:v>
      </x:c>
      <x:c r="C3560" s="32">
        <x:v>624.47</x:v>
      </x:c>
      <x:c r="D3560" s="32">
        <x:v>613.83000000000004</x:v>
      </x:c>
      <x:c r="E3560" s="32">
        <x:v>616.61</x:v>
      </x:c>
      <x:c r="F3560" s="33">
        <x:v>95668300</x:v>
      </x:c>
      <x:c r="G3560" s="32" t="n">
        <x:f t="shared" si="156">AVERAGE(E3361:E3560)</x:f>
        <x:v>577.5415500000003</x:v>
      </x:c>
      <x:c r="H3560" s="37" t="n">
        <x:f t="shared" si="157">IFERROR(E3560/G3560-1,"")</x:f>
        <x:v>0.06764612866381614</x:v>
      </x:c>
      <x:c r="I3560" s="38" t="b">
        <x:f t="shared" si="158">E3560&lt;G3560</x:f>
        <x:v>0</x:v>
      </x:c>
    </x:row>
    <x:row r="3561">
      <x:c r="A3561" s="31">
        <x:v>42207</x:v>
      </x:c>
      <x:c r="B3561" s="32">
        <x:v>614.55999999999995</x:v>
      </x:c>
      <x:c r="C3561" s="32">
        <x:v>629.94000000000005</x:v>
      </x:c>
      <x:c r="D3561" s="32">
        <x:v>613.58000000000004</x:v>
      </x:c>
      <x:c r="E3561" s="32">
        <x:v>629.85</x:v>
      </x:c>
      <x:c r="F3561" s="33">
        <x:v>109080570</x:v>
      </x:c>
      <x:c r="G3561" s="32" t="n">
        <x:f t="shared" si="156">AVERAGE(E3362:E3561)</x:f>
        <x:v>577.6919000000003</x:v>
      </x:c>
      <x:c r="H3561" s="37" t="n">
        <x:f t="shared" si="157">IFERROR(E3561/G3561-1,"")</x:f>
        <x:v>0.0902870543969887</x:v>
      </x:c>
      <x:c r="I3561" s="38" t="b">
        <x:f t="shared" si="158">E3561&lt;G3561</x:f>
        <x:v>0</x:v>
      </x:c>
    </x:row>
    <x:row r="3562">
      <x:c r="A3562" s="31">
        <x:v>42208</x:v>
      </x:c>
      <x:c r="B3562" s="32">
        <x:v>632.07000000000005</x:v>
      </x:c>
      <x:c r="C3562" s="32">
        <x:v>637.91</x:v>
      </x:c>
      <x:c r="D3562" s="32">
        <x:v>631.42999999999995</x:v>
      </x:c>
      <x:c r="E3562" s="32">
        <x:v>632.01</x:v>
      </x:c>
      <x:c r="F3562" s="33">
        <x:v>117644960</x:v>
      </x:c>
      <x:c r="G3562" s="32" t="n">
        <x:f t="shared" si="156">AVERAGE(E3363:E3562)</x:f>
        <x:v>577.8579500000003</x:v>
      </x:c>
      <x:c r="H3562" s="37" t="n">
        <x:f t="shared" si="157">IFERROR(E3562/G3562-1,"")</x:f>
        <x:v>0.09371169852383221</x:v>
      </x:c>
      <x:c r="I3562" s="38" t="b">
        <x:f t="shared" si="158">E3562&lt;G3562</x:f>
        <x:v>0</x:v>
      </x:c>
    </x:row>
    <x:row r="3563">
      <x:c r="A3563" s="31">
        <x:v>42209</x:v>
      </x:c>
      <x:c r="B3563" s="32">
        <x:v>633.27</x:v>
      </x:c>
      <x:c r="C3563" s="32">
        <x:v>634.61</x:v>
      </x:c>
      <x:c r="D3563" s="32">
        <x:v>627.99</x:v>
      </x:c>
      <x:c r="E3563" s="32">
        <x:v>631.26</x:v>
      </x:c>
      <x:c r="F3563" s="33">
        <x:v>109015570</x:v>
      </x:c>
      <x:c r="G3563" s="32" t="n">
        <x:f t="shared" si="156">AVERAGE(E3364:E3563)</x:f>
        <x:v>577.9679000000002</x:v>
      </x:c>
      <x:c r="H3563" s="37" t="n">
        <x:f t="shared" si="157">IFERROR(E3563/G3563-1,"")</x:f>
        <x:v>0.09220598583416106</x:v>
      </x:c>
      <x:c r="I3563" s="38" t="b">
        <x:f t="shared" si="158">E3563&lt;G3563</x:f>
        <x:v>0</x:v>
      </x:c>
    </x:row>
    <x:row r="3564">
      <x:c r="A3564" s="31">
        <x:v>42212</x:v>
      </x:c>
      <x:c r="B3564" s="32">
        <x:v>629.67999999999995</x:v>
      </x:c>
      <x:c r="C3564" s="32">
        <x:v>636.84</x:v>
      </x:c>
      <x:c r="D3564" s="32">
        <x:v>629.41999999999996</x:v>
      </x:c>
      <x:c r="E3564" s="32">
        <x:v>635.46</x:v>
      </x:c>
      <x:c r="F3564" s="33">
        <x:v>116704360</x:v>
      </x:c>
      <x:c r="G3564" s="32" t="n">
        <x:f t="shared" si="156">AVERAGE(E3365:E3564)</x:f>
        <x:v>578.0819000000004</x:v>
      </x:c>
      <x:c r="H3564" s="37" t="n">
        <x:f t="shared" si="157">IFERROR(E3564/G3564-1,"")</x:f>
        <x:v>0.09925600507471288</x:v>
      </x:c>
      <x:c r="I3564" s="38" t="b">
        <x:f t="shared" si="158">E3564&lt;G3564</x:f>
        <x:v>0</x:v>
      </x:c>
    </x:row>
    <x:row r="3565">
      <x:c r="A3565" s="31">
        <x:v>42213</x:v>
      </x:c>
      <x:c r="B3565" s="32">
        <x:v>636.58000000000004</x:v>
      </x:c>
      <x:c r="C3565" s="32">
        <x:v>639.54</x:v>
      </x:c>
      <x:c r="D3565" s="32">
        <x:v>631.47</x:v>
      </x:c>
      <x:c r="E3565" s="32">
        <x:v>631.47</x:v>
      </x:c>
      <x:c r="F3565" s="33">
        <x:v>149155540</x:v>
      </x:c>
      <x:c r="G3565" s="32" t="n">
        <x:f t="shared" si="156">AVERAGE(E3366:E3565)</x:f>
        <x:v>578.1815000000003</x:v>
      </x:c>
      <x:c r="H3565" s="37" t="n">
        <x:f t="shared" si="157">IFERROR(E3565/G3565-1,"")</x:f>
        <x:v>0.09216569537420294</x:v>
      </x:c>
      <x:c r="I3565" s="38" t="b">
        <x:f t="shared" si="158">E3565&lt;G3565</x:f>
        <x:v>0</x:v>
      </x:c>
    </x:row>
    <x:row r="3566">
      <x:c r="A3566" s="31">
        <x:v>42214</x:v>
      </x:c>
      <x:c r="B3566" s="32">
        <x:v>632</x:v>
      </x:c>
      <x:c r="C3566" s="32">
        <x:v>634.64</x:v>
      </x:c>
      <x:c r="D3566" s="32">
        <x:v>624.70000000000005</x:v>
      </x:c>
      <x:c r="E3566" s="32">
        <x:v>624.70000000000005</x:v>
      </x:c>
      <x:c r="F3566" s="33">
        <x:v>111883170</x:v>
      </x:c>
      <x:c r="G3566" s="32" t="n">
        <x:f t="shared" si="156">AVERAGE(E3367:E3566)</x:f>
        <x:v>578.2329000000004</x:v>
      </x:c>
      <x:c r="H3566" s="37" t="n">
        <x:f t="shared" si="157">IFERROR(E3566/G3566-1,"")</x:f>
        <x:v>0.08036052600950172</x:v>
      </x:c>
      <x:c r="I3566" s="38" t="b">
        <x:f t="shared" si="158">E3566&lt;G3566</x:f>
        <x:v>0</x:v>
      </x:c>
    </x:row>
    <x:row r="3567">
      <x:c r="A3567" s="31">
        <x:v>42215</x:v>
      </x:c>
      <x:c r="B3567" s="32">
        <x:v>625.46</x:v>
      </x:c>
      <x:c r="C3567" s="32">
        <x:v>627.11</x:v>
      </x:c>
      <x:c r="D3567" s="32">
        <x:v>622.42999999999995</x:v>
      </x:c>
      <x:c r="E3567" s="32">
        <x:v>626.57000000000005</x:v>
      </x:c>
      <x:c r="F3567" s="33">
        <x:v>96753150</x:v>
      </x:c>
      <x:c r="G3567" s="32" t="n">
        <x:f t="shared" si="156">AVERAGE(E3368:E3567)</x:f>
        <x:v>578.2953500000004</x:v>
      </x:c>
      <x:c r="H3567" s="37" t="n">
        <x:f t="shared" si="157">IFERROR(E3567/G3567-1,"")</x:f>
        <x:v>0.08347749986231001</x:v>
      </x:c>
      <x:c r="I3567" s="38" t="b">
        <x:f t="shared" si="158">E3567&lt;G3567</x:f>
        <x:v>0</x:v>
      </x:c>
    </x:row>
    <x:row r="3568">
      <x:c r="A3568" s="31">
        <x:v>42216</x:v>
      </x:c>
      <x:c r="B3568" s="32">
        <x:v>628.30999999999995</x:v>
      </x:c>
      <x:c r="C3568" s="32">
        <x:v>629.97</x:v>
      </x:c>
      <x:c r="D3568" s="32">
        <x:v>621.05999999999995</x:v>
      </x:c>
      <x:c r="E3568" s="32">
        <x:v>621.05999999999995</x:v>
      </x:c>
      <x:c r="F3568" s="33">
        <x:v>101422300</x:v>
      </x:c>
      <x:c r="G3568" s="32" t="n">
        <x:f t="shared" si="156">AVERAGE(E3369:E3568)</x:f>
        <x:v>578.3143500000004</x:v>
      </x:c>
      <x:c r="H3568" s="37" t="n">
        <x:f t="shared" si="157">IFERROR(E3568/G3568-1,"")</x:f>
        <x:v>0.07391421291897649</x:v>
      </x:c>
      <x:c r="I3568" s="38" t="b">
        <x:f t="shared" si="158">E3568&lt;G3568</x:f>
        <x:v>0</x:v>
      </x:c>
    </x:row>
    <x:row r="3569">
      <x:c r="A3569" s="31">
        <x:v>42219</x:v>
      </x:c>
      <x:c r="B3569" s="32">
        <x:v>617.12</x:v>
      </x:c>
      <x:c r="C3569" s="32">
        <x:v>617.12</x:v>
      </x:c>
      <x:c r="D3569" s="32">
        <x:v>605.63</x:v>
      </x:c>
      <x:c r="E3569" s="32">
        <x:v>609.47</x:v>
      </x:c>
      <x:c r="F3569" s="33">
        <x:v>120074910</x:v>
      </x:c>
      <x:c r="G3569" s="32" t="n">
        <x:f t="shared" si="156">AVERAGE(E3370:E3569)</x:f>
        <x:v>578.2400000000004</x:v>
      </x:c>
      <x:c r="H3569" s="37" t="n">
        <x:f t="shared" si="157">IFERROR(E3569/G3569-1,"")</x:f>
        <x:v>0.054008716104039234</x:v>
      </x:c>
      <x:c r="I3569" s="38" t="b">
        <x:f t="shared" si="158">E3569&lt;G3569</x:f>
        <x:v>0</x:v>
      </x:c>
    </x:row>
    <x:row r="3570">
      <x:c r="A3570" s="31">
        <x:v>42220</x:v>
      </x:c>
      <x:c r="B3570" s="32">
        <x:v>607.95000000000005</x:v>
      </x:c>
      <x:c r="C3570" s="32">
        <x:v>609.91</x:v>
      </x:c>
      <x:c r="D3570" s="32">
        <x:v>600.76</x:v>
      </x:c>
      <x:c r="E3570" s="32">
        <x:v>600.76</x:v>
      </x:c>
      <x:c r="F3570" s="33">
        <x:v>78122270</x:v>
      </x:c>
      <x:c r="G3570" s="32" t="n">
        <x:f t="shared" si="156">AVERAGE(E3371:E3570)</x:f>
        <x:v>578.1552000000004</x:v>
      </x:c>
      <x:c r="H3570" s="37" t="n">
        <x:f t="shared" si="157">IFERROR(E3570/G3570-1,"")</x:f>
        <x:v>0.03909815219166002</x:v>
      </x:c>
      <x:c r="I3570" s="38" t="b">
        <x:f t="shared" si="158">E3570&lt;G3570</x:f>
        <x:v>0</x:v>
      </x:c>
    </x:row>
    <x:row r="3571">
      <x:c r="A3571" s="31">
        <x:v>42221</x:v>
      </x:c>
      <x:c r="B3571" s="32">
        <x:v>600.67999999999995</x:v>
      </x:c>
      <x:c r="C3571" s="32">
        <x:v>608.21</x:v>
      </x:c>
      <x:c r="D3571" s="32">
        <x:v>600.67999999999995</x:v>
      </x:c>
      <x:c r="E3571" s="32">
        <x:v>607.08000000000004</x:v>
      </x:c>
      <x:c r="F3571" s="33">
        <x:v>92678090</x:v>
      </x:c>
      <x:c r="G3571" s="32" t="n">
        <x:f t="shared" si="156">AVERAGE(E3372:E3571)</x:f>
        <x:v>578.1195000000004</x:v>
      </x:c>
      <x:c r="H3571" s="37" t="n">
        <x:f t="shared" si="157">IFERROR(E3571/G3571-1,"")</x:f>
        <x:v>0.05009431441077439</x:v>
      </x:c>
      <x:c r="I3571" s="38" t="b">
        <x:f t="shared" si="158">E3571&lt;G3571</x:f>
        <x:v>0</x:v>
      </x:c>
    </x:row>
    <x:row r="3572">
      <x:c r="A3572" s="31">
        <x:v>42222</x:v>
      </x:c>
      <x:c r="B3572" s="32">
        <x:v>607.84</x:v>
      </x:c>
      <x:c r="C3572" s="32">
        <x:v>609.30999999999995</x:v>
      </x:c>
      <x:c r="D3572" s="32">
        <x:v>600.85</x:v>
      </x:c>
      <x:c r="E3572" s="32">
        <x:v>601.04</x:v>
      </x:c>
      <x:c r="F3572" s="33">
        <x:v>108566000</x:v>
      </x:c>
      <x:c r="G3572" s="32" t="n">
        <x:f t="shared" si="156">AVERAGE(E3373:E3572)</x:f>
        <x:v>578.0957500000003</x:v>
      </x:c>
      <x:c r="H3572" s="37" t="n">
        <x:f t="shared" si="157">IFERROR(E3572/G3572-1,"")</x:f>
        <x:v>0.03968935941840024</x:v>
      </x:c>
      <x:c r="I3572" s="38" t="b">
        <x:f t="shared" si="158">E3572&lt;G3572</x:f>
        <x:v>0</x:v>
      </x:c>
    </x:row>
    <x:row r="3573">
      <x:c r="A3573" s="31">
        <x:v>42223</x:v>
      </x:c>
      <x:c r="B3573" s="32">
        <x:v>601.57000000000005</x:v>
      </x:c>
      <x:c r="C3573" s="32">
        <x:v>604.04</x:v>
      </x:c>
      <x:c r="D3573" s="32">
        <x:v>597.75</x:v>
      </x:c>
      <x:c r="E3573" s="32">
        <x:v>603.76</x:v>
      </x:c>
      <x:c r="F3573" s="33">
        <x:v>75215360</x:v>
      </x:c>
      <x:c r="G3573" s="32" t="n">
        <x:f t="shared" si="156">AVERAGE(E3374:E3573)</x:f>
        <x:v>578.0931000000002</x:v>
      </x:c>
      <x:c r="H3573" s="37" t="n">
        <x:f t="shared" si="157">IFERROR(E3573/G3573-1,"")</x:f>
        <x:v>0.044399249878609215</x:v>
      </x:c>
      <x:c r="I3573" s="38" t="b">
        <x:f t="shared" si="158">E3573&lt;G3573</x:f>
        <x:v>0</x:v>
      </x:c>
    </x:row>
    <x:row r="3574">
      <x:c r="A3574" s="31">
        <x:v>42226</x:v>
      </x:c>
      <x:c r="B3574" s="32">
        <x:v>603.82000000000005</x:v>
      </x:c>
      <x:c r="C3574" s="32">
        <x:v>614.53</x:v>
      </x:c>
      <x:c r="D3574" s="32">
        <x:v>603.82000000000005</x:v>
      </x:c>
      <x:c r="E3574" s="32">
        <x:v>614.53</x:v>
      </x:c>
      <x:c r="F3574" s="33">
        <x:v>84997900</x:v>
      </x:c>
      <x:c r="G3574" s="32" t="n">
        <x:f t="shared" si="156">AVERAGE(E3375:E3574)</x:f>
        <x:v>578.2299000000002</x:v>
      </x:c>
      <x:c r="H3574" s="37" t="n">
        <x:f t="shared" si="157">IFERROR(E3574/G3574-1,"")</x:f>
        <x:v>0.06277797118412565</x:v>
      </x:c>
      <x:c r="I3574" s="38" t="b">
        <x:f t="shared" si="158">E3574&lt;G3574</x:f>
        <x:v>0</x:v>
      </x:c>
    </x:row>
    <x:row r="3575">
      <x:c r="A3575" s="31">
        <x:v>42227</x:v>
      </x:c>
      <x:c r="B3575" s="32">
        <x:v>615.16999999999996</x:v>
      </x:c>
      <x:c r="C3575" s="32">
        <x:v>619.69000000000005</x:v>
      </x:c>
      <x:c r="D3575" s="32">
        <x:v>611.16999999999996</x:v>
      </x:c>
      <x:c r="E3575" s="32">
        <x:v>613.04999999999995</x:v>
      </x:c>
      <x:c r="F3575" s="33">
        <x:v>102419460</x:v>
      </x:c>
      <x:c r="G3575" s="32" t="n">
        <x:f t="shared" si="156">AVERAGE(E3376:E3575)</x:f>
        <x:v>578.3687500000002</x:v>
      </x:c>
      <x:c r="H3575" s="37" t="n">
        <x:f t="shared" si="157">IFERROR(E3575/G3575-1,"")</x:f>
        <x:v>0.059963907109434444</x:v>
      </x:c>
      <x:c r="I3575" s="38" t="b">
        <x:f t="shared" si="158">E3575&lt;G3575</x:f>
        <x:v>0</x:v>
      </x:c>
    </x:row>
    <x:row r="3576">
      <x:c r="A3576" s="31">
        <x:v>42228</x:v>
      </x:c>
      <x:c r="B3576" s="32">
        <x:v>609.33000000000004</x:v>
      </x:c>
      <x:c r="C3576" s="32">
        <x:v>611.46</x:v>
      </x:c>
      <x:c r="D3576" s="32">
        <x:v>602.01</x:v>
      </x:c>
      <x:c r="E3576" s="32">
        <x:v>604.24</x:v>
      </x:c>
      <x:c r="F3576" s="33">
        <x:v>108828230</x:v>
      </x:c>
      <x:c r="G3576" s="32" t="n">
        <x:f t="shared" si="156">AVERAGE(E3377:E3576)</x:f>
        <x:v>578.4437500000003</x:v>
      </x:c>
      <x:c r="H3576" s="37" t="n">
        <x:f t="shared" si="157">IFERROR(E3576/G3576-1,"")</x:f>
        <x:v>0.04459595250186332</x:v>
      </x:c>
      <x:c r="I3576" s="38" t="b">
        <x:f t="shared" si="158">E3576&lt;G3576</x:f>
        <x:v>0</x:v>
      </x:c>
    </x:row>
    <x:row r="3577">
      <x:c r="A3577" s="31">
        <x:v>42229</x:v>
      </x:c>
      <x:c r="B3577" s="32">
        <x:v>603.30999999999995</x:v>
      </x:c>
      <x:c r="C3577" s="32">
        <x:v>604.24</x:v>
      </x:c>
      <x:c r="D3577" s="32">
        <x:v>590.44000000000005</x:v>
      </x:c>
      <x:c r="E3577" s="32">
        <x:v>594.26</x:v>
      </x:c>
      <x:c r="F3577" s="33">
        <x:v>119331520</x:v>
      </x:c>
      <x:c r="G3577" s="32" t="n">
        <x:f t="shared" si="156">AVERAGE(E3378:E3577)</x:f>
        <x:v>578.4123000000002</x:v>
      </x:c>
      <x:c r="H3577" s="37" t="n">
        <x:f t="shared" si="157">IFERROR(E3577/G3577-1,"")</x:f>
        <x:v>0.027398622055581745</x:v>
      </x:c>
      <x:c r="I3577" s="38" t="b">
        <x:f t="shared" si="158">E3577&lt;G3577</x:f>
        <x:v>0</x:v>
      </x:c>
    </x:row>
    <x:row r="3578">
      <x:c r="A3578" s="31">
        <x:v>42230</x:v>
      </x:c>
      <x:c r="B3578" s="32">
        <x:v>592.79999999999995</x:v>
      </x:c>
      <x:c r="C3578" s="32">
        <x:v>598.54999999999995</x:v>
      </x:c>
      <x:c r="D3578" s="32">
        <x:v>585.97</x:v>
      </x:c>
      <x:c r="E3578" s="32">
        <x:v>589.03</x:v>
      </x:c>
      <x:c r="F3578" s="33">
        <x:v>85702280</x:v>
      </x:c>
      <x:c r="G3578" s="32" t="n">
        <x:f t="shared" si="156">AVERAGE(E3379:E3578)</x:f>
        <x:v>578.3495000000001</x:v>
      </x:c>
      <x:c r="H3578" s="37" t="n">
        <x:f t="shared" si="157">IFERROR(E3578/G3578-1,"")</x:f>
        <x:v>0.018467207112653927</x:v>
      </x:c>
      <x:c r="I3578" s="38" t="b">
        <x:f t="shared" si="158">E3578&lt;G3578</x:f>
        <x:v>0</x:v>
      </x:c>
    </x:row>
    <x:row r="3579">
      <x:c r="A3579" s="31">
        <x:v>42233</x:v>
      </x:c>
      <x:c r="B3579" s="32">
        <x:v>588.66999999999996</x:v>
      </x:c>
      <x:c r="C3579" s="32">
        <x:v>591.20000000000005</x:v>
      </x:c>
      <x:c r="D3579" s="32">
        <x:v>571.26</x:v>
      </x:c>
      <x:c r="E3579" s="32">
        <x:v>573.15</x:v>
      </x:c>
      <x:c r="F3579" s="33">
        <x:v>104003690</x:v>
      </x:c>
      <x:c r="G3579" s="32" t="n">
        <x:f t="shared" si="156">AVERAGE(E3380:E3579)</x:f>
        <x:v>578.2476000000001</x:v>
      </x:c>
      <x:c r="H3579" s="37" t="n">
        <x:f t="shared" si="157">IFERROR(E3579/G3579-1,"")</x:f>
        <x:v>-0.008815600791080125</x:v>
      </x:c>
      <x:c r="I3579" s="38" t="b">
        <x:f t="shared" si="158">E3579&lt;G3579</x:f>
        <x:v>1</x:v>
      </x:c>
    </x:row>
    <x:row r="3580">
      <x:c r="A3580" s="31">
        <x:v>42234</x:v>
      </x:c>
      <x:c r="B3580" s="32">
        <x:v>571.30999999999995</x:v>
      </x:c>
      <x:c r="C3580" s="32">
        <x:v>580.22</x:v>
      </x:c>
      <x:c r="D3580" s="32">
        <x:v>571.22</x:v>
      </x:c>
      <x:c r="E3580" s="32">
        <x:v>580.22</x:v>
      </x:c>
      <x:c r="F3580" s="33">
        <x:v>86433690</x:v>
      </x:c>
      <x:c r="G3580" s="32" t="n">
        <x:f t="shared" si="156">AVERAGE(E3381:E3580)</x:f>
        <x:v>578.1911500000002</x:v>
      </x:c>
      <x:c r="H3580" s="37" t="n">
        <x:f t="shared" si="157">IFERROR(E3580/G3580-1,"")</x:f>
        <x:v>0.0035089606611926616</x:v>
      </x:c>
      <x:c r="I3580" s="38" t="b">
        <x:f t="shared" si="158">E3580&lt;G3580</x:f>
        <x:v>0</x:v>
      </x:c>
    </x:row>
    <x:row r="3581">
      <x:c r="A3581" s="31">
        <x:v>42235</x:v>
      </x:c>
      <x:c r="B3581" s="32">
        <x:v>576.44000000000005</x:v>
      </x:c>
      <x:c r="C3581" s="32">
        <x:v>580.99</x:v>
      </x:c>
      <x:c r="D3581" s="32">
        <x:v>569.21</x:v>
      </x:c>
      <x:c r="E3581" s="32">
        <x:v>577.82000000000005</x:v>
      </x:c>
      <x:c r="F3581" s="33">
        <x:v>98952270</x:v>
      </x:c>
      <x:c r="G3581" s="32" t="n">
        <x:f t="shared" si="156">AVERAGE(E3382:E3581)</x:f>
        <x:v>578.1762500000002</x:v>
      </x:c>
      <x:c r="H3581" s="37" t="n">
        <x:f t="shared" si="157">IFERROR(E3581/G3581-1,"")</x:f>
        <x:v>-0.0006161615943237608</x:v>
      </x:c>
      <x:c r="I3581" s="38" t="b">
        <x:f t="shared" si="158">E3581&lt;G3581</x:f>
        <x:v>1</x:v>
      </x:c>
    </x:row>
    <x:row r="3582">
      <x:c r="A3582" s="31">
        <x:v>42236</x:v>
      </x:c>
      <x:c r="B3582" s="32">
        <x:v>577.82000000000005</x:v>
      </x:c>
      <x:c r="C3582" s="32">
        <x:v>577.82000000000005</x:v>
      </x:c>
      <x:c r="D3582" s="32">
        <x:v>565.09</x:v>
      </x:c>
      <x:c r="E3582" s="32">
        <x:v>566.69000000000005</x:v>
      </x:c>
      <x:c r="F3582" s="33">
        <x:v>106922940</x:v>
      </x:c>
      <x:c r="G3582" s="32" t="n">
        <x:f t="shared" si="156">AVERAGE(E3383:E3582)</x:f>
        <x:v>578.0940500000002</x:v>
      </x:c>
      <x:c r="H3582" s="37" t="n">
        <x:f t="shared" si="157">IFERROR(E3582/G3582-1,"")</x:f>
        <x:v>-0.019726980410886608</x:v>
      </x:c>
      <x:c r="I3582" s="38" t="b">
        <x:f t="shared" si="158">E3582&lt;G3582</x:f>
        <x:v>1</x:v>
      </x:c>
    </x:row>
    <x:row r="3583">
      <x:c r="A3583" s="31">
        <x:v>42237</x:v>
      </x:c>
      <x:c r="B3583" s="32">
        <x:v>559.34</x:v>
      </x:c>
      <x:c r="C3583" s="32">
        <x:v>566.69000000000005</x:v>
      </x:c>
      <x:c r="D3583" s="32">
        <x:v>542.30999999999995</x:v>
      </x:c>
      <x:c r="E3583" s="32">
        <x:v>556.29999999999995</x:v>
      </x:c>
      <x:c r="F3583" s="33">
        <x:v>181154060</x:v>
      </x:c>
      <x:c r="G3583" s="32" t="n">
        <x:f t="shared" si="156">AVERAGE(E3384:E3583)</x:f>
        <x:v>577.9195500000002</x:v>
      </x:c>
      <x:c r="H3583" s="37" t="n">
        <x:f t="shared" si="157">IFERROR(E3583/G3583-1,"")</x:f>
        <x:v>-0.037409272622807466</x:v>
      </x:c>
      <x:c r="I3583" s="38" t="b">
        <x:f t="shared" si="158">E3583&lt;G3583</x:f>
        <x:v>1</x:v>
      </x:c>
    </x:row>
    <x:row r="3584">
      <x:c r="A3584" s="31">
        <x:v>42240</x:v>
      </x:c>
      <x:c r="B3584" s="32">
        <x:v>550.48</x:v>
      </x:c>
      <x:c r="C3584" s="32">
        <x:v>556.29999999999995</x:v>
      </x:c>
      <x:c r="D3584" s="32">
        <x:v>523.54999999999995</x:v>
      </x:c>
      <x:c r="E3584" s="32">
        <x:v>526.92999999999995</x:v>
      </x:c>
      <x:c r="F3584" s="33">
        <x:v>166417080</x:v>
      </x:c>
      <x:c r="G3584" s="32" t="n">
        <x:f t="shared" si="156">AVERAGE(E3385:E3584)</x:f>
        <x:v>577.6085000000002</x:v>
      </x:c>
      <x:c r="H3584" s="37" t="n">
        <x:f t="shared" si="157">IFERROR(E3584/G3584-1,"")</x:f>
        <x:v>-0.08773849415304691</x:v>
      </x:c>
      <x:c r="I3584" s="38" t="b">
        <x:f t="shared" si="158">E3584&lt;G3584</x:f>
        <x:v>1</x:v>
      </x:c>
    </x:row>
    <x:row r="3585">
      <x:c r="A3585" s="31">
        <x:v>42241</x:v>
      </x:c>
      <x:c r="B3585" s="32">
        <x:v>511.13</x:v>
      </x:c>
      <x:c r="C3585" s="32">
        <x:v>535.48</x:v>
      </x:c>
      <x:c r="D3585" s="32">
        <x:v>511.13</x:v>
      </x:c>
      <x:c r="E3585" s="32">
        <x:v>529.98</x:v>
      </x:c>
      <x:c r="F3585" s="33">
        <x:v>167518810</x:v>
      </x:c>
      <x:c r="G3585" s="32" t="n">
        <x:f t="shared" si="156">AVERAGE(E3386:E3585)</x:f>
        <x:v>577.2542000000001</x:v>
      </x:c>
      <x:c r="H3585" s="37" t="n">
        <x:f t="shared" si="157">IFERROR(E3585/G3585-1,"")</x:f>
        <x:v>-0.08189494333692171</x:v>
      </x:c>
      <x:c r="I3585" s="38" t="b">
        <x:f t="shared" si="158">E3585&lt;G3585</x:f>
        <x:v>1</x:v>
      </x:c>
    </x:row>
    <x:row r="3586">
      <x:c r="A3586" s="31">
        <x:v>42242</x:v>
      </x:c>
      <x:c r="B3586" s="32">
        <x:v>530.04999999999995</x:v>
      </x:c>
      <x:c r="C3586" s="32">
        <x:v>545.89</x:v>
      </x:c>
      <x:c r="D3586" s="32">
        <x:v>529.98</x:v>
      </x:c>
      <x:c r="E3586" s="32">
        <x:v>545.89</x:v>
      </x:c>
      <x:c r="F3586" s="33">
        <x:v>120486820</x:v>
      </x:c>
      <x:c r="G3586" s="32" t="n">
        <x:f t="shared" si="156">AVERAGE(E3387:E3586)</x:f>
        <x:v>576.9679000000001</x:v>
      </x:c>
      <x:c r="H3586" s="37" t="n">
        <x:f t="shared" si="157">IFERROR(E3586/G3586-1,"")</x:f>
        <x:v>-0.053864175112688484</x:v>
      </x:c>
      <x:c r="I3586" s="38" t="b">
        <x:f t="shared" si="158">E3586&lt;G3586</x:f>
        <x:v>1</x:v>
      </x:c>
    </x:row>
    <x:row r="3587">
      <x:c r="A3587" s="31">
        <x:v>42243</x:v>
      </x:c>
      <x:c r="B3587" s="32">
        <x:v>551.89</x:v>
      </x:c>
      <x:c r="C3587" s="32">
        <x:v>558.92999999999995</x:v>
      </x:c>
      <x:c r="D3587" s="32">
        <x:v>545.89</x:v>
      </x:c>
      <x:c r="E3587" s="32">
        <x:v>555.80999999999995</x:v>
      </x:c>
      <x:c r="F3587" s="33">
        <x:v>115022570</x:v>
      </x:c>
      <x:c r="G3587" s="32" t="n">
        <x:f t="shared" si="156">AVERAGE(E3388:E3587)</x:f>
        <x:v>576.7550000000001</x:v>
      </x:c>
      <x:c r="H3587" s="37" t="n">
        <x:f t="shared" si="157">IFERROR(E3587/G3587-1,"")</x:f>
        <x:v>-0.03631524650848306</x:v>
      </x:c>
      <x:c r="I3587" s="38" t="b">
        <x:f t="shared" si="158">E3587&lt;G3587</x:f>
        <x:v>1</x:v>
      </x:c>
    </x:row>
    <x:row r="3588">
      <x:c r="A3588" s="31">
        <x:v>42244</x:v>
      </x:c>
      <x:c r="B3588" s="32">
        <x:v>561.36</x:v>
      </x:c>
      <x:c r="C3588" s="32">
        <x:v>570.87</x:v>
      </x:c>
      <x:c r="D3588" s="32">
        <x:v>555.80999999999995</x:v>
      </x:c>
      <x:c r="E3588" s="32">
        <x:v>570.87</x:v>
      </x:c>
      <x:c r="F3588" s="33">
        <x:v>151294750</x:v>
      </x:c>
      <x:c r="G3588" s="32" t="n">
        <x:f t="shared" si="156">AVERAGE(E3389:E3588)</x:f>
        <x:v>576.6243000000001</x:v>
      </x:c>
      <x:c r="H3588" s="37" t="n">
        <x:f t="shared" si="157">IFERROR(E3588/G3588-1,"")</x:f>
        <x:v>-0.009979288073707737</x:v>
      </x:c>
      <x:c r="I3588" s="38" t="b">
        <x:f t="shared" si="158">E3588&lt;G3588</x:f>
        <x:v>1</x:v>
      </x:c>
    </x:row>
    <x:row r="3589">
      <x:c r="A3589" s="31">
        <x:v>42247</x:v>
      </x:c>
      <x:c r="B3589" s="32">
        <x:v>573.1</x:v>
      </x:c>
      <x:c r="C3589" s="32">
        <x:v>573.1</x:v>
      </x:c>
      <x:c r="D3589" s="32">
        <x:v>563.99</x:v>
      </x:c>
      <x:c r="E3589" s="32">
        <x:v>564.75</x:v>
      </x:c>
      <x:c r="F3589" s="33">
        <x:v>103156060</x:v>
      </x:c>
      <x:c r="G3589" s="32" t="n">
        <x:f t="shared" si="156">AVERAGE(E3390:E3589)</x:f>
        <x:v>576.4588000000001</x:v>
      </x:c>
      <x:c r="H3589" s="37" t="n">
        <x:f t="shared" si="157">IFERROR(E3589/G3589-1,"")</x:f>
        <x:v>-0.020311599024943505</x:v>
      </x:c>
      <x:c r="I3589" s="38" t="b">
        <x:f t="shared" si="158">E3589&lt;G3589</x:f>
        <x:v>1</x:v>
      </x:c>
    </x:row>
    <x:row r="3590">
      <x:c r="A3590" s="31">
        <x:v>42248</x:v>
      </x:c>
      <x:c r="B3590" s="32">
        <x:v>565.75</x:v>
      </x:c>
      <x:c r="C3590" s="32">
        <x:v>569.17999999999995</x:v>
      </x:c>
      <x:c r="D3590" s="32">
        <x:v>561.28</x:v>
      </x:c>
      <x:c r="E3590" s="32">
        <x:v>562.30999999999995</x:v>
      </x:c>
      <x:c r="F3590" s="33">
        <x:v>85154580</x:v>
      </x:c>
      <x:c r="G3590" s="32" t="n">
        <x:f t="shared" si="156">AVERAGE(E3391:E3590)</x:f>
        <x:v>576.2574000000001</x:v>
      </x:c>
      <x:c r="H3590" s="37" t="n">
        <x:f t="shared" si="157">IFERROR(E3590/G3590-1,"")</x:f>
        <x:v>-0.02420342020770605</x:v>
      </x:c>
      <x:c r="I3590" s="38" t="b">
        <x:f t="shared" si="158">E3590&lt;G3590</x:f>
        <x:v>1</x:v>
      </x:c>
    </x:row>
    <x:row r="3591">
      <x:c r="A3591" s="31">
        <x:v>42250</x:v>
      </x:c>
      <x:c r="B3591" s="32">
        <x:v>559.32000000000005</x:v>
      </x:c>
      <x:c r="C3591" s="32">
        <x:v>562.30999999999995</x:v>
      </x:c>
      <x:c r="D3591" s="32">
        <x:v>551.47</x:v>
      </x:c>
      <x:c r="E3591" s="32">
        <x:v>554.29999999999995</x:v>
      </x:c>
      <x:c r="F3591" s="33">
        <x:v>88639140</x:v>
      </x:c>
      <x:c r="G3591" s="32" t="n">
        <x:f t="shared" si="156">AVERAGE(E3392:E3591)</x:f>
        <x:v>576.0183000000001</x:v>
      </x:c>
      <x:c r="H3591" s="37" t="n">
        <x:f t="shared" si="157">IFERROR(E3591/G3591-1,"")</x:f>
        <x:v>-0.03770418405109721</x:v>
      </x:c>
      <x:c r="I3591" s="38" t="b">
        <x:f t="shared" si="158">E3591&lt;G3591</x:f>
        <x:v>1</x:v>
      </x:c>
    </x:row>
    <x:row r="3592">
      <x:c r="A3592" s="31">
        <x:v>42251</x:v>
      </x:c>
      <x:c r="B3592" s="32">
        <x:v>554.85</x:v>
      </x:c>
      <x:c r="C3592" s="32">
        <x:v>558.9</x:v>
      </x:c>
      <x:c r="D3592" s="32">
        <x:v>554.77</x:v>
      </x:c>
      <x:c r="E3592" s="32">
        <x:v>556.80999999999995</x:v>
      </x:c>
      <x:c r="F3592" s="33">
        <x:v>65396630</x:v>
      </x:c>
      <x:c r="G3592" s="32" t="n">
        <x:f t="shared" si="156">AVERAGE(E3393:E3592)</x:f>
        <x:v>575.7812000000001</x:v>
      </x:c>
      <x:c r="H3592" s="37" t="n">
        <x:f t="shared" si="157">IFERROR(E3592/G3592-1,"")</x:f>
        <x:v>-0.032948627013178244</x:v>
      </x:c>
      <x:c r="I3592" s="38" t="b">
        <x:f t="shared" si="158">E3592&lt;G3592</x:f>
        <x:v>1</x:v>
      </x:c>
    </x:row>
    <x:row r="3593">
      <x:c r="A3593" s="31">
        <x:v>42254</x:v>
      </x:c>
      <x:c r="B3593" s="32">
        <x:v>557.07000000000005</x:v>
      </x:c>
      <x:c r="C3593" s="32">
        <x:v>560.09</x:v>
      </x:c>
      <x:c r="D3593" s="32">
        <x:v>554.44000000000005</x:v>
      </x:c>
      <x:c r="E3593" s="32">
        <x:v>554.92999999999995</x:v>
      </x:c>
      <x:c r="F3593" s="33">
        <x:v>62231590</x:v>
      </x:c>
      <x:c r="G3593" s="32" t="n">
        <x:f t="shared" si="156">AVERAGE(E3394:E3593)</x:f>
        <x:v>575.5358000000001</x:v>
      </x:c>
      <x:c r="H3593" s="37" t="n">
        <x:f t="shared" si="157">IFERROR(E3593/G3593-1,"")</x:f>
        <x:v>-0.035802811918911326</x:v>
      </x:c>
      <x:c r="I3593" s="38" t="b">
        <x:f t="shared" si="158">E3593&lt;G3593</x:f>
        <x:v>1</x:v>
      </x:c>
    </x:row>
    <x:row r="3594">
      <x:c r="A3594" s="31">
        <x:v>42255</x:v>
      </x:c>
      <x:c r="B3594" s="32">
        <x:v>554.48</x:v>
      </x:c>
      <x:c r="C3594" s="32">
        <x:v>566.72</x:v>
      </x:c>
      <x:c r="D3594" s="32">
        <x:v>554.34</x:v>
      </x:c>
      <x:c r="E3594" s="32">
        <x:v>566.72</x:v>
      </x:c>
      <x:c r="F3594" s="33">
        <x:v>93964710</x:v>
      </x:c>
      <x:c r="G3594" s="32" t="n">
        <x:f t="shared" si="156">AVERAGE(E3395:E3594)</x:f>
        <x:v>575.3536000000001</x:v>
      </x:c>
      <x:c r="H3594" s="37" t="n">
        <x:f t="shared" si="157">IFERROR(E3594/G3594-1,"")</x:f>
        <x:v>-0.015005728651041883</x:v>
      </x:c>
      <x:c r="I3594" s="38" t="b">
        <x:f t="shared" si="158">E3594&lt;G3594</x:f>
        <x:v>1</x:v>
      </x:c>
    </x:row>
    <x:row r="3595">
      <x:c r="A3595" s="31">
        <x:v>42256</x:v>
      </x:c>
      <x:c r="B3595" s="32">
        <x:v>574.05999999999995</x:v>
      </x:c>
      <x:c r="C3595" s="32">
        <x:v>574.73</x:v>
      </x:c>
      <x:c r="D3595" s="32">
        <x:v>566.72</x:v>
      </x:c>
      <x:c r="E3595" s="32">
        <x:v>572.34</x:v>
      </x:c>
      <x:c r="F3595" s="33">
        <x:v>83370390</x:v>
      </x:c>
      <x:c r="G3595" s="32" t="n">
        <x:f t="shared" si="156">AVERAGE(E3396:E3595)</x:f>
        <x:v>575.2135000000002</x:v>
      </x:c>
      <x:c r="H3595" s="37" t="n">
        <x:f t="shared" si="157">IFERROR(E3595/G3595-1,"")</x:f>
        <x:v>-0.004995536439948212</x:v>
      </x:c>
      <x:c r="I3595" s="38" t="b">
        <x:f t="shared" si="158">E3595&lt;G3595</x:f>
        <x:v>1</x:v>
      </x:c>
    </x:row>
    <x:row r="3596">
      <x:c r="A3596" s="31">
        <x:v>42257</x:v>
      </x:c>
      <x:c r="B3596" s="32">
        <x:v>567.51</x:v>
      </x:c>
      <x:c r="C3596" s="32">
        <x:v>576.13</x:v>
      </x:c>
      <x:c r="D3596" s="32">
        <x:v>567.09</x:v>
      </x:c>
      <x:c r="E3596" s="32">
        <x:v>572.07000000000005</x:v>
      </x:c>
      <x:c r="F3596" s="33">
        <x:v>68366470</x:v>
      </x:c>
      <x:c r="G3596" s="32" t="n">
        <x:f t="shared" si="156">AVERAGE(E3397:E3596)</x:f>
        <x:v>575.0692000000001</x:v>
      </x:c>
      <x:c r="H3596" s="37" t="n">
        <x:f t="shared" si="157">IFERROR(E3596/G3596-1,"")</x:f>
        <x:v>-0.0052153723412766695</x:v>
      </x:c>
      <x:c r="I3596" s="38" t="b">
        <x:f t="shared" si="158">E3596&lt;G3596</x:f>
        <x:v>1</x:v>
      </x:c>
    </x:row>
    <x:row r="3597">
      <x:c r="A3597" s="31">
        <x:v>42258</x:v>
      </x:c>
      <x:c r="B3597" s="32">
        <x:v>572.14</x:v>
      </x:c>
      <x:c r="C3597" s="32">
        <x:v>573.99</x:v>
      </x:c>
      <x:c r="D3597" s="32">
        <x:v>566.17999999999995</x:v>
      </x:c>
      <x:c r="E3597" s="32">
        <x:v>566.74</x:v>
      </x:c>
      <x:c r="F3597" s="33">
        <x:v>83304010</x:v>
      </x:c>
      <x:c r="G3597" s="32" t="n">
        <x:f t="shared" ref="G3597:G3660" si="159">AVERAGE(E3398:E3597)</x:f>
        <x:v>574.9316500000001</x:v>
      </x:c>
      <x:c r="H3597" s="37" t="n">
        <x:f t="shared" ref="H3597:H3660" si="160">IFERROR(E3597/G3597-1,"")</x:f>
        <x:v>-0.014248041484583585</x:v>
      </x:c>
      <x:c r="I3597" s="38" t="b">
        <x:f t="shared" ref="I3597:I3660" si="161">E3597&lt;G3597</x:f>
        <x:v>1</x:v>
      </x:c>
    </x:row>
    <x:row r="3598">
      <x:c r="A3598" s="31">
        <x:v>42261</x:v>
      </x:c>
      <x:c r="B3598" s="32">
        <x:v>569.21</x:v>
      </x:c>
      <x:c r="C3598" s="32">
        <x:v>572.25</x:v>
      </x:c>
      <x:c r="D3598" s="32">
        <x:v>561.46</x:v>
      </x:c>
      <x:c r="E3598" s="32">
        <x:v>562.16999999999996</x:v>
      </x:c>
      <x:c r="F3598" s="33">
        <x:v>73159920</x:v>
      </x:c>
      <x:c r="G3598" s="32" t="n">
        <x:f t="shared" si="159">AVERAGE(E3399:E3598)</x:f>
        <x:v>574.8007500000002</x:v>
      </x:c>
      <x:c r="H3598" s="37" t="n">
        <x:f t="shared" si="160">IFERROR(E3598/G3598-1,"")</x:f>
        <x:v>-0.021974136255041854</x:v>
      </x:c>
      <x:c r="I3598" s="38" t="b">
        <x:f t="shared" si="161">E3598&lt;G3598</x:f>
        <x:v>1</x:v>
      </x:c>
    </x:row>
    <x:row r="3599">
      <x:c r="A3599" s="31">
        <x:v>42262</x:v>
      </x:c>
      <x:c r="B3599" s="32">
        <x:v>562.16999999999996</x:v>
      </x:c>
      <x:c r="C3599" s="32">
        <x:v>565.04999999999995</x:v>
      </x:c>
      <x:c r="D3599" s="32">
        <x:v>561.1</x:v>
      </x:c>
      <x:c r="E3599" s="32">
        <x:v>563.27</x:v>
      </x:c>
      <x:c r="F3599" s="33">
        <x:v>75629990</x:v>
      </x:c>
      <x:c r="G3599" s="32" t="n">
        <x:f t="shared" si="159">AVERAGE(E3400:E3599)</x:f>
        <x:v>574.6505000000001</x:v>
      </x:c>
      <x:c r="H3599" s="37" t="n">
        <x:f t="shared" si="160">IFERROR(E3599/G3599-1,"")</x:f>
        <x:v>-0.019804211429382046</x:v>
      </x:c>
      <x:c r="I3599" s="38" t="b">
        <x:f t="shared" si="161">E3599&lt;G3599</x:f>
        <x:v>1</x:v>
      </x:c>
    </x:row>
    <x:row r="3600">
      <x:c r="A3600" s="31">
        <x:v>42263</x:v>
      </x:c>
      <x:c r="B3600" s="32">
        <x:v>561.86</x:v>
      </x:c>
      <x:c r="C3600" s="32">
        <x:v>564.82000000000005</x:v>
      </x:c>
      <x:c r="D3600" s="32">
        <x:v>561.69000000000005</x:v>
      </x:c>
      <x:c r="E3600" s="32">
        <x:v>564.13</x:v>
      </x:c>
      <x:c r="F3600" s="33">
        <x:v>62116570</x:v>
      </x:c>
      <x:c r="G3600" s="32" t="n">
        <x:f t="shared" si="159">AVERAGE(E3401:E3600)</x:f>
        <x:v>574.5310000000002</x:v>
      </x:c>
      <x:c r="H3600" s="37" t="n">
        <x:f t="shared" si="160">IFERROR(E3600/G3600-1,"")</x:f>
        <x:v>-0.01810346178013056</x:v>
      </x:c>
      <x:c r="I3600" s="38" t="b">
        <x:f t="shared" si="161">E3600&lt;G3600</x:f>
        <x:v>1</x:v>
      </x:c>
    </x:row>
    <x:row r="3601">
      <x:c r="A3601" s="31">
        <x:v>42264</x:v>
      </x:c>
      <x:c r="B3601" s="32">
        <x:v>563.92999999999995</x:v>
      </x:c>
      <x:c r="C3601" s="32">
        <x:v>565.85</x:v>
      </x:c>
      <x:c r="D3601" s="32">
        <x:v>562.48</x:v>
      </x:c>
      <x:c r="E3601" s="32">
        <x:v>562.48</x:v>
      </x:c>
      <x:c r="F3601" s="33">
        <x:v>69310470</x:v>
      </x:c>
      <x:c r="G3601" s="32" t="n">
        <x:f t="shared" si="159">AVERAGE(E3402:E3601)</x:f>
        <x:v>574.4307500000001</x:v>
      </x:c>
      <x:c r="H3601" s="37" t="n">
        <x:f t="shared" si="160">IFERROR(E3601/G3601-1,"")</x:f>
        <x:v>-0.020804509507891256</x:v>
      </x:c>
      <x:c r="I3601" s="38" t="b">
        <x:f t="shared" si="161">E3601&lt;G3601</x:f>
        <x:v>1</x:v>
      </x:c>
    </x:row>
    <x:row r="3602">
      <x:c r="A3602" s="31">
        <x:v>42265</x:v>
      </x:c>
      <x:c r="B3602" s="32">
        <x:v>564.69000000000005</x:v>
      </x:c>
      <x:c r="C3602" s="32">
        <x:v>569.5</x:v>
      </x:c>
      <x:c r="D3602" s="32">
        <x:v>562.48</x:v>
      </x:c>
      <x:c r="E3602" s="32">
        <x:v>566.25</x:v>
      </x:c>
      <x:c r="F3602" s="33">
        <x:v>146392000</x:v>
      </x:c>
      <x:c r="G3602" s="32" t="n">
        <x:f t="shared" si="159">AVERAGE(E3403:E3602)</x:f>
        <x:v>574.3324500000001</x:v>
      </x:c>
      <x:c r="H3602" s="37" t="n">
        <x:f t="shared" si="160">IFERROR(E3602/G3602-1,"")</x:f>
        <x:v>-0.01407277265980722</x:v>
      </x:c>
      <x:c r="I3602" s="38" t="b">
        <x:f t="shared" si="161">E3602&lt;G3602</x:f>
        <x:v>1</x:v>
      </x:c>
    </x:row>
    <x:row r="3603">
      <x:c r="A3603" s="31">
        <x:v>42268</x:v>
      </x:c>
      <x:c r="B3603" s="32">
        <x:v>566.74</x:v>
      </x:c>
      <x:c r="C3603" s="32">
        <x:v>572.26</x:v>
      </x:c>
      <x:c r="D3603" s="32">
        <x:v>565.16</x:v>
      </x:c>
      <x:c r="E3603" s="32">
        <x:v>572.12</x:v>
      </x:c>
      <x:c r="F3603" s="33">
        <x:v>85909480</x:v>
      </x:c>
      <x:c r="G3603" s="32" t="n">
        <x:f t="shared" si="159">AVERAGE(E3404:E3603)</x:f>
        <x:v>574.3128500000001</x:v>
      </x:c>
      <x:c r="H3603" s="37" t="n">
        <x:f t="shared" si="160">IFERROR(E3603/G3603-1,"")</x:f>
        <x:v>-0.003818215106975442</x:v>
      </x:c>
      <x:c r="I3603" s="38" t="b">
        <x:f t="shared" si="161">E3603&lt;G3603</x:f>
        <x:v>1</x:v>
      </x:c>
    </x:row>
    <x:row r="3604">
      <x:c r="A3604" s="31">
        <x:v>42269</x:v>
      </x:c>
      <x:c r="B3604" s="32">
        <x:v>573.09</x:v>
      </x:c>
      <x:c r="C3604" s="32">
        <x:v>575.16999999999996</x:v>
      </x:c>
      <x:c r="D3604" s="32">
        <x:v>570.26</x:v>
      </x:c>
      <x:c r="E3604" s="32">
        <x:v>573.20000000000005</x:v>
      </x:c>
      <x:c r="F3604" s="33">
        <x:v>93447420</x:v>
      </x:c>
      <x:c r="G3604" s="32" t="n">
        <x:f t="shared" si="159">AVERAGE(E3405:E3604)</x:f>
        <x:v>574.3144</x:v>
      </x:c>
      <x:c r="H3604" s="37" t="n">
        <x:f t="shared" si="160">IFERROR(E3604/G3604-1,"")</x:f>
        <x:v>-0.0019404005889456233</x:v>
      </x:c>
      <x:c r="I3604" s="38" t="b">
        <x:f t="shared" si="161">E3604&lt;G3604</x:f>
        <x:v>1</x:v>
      </x:c>
    </x:row>
    <x:row r="3605">
      <x:c r="A3605" s="31">
        <x:v>42270</x:v>
      </x:c>
      <x:c r="B3605" s="32">
        <x:v>570.64</x:v>
      </x:c>
      <x:c r="C3605" s="32">
        <x:v>573.85</x:v>
      </x:c>
      <x:c r="D3605" s="32">
        <x:v>569.51</x:v>
      </x:c>
      <x:c r="E3605" s="32">
        <x:v>572.72</x:v>
      </x:c>
      <x:c r="F3605" s="33">
        <x:v>83854560</x:v>
      </x:c>
      <x:c r="G3605" s="32" t="n">
        <x:f t="shared" si="159">AVERAGE(E3406:E3605)</x:f>
        <x:v>574.3451</x:v>
      </x:c>
      <x:c r="H3605" s="37" t="n">
        <x:f t="shared" si="160">IFERROR(E3605/G3605-1,"")</x:f>
        <x:v>-0.002829483528282828</x:v>
      </x:c>
      <x:c r="I3605" s="38" t="b">
        <x:f t="shared" si="161">E3605&lt;G3605</x:f>
        <x:v>1</x:v>
      </x:c>
    </x:row>
    <x:row r="3606">
      <x:c r="A3606" s="31">
        <x:v>42271</x:v>
      </x:c>
      <x:c r="B3606" s="32">
        <x:v>573.5</x:v>
      </x:c>
      <x:c r="C3606" s="32">
        <x:v>575.36</x:v>
      </x:c>
      <x:c r="D3606" s="32">
        <x:v>570.12</x:v>
      </x:c>
      <x:c r="E3606" s="32">
        <x:v>570.25</x:v>
      </x:c>
      <x:c r="F3606" s="33">
        <x:v>97457070</x:v>
      </x:c>
      <x:c r="G3606" s="32" t="n">
        <x:f t="shared" si="159">AVERAGE(E3407:E3606)</x:f>
        <x:v>574.3563000000001</x:v>
      </x:c>
      <x:c r="H3606" s="37" t="n">
        <x:f t="shared" si="160">IFERROR(E3606/G3606-1,"")</x:f>
        <x:v>-0.007149394896513117</x:v>
      </x:c>
      <x:c r="I3606" s="38" t="b">
        <x:f t="shared" si="161">E3606&lt;G3606</x:f>
        <x:v>1</x:v>
      </x:c>
    </x:row>
    <x:row r="3607">
      <x:c r="A3607" s="31">
        <x:v>42272</x:v>
      </x:c>
      <x:c r="B3607" s="32">
        <x:v>570.41</x:v>
      </x:c>
      <x:c r="C3607" s="32">
        <x:v>572.09</x:v>
      </x:c>
      <x:c r="D3607" s="32">
        <x:v>567.71</x:v>
      </x:c>
      <x:c r="E3607" s="32">
        <x:v>570.38</x:v>
      </x:c>
      <x:c r="F3607" s="33">
        <x:v>64206160</x:v>
      </x:c>
      <x:c r="G3607" s="32" t="n">
        <x:f t="shared" si="159">AVERAGE(E3408:E3607)</x:f>
        <x:v>574.3610500000001</x:v>
      </x:c>
      <x:c r="H3607" s="37" t="n">
        <x:f t="shared" si="160">IFERROR(E3607/G3607-1,"")</x:f>
        <x:v>-0.006931267362228155</x:v>
      </x:c>
      <x:c r="I3607" s="38" t="b">
        <x:f t="shared" si="161">E3607&lt;G3607</x:f>
        <x:v>1</x:v>
      </x:c>
    </x:row>
    <x:row r="3608">
      <x:c r="A3608" s="31">
        <x:v>42275</x:v>
      </x:c>
      <x:c r="B3608" s="32">
        <x:v>571.29</x:v>
      </x:c>
      <x:c r="C3608" s="32">
        <x:v>572.15</x:v>
      </x:c>
      <x:c r="D3608" s="32">
        <x:v>564.88</x:v>
      </x:c>
      <x:c r="E3608" s="32">
        <x:v>564.88</x:v>
      </x:c>
      <x:c r="F3608" s="33">
        <x:v>75292380</x:v>
      </x:c>
      <x:c r="G3608" s="32" t="n">
        <x:f t="shared" si="159">AVERAGE(E3409:E3608)</x:f>
        <x:v>574.3110500000001</x:v>
      </x:c>
      <x:c r="H3608" s="37" t="n">
        <x:f t="shared" si="160">IFERROR(E3608/G3608-1,"")</x:f>
        <x:v>-0.01642150190214886</x:v>
      </x:c>
      <x:c r="I3608" s="38" t="b">
        <x:f t="shared" si="161">E3608&lt;G3608</x:f>
        <x:v>1</x:v>
      </x:c>
    </x:row>
    <x:row r="3609">
      <x:c r="A3609" s="31">
        <x:v>42276</x:v>
      </x:c>
      <x:c r="B3609" s="32">
        <x:v>559.83000000000004</x:v>
      </x:c>
      <x:c r="C3609" s="32">
        <x:v>564.88</x:v>
      </x:c>
      <x:c r="D3609" s="32">
        <x:v>557.65</x:v>
      </x:c>
      <x:c r="E3609" s="32">
        <x:v>561.19000000000005</x:v>
      </x:c>
      <x:c r="F3609" s="33">
        <x:v>81325500</x:v>
      </x:c>
      <x:c r="G3609" s="32" t="n">
        <x:f t="shared" si="159">AVERAGE(E3410:E3609)</x:f>
        <x:v>574.2251000000001</x:v>
      </x:c>
      <x:c r="H3609" s="37" t="n">
        <x:f t="shared" si="160">IFERROR(E3609/G3609-1,"")</x:f>
        <x:v>-0.02270033128123461</x:v>
      </x:c>
      <x:c r="I3609" s="38" t="b">
        <x:f t="shared" si="161">E3609&lt;G3609</x:f>
        <x:v>1</x:v>
      </x:c>
    </x:row>
    <x:row r="3610">
      <x:c r="A3610" s="31">
        <x:v>42277</x:v>
      </x:c>
      <x:c r="B3610" s="32">
        <x:v>562.5</x:v>
      </x:c>
      <x:c r="C3610" s="32">
        <x:v>565.65</x:v>
      </x:c>
      <x:c r="D3610" s="32">
        <x:v>561.19000000000005</x:v>
      </x:c>
      <x:c r="E3610" s="32">
        <x:v>562.64</x:v>
      </x:c>
      <x:c r="F3610" s="33">
        <x:v>65873320</x:v>
      </x:c>
      <x:c r="G3610" s="32" t="n">
        <x:f t="shared" si="159">AVERAGE(E3411:E3610)</x:f>
        <x:v>574.1445000000001</x:v>
      </x:c>
      <x:c r="H3610" s="37" t="n">
        <x:f t="shared" si="160">IFERROR(E3610/G3610-1,"")</x:f>
        <x:v>-0.020037638608399355</x:v>
      </x:c>
      <x:c r="I3610" s="38" t="b">
        <x:f t="shared" si="161">E3610&lt;G3610</x:f>
        <x:v>1</x:v>
      </x:c>
    </x:row>
    <x:row r="3611">
      <x:c r="A3611" s="31">
        <x:v>42278</x:v>
      </x:c>
      <x:c r="B3611" s="32">
        <x:v>563.39</x:v>
      </x:c>
      <x:c r="C3611" s="32">
        <x:v>565.63</x:v>
      </x:c>
      <x:c r="D3611" s="32">
        <x:v>562.64</x:v>
      </x:c>
      <x:c r="E3611" s="32">
        <x:v>563.54</x:v>
      </x:c>
      <x:c r="F3611" s="33">
        <x:v>59579580</x:v>
      </x:c>
      <x:c r="G3611" s="32" t="n">
        <x:f t="shared" si="159">AVERAGE(E3412:E3611)</x:f>
        <x:v>574.1038000000001</x:v>
      </x:c>
      <x:c r="H3611" s="37" t="n">
        <x:f t="shared" si="160">IFERROR(E3611/G3611-1,"")</x:f>
        <x:v>-0.018400505274481893</x:v>
      </x:c>
      <x:c r="I3611" s="38" t="b">
        <x:f t="shared" si="161">E3611&lt;G3611</x:f>
        <x:v>1</x:v>
      </x:c>
    </x:row>
    <x:row r="3612">
      <x:c r="A3612" s="31">
        <x:v>42279</x:v>
      </x:c>
      <x:c r="B3612" s="32">
        <x:v>563.33000000000004</x:v>
      </x:c>
      <x:c r="C3612" s="32">
        <x:v>565.01</x:v>
      </x:c>
      <x:c r="D3612" s="32">
        <x:v>561.73</x:v>
      </x:c>
      <x:c r="E3612" s="32">
        <x:v>562.30999999999995</x:v>
      </x:c>
      <x:c r="F3612" s="33">
        <x:v>68185740</x:v>
      </x:c>
      <x:c r="G3612" s="32" t="n">
        <x:f t="shared" si="159">AVERAGE(E3413:E3612)</x:f>
        <x:v>574.1388</x:v>
      </x:c>
      <x:c r="H3612" s="37" t="n">
        <x:f t="shared" si="160">IFERROR(E3612/G3612-1,"")</x:f>
        <x:v>-0.02060268353227479</x:v>
      </x:c>
      <x:c r="I3612" s="38" t="b">
        <x:f t="shared" si="161">E3612&lt;G3612</x:f>
        <x:v>1</x:v>
      </x:c>
    </x:row>
    <x:row r="3613">
      <x:c r="A3613" s="31">
        <x:v>42282</x:v>
      </x:c>
      <x:c r="B3613" s="32">
        <x:v>564.58000000000004</x:v>
      </x:c>
      <x:c r="C3613" s="32">
        <x:v>570</x:v>
      </x:c>
      <x:c r="D3613" s="32">
        <x:v>563.95000000000005</x:v>
      </x:c>
      <x:c r="E3613" s="32">
        <x:v>570</x:v>
      </x:c>
      <x:c r="F3613" s="33">
        <x:v>90475450</x:v>
      </x:c>
      <x:c r="G3613" s="32" t="n">
        <x:f t="shared" si="159">AVERAGE(E3414:E3613)</x:f>
        <x:v>574.20285</x:v>
      </x:c>
      <x:c r="H3613" s="37" t="n">
        <x:f t="shared" si="160">IFERROR(E3613/G3613-1,"")</x:f>
        <x:v>-0.007319451653714393</x:v>
      </x:c>
      <x:c r="I3613" s="38" t="b">
        <x:f t="shared" si="161">E3613&lt;G3613</x:f>
        <x:v>1</x:v>
      </x:c>
    </x:row>
    <x:row r="3614">
      <x:c r="A3614" s="31">
        <x:v>42283</x:v>
      </x:c>
      <x:c r="B3614" s="32">
        <x:v>577.45000000000005</x:v>
      </x:c>
      <x:c r="C3614" s="32">
        <x:v>581.38</x:v>
      </x:c>
      <x:c r="D3614" s="32">
        <x:v>570</x:v>
      </x:c>
      <x:c r="E3614" s="32">
        <x:v>581.29</x:v>
      </x:c>
      <x:c r="F3614" s="33">
        <x:v>151905450</x:v>
      </x:c>
      <x:c r="G3614" s="32" t="n">
        <x:f t="shared" si="159">AVERAGE(E3415:E3614)</x:f>
        <x:v>574.35875</x:v>
      </x:c>
      <x:c r="H3614" s="37" t="n">
        <x:f t="shared" si="160">IFERROR(E3614/G3614-1,"")</x:f>
        <x:v>0.0120678060532724</x:v>
      </x:c>
      <x:c r="I3614" s="38" t="b">
        <x:f t="shared" si="161">E3614&lt;G3614</x:f>
        <x:v>0</x:v>
      </x:c>
    </x:row>
    <x:row r="3615">
      <x:c r="A3615" s="31">
        <x:v>42284</x:v>
      </x:c>
      <x:c r="B3615" s="32">
        <x:v>583.97</x:v>
      </x:c>
      <x:c r="C3615" s="32">
        <x:v>587.29999999999995</x:v>
      </x:c>
      <x:c r="D3615" s="32">
        <x:v>579.57000000000005</x:v>
      </x:c>
      <x:c r="E3615" s="32">
        <x:v>579.57000000000005</x:v>
      </x:c>
      <x:c r="F3615" s="33">
        <x:v>132503590</x:v>
      </x:c>
      <x:c r="G3615" s="32" t="n">
        <x:f t="shared" si="159">AVERAGE(E3416:E3615)</x:f>
        <x:v>574.48695</x:v>
      </x:c>
      <x:c r="H3615" s="37" t="n">
        <x:f t="shared" si="160">IFERROR(E3615/G3615-1,"")</x:f>
        <x:v>0.008847981664335647</x:v>
      </x:c>
      <x:c r="I3615" s="38" t="b">
        <x:f t="shared" si="161">E3615&lt;G3615</x:f>
        <x:v>0</x:v>
      </x:c>
    </x:row>
    <x:row r="3616">
      <x:c r="A3616" s="31">
        <x:v>42285</x:v>
      </x:c>
      <x:c r="B3616" s="32">
        <x:v>580.04</x:v>
      </x:c>
      <x:c r="C3616" s="32">
        <x:v>588.35</x:v>
      </x:c>
      <x:c r="D3616" s="32">
        <x:v>579.57000000000005</x:v>
      </x:c>
      <x:c r="E3616" s="32">
        <x:v>586.78</x:v>
      </x:c>
      <x:c r="F3616" s="33">
        <x:v>143545640</x:v>
      </x:c>
      <x:c r="G3616" s="32" t="n">
        <x:f t="shared" si="159">AVERAGE(E3417:E3616)</x:f>
        <x:v>574.6812</x:v>
      </x:c>
      <x:c r="H3616" s="37" t="n">
        <x:f t="shared" si="160">IFERROR(E3616/G3616-1,"")</x:f>
        <x:v>0.021053063855229537</x:v>
      </x:c>
      <x:c r="I3616" s="38" t="b">
        <x:f t="shared" si="161">E3616&lt;G3616</x:f>
        <x:v>0</x:v>
      </x:c>
    </x:row>
    <x:row r="3617">
      <x:c r="A3617" s="31">
        <x:v>42286</x:v>
      </x:c>
      <x:c r="B3617" s="32">
        <x:v>590.91</x:v>
      </x:c>
      <x:c r="C3617" s="32">
        <x:v>593.02</x:v>
      </x:c>
      <x:c r="D3617" s="32">
        <x:v>586.78</x:v>
      </x:c>
      <x:c r="E3617" s="32">
        <x:v>588.02</x:v>
      </x:c>
      <x:c r="F3617" s="33">
        <x:v>147844670</x:v>
      </x:c>
      <x:c r="G3617" s="32" t="n">
        <x:f t="shared" si="159">AVERAGE(E3418:E3617)</x:f>
        <x:v>574.9456</x:v>
      </x:c>
      <x:c r="H3617" s="37" t="n">
        <x:f t="shared" si="160">IFERROR(E3617/G3617-1,"")</x:f>
        <x:v>0.022740238380813738</x:v>
      </x:c>
      <x:c r="I3617" s="38" t="b">
        <x:f t="shared" si="161">E3617&lt;G3617</x:f>
        <x:v>0</x:v>
      </x:c>
    </x:row>
    <x:row r="3618">
      <x:c r="A3618" s="31">
        <x:v>42289</x:v>
      </x:c>
      <x:c r="B3618" s="32">
        <x:v>587.72</x:v>
      </x:c>
      <x:c r="C3618" s="32">
        <x:v>594.74</x:v>
      </x:c>
      <x:c r="D3618" s="32">
        <x:v>587.25</x:v>
      </x:c>
      <x:c r="E3618" s="32">
        <x:v>592.1</x:v>
      </x:c>
      <x:c r="F3618" s="33">
        <x:v>114261810</x:v>
      </x:c>
      <x:c r="G3618" s="32" t="n">
        <x:f t="shared" si="159">AVERAGE(E3419:E3618)</x:f>
        <x:v>575.315</x:v>
      </x:c>
      <x:c r="H3618" s="37" t="n">
        <x:f t="shared" si="160">IFERROR(E3618/G3618-1,"")</x:f>
        <x:v>0.029175321345697558</x:v>
      </x:c>
      <x:c r="I3618" s="38" t="b">
        <x:f t="shared" si="161">E3618&lt;G3618</x:f>
        <x:v>0</x:v>
      </x:c>
    </x:row>
    <x:row r="3619">
      <x:c r="A3619" s="31">
        <x:v>42290</x:v>
      </x:c>
      <x:c r="B3619" s="32">
        <x:v>589.09</x:v>
      </x:c>
      <x:c r="C3619" s="32">
        <x:v>592.1</x:v>
      </x:c>
      <x:c r="D3619" s="32">
        <x:v>588.54</x:v>
      </x:c>
      <x:c r="E3619" s="32">
        <x:v>590.84</x:v>
      </x:c>
      <x:c r="F3619" s="33">
        <x:v>101884610</x:v>
      </x:c>
      <x:c r="G3619" s="32" t="n">
        <x:f t="shared" si="159">AVERAGE(E3420:E3619)</x:f>
        <x:v>575.6269500000001</x:v>
      </x:c>
      <x:c r="H3619" s="37" t="n">
        <x:f t="shared" si="160">IFERROR(E3619/G3619-1,"")</x:f>
        <x:v>0.02642866182690007</x:v>
      </x:c>
      <x:c r="I3619" s="38" t="b">
        <x:f t="shared" si="161">E3619&lt;G3619</x:f>
        <x:v>0</x:v>
      </x:c>
    </x:row>
    <x:row r="3620">
      <x:c r="A3620" s="31">
        <x:v>42291</x:v>
      </x:c>
      <x:c r="B3620" s="32">
        <x:v>592.45000000000005</x:v>
      </x:c>
      <x:c r="C3620" s="32">
        <x:v>593.73</x:v>
      </x:c>
      <x:c r="D3620" s="32">
        <x:v>589.62</x:v>
      </x:c>
      <x:c r="E3620" s="32">
        <x:v>589.98</x:v>
      </x:c>
      <x:c r="F3620" s="33">
        <x:v>102671940</x:v>
      </x:c>
      <x:c r="G3620" s="32" t="n">
        <x:f t="shared" si="159">AVERAGE(E3421:E3620)</x:f>
        <x:v>575.9614</x:v>
      </x:c>
      <x:c r="H3620" s="37" t="n">
        <x:f t="shared" si="160">IFERROR(E3620/G3620-1,"")</x:f>
        <x:v>0.02433947830531702</x:v>
      </x:c>
      <x:c r="I3620" s="38" t="b">
        <x:f t="shared" si="161">E3620&lt;G3620</x:f>
        <x:v>0</x:v>
      </x:c>
    </x:row>
    <x:row r="3621">
      <x:c r="A3621" s="31">
        <x:v>42292</x:v>
      </x:c>
      <x:c r="B3621" s="32">
        <x:v>591.36</x:v>
      </x:c>
      <x:c r="C3621" s="32">
        <x:v>594.16999999999996</x:v>
      </x:c>
      <x:c r="D3621" s="32">
        <x:v>588.98</x:v>
      </x:c>
      <x:c r="E3621" s="32">
        <x:v>592.4</x:v>
      </x:c>
      <x:c r="F3621" s="33">
        <x:v>104752740</x:v>
      </x:c>
      <x:c r="G3621" s="32" t="n">
        <x:f t="shared" si="159">AVERAGE(E3422:E3621)</x:f>
        <x:v>576.2357</x:v>
      </x:c>
      <x:c r="H3621" s="37" t="n">
        <x:f t="shared" si="160">IFERROR(E3621/G3621-1,"")</x:f>
        <x:v>0.028051542103344262</x:v>
      </x:c>
      <x:c r="I3621" s="38" t="b">
        <x:f t="shared" si="161">E3621&lt;G3621</x:f>
        <x:v>0</x:v>
      </x:c>
    </x:row>
    <x:row r="3622">
      <x:c r="A3622" s="31">
        <x:v>42293</x:v>
      </x:c>
      <x:c r="B3622" s="32">
        <x:v>592.4</x:v>
      </x:c>
      <x:c r="C3622" s="32">
        <x:v>599.74</x:v>
      </x:c>
      <x:c r="D3622" s="32">
        <x:v>592.4</x:v>
      </x:c>
      <x:c r="E3622" s="32">
        <x:v>593.02</x:v>
      </x:c>
      <x:c r="F3622" s="33">
        <x:v>126451760</x:v>
      </x:c>
      <x:c r="G3622" s="32" t="n">
        <x:f t="shared" si="159">AVERAGE(E3423:E3622)</x:f>
        <x:v>576.5114</x:v>
      </x:c>
      <x:c r="H3622" s="37" t="n">
        <x:f t="shared" si="160">IFERROR(E3622/G3622-1,"")</x:f>
        <x:v>0.028635340081739846</x:v>
      </x:c>
      <x:c r="I3622" s="38" t="b">
        <x:f t="shared" si="161">E3622&lt;G3622</x:f>
        <x:v>0</x:v>
      </x:c>
    </x:row>
    <x:row r="3623">
      <x:c r="A3623" s="31">
        <x:v>42296</x:v>
      </x:c>
      <x:c r="B3623" s="32">
        <x:v>593.87</x:v>
      </x:c>
      <x:c r="C3623" s="32">
        <x:v>598.11</x:v>
      </x:c>
      <x:c r="D3623" s="32">
        <x:v>591.6</x:v>
      </x:c>
      <x:c r="E3623" s="32">
        <x:v>594.61</x:v>
      </x:c>
      <x:c r="F3623" s="33">
        <x:v>98680460</x:v>
      </x:c>
      <x:c r="G3623" s="32" t="n">
        <x:f t="shared" si="159">AVERAGE(E3424:E3623)</x:f>
        <x:v>576.78725</x:v>
      </x:c>
      <x:c r="H3623" s="37" t="n">
        <x:f t="shared" si="160">IFERROR(E3623/G3623-1,"")</x:f>
        <x:v>0.030900041566452874</x:v>
      </x:c>
      <x:c r="I3623" s="38" t="b">
        <x:f t="shared" si="161">E3623&lt;G3623</x:f>
        <x:v>0</x:v>
      </x:c>
    </x:row>
    <x:row r="3624">
      <x:c r="A3624" s="31">
        <x:v>42297</x:v>
      </x:c>
      <x:c r="B3624" s="32">
        <x:v>594.97</x:v>
      </x:c>
      <x:c r="C3624" s="32">
        <x:v>596.37</x:v>
      </x:c>
      <x:c r="D3624" s="32">
        <x:v>588.26</x:v>
      </x:c>
      <x:c r="E3624" s="32">
        <x:v>590.45000000000005</x:v>
      </x:c>
      <x:c r="F3624" s="33">
        <x:v>118292310</x:v>
      </x:c>
      <x:c r="G3624" s="32" t="n">
        <x:f t="shared" si="159">AVERAGE(E3425:E3624)</x:f>
        <x:v>577.07945</x:v>
      </x:c>
      <x:c r="H3624" s="37" t="n">
        <x:f t="shared" si="160">IFERROR(E3624/G3624-1,"")</x:f>
        <x:v>0.023169340027616725</x:v>
      </x:c>
      <x:c r="I3624" s="38" t="b">
        <x:f t="shared" si="161">E3624&lt;G3624</x:f>
        <x:v>0</x:v>
      </x:c>
    </x:row>
    <x:row r="3625">
      <x:c r="A3625" s="31">
        <x:v>42298</x:v>
      </x:c>
      <x:c r="B3625" s="32">
        <x:v>590.42999999999995</x:v>
      </x:c>
      <x:c r="C3625" s="32">
        <x:v>594.5</x:v>
      </x:c>
      <x:c r="D3625" s="32">
        <x:v>589.84</x:v>
      </x:c>
      <x:c r="E3625" s="32">
        <x:v>590.24</x:v>
      </x:c>
      <x:c r="F3625" s="33">
        <x:v>91811440</x:v>
      </x:c>
      <x:c r="G3625" s="32" t="n">
        <x:f t="shared" si="159">AVERAGE(E3426:E3625)</x:f>
        <x:v>577.3638</x:v>
      </x:c>
      <x:c r="H3625" s="37" t="n">
        <x:f t="shared" si="160">IFERROR(E3625/G3625-1,"")</x:f>
        <x:v>0.022301709944406056</x:v>
      </x:c>
      <x:c r="I3625" s="38" t="b">
        <x:f t="shared" si="161">E3625&lt;G3625</x:f>
        <x:v>0</x:v>
      </x:c>
    </x:row>
    <x:row r="3626">
      <x:c r="A3626" s="31">
        <x:v>42299</x:v>
      </x:c>
      <x:c r="B3626" s="32">
        <x:v>590.24</x:v>
      </x:c>
      <x:c r="C3626" s="32">
        <x:v>595.80999999999995</x:v>
      </x:c>
      <x:c r="D3626" s="32">
        <x:v>589.74</x:v>
      </x:c>
      <x:c r="E3626" s="32">
        <x:v>595.08000000000004</x:v>
      </x:c>
      <x:c r="F3626" s="33">
        <x:v>88520580</x:v>
      </x:c>
      <x:c r="G3626" s="32" t="n">
        <x:f t="shared" si="159">AVERAGE(E3427:E3626)</x:f>
        <x:v>577.6757999999999</x:v>
      </x:c>
      <x:c r="H3626" s="37" t="n">
        <x:f t="shared" si="160">IFERROR(E3626/G3626-1,"")</x:f>
        <x:v>0.03012797143311219</x:v>
      </x:c>
      <x:c r="I3626" s="38" t="b">
        <x:f t="shared" si="161">E3626&lt;G3626</x:f>
        <x:v>0</x:v>
      </x:c>
    </x:row>
    <x:row r="3627">
      <x:c r="A3627" s="31">
        <x:v>42300</x:v>
      </x:c>
      <x:c r="B3627" s="32">
        <x:v>598.54999999999995</x:v>
      </x:c>
      <x:c r="C3627" s="32">
        <x:v>602.54999999999995</x:v>
      </x:c>
      <x:c r="D3627" s="32">
        <x:v>595.08000000000004</x:v>
      </x:c>
      <x:c r="E3627" s="32">
        <x:v>601.74</x:v>
      </x:c>
      <x:c r="F3627" s="33">
        <x:v>96230820</x:v>
      </x:c>
      <x:c r="G3627" s="32" t="n">
        <x:f t="shared" si="159">AVERAGE(E3428:E3627)</x:f>
        <x:v>577.9966499999999</x:v>
      </x:c>
      <x:c r="H3627" s="37" t="n">
        <x:f t="shared" si="160">IFERROR(E3627/G3627-1,"")</x:f>
        <x:v>0.04107869829349364</x:v>
      </x:c>
      <x:c r="I3627" s="38" t="b">
        <x:f t="shared" si="161">E3627&lt;G3627</x:f>
        <x:v>0</x:v>
      </x:c>
    </x:row>
    <x:row r="3628">
      <x:c r="A3628" s="31">
        <x:v>42303</x:v>
      </x:c>
      <x:c r="B3628" s="32">
        <x:v>604.41</x:v>
      </x:c>
      <x:c r="C3628" s="32">
        <x:v>606.79</x:v>
      </x:c>
      <x:c r="D3628" s="32">
        <x:v>598.61</x:v>
      </x:c>
      <x:c r="E3628" s="32">
        <x:v>598.61</x:v>
      </x:c>
      <x:c r="F3628" s="33">
        <x:v>92720180</x:v>
      </x:c>
      <x:c r="G3628" s="32" t="n">
        <x:f t="shared" si="159">AVERAGE(E3429:E3628)</x:f>
        <x:v>578.2615499999999</x:v>
      </x:c>
      <x:c r="H3628" s="37" t="n">
        <x:f t="shared" si="160">IFERROR(E3628/G3628-1,"")</x:f>
        <x:v>0.035189007465566524</x:v>
      </x:c>
      <x:c r="I3628" s="38" t="b">
        <x:f t="shared" si="161">E3628&lt;G3628</x:f>
        <x:v>0</x:v>
      </x:c>
    </x:row>
    <x:row r="3629">
      <x:c r="A3629" s="31">
        <x:v>42304</x:v>
      </x:c>
      <x:c r="B3629" s="32">
        <x:v>597.79999999999995</x:v>
      </x:c>
      <x:c r="C3629" s="32">
        <x:v>600.51</x:v>
      </x:c>
      <x:c r="D3629" s="32">
        <x:v>595.62</x:v>
      </x:c>
      <x:c r="E3629" s="32">
        <x:v>598.44000000000005</x:v>
      </x:c>
      <x:c r="F3629" s="33">
        <x:v>88083740</x:v>
      </x:c>
      <x:c r="G3629" s="32" t="n">
        <x:f t="shared" si="159">AVERAGE(E3430:E3629)</x:f>
        <x:v>578.5314999999999</x:v>
      </x:c>
      <x:c r="H3629" s="37" t="n">
        <x:f t="shared" si="160">IFERROR(E3629/G3629-1,"")</x:f>
        <x:v>0.034412127948089566</x:v>
      </x:c>
      <x:c r="I3629" s="38" t="b">
        <x:f t="shared" si="161">E3629&lt;G3629</x:f>
        <x:v>0</x:v>
      </x:c>
    </x:row>
    <x:row r="3630">
      <x:c r="A3630" s="31">
        <x:v>42305</x:v>
      </x:c>
      <x:c r="B3630" s="32">
        <x:v>599.09</x:v>
      </x:c>
      <x:c r="C3630" s="32">
        <x:v>601.09</x:v>
      </x:c>
      <x:c r="D3630" s="32">
        <x:v>596.24</x:v>
      </x:c>
      <x:c r="E3630" s="32">
        <x:v>596.24</x:v>
      </x:c>
      <x:c r="F3630" s="33">
        <x:v>104906030</x:v>
      </x:c>
      <x:c r="G3630" s="32" t="n">
        <x:f t="shared" si="159">AVERAGE(E3431:E3630)</x:f>
        <x:v>578.7643999999999</x:v>
      </x:c>
      <x:c r="H3630" s="37" t="n">
        <x:f t="shared" si="160">IFERROR(E3630/G3630-1,"")</x:f>
        <x:v>0.030194669886399517</x:v>
      </x:c>
      <x:c r="I3630" s="38" t="b">
        <x:f t="shared" si="161">E3630&lt;G3630</x:f>
        <x:v>0</x:v>
      </x:c>
    </x:row>
    <x:row r="3631">
      <x:c r="A3631" s="31">
        <x:v>42306</x:v>
      </x:c>
      <x:c r="B3631" s="32">
        <x:v>599.32000000000005</x:v>
      </x:c>
      <x:c r="C3631" s="32">
        <x:v>605.20000000000005</x:v>
      </x:c>
      <x:c r="D3631" s="32">
        <x:v>596.24</x:v>
      </x:c>
      <x:c r="E3631" s="32">
        <x:v>605.20000000000005</x:v>
      </x:c>
      <x:c r="F3631" s="33">
        <x:v>99041850</x:v>
      </x:c>
      <x:c r="G3631" s="32" t="n">
        <x:f t="shared" si="159">AVERAGE(E3432:E3631)</x:f>
        <x:v>579.03015</x:v>
      </x:c>
      <x:c r="H3631" s="37" t="n">
        <x:f t="shared" si="160">IFERROR(E3631/G3631-1,"")</x:f>
        <x:v>0.04519600576930238</x:v>
      </x:c>
      <x:c r="I3631" s="38" t="b">
        <x:f t="shared" si="161">E3631&lt;G3631</x:f>
        <x:v>0</x:v>
      </x:c>
    </x:row>
    <x:row r="3632">
      <x:c r="A3632" s="31">
        <x:v>42307</x:v>
      </x:c>
      <x:c r="B3632" s="32">
        <x:v>605.49</x:v>
      </x:c>
      <x:c r="C3632" s="32">
        <x:v>608.01</x:v>
      </x:c>
      <x:c r="D3632" s="32">
        <x:v>603.92999999999995</x:v>
      </x:c>
      <x:c r="E3632" s="32">
        <x:v>607.37</x:v>
      </x:c>
      <x:c r="F3632" s="33">
        <x:v>82752600</x:v>
      </x:c>
      <x:c r="G3632" s="32" t="n">
        <x:f t="shared" si="159">AVERAGE(E3433:E3632)</x:f>
        <x:v>579.2996499999999</x:v>
      </x:c>
      <x:c r="H3632" s="37" t="n">
        <x:f t="shared" si="160">IFERROR(E3632/G3632-1,"")</x:f>
        <x:v>0.04845566538837032</x:v>
      </x:c>
      <x:c r="I3632" s="38" t="b">
        <x:f t="shared" si="161">E3632&lt;G3632</x:f>
        <x:v>0</x:v>
      </x:c>
    </x:row>
    <x:row r="3633">
      <x:c r="A3633" s="31">
        <x:v>42310</x:v>
      </x:c>
      <x:c r="B3633" s="32">
        <x:v>607.92999999999995</x:v>
      </x:c>
      <x:c r="C3633" s="32">
        <x:v>610.16999999999996</x:v>
      </x:c>
      <x:c r="D3633" s="32">
        <x:v>601.99</x:v>
      </x:c>
      <x:c r="E3633" s="32">
        <x:v>602.76</x:v>
      </x:c>
      <x:c r="F3633" s="33">
        <x:v>112292820</x:v>
      </x:c>
      <x:c r="G3633" s="32" t="n">
        <x:f t="shared" si="159">AVERAGE(E3434:E3633)</x:f>
        <x:v>579.4648</x:v>
      </x:c>
      <x:c r="H3633" s="37" t="n">
        <x:f t="shared" si="160">IFERROR(E3633/G3633-1,"")</x:f>
        <x:v>0.0402012339662392</x:v>
      </x:c>
      <x:c r="I3633" s="38" t="b">
        <x:f t="shared" si="161">E3633&lt;G3633</x:f>
        <x:v>0</x:v>
      </x:c>
    </x:row>
    <x:row r="3634">
      <x:c r="A3634" s="31">
        <x:v>42311</x:v>
      </x:c>
      <x:c r="B3634" s="32">
        <x:v>605.32000000000005</x:v>
      </x:c>
      <x:c r="C3634" s="32">
        <x:v>611.71</x:v>
      </x:c>
      <x:c r="D3634" s="32">
        <x:v>600.46</x:v>
      </x:c>
      <x:c r="E3634" s="32">
        <x:v>611.71</x:v>
      </x:c>
      <x:c r="F3634" s="33">
        <x:v>103782570</x:v>
      </x:c>
      <x:c r="G3634" s="32" t="n">
        <x:f t="shared" si="159">AVERAGE(E3435:E3634)</x:f>
        <x:v>579.65175</x:v>
      </x:c>
      <x:c r="H3634" s="37" t="n">
        <x:f t="shared" si="160">IFERROR(E3634/G3634-1,"")</x:f>
        <x:v>0.05530605229778063</x:v>
      </x:c>
      <x:c r="I3634" s="38" t="b">
        <x:f t="shared" si="161">E3634&lt;G3634</x:f>
        <x:v>0</x:v>
      </x:c>
    </x:row>
    <x:row r="3635">
      <x:c r="A3635" s="31">
        <x:v>42312</x:v>
      </x:c>
      <x:c r="B3635" s="32">
        <x:v>614.29</x:v>
      </x:c>
      <x:c r="C3635" s="32">
        <x:v>617.92999999999995</x:v>
      </x:c>
      <x:c r="D3635" s="32">
        <x:v>610.6</x:v>
      </x:c>
      <x:c r="E3635" s="32">
        <x:v>610.6</x:v>
      </x:c>
      <x:c r="F3635" s="33">
        <x:v>97491500</x:v>
      </x:c>
      <x:c r="G3635" s="32" t="n">
        <x:f t="shared" si="159">AVERAGE(E3436:E3635)</x:f>
        <x:v>579.80175</x:v>
      </x:c>
      <x:c r="H3635" s="37" t="n">
        <x:f t="shared" si="160">IFERROR(E3635/G3635-1,"")</x:f>
        <x:v>0.05311858751719889</x:v>
      </x:c>
      <x:c r="I3635" s="38" t="b">
        <x:f t="shared" si="161">E3635&lt;G3635</x:f>
        <x:v>0</x:v>
      </x:c>
    </x:row>
    <x:row r="3636">
      <x:c r="A3636" s="31">
        <x:v>42313</x:v>
      </x:c>
      <x:c r="B3636" s="32">
        <x:v>609.49</x:v>
      </x:c>
      <x:c r="C3636" s="32">
        <x:v>616.46</x:v>
      </x:c>
      <x:c r="D3636" s="32">
        <x:v>608.53</x:v>
      </x:c>
      <x:c r="E3636" s="32">
        <x:v>615.17999999999995</x:v>
      </x:c>
      <x:c r="F3636" s="33">
        <x:v>90953470</x:v>
      </x:c>
      <x:c r="G3636" s="32" t="n">
        <x:f t="shared" si="159">AVERAGE(E3437:E3636)</x:f>
        <x:v>579.9925999999999</x:v>
      </x:c>
      <x:c r="H3636" s="37" t="n">
        <x:f t="shared" si="160">IFERROR(E3636/G3636-1,"")</x:f>
        <x:v>0.06066870508347866</x:v>
      </x:c>
      <x:c r="I3636" s="38" t="b">
        <x:f t="shared" si="161">E3636&lt;G3636</x:f>
        <x:v>0</x:v>
      </x:c>
    </x:row>
    <x:row r="3637">
      <x:c r="A3637" s="31">
        <x:v>42314</x:v>
      </x:c>
      <x:c r="B3637" s="32">
        <x:v>615.54</x:v>
      </x:c>
      <x:c r="C3637" s="32">
        <x:v>617.79</x:v>
      </x:c>
      <x:c r="D3637" s="32">
        <x:v>608.89</x:v>
      </x:c>
      <x:c r="E3637" s="32">
        <x:v>612.36</x:v>
      </x:c>
      <x:c r="F3637" s="33">
        <x:v>103653710</x:v>
      </x:c>
      <x:c r="G3637" s="32" t="n">
        <x:f t="shared" si="159">AVERAGE(E3438:E3637)</x:f>
        <x:v>580.1656999999999</x:v>
      </x:c>
      <x:c r="H3637" s="37" t="n">
        <x:f t="shared" si="160">IFERROR(E3637/G3637-1,"")</x:f>
        <x:v>0.055491560428339914</x:v>
      </x:c>
      <x:c r="I3637" s="38" t="b">
        <x:f t="shared" si="161">E3637&lt;G3637</x:f>
        <x:v>0</x:v>
      </x:c>
    </x:row>
    <x:row r="3638">
      <x:c r="A3638" s="31">
        <x:v>42317</x:v>
      </x:c>
      <x:c r="B3638" s="32">
        <x:v>612.29</x:v>
      </x:c>
      <x:c r="C3638" s="32">
        <x:v>613.79</x:v>
      </x:c>
      <x:c r="D3638" s="32">
        <x:v>610.35</x:v>
      </x:c>
      <x:c r="E3638" s="32">
        <x:v>610.66</x:v>
      </x:c>
      <x:c r="F3638" s="33">
        <x:v>112006930</x:v>
      </x:c>
      <x:c r="G3638" s="32" t="n">
        <x:f t="shared" si="159">AVERAGE(E3439:E3638)</x:f>
        <x:v>580.3449499999999</x:v>
      </x:c>
      <x:c r="H3638" s="37" t="n">
        <x:f t="shared" si="160">IFERROR(E3638/G3638-1,"")</x:f>
        <x:v>0.05223626052057506</x:v>
      </x:c>
      <x:c r="I3638" s="38" t="b">
        <x:f t="shared" si="161">E3638&lt;G3638</x:f>
        <x:v>0</x:v>
      </x:c>
    </x:row>
    <x:row r="3639">
      <x:c r="A3639" s="31">
        <x:v>42318</x:v>
      </x:c>
      <x:c r="B3639" s="32">
        <x:v>609.29999999999995</x:v>
      </x:c>
      <x:c r="C3639" s="32">
        <x:v>610.66</x:v>
      </x:c>
      <x:c r="D3639" s="32">
        <x:v>605.08000000000004</x:v>
      </x:c>
      <x:c r="E3639" s="32">
        <x:v>605.27</x:v>
      </x:c>
      <x:c r="F3639" s="33">
        <x:v>108522700</x:v>
      </x:c>
      <x:c r="G3639" s="32" t="n">
        <x:f t="shared" si="159">AVERAGE(E3440:E3639)</x:f>
        <x:v>580.51375</x:v>
      </x:c>
      <x:c r="H3639" s="37" t="n">
        <x:f t="shared" si="160">IFERROR(E3639/G3639-1,"")</x:f>
        <x:v>0.042645415375604845</x:v>
      </x:c>
      <x:c r="I3639" s="38" t="b">
        <x:f t="shared" si="161">E3639&lt;G3639</x:f>
        <x:v>0</x:v>
      </x:c>
    </x:row>
    <x:row r="3640">
      <x:c r="A3640" s="31">
        <x:v>42319</x:v>
      </x:c>
      <x:c r="B3640" s="32">
        <x:v>604.13</x:v>
      </x:c>
      <x:c r="C3640" s="32">
        <x:v>609.24</x:v>
      </x:c>
      <x:c r="D3640" s="32">
        <x:v>603.34</x:v>
      </x:c>
      <x:c r="E3640" s="32">
        <x:v>603.53</x:v>
      </x:c>
      <x:c r="F3640" s="33">
        <x:v>90407380</x:v>
      </x:c>
      <x:c r="G3640" s="32" t="n">
        <x:f t="shared" si="159">AVERAGE(E3441:E3640)</x:f>
        <x:v>580.6702999999999</x:v>
      </x:c>
      <x:c r="H3640" s="37" t="n">
        <x:f t="shared" si="160">IFERROR(E3640/G3640-1,"")</x:f>
        <x:v>0.03936777892721577</x:v>
      </x:c>
      <x:c r="I3640" s="38" t="b">
        <x:f t="shared" si="161">E3640&lt;G3640</x:f>
        <x:v>0</x:v>
      </x:c>
    </x:row>
    <x:row r="3641">
      <x:c r="A3641" s="31">
        <x:v>42320</x:v>
      </x:c>
      <x:c r="B3641" s="32">
        <x:v>602.02</x:v>
      </x:c>
      <x:c r="C3641" s="32">
        <x:v>605.58000000000004</x:v>
      </x:c>
      <x:c r="D3641" s="32">
        <x:v>595.86</x:v>
      </x:c>
      <x:c r="E3641" s="32">
        <x:v>605.58000000000004</x:v>
      </x:c>
      <x:c r="F3641" s="33">
        <x:v>137337740</x:v>
      </x:c>
      <x:c r="G3641" s="32" t="n">
        <x:f t="shared" si="159">AVERAGE(E3442:E3641)</x:f>
        <x:v>580.8525999999999</x:v>
      </x:c>
      <x:c r="H3641" s="37" t="n">
        <x:f t="shared" si="160">IFERROR(E3641/G3641-1,"")</x:f>
        <x:v>0.04257086909828778</x:v>
      </x:c>
      <x:c r="I3641" s="38" t="b">
        <x:f t="shared" si="161">E3641&lt;G3641</x:f>
        <x:v>0</x:v>
      </x:c>
    </x:row>
    <x:row r="3642">
      <x:c r="A3642" s="31">
        <x:v>42321</x:v>
      </x:c>
      <x:c r="B3642" s="32">
        <x:v>604.41</x:v>
      </x:c>
      <x:c r="C3642" s="32">
        <x:v>611.27</x:v>
      </x:c>
      <x:c r="D3642" s="32">
        <x:v>603.72</x:v>
      </x:c>
      <x:c r="E3642" s="32">
        <x:v>611.27</x:v>
      </x:c>
      <x:c r="F3642" s="33">
        <x:v>145889290</x:v>
      </x:c>
      <x:c r="G3642" s="32" t="n">
        <x:f t="shared" si="159">AVERAGE(E3443:E3642)</x:f>
        <x:v>581.03625</x:v>
      </x:c>
      <x:c r="H3642" s="37" t="n">
        <x:f t="shared" si="160">IFERROR(E3642/G3642-1,"")</x:f>
        <x:v>0.05203418891678435</x:v>
      </x:c>
      <x:c r="I3642" s="38" t="b">
        <x:f t="shared" si="161">E3642&lt;G3642</x:f>
        <x:v>0</x:v>
      </x:c>
    </x:row>
    <x:row r="3643">
      <x:c r="A3643" s="31">
        <x:v>42324</x:v>
      </x:c>
      <x:c r="B3643" s="32">
        <x:v>609.77</x:v>
      </x:c>
      <x:c r="C3643" s="32">
        <x:v>611.91999999999996</x:v>
      </x:c>
      <x:c r="D3643" s="32">
        <x:v>605.39</x:v>
      </x:c>
      <x:c r="E3643" s="32">
        <x:v>609.21</x:v>
      </x:c>
      <x:c r="F3643" s="33">
        <x:v>122539980</x:v>
      </x:c>
      <x:c r="G3643" s="32" t="n">
        <x:f t="shared" si="159">AVERAGE(E3444:E3643)</x:f>
        <x:v>581.1704</x:v>
      </x:c>
      <x:c r="H3643" s="37" t="n">
        <x:f t="shared" si="160">IFERROR(E3643/G3643-1,"")</x:f>
        <x:v>0.048246779257856254</x:v>
      </x:c>
      <x:c r="I3643" s="38" t="b">
        <x:f t="shared" si="161">E3643&lt;G3643</x:f>
        <x:v>0</x:v>
      </x:c>
    </x:row>
    <x:row r="3644">
      <x:c r="A3644" s="31">
        <x:v>42325</x:v>
      </x:c>
      <x:c r="B3644" s="32">
        <x:v>609.46</x:v>
      </x:c>
      <x:c r="C3644" s="32">
        <x:v>611.17999999999995</x:v>
      </x:c>
      <x:c r="D3644" s="32">
        <x:v>605.04999999999995</x:v>
      </x:c>
      <x:c r="E3644" s="32">
        <x:v>605.04999999999995</x:v>
      </x:c>
      <x:c r="F3644" s="33">
        <x:v>162846800</x:v>
      </x:c>
      <x:c r="G3644" s="32" t="n">
        <x:f t="shared" si="159">AVERAGE(E3445:E3644)</x:f>
        <x:v>581.29245</x:v>
      </x:c>
      <x:c r="H3644" s="37" t="n">
        <x:f t="shared" si="160">IFERROR(E3644/G3644-1,"")</x:f>
        <x:v>0.040870219456660584</x:v>
      </x:c>
      <x:c r="I3644" s="38" t="b">
        <x:f t="shared" si="161">E3644&lt;G3644</x:f>
        <x:v>0</x:v>
      </x:c>
    </x:row>
    <x:row r="3645">
      <x:c r="A3645" s="31">
        <x:v>42326</x:v>
      </x:c>
      <x:c r="B3645" s="32">
        <x:v>603.32000000000005</x:v>
      </x:c>
      <x:c r="C3645" s="32">
        <x:v>606.62</x:v>
      </x:c>
      <x:c r="D3645" s="32">
        <x:v>602.13</x:v>
      </x:c>
      <x:c r="E3645" s="32">
        <x:v>603.34</x:v>
      </x:c>
      <x:c r="F3645" s="33">
        <x:v>110694890</x:v>
      </x:c>
      <x:c r="G3645" s="32" t="n">
        <x:f t="shared" si="159">AVERAGE(E3446:E3645)</x:f>
        <x:v>581.41265</x:v>
      </x:c>
      <x:c r="H3645" s="37" t="n">
        <x:f t="shared" si="160">IFERROR(E3645/G3645-1,"")</x:f>
        <x:v>0.03771391970917737</x:v>
      </x:c>
      <x:c r="I3645" s="38" t="b">
        <x:f t="shared" si="161">E3645&lt;G3645</x:f>
        <x:v>0</x:v>
      </x:c>
    </x:row>
    <x:row r="3646">
      <x:c r="A3646" s="31">
        <x:v>42327</x:v>
      </x:c>
      <x:c r="B3646" s="32">
        <x:v>604.38</x:v>
      </x:c>
      <x:c r="C3646" s="32">
        <x:v>605.55999999999995</x:v>
      </x:c>
      <x:c r="D3646" s="32">
        <x:v>600.84</x:v>
      </x:c>
      <x:c r="E3646" s="32">
        <x:v>601.9</x:v>
      </x:c>
      <x:c r="F3646" s="33">
        <x:v>111444220</x:v>
      </x:c>
      <x:c r="G3646" s="32" t="n">
        <x:f t="shared" si="159">AVERAGE(E3447:E3646)</x:f>
        <x:v>581.50335</x:v>
      </x:c>
      <x:c r="H3646" s="37" t="n">
        <x:f t="shared" si="160">IFERROR(E3646/G3646-1,"")</x:f>
        <x:v>0.03507572226368083</x:v>
      </x:c>
      <x:c r="I3646" s="38" t="b">
        <x:f t="shared" si="161">E3646&lt;G3646</x:f>
        <x:v>0</x:v>
      </x:c>
    </x:row>
    <x:row r="3647">
      <x:c r="A3647" s="31">
        <x:v>42328</x:v>
      </x:c>
      <x:c r="B3647" s="32">
        <x:v>602.11</x:v>
      </x:c>
      <x:c r="C3647" s="32">
        <x:v>606.58000000000004</x:v>
      </x:c>
      <x:c r="D3647" s="32">
        <x:v>601.9</x:v>
      </x:c>
      <x:c r="E3647" s="32">
        <x:v>604.46</x:v>
      </x:c>
      <x:c r="F3647" s="33">
        <x:v>130398970</x:v>
      </x:c>
      <x:c r="G3647" s="32" t="n">
        <x:f t="shared" si="159">AVERAGE(E3448:E3647)</x:f>
        <x:v>581.60925</x:v>
      </x:c>
      <x:c r="H3647" s="37" t="n">
        <x:f t="shared" si="160">IFERROR(E3647/G3647-1,"")</x:f>
        <x:v>0.03928883524462523</x:v>
      </x:c>
      <x:c r="I3647" s="38" t="b">
        <x:f t="shared" si="161">E3647&lt;G3647</x:f>
        <x:v>0</x:v>
      </x:c>
    </x:row>
    <x:row r="3648">
      <x:c r="A3648" s="31">
        <x:v>42331</x:v>
      </x:c>
      <x:c r="B3648" s="32">
        <x:v>605.89</x:v>
      </x:c>
      <x:c r="C3648" s="32">
        <x:v>607.69000000000005</x:v>
      </x:c>
      <x:c r="D3648" s="32">
        <x:v>599.99</x:v>
      </x:c>
      <x:c r="E3648" s="32">
        <x:v>599.99</x:v>
      </x:c>
      <x:c r="F3648" s="33">
        <x:v>147238690</x:v>
      </x:c>
      <x:c r="G3648" s="32" t="n">
        <x:f t="shared" si="159">AVERAGE(E3449:E3648)</x:f>
        <x:v>581.72885</x:v>
      </x:c>
      <x:c r="H3648" s="37" t="n">
        <x:f t="shared" si="160">IFERROR(E3648/G3648-1,"")</x:f>
        <x:v>0.03139117133351732</x:v>
      </x:c>
      <x:c r="I3648" s="38" t="b">
        <x:f t="shared" si="161">E3648&lt;G3648</x:f>
        <x:v>0</x:v>
      </x:c>
    </x:row>
    <x:row r="3649">
      <x:c r="A3649" s="31">
        <x:v>42332</x:v>
      </x:c>
      <x:c r="B3649" s="32">
        <x:v>599.80999999999995</x:v>
      </x:c>
      <x:c r="C3649" s="32">
        <x:v>599.99</x:v>
      </x:c>
      <x:c r="D3649" s="32">
        <x:v>590.41</x:v>
      </x:c>
      <x:c r="E3649" s="32">
        <x:v>593.83000000000004</x:v>
      </x:c>
      <x:c r="F3649" s="33">
        <x:v>150944920</x:v>
      </x:c>
      <x:c r="G3649" s="32" t="n">
        <x:f t="shared" si="159">AVERAGE(E3450:E3649)</x:f>
        <x:v>581.8461500000001</x:v>
      </x:c>
      <x:c r="H3649" s="37" t="n">
        <x:f t="shared" si="160">IFERROR(E3649/G3649-1,"")</x:f>
        <x:v>0.020596252119224223</x:v>
      </x:c>
      <x:c r="I3649" s="38" t="b">
        <x:f t="shared" si="161">E3649&lt;G3649</x:f>
        <x:v>0</x:v>
      </x:c>
    </x:row>
    <x:row r="3650">
      <x:c r="A3650" s="31">
        <x:v>42333</x:v>
      </x:c>
      <x:c r="B3650" s="32">
        <x:v>593.24</x:v>
      </x:c>
      <x:c r="C3650" s="32">
        <x:v>596.91999999999996</x:v>
      </x:c>
      <x:c r="D3650" s="32">
        <x:v>588.1</x:v>
      </x:c>
      <x:c r="E3650" s="32">
        <x:v>595.70000000000005</x:v>
      </x:c>
      <x:c r="F3650" s="33">
        <x:v>141109040</x:v>
      </x:c>
      <x:c r="G3650" s="32" t="n">
        <x:f t="shared" si="159">AVERAGE(E3451:E3650)</x:f>
        <x:v>582.0373000000001</x:v>
      </x:c>
      <x:c r="H3650" s="37" t="n">
        <x:f t="shared" si="160">IFERROR(E3650/G3650-1,"")</x:f>
        <x:v>0.02347392512473001</x:v>
      </x:c>
      <x:c r="I3650" s="38" t="b">
        <x:f t="shared" si="161">E3650&lt;G3650</x:f>
        <x:v>0</x:v>
      </x:c>
    </x:row>
    <x:row r="3651">
      <x:c r="A3651" s="31">
        <x:v>42334</x:v>
      </x:c>
      <x:c r="B3651" s="32">
        <x:v>593.12</x:v>
      </x:c>
      <x:c r="C3651" s="32">
        <x:v>595.70000000000005</x:v>
      </x:c>
      <x:c r="D3651" s="32">
        <x:v>590.39</x:v>
      </x:c>
      <x:c r="E3651" s="32">
        <x:v>590.4</x:v>
      </x:c>
      <x:c r="F3651" s="33">
        <x:v>143903290</x:v>
      </x:c>
      <x:c r="G3651" s="32" t="n">
        <x:f t="shared" si="159">AVERAGE(E3452:E3651)</x:f>
        <x:v>582.18205</x:v>
      </x:c>
      <x:c r="H3651" s="37" t="n">
        <x:f t="shared" si="160">IFERROR(E3651/G3651-1,"")</x:f>
        <x:v>0.014115773579759017</x:v>
      </x:c>
      <x:c r="I3651" s="38" t="b">
        <x:f t="shared" si="161">E3651&lt;G3651</x:f>
        <x:v>0</x:v>
      </x:c>
    </x:row>
    <x:row r="3652">
      <x:c r="A3652" s="31">
        <x:v>42335</x:v>
      </x:c>
      <x:c r="B3652" s="32">
        <x:v>589.09</x:v>
      </x:c>
      <x:c r="C3652" s="32">
        <x:v>591.84</x:v>
      </x:c>
      <x:c r="D3652" s="32">
        <x:v>582.86</x:v>
      </x:c>
      <x:c r="E3652" s="32">
        <x:v>582.86</x:v>
      </x:c>
      <x:c r="F3652" s="33">
        <x:v>133885000</x:v>
      </x:c>
      <x:c r="G3652" s="32" t="n">
        <x:f t="shared" si="159">AVERAGE(E3453:E3652)</x:f>
        <x:v>582.2605</x:v>
      </x:c>
      <x:c r="H3652" s="37" t="n">
        <x:f t="shared" si="160">IFERROR(E3652/G3652-1,"")</x:f>
        <x:v>0.0010296078816955934</x:v>
      </x:c>
      <x:c r="I3652" s="38" t="b">
        <x:f t="shared" si="161">E3652&lt;G3652</x:f>
        <x:v>0</x:v>
      </x:c>
    </x:row>
    <x:row r="3653">
      <x:c r="A3653" s="31">
        <x:v>42338</x:v>
      </x:c>
      <x:c r="B3653" s="32">
        <x:v>581.39</x:v>
      </x:c>
      <x:c r="C3653" s="32">
        <x:v>582.86</x:v>
      </x:c>
      <x:c r="D3653" s="32">
        <x:v>571.12</x:v>
      </x:c>
      <x:c r="E3653" s="32">
        <x:v>573.20000000000005</x:v>
      </x:c>
      <x:c r="F3653" s="33">
        <x:v>112002660</x:v>
      </x:c>
      <x:c r="G3653" s="32" t="n">
        <x:f t="shared" si="159">AVERAGE(E3454:E3653)</x:f>
        <x:v>582.25585</x:v>
      </x:c>
      <x:c r="H3653" s="37" t="n">
        <x:f t="shared" si="160">IFERROR(E3653/G3653-1,"")</x:f>
        <x:v>-0.015553042532762795</x:v>
      </x:c>
      <x:c r="I3653" s="38" t="b">
        <x:f t="shared" si="161">E3653&lt;G3653</x:f>
        <x:v>1</x:v>
      </x:c>
    </x:row>
    <x:row r="3654">
      <x:c r="A3654" s="31">
        <x:v>42339</x:v>
      </x:c>
      <x:c r="B3654" s="32">
        <x:v>573.39</x:v>
      </x:c>
      <x:c r="C3654" s="32">
        <x:v>577.58000000000004</x:v>
      </x:c>
      <x:c r="D3654" s="32">
        <x:v>570.41</x:v>
      </x:c>
      <x:c r="E3654" s="32">
        <x:v>570.41</x:v>
      </x:c>
      <x:c r="F3654" s="33">
        <x:v>105037670</x:v>
      </x:c>
      <x:c r="G3654" s="32" t="n">
        <x:f t="shared" si="159">AVERAGE(E3455:E3654)</x:f>
        <x:v>582.24015</x:v>
      </x:c>
      <x:c r="H3654" s="37" t="n">
        <x:f t="shared" si="160">IFERROR(E3654/G3654-1,"")</x:f>
        <x:v>-0.020318334281825168</x:v>
      </x:c>
      <x:c r="I3654" s="38" t="b">
        <x:f t="shared" si="161">E3654&lt;G3654</x:f>
        <x:v>1</x:v>
      </x:c>
    </x:row>
    <x:row r="3655">
      <x:c r="A3655" s="31">
        <x:v>42340</x:v>
      </x:c>
      <x:c r="B3655" s="32">
        <x:v>571.01</x:v>
      </x:c>
      <x:c r="C3655" s="32">
        <x:v>577.03</x:v>
      </x:c>
      <x:c r="D3655" s="32">
        <x:v>570.41</x:v>
      </x:c>
      <x:c r="E3655" s="32">
        <x:v>574.41999999999996</x:v>
      </x:c>
      <x:c r="F3655" s="33">
        <x:v>95044360</x:v>
      </x:c>
      <x:c r="G3655" s="32" t="n">
        <x:f t="shared" si="159">AVERAGE(E3456:E3655)</x:f>
        <x:v>582.23965</x:v>
      </x:c>
      <x:c r="H3655" s="37" t="n">
        <x:f t="shared" si="160">IFERROR(E3655/G3655-1,"")</x:f>
        <x:v>-0.013430294553110622</x:v>
      </x:c>
      <x:c r="I3655" s="38" t="b">
        <x:f t="shared" si="161">E3655&lt;G3655</x:f>
        <x:v>1</x:v>
      </x:c>
    </x:row>
    <x:row r="3656">
      <x:c r="A3656" s="31">
        <x:v>42341</x:v>
      </x:c>
      <x:c r="B3656" s="32">
        <x:v>574.04</x:v>
      </x:c>
      <x:c r="C3656" s="32">
        <x:v>576.84</x:v>
      </x:c>
      <x:c r="D3656" s="32">
        <x:v>573.20000000000005</x:v>
      </x:c>
      <x:c r="E3656" s="32">
        <x:v>574.38</x:v>
      </x:c>
      <x:c r="F3656" s="33">
        <x:v>72157320</x:v>
      </x:c>
      <x:c r="G3656" s="32" t="n">
        <x:f t="shared" si="159">AVERAGE(E3457:E3656)</x:f>
        <x:v>582.2027499999999</x:v>
      </x:c>
      <x:c r="H3656" s="37" t="n">
        <x:f t="shared" si="160">IFERROR(E3656/G3656-1,"")</x:f>
        <x:v>-0.013436470370502218</x:v>
      </x:c>
      <x:c r="I3656" s="38" t="b">
        <x:f t="shared" si="161">E3656&lt;G3656</x:f>
        <x:v>1</x:v>
      </x:c>
    </x:row>
    <x:row r="3657">
      <x:c r="A3657" s="31">
        <x:v>42342</x:v>
      </x:c>
      <x:c r="B3657" s="32">
        <x:v>574</x:v>
      </x:c>
      <x:c r="C3657" s="32">
        <x:v>574.69000000000005</x:v>
      </x:c>
      <x:c r="D3657" s="32">
        <x:v>567.95000000000005</x:v>
      </x:c>
      <x:c r="E3657" s="32">
        <x:v>571.62</x:v>
      </x:c>
      <x:c r="F3657" s="33">
        <x:v>83491230</x:v>
      </x:c>
      <x:c r="G3657" s="32" t="n">
        <x:f t="shared" si="159">AVERAGE(E3458:E3657)</x:f>
        <x:v>582.1375</x:v>
      </x:c>
      <x:c r="H3657" s="37" t="n">
        <x:f t="shared" si="160">IFERROR(E3657/G3657-1,"")</x:f>
        <x:v>-0.018067037426724886</x:v>
      </x:c>
      <x:c r="I3657" s="38" t="b">
        <x:f t="shared" si="161">E3657&lt;G3657</x:f>
        <x:v>1</x:v>
      </x:c>
    </x:row>
    <x:row r="3658">
      <x:c r="A3658" s="31">
        <x:v>42345</x:v>
      </x:c>
      <x:c r="B3658" s="32">
        <x:v>571.62</x:v>
      </x:c>
      <x:c r="C3658" s="32">
        <x:v>571.62</x:v>
      </x:c>
      <x:c r="D3658" s="32">
        <x:v>563.41</x:v>
      </x:c>
      <x:c r="E3658" s="32">
        <x:v>563.62</x:v>
      </x:c>
      <x:c r="F3658" s="33">
        <x:v>70843060</x:v>
      </x:c>
      <x:c r="G3658" s="32" t="n">
        <x:f t="shared" si="159">AVERAGE(E3459:E3658)</x:f>
        <x:v>582.0193999999999</x:v>
      </x:c>
      <x:c r="H3658" s="37" t="n">
        <x:f t="shared" si="160">IFERROR(E3658/G3658-1,"")</x:f>
        <x:v>-0.031613035579226234</x:v>
      </x:c>
      <x:c r="I3658" s="38" t="b">
        <x:f t="shared" si="161">E3658&lt;G3658</x:f>
        <x:v>1</x:v>
      </x:c>
    </x:row>
    <x:row r="3659">
      <x:c r="A3659" s="31">
        <x:v>42346</x:v>
      </x:c>
      <x:c r="B3659" s="32">
        <x:v>561</x:v>
      </x:c>
      <x:c r="C3659" s="32">
        <x:v>574.15</x:v>
      </x:c>
      <x:c r="D3659" s="32">
        <x:v>556.91999999999996</x:v>
      </x:c>
      <x:c r="E3659" s="32">
        <x:v>574.15</x:v>
      </x:c>
      <x:c r="F3659" s="33">
        <x:v>97111470</x:v>
      </x:c>
      <x:c r="G3659" s="32" t="n">
        <x:f t="shared" si="159">AVERAGE(E3460:E3659)</x:f>
        <x:v>581.9054</x:v>
      </x:c>
      <x:c r="H3659" s="37" t="n">
        <x:f t="shared" si="160">IFERROR(E3659/G3659-1,"")</x:f>
        <x:v>-0.013327595860083141</x:v>
      </x:c>
      <x:c r="I3659" s="38" t="b">
        <x:f t="shared" si="161">E3659&lt;G3659</x:f>
        <x:v>1</x:v>
      </x:c>
    </x:row>
    <x:row r="3660">
      <x:c r="A3660" s="31">
        <x:v>42347</x:v>
      </x:c>
      <x:c r="B3660" s="32">
        <x:v>575.08000000000004</x:v>
      </x:c>
      <x:c r="C3660" s="32">
        <x:v>576.63</x:v>
      </x:c>
      <x:c r="D3660" s="32">
        <x:v>565.20000000000005</x:v>
      </x:c>
      <x:c r="E3660" s="32">
        <x:v>565.20000000000005</x:v>
      </x:c>
      <x:c r="F3660" s="33">
        <x:v>88440210</x:v>
      </x:c>
      <x:c r="G3660" s="32" t="n">
        <x:f t="shared" si="159">AVERAGE(E3461:E3660)</x:f>
        <x:v>581.7681</x:v>
      </x:c>
      <x:c r="H3660" s="37" t="n">
        <x:f t="shared" si="160">IFERROR(E3660/G3660-1,"")</x:f>
        <x:v>-0.02847887328301424</x:v>
      </x:c>
      <x:c r="I3660" s="38" t="b">
        <x:f t="shared" si="161">E3660&lt;G3660</x:f>
        <x:v>1</x:v>
      </x:c>
    </x:row>
    <x:row r="3661">
      <x:c r="A3661" s="31">
        <x:v>42348</x:v>
      </x:c>
      <x:c r="B3661" s="32">
        <x:v>564.86</x:v>
      </x:c>
      <x:c r="C3661" s="32">
        <x:v>567.62</x:v>
      </x:c>
      <x:c r="D3661" s="32">
        <x:v>561.04</x:v>
      </x:c>
      <x:c r="E3661" s="32">
        <x:v>561.04</x:v>
      </x:c>
      <x:c r="F3661" s="33">
        <x:v>94011540</x:v>
      </x:c>
      <x:c r="G3661" s="32" t="n">
        <x:f t="shared" ref="G3661:G3724" si="162">AVERAGE(E3462:E3661)</x:f>
        <x:v>581.5897</x:v>
      </x:c>
      <x:c r="H3661" s="37" t="n">
        <x:f t="shared" ref="H3661:H3724" si="163">IFERROR(E3661/G3661-1,"")</x:f>
        <x:v>-0.035333672518615855</x:v>
      </x:c>
      <x:c r="I3661" s="38" t="b">
        <x:f t="shared" ref="I3661:I3724" si="164">E3661&lt;G3661</x:f>
        <x:v>1</x:v>
      </x:c>
    </x:row>
    <x:row r="3662">
      <x:c r="A3662" s="31">
        <x:v>42349</x:v>
      </x:c>
      <x:c r="B3662" s="32">
        <x:v>560.99</x:v>
      </x:c>
      <x:c r="C3662" s="32">
        <x:v>567.13</x:v>
      </x:c>
      <x:c r="D3662" s="32">
        <x:v>559.73</x:v>
      </x:c>
      <x:c r="E3662" s="32">
        <x:v>563.42999999999995</x:v>
      </x:c>
      <x:c r="F3662" s="33">
        <x:v>79068530</x:v>
      </x:c>
      <x:c r="G3662" s="32" t="n">
        <x:f t="shared" si="162">AVERAGE(E3463:E3662)</x:f>
        <x:v>581.444</x:v>
      </x:c>
      <x:c r="H3662" s="37" t="n">
        <x:f t="shared" si="163">IFERROR(E3662/G3662-1,"")</x:f>
        <x:v>-0.030981487469128655</x:v>
      </x:c>
      <x:c r="I3662" s="38" t="b">
        <x:f t="shared" si="164">E3662&lt;G3662</x:f>
        <x:v>1</x:v>
      </x:c>
    </x:row>
    <x:row r="3663">
      <x:c r="A3663" s="31">
        <x:v>42352</x:v>
      </x:c>
      <x:c r="B3663" s="32">
        <x:v>564.14</x:v>
      </x:c>
      <x:c r="C3663" s="32">
        <x:v>566.28</x:v>
      </x:c>
      <x:c r="D3663" s="32">
        <x:v>560.99</x:v>
      </x:c>
      <x:c r="E3663" s="32">
        <x:v>562.22</x:v>
      </x:c>
      <x:c r="F3663" s="33">
        <x:v>92279450</x:v>
      </x:c>
      <x:c r="G3663" s="32" t="n">
        <x:f t="shared" si="162">AVERAGE(E3464:E3663)</x:f>
        <x:v>581.3014499999999</x:v>
      </x:c>
      <x:c r="H3663" s="37" t="n">
        <x:f t="shared" si="163">IFERROR(E3663/G3663-1,"")</x:f>
        <x:v>-0.032825395498325194</x:v>
      </x:c>
      <x:c r="I3663" s="38" t="b">
        <x:f t="shared" si="164">E3663&lt;G3663</x:f>
        <x:v>1</x:v>
      </x:c>
    </x:row>
    <x:row r="3664">
      <x:c r="A3664" s="31">
        <x:v>42353</x:v>
      </x:c>
      <x:c r="B3664" s="32">
        <x:v>563.29999999999995</x:v>
      </x:c>
      <x:c r="C3664" s="32">
        <x:v>568.74</x:v>
      </x:c>
      <x:c r="D3664" s="32">
        <x:v>562.22</x:v>
      </x:c>
      <x:c r="E3664" s="32">
        <x:v>568</x:v>
      </x:c>
      <x:c r="F3664" s="33">
        <x:v>99030490</x:v>
      </x:c>
      <x:c r="G3664" s="32" t="n">
        <x:f t="shared" si="162">AVERAGE(E3465:E3664)</x:f>
        <x:v>581.1578499999999</x:v>
      </x:c>
      <x:c r="H3664" s="37" t="n">
        <x:f t="shared" si="163">IFERROR(E3664/G3664-1,"")</x:f>
        <x:v>-0.02264075070137994</x:v>
      </x:c>
      <x:c r="I3664" s="38" t="b">
        <x:f t="shared" si="164">E3664&lt;G3664</x:f>
        <x:v>1</x:v>
      </x:c>
    </x:row>
    <x:row r="3665">
      <x:c r="A3665" s="31">
        <x:v>42354</x:v>
      </x:c>
      <x:c r="B3665" s="32">
        <x:v>570.36</x:v>
      </x:c>
      <x:c r="C3665" s="32">
        <x:v>575.54</x:v>
      </x:c>
      <x:c r="D3665" s="32">
        <x:v>568</x:v>
      </x:c>
      <x:c r="E3665" s="32">
        <x:v>572.54999999999995</x:v>
      </x:c>
      <x:c r="F3665" s="33">
        <x:v>96949850</x:v>
      </x:c>
      <x:c r="G3665" s="32" t="n">
        <x:f t="shared" si="162">AVERAGE(E3466:E3665)</x:f>
        <x:v>581.01865</x:v>
      </x:c>
      <x:c r="H3665" s="37" t="n">
        <x:f t="shared" si="163">IFERROR(E3665/G3665-1,"")</x:f>
        <x:v>-0.014575521801236557</x:v>
      </x:c>
      <x:c r="I3665" s="38" t="b">
        <x:f t="shared" si="164">E3665&lt;G3665</x:f>
        <x:v>1</x:v>
      </x:c>
    </x:row>
    <x:row r="3666">
      <x:c r="A3666" s="31">
        <x:v>42355</x:v>
      </x:c>
      <x:c r="B3666" s="32">
        <x:v>572.54999999999995</x:v>
      </x:c>
      <x:c r="C3666" s="32">
        <x:v>579.17999999999995</x:v>
      </x:c>
      <x:c r="D3666" s="32">
        <x:v>572.54999999999995</x:v>
      </x:c>
      <x:c r="E3666" s="32">
        <x:v>577.11</x:v>
      </x:c>
      <x:c r="F3666" s="33">
        <x:v>80826770</x:v>
      </x:c>
      <x:c r="G3666" s="32" t="n">
        <x:f t="shared" si="162">AVERAGE(E3467:E3666)</x:f>
        <x:v>580.91965</x:v>
      </x:c>
      <x:c r="H3666" s="37" t="n">
        <x:f t="shared" si="163">IFERROR(E3666/G3666-1,"")</x:f>
        <x:v>-0.006557963739047268</x:v>
      </x:c>
      <x:c r="I3666" s="38" t="b">
        <x:f t="shared" si="164">E3666&lt;G3666</x:f>
        <x:v>1</x:v>
      </x:c>
    </x:row>
    <x:row r="3667">
      <x:c r="A3667" s="31">
        <x:v>42356</x:v>
      </x:c>
      <x:c r="B3667" s="32">
        <x:v>574.66</x:v>
      </x:c>
      <x:c r="C3667" s="32">
        <x:v>578</x:v>
      </x:c>
      <x:c r="D3667" s="32">
        <x:v>568.17999999999995</x:v>
      </x:c>
      <x:c r="E3667" s="32">
        <x:v>568.17999999999995</x:v>
      </x:c>
      <x:c r="F3667" s="33">
        <x:v>179001190</x:v>
      </x:c>
      <x:c r="G3667" s="32" t="n">
        <x:f t="shared" si="162">AVERAGE(E3468:E3667)</x:f>
        <x:v>580.7907</x:v>
      </x:c>
      <x:c r="H3667" s="37" t="n">
        <x:f t="shared" si="163">IFERROR(E3667/G3667-1,"")</x:f>
        <x:v>-0.021712985417982833</x:v>
      </x:c>
      <x:c r="I3667" s="38" t="b">
        <x:f t="shared" si="164">E3667&lt;G3667</x:f>
        <x:v>1</x:v>
      </x:c>
    </x:row>
    <x:row r="3668">
      <x:c r="A3668" s="31">
        <x:v>42359</x:v>
      </x:c>
      <x:c r="B3668" s="32">
        <x:v>570.45000000000005</x:v>
      </x:c>
      <x:c r="C3668" s="32">
        <x:v>571.28</x:v>
      </x:c>
      <x:c r="D3668" s="32">
        <x:v>565.35</x:v>
      </x:c>
      <x:c r="E3668" s="32">
        <x:v>566.9</x:v>
      </x:c>
      <x:c r="F3668" s="33">
        <x:v>97315670</x:v>
      </x:c>
      <x:c r="G3668" s="32" t="n">
        <x:f t="shared" si="162">AVERAGE(E3469:E3668)</x:f>
        <x:v>580.683</x:v>
      </x:c>
      <x:c r="H3668" s="37" t="n">
        <x:f t="shared" si="163">IFERROR(E3668/G3668-1,"")</x:f>
        <x:v>-0.023735842103178473</x:v>
      </x:c>
      <x:c r="I3668" s="38" t="b">
        <x:f t="shared" si="164">E3668&lt;G3668</x:f>
        <x:v>1</x:v>
      </x:c>
    </x:row>
    <x:row r="3669">
      <x:c r="A3669" s="31">
        <x:v>42360</x:v>
      </x:c>
      <x:c r="B3669" s="32">
        <x:v>567.88</x:v>
      </x:c>
      <x:c r="C3669" s="32">
        <x:v>570.86</x:v>
      </x:c>
      <x:c r="D3669" s="32">
        <x:v>565.48</x:v>
      </x:c>
      <x:c r="E3669" s="32">
        <x:v>566.35</x:v>
      </x:c>
      <x:c r="F3669" s="33">
        <x:v>74383900</x:v>
      </x:c>
      <x:c r="G3669" s="32" t="n">
        <x:f t="shared" si="162">AVERAGE(E3470:E3669)</x:f>
        <x:v>580.5664499999999</x:v>
      </x:c>
      <x:c r="H3669" s="37" t="n">
        <x:f t="shared" si="163">IFERROR(E3669/G3669-1,"")</x:f>
        <x:v>-0.02448720555588413</x:v>
      </x:c>
      <x:c r="I3669" s="38" t="b">
        <x:f t="shared" si="164">E3669&lt;G3669</x:f>
        <x:v>1</x:v>
      </x:c>
    </x:row>
    <x:row r="3670">
      <x:c r="A3670" s="31">
        <x:v>42361</x:v>
      </x:c>
      <x:c r="B3670" s="32">
        <x:v>564.92999999999995</x:v>
      </x:c>
      <x:c r="C3670" s="32">
        <x:v>568.16</x:v>
      </x:c>
      <x:c r="D3670" s="32">
        <x:v>562.29999999999995</x:v>
      </x:c>
      <x:c r="E3670" s="32">
        <x:v>564.27</x:v>
      </x:c>
      <x:c r="F3670" s="33">
        <x:v>73480350</x:v>
      </x:c>
      <x:c r="G3670" s="32" t="n">
        <x:f t="shared" si="162">AVERAGE(E3471:E3670)</x:f>
        <x:v>580.4550999999999</x:v>
      </x:c>
      <x:c r="H3670" s="37" t="n">
        <x:f t="shared" si="163">IFERROR(E3670/G3670-1,"")</x:f>
        <x:v>-0.027883465921825668</x:v>
      </x:c>
      <x:c r="I3670" s="38" t="b">
        <x:f t="shared" si="164">E3670&lt;G3670</x:f>
        <x:v>1</x:v>
      </x:c>
    </x:row>
    <x:row r="3671">
      <x:c r="A3671" s="31">
        <x:v>42362</x:v>
      </x:c>
      <x:c r="B3671" s="32">
        <x:v>566.65</x:v>
      </x:c>
      <x:c r="C3671" s="32">
        <x:v>567.79999999999995</x:v>
      </x:c>
      <x:c r="D3671" s="32">
        <x:v>564.27</x:v>
      </x:c>
      <x:c r="E3671" s="32">
        <x:v>566.16999999999996</x:v>
      </x:c>
      <x:c r="F3671" s="33">
        <x:v>64643240</x:v>
      </x:c>
      <x:c r="G3671" s="32" t="n">
        <x:f t="shared" si="162">AVERAGE(E3472:E3671)</x:f>
        <x:v>580.3433</x:v>
      </x:c>
      <x:c r="H3671" s="37" t="n">
        <x:f t="shared" si="163">IFERROR(E3671/G3671-1,"")</x:f>
        <x:v>-0.024422268681313364</x:v>
      </x:c>
      <x:c r="I3671" s="38" t="b">
        <x:f t="shared" si="164">E3671&lt;G3671</x:f>
        <x:v>1</x:v>
      </x:c>
    </x:row>
    <x:row r="3672">
      <x:c r="A3672" s="31">
        <x:v>42363</x:v>
      </x:c>
      <x:c r="B3672" s="32">
        <x:v>566.6</x:v>
      </x:c>
      <x:c r="C3672" s="32">
        <x:v>570.49</x:v>
      </x:c>
      <x:c r="D3672" s="32">
        <x:v>566.16999999999996</x:v>
      </x:c>
      <x:c r="E3672" s="32">
        <x:v>567.66999999999996</x:v>
      </x:c>
      <x:c r="F3672" s="33">
        <x:v>79503910</x:v>
      </x:c>
      <x:c r="G3672" s="32" t="n">
        <x:f t="shared" si="162">AVERAGE(E3473:E3672)</x:f>
        <x:v>580.25115</x:v>
      </x:c>
      <x:c r="H3672" s="37" t="n">
        <x:f t="shared" si="163">IFERROR(E3672/G3672-1,"")</x:f>
        <x:v>-0.02168224914332373</x:v>
      </x:c>
      <x:c r="I3672" s="38" t="b">
        <x:f t="shared" si="164">E3672&lt;G3672</x:f>
        <x:v>1</x:v>
      </x:c>
    </x:row>
    <x:row r="3673">
      <x:c r="A3673" s="31">
        <x:v>42366</x:v>
      </x:c>
      <x:c r="B3673" s="32">
        <x:v>570.57000000000005</x:v>
      </x:c>
      <x:c r="C3673" s="32">
        <x:v>572.91999999999996</x:v>
      </x:c>
      <x:c r="D3673" s="32">
        <x:v>567.66999999999996</x:v>
      </x:c>
      <x:c r="E3673" s="32">
        <x:v>569.9</x:v>
      </x:c>
      <x:c r="F3673" s="33">
        <x:v>100998130</x:v>
      </x:c>
      <x:c r="G3673" s="32" t="n">
        <x:f t="shared" si="162">AVERAGE(E3474:E3673)</x:f>
        <x:v>580.19665</x:v>
      </x:c>
      <x:c r="H3673" s="37" t="n">
        <x:f t="shared" si="163">IFERROR(E3673/G3673-1,"")</x:f>
        <x:v>-0.017746827735044657</x:v>
      </x:c>
      <x:c r="I3673" s="38" t="b">
        <x:f t="shared" si="164">E3673&lt;G3673</x:f>
        <x:v>1</x:v>
      </x:c>
    </x:row>
    <x:row r="3674">
      <x:c r="A3674" s="31">
        <x:v>42367</x:v>
      </x:c>
      <x:c r="B3674" s="32">
        <x:v>569.4</x:v>
      </x:c>
      <x:c r="C3674" s="32">
        <x:v>576.29</x:v>
      </x:c>
      <x:c r="D3674" s="32">
        <x:v>566.49</x:v>
      </x:c>
      <x:c r="E3674" s="32">
        <x:v>576.29</x:v>
      </x:c>
      <x:c r="F3674" s="33">
        <x:v>94079180</x:v>
      </x:c>
      <x:c r="G3674" s="32" t="n">
        <x:f t="shared" si="162">AVERAGE(E3475:E3674)</x:f>
        <x:v>580.1693</x:v>
      </x:c>
      <x:c r="H3674" s="37" t="n">
        <x:f t="shared" si="163">IFERROR(E3674/G3674-1,"")</x:f>
        <x:v>-0.006686496510587614</x:v>
      </x:c>
      <x:c r="I3674" s="38" t="b">
        <x:f t="shared" si="164">E3674&lt;G3674</x:f>
        <x:v>1</x:v>
      </x:c>
    </x:row>
    <x:row r="3675">
      <x:c r="A3675" s="31">
        <x:v>42368</x:v>
      </x:c>
      <x:c r="B3675" s="32">
        <x:v>576.5</x:v>
      </x:c>
      <x:c r="C3675" s="32">
        <x:v>579.45000000000005</x:v>
      </x:c>
      <x:c r="D3675" s="32">
        <x:v>575.71</x:v>
      </x:c>
      <x:c r="E3675" s="32">
        <x:v>579.45000000000005</x:v>
      </x:c>
      <x:c r="F3675" s="33">
        <x:v>83672230</x:v>
      </x:c>
      <x:c r="G3675" s="32" t="n">
        <x:f t="shared" si="162">AVERAGE(E3476:E3675)</x:f>
        <x:v>580.17315</x:v>
      </x:c>
      <x:c r="H3675" s="37" t="n">
        <x:f t="shared" si="163">IFERROR(E3675/G3675-1,"")</x:f>
        <x:v>-0.0012464382400321217</x:v>
      </x:c>
      <x:c r="I3675" s="38" t="b">
        <x:f t="shared" si="164">E3675&lt;G3675</x:f>
        <x:v>1</x:v>
      </x:c>
    </x:row>
    <x:row r="3676">
      <x:c r="A3676" s="31">
        <x:v>42369</x:v>
      </x:c>
      <x:c r="B3676" s="32">
        <x:v>579.12</x:v>
      </x:c>
      <x:c r="C3676" s="32">
        <x:v>580.82000000000005</x:v>
      </x:c>
      <x:c r="D3676" s="32">
        <x:v>575.73</x:v>
      </x:c>
      <x:c r="E3676" s="32">
        <x:v>579.03</x:v>
      </x:c>
      <x:c r="F3676" s="33">
        <x:v>102999330</x:v>
      </x:c>
      <x:c r="G3676" s="32" t="n">
        <x:f t="shared" si="162">AVERAGE(E3477:E3676)</x:f>
        <x:v>580.1996</x:v>
      </x:c>
      <x:c r="H3676" s="37" t="n">
        <x:f t="shared" si="163">IFERROR(E3676/G3676-1,"")</x:f>
        <x:v>-0.002015857990939729</x:v>
      </x:c>
      <x:c r="I3676" s="38" t="b">
        <x:f t="shared" si="164">E3676&lt;G3676</x:f>
        <x:v>1</x:v>
      </x:c>
    </x:row>
    <x:row r="3677">
      <x:c r="A3677" s="31">
        <x:v>42373</x:v>
      </x:c>
      <x:c r="B3677" s="32">
        <x:v>579.03</x:v>
      </x:c>
      <x:c r="C3677" s="32">
        <x:v>579.97</x:v>
      </x:c>
      <x:c r="D3677" s="32">
        <x:v>573.15</x:v>
      </x:c>
      <x:c r="E3677" s="32">
        <x:v>574.41</x:v>
      </x:c>
      <x:c r="F3677" s="33">
        <x:v>95930580</x:v>
      </x:c>
      <x:c r="G3677" s="32" t="n">
        <x:f t="shared" si="162">AVERAGE(E3478:E3677)</x:f>
        <x:v>580.19445</x:v>
      </x:c>
      <x:c r="H3677" s="37" t="n">
        <x:f t="shared" si="163">IFERROR(E3677/G3677-1,"")</x:f>
        <x:v>-0.009969847177959013</x:v>
      </x:c>
      <x:c r="I3677" s="38" t="b">
        <x:f t="shared" si="164">E3677&lt;G3677</x:f>
        <x:v>1</x:v>
      </x:c>
    </x:row>
    <x:row r="3678">
      <x:c r="A3678" s="31">
        <x:v>42374</x:v>
      </x:c>
      <x:c r="B3678" s="32">
        <x:v>571.66</x:v>
      </x:c>
      <x:c r="C3678" s="32">
        <x:v>575.4</x:v>
      </x:c>
      <x:c r="D3678" s="32">
        <x:v>569.26</x:v>
      </x:c>
      <x:c r="E3678" s="32">
        <x:v>569.94000000000005</x:v>
      </x:c>
      <x:c r="F3678" s="33">
        <x:v>97997540</x:v>
      </x:c>
      <x:c r="G3678" s="32" t="n">
        <x:f t="shared" si="162">AVERAGE(E3479:E3678)</x:f>
        <x:v>580.1896999999999</x:v>
      </x:c>
      <x:c r="H3678" s="37" t="n">
        <x:f t="shared" si="163">IFERROR(E3678/G3678-1,"")</x:f>
        <x:v>-0.017666118512617235</x:v>
      </x:c>
      <x:c r="I3678" s="38" t="b">
        <x:f t="shared" si="164">E3678&lt;G3678</x:f>
        <x:v>1</x:v>
      </x:c>
    </x:row>
    <x:row r="3679">
      <x:c r="A3679" s="31">
        <x:v>42375</x:v>
      </x:c>
      <x:c r="B3679" s="32">
        <x:v>569.5</x:v>
      </x:c>
      <x:c r="C3679" s="32">
        <x:v>574.57000000000005</x:v>
      </x:c>
      <x:c r="D3679" s="32">
        <x:v>569.5</x:v>
      </x:c>
      <x:c r="E3679" s="32">
        <x:v>574.57000000000005</x:v>
      </x:c>
      <x:c r="F3679" s="33">
        <x:v>82285160</x:v>
      </x:c>
      <x:c r="G3679" s="32" t="n">
        <x:f t="shared" si="162">AVERAGE(E3480:E3679)</x:f>
        <x:v>580.2254</x:v>
      </x:c>
      <x:c r="H3679" s="37" t="n">
        <x:f t="shared" si="163">IFERROR(E3679/G3679-1,"")</x:f>
        <x:v>-0.009746901807469954</x:v>
      </x:c>
      <x:c r="I3679" s="38" t="b">
        <x:f t="shared" si="164">E3679&lt;G3679</x:f>
        <x:v>1</x:v>
      </x:c>
    </x:row>
    <x:row r="3680">
      <x:c r="A3680" s="31">
        <x:v>42376</x:v>
      </x:c>
      <x:c r="B3680" s="32">
        <x:v>570.62</x:v>
      </x:c>
      <x:c r="C3680" s="32">
        <x:v>574.57000000000005</x:v>
      </x:c>
      <x:c r="D3680" s="32">
        <x:v>561.09</x:v>
      </x:c>
      <x:c r="E3680" s="32">
        <x:v>565.36</x:v>
      </x:c>
      <x:c r="F3680" s="33">
        <x:v>140610960</x:v>
      </x:c>
      <x:c r="G3680" s="32" t="n">
        <x:f t="shared" si="162">AVERAGE(E3481:E3680)</x:f>
        <x:v>580.24755</x:v>
      </x:c>
      <x:c r="H3680" s="37" t="n">
        <x:f t="shared" si="163">IFERROR(E3680/G3680-1,"")</x:f>
        <x:v>-0.025657238880198663</x:v>
      </x:c>
      <x:c r="I3680" s="38" t="b">
        <x:f t="shared" si="164">E3680&lt;G3680</x:f>
        <x:v>1</x:v>
      </x:c>
    </x:row>
    <x:row r="3681">
      <x:c r="A3681" s="31">
        <x:v>42377</x:v>
      </x:c>
      <x:c r="B3681" s="32">
        <x:v>562.62</x:v>
      </x:c>
      <x:c r="C3681" s="32">
        <x:v>565.36</x:v>
      </x:c>
      <x:c r="D3681" s="32">
        <x:v>556.36</x:v>
      </x:c>
      <x:c r="E3681" s="32">
        <x:v>560.04999999999995</x:v>
      </x:c>
      <x:c r="F3681" s="33">
        <x:v>133652640</x:v>
      </x:c>
      <x:c r="G3681" s="32" t="n">
        <x:f t="shared" si="162">AVERAGE(E3482:E3681)</x:f>
        <x:v>580.2670000000002</x:v>
      </x:c>
      <x:c r="H3681" s="37" t="n">
        <x:f t="shared" si="163">IFERROR(E3681/G3681-1,"")</x:f>
        <x:v>-0.03484085774307377</x:v>
      </x:c>
      <x:c r="I3681" s="38" t="b">
        <x:f t="shared" si="164">E3681&lt;G3681</x:f>
        <x:v>1</x:v>
      </x:c>
    </x:row>
    <x:row r="3682">
      <x:c r="A3682" s="31">
        <x:v>42380</x:v>
      </x:c>
      <x:c r="B3682" s="32">
        <x:v>559.04999999999995</x:v>
      </x:c>
      <x:c r="C3682" s="32">
        <x:v>563.04</x:v>
      </x:c>
      <x:c r="D3682" s="32">
        <x:v>557.51</x:v>
      </x:c>
      <x:c r="E3682" s="32">
        <x:v>557.87</x:v>
      </x:c>
      <x:c r="F3682" s="33">
        <x:v>100564840</x:v>
      </x:c>
      <x:c r="G3682" s="32" t="n">
        <x:f t="shared" si="162">AVERAGE(E3483:E3682)</x:f>
        <x:v>580.29925</x:v>
      </x:c>
      <x:c r="H3682" s="37" t="n">
        <x:f t="shared" si="163">IFERROR(E3682/G3682-1,"")</x:f>
        <x:v>-0.03865117868065493</x:v>
      </x:c>
      <x:c r="I3682" s="38" t="b">
        <x:f t="shared" si="164">E3682&lt;G3682</x:f>
        <x:v>1</x:v>
      </x:c>
    </x:row>
    <x:row r="3683">
      <x:c r="A3683" s="31">
        <x:v>42381</x:v>
      </x:c>
      <x:c r="B3683" s="32">
        <x:v>557.36</x:v>
      </x:c>
      <x:c r="C3683" s="32">
        <x:v>564.26</x:v>
      </x:c>
      <x:c r="D3683" s="32">
        <x:v>557.36</x:v>
      </x:c>
      <x:c r="E3683" s="32">
        <x:v>564.26</x:v>
      </x:c>
      <x:c r="F3683" s="33">
        <x:v>101936980</x:v>
      </x:c>
      <x:c r="G3683" s="32" t="n">
        <x:f t="shared" si="162">AVERAGE(E3484:E3683)</x:f>
        <x:v>580.3946</x:v>
      </x:c>
      <x:c r="H3683" s="37" t="n">
        <x:f t="shared" si="163">IFERROR(E3683/G3683-1,"")</x:f>
        <x:v>-0.02779936270943939</x:v>
      </x:c>
      <x:c r="I3683" s="38" t="b">
        <x:f t="shared" si="164">E3683&lt;G3683</x:f>
        <x:v>1</x:v>
      </x:c>
    </x:row>
    <x:row r="3684">
      <x:c r="A3684" s="31">
        <x:v>42382</x:v>
      </x:c>
      <x:c r="B3684" s="32">
        <x:v>565.21</x:v>
      </x:c>
      <x:c r="C3684" s="32">
        <x:v>566.02</x:v>
      </x:c>
      <x:c r="D3684" s="32">
        <x:v>560.37</x:v>
      </x:c>
      <x:c r="E3684" s="32">
        <x:v>560.37</x:v>
      </x:c>
      <x:c r="F3684" s="33">
        <x:v>116482120</x:v>
      </x:c>
      <x:c r="G3684" s="32" t="n">
        <x:f t="shared" si="162">AVERAGE(E3485:E3684)</x:f>
        <x:v>580.4408</x:v>
      </x:c>
      <x:c r="H3684" s="37" t="n">
        <x:f t="shared" si="163">IFERROR(E3684/G3684-1,"")</x:f>
        <x:v>-0.03457854788981063</x:v>
      </x:c>
      <x:c r="I3684" s="38" t="b">
        <x:f t="shared" si="164">E3684&lt;G3684</x:f>
        <x:v>1</x:v>
      </x:c>
    </x:row>
    <x:row r="3685">
      <x:c r="A3685" s="31">
        <x:v>42383</x:v>
      </x:c>
      <x:c r="B3685" s="32">
        <x:v>555.88</x:v>
      </x:c>
      <x:c r="C3685" s="32">
        <x:v>560.37</x:v>
      </x:c>
      <x:c r="D3685" s="32">
        <x:v>550.6</x:v>
      </x:c>
      <x:c r="E3685" s="32">
        <x:v>553.03</x:v>
      </x:c>
      <x:c r="F3685" s="33">
        <x:v>128698360</x:v>
      </x:c>
      <x:c r="G3685" s="32" t="n">
        <x:f t="shared" si="162">AVERAGE(E3486:E3685)</x:f>
        <x:v>580.5113999999999</x:v>
      </x:c>
      <x:c r="H3685" s="37" t="n">
        <x:f t="shared" si="163">IFERROR(E3685/G3685-1,"")</x:f>
        <x:v>-0.047339983331937785</x:v>
      </x:c>
      <x:c r="I3685" s="38" t="b">
        <x:f t="shared" si="164">E3685&lt;G3685</x:f>
        <x:v>1</x:v>
      </x:c>
    </x:row>
    <x:row r="3686">
      <x:c r="A3686" s="31">
        <x:v>42384</x:v>
      </x:c>
      <x:c r="B3686" s="32">
        <x:v>554.35</x:v>
      </x:c>
      <x:c r="C3686" s="32">
        <x:v>556.54999999999995</x:v>
      </x:c>
      <x:c r="D3686" s="32">
        <x:v>543.04</x:v>
      </x:c>
      <x:c r="E3686" s="32">
        <x:v>543.04</x:v>
      </x:c>
      <x:c r="F3686" s="33">
        <x:v>119036170</x:v>
      </x:c>
      <x:c r="G3686" s="32" t="n">
        <x:f t="shared" si="162">AVERAGE(E3487:E3686)</x:f>
        <x:v>580.4923499999999</x:v>
      </x:c>
      <x:c r="H3686" s="37" t="n">
        <x:f t="shared" si="163">IFERROR(E3686/G3686-1,"")</x:f>
        <x:v>-0.06451824903463399</x:v>
      </x:c>
      <x:c r="I3686" s="38" t="b">
        <x:f t="shared" si="164">E3686&lt;G3686</x:f>
        <x:v>1</x:v>
      </x:c>
    </x:row>
    <x:row r="3687">
      <x:c r="A3687" s="31">
        <x:v>42387</x:v>
      </x:c>
      <x:c r="B3687" s="32">
        <x:v>532.54</x:v>
      </x:c>
      <x:c r="C3687" s="32">
        <x:v>543.04</x:v>
      </x:c>
      <x:c r="D3687" s="32">
        <x:v>518.16</x:v>
      </x:c>
      <x:c r="E3687" s="32">
        <x:v>526.37</x:v>
      </x:c>
      <x:c r="F3687" s="33">
        <x:v>155232200</x:v>
      </x:c>
      <x:c r="G3687" s="32" t="n">
        <x:f t="shared" si="162">AVERAGE(E3488:E3687)</x:f>
        <x:v>580.3849499999998</x:v>
      </x:c>
      <x:c r="H3687" s="37" t="n">
        <x:f t="shared" si="163">IFERROR(E3687/G3687-1,"")</x:f>
        <x:v>-0.09306745462645061</x:v>
      </x:c>
      <x:c r="I3687" s="38" t="b">
        <x:f t="shared" si="164">E3687&lt;G3687</x:f>
        <x:v>1</x:v>
      </x:c>
    </x:row>
    <x:row r="3688">
      <x:c r="A3688" s="31">
        <x:v>42388</x:v>
      </x:c>
      <x:c r="B3688" s="32">
        <x:v>525.65</x:v>
      </x:c>
      <x:c r="C3688" s="32">
        <x:v>535.77</x:v>
      </x:c>
      <x:c r="D3688" s="32">
        <x:v>525.65</x:v>
      </x:c>
      <x:c r="E3688" s="32">
        <x:v>535.77</x:v>
      </x:c>
      <x:c r="F3688" s="33">
        <x:v>113134420</x:v>
      </x:c>
      <x:c r="G3688" s="32" t="n">
        <x:f t="shared" si="162">AVERAGE(E3489:E3688)</x:f>
        <x:v>580.3489499999998</x:v>
      </x:c>
      <x:c r="H3688" s="37" t="n">
        <x:f t="shared" si="163">IFERROR(E3688/G3688-1,"")</x:f>
        <x:v>-0.07681404437795547</x:v>
      </x:c>
      <x:c r="I3688" s="38" t="b">
        <x:f t="shared" si="164">E3688&lt;G3688</x:f>
        <x:v>1</x:v>
      </x:c>
    </x:row>
    <x:row r="3689">
      <x:c r="A3689" s="31">
        <x:v>42389</x:v>
      </x:c>
      <x:c r="B3689" s="32">
        <x:v>532.80999999999995</x:v>
      </x:c>
      <x:c r="C3689" s="32">
        <x:v>536.57000000000005</x:v>
      </x:c>
      <x:c r="D3689" s="32">
        <x:v>529.41999999999996</x:v>
      </x:c>
      <x:c r="E3689" s="32">
        <x:v>529.44000000000005</x:v>
      </x:c>
      <x:c r="F3689" s="33">
        <x:v>110084630</x:v>
      </x:c>
      <x:c r="G3689" s="32" t="n">
        <x:f t="shared" si="162">AVERAGE(E3490:E3689)</x:f>
        <x:v>580.2555999999998</x:v>
      </x:c>
      <x:c r="H3689" s="37" t="n">
        <x:f t="shared" si="163">IFERROR(E3689/G3689-1,"")</x:f>
        <x:v>-0.08757451026754381</x:v>
      </x:c>
      <x:c r="I3689" s="38" t="b">
        <x:f t="shared" si="164">E3689&lt;G3689</x:f>
        <x:v>1</x:v>
      </x:c>
    </x:row>
    <x:row r="3690">
      <x:c r="A3690" s="31">
        <x:v>42390</x:v>
      </x:c>
      <x:c r="B3690" s="32">
        <x:v>529.44000000000005</x:v>
      </x:c>
      <x:c r="C3690" s="32">
        <x:v>531.21</x:v>
      </x:c>
      <x:c r="D3690" s="32">
        <x:v>520.74</x:v>
      </x:c>
      <x:c r="E3690" s="32">
        <x:v>521.88</x:v>
      </x:c>
      <x:c r="F3690" s="33">
        <x:v>139640150</x:v>
      </x:c>
      <x:c r="G3690" s="32" t="n">
        <x:f t="shared" si="162">AVERAGE(E3491:E3690)</x:f>
        <x:v>580.1263999999999</x:v>
      </x:c>
      <x:c r="H3690" s="37" t="n">
        <x:f t="shared" si="163">IFERROR(E3690/G3690-1,"")</x:f>
        <x:v>-0.10040294666817418</x:v>
      </x:c>
      <x:c r="I3690" s="38" t="b">
        <x:f t="shared" si="164">E3690&lt;G3690</x:f>
        <x:v>1</x:v>
      </x:c>
    </x:row>
    <x:row r="3691">
      <x:c r="A3691" s="31">
        <x:v>42391</x:v>
      </x:c>
      <x:c r="B3691" s="32">
        <x:v>521.88</x:v>
      </x:c>
      <x:c r="C3691" s="32">
        <x:v>525.83000000000004</x:v>
      </x:c>
      <x:c r="D3691" s="32">
        <x:v>513.82000000000005</x:v>
      </x:c>
      <x:c r="E3691" s="32">
        <x:v>522.24</x:v>
      </x:c>
      <x:c r="F3691" s="33">
        <x:v>159197830</x:v>
      </x:c>
      <x:c r="G3691" s="32" t="n">
        <x:f t="shared" si="162">AVERAGE(E3492:E3691)</x:f>
        <x:v>579.985</x:v>
      </x:c>
      <x:c r="H3691" s="37" t="n">
        <x:f t="shared" si="163">IFERROR(E3691/G3691-1,"")</x:f>
        <x:v>-0.09956291973068265</x:v>
      </x:c>
      <x:c r="I3691" s="38" t="b">
        <x:f t="shared" si="164">E3691&lt;G3691</x:f>
        <x:v>1</x:v>
      </x:c>
    </x:row>
    <x:row r="3692">
      <x:c r="A3692" s="31">
        <x:v>42394</x:v>
      </x:c>
      <x:c r="B3692" s="32">
        <x:v>522.24</x:v>
      </x:c>
      <x:c r="C3692" s="32">
        <x:v>542.35</x:v>
      </x:c>
      <x:c r="D3692" s="32">
        <x:v>522.24</x:v>
      </x:c>
      <x:c r="E3692" s="32">
        <x:v>542.35</x:v>
      </x:c>
      <x:c r="F3692" s="33">
        <x:v>141544590</x:v>
      </x:c>
      <x:c r="G3692" s="32" t="n">
        <x:f t="shared" si="162">AVERAGE(E3493:E3692)</x:f>
        <x:v>579.9266</x:v>
      </x:c>
      <x:c r="H3692" s="37" t="n">
        <x:f t="shared" si="163">IFERROR(E3692/G3692-1,"")</x:f>
        <x:v>-0.06479544135412996</x:v>
      </x:c>
      <x:c r="I3692" s="38" t="b">
        <x:f t="shared" si="164">E3692&lt;G3692</x:f>
        <x:v>1</x:v>
      </x:c>
    </x:row>
    <x:row r="3693">
      <x:c r="A3693" s="31">
        <x:v>42395</x:v>
      </x:c>
      <x:c r="B3693" s="32">
        <x:v>534.05999999999995</x:v>
      </x:c>
      <x:c r="C3693" s="32">
        <x:v>542.98</x:v>
      </x:c>
      <x:c r="D3693" s="32">
        <x:v>531.27</x:v>
      </x:c>
      <x:c r="E3693" s="32">
        <x:v>537.73</x:v>
      </x:c>
      <x:c r="F3693" s="33">
        <x:v>129406630</x:v>
      </x:c>
      <x:c r="G3693" s="32" t="n">
        <x:f t="shared" si="162">AVERAGE(E3494:E3693)</x:f>
        <x:v>579.81755</x:v>
      </x:c>
      <x:c r="H3693" s="37" t="n">
        <x:f t="shared" si="163">IFERROR(E3693/G3693-1,"")</x:f>
        <x:v>-0.07258757517774339</x:v>
      </x:c>
      <x:c r="I3693" s="38" t="b">
        <x:f t="shared" si="164">E3693&lt;G3693</x:f>
        <x:v>1</x:v>
      </x:c>
    </x:row>
    <x:row r="3694">
      <x:c r="A3694" s="31">
        <x:v>42396</x:v>
      </x:c>
      <x:c r="B3694" s="32">
        <x:v>541.17999999999995</x:v>
      </x:c>
      <x:c r="C3694" s="32">
        <x:v>543.88</x:v>
      </x:c>
      <x:c r="D3694" s="32">
        <x:v>537.73</x:v>
      </x:c>
      <x:c r="E3694" s="32">
        <x:v>542.69000000000005</x:v>
      </x:c>
      <x:c r="F3694" s="33">
        <x:v>113837250</x:v>
      </x:c>
      <x:c r="G3694" s="32" t="n">
        <x:f t="shared" si="162">AVERAGE(E3495:E3694)</x:f>
        <x:v>579.73765</x:v>
      </x:c>
      <x:c r="H3694" s="37" t="n">
        <x:f t="shared" si="163">IFERROR(E3694/G3694-1,"")</x:f>
        <x:v>-0.06390416423704748</x:v>
      </x:c>
      <x:c r="I3694" s="38" t="b">
        <x:f t="shared" si="164">E3694&lt;G3694</x:f>
        <x:v>1</x:v>
      </x:c>
    </x:row>
    <x:row r="3695">
      <x:c r="A3695" s="31">
        <x:v>42397</x:v>
      </x:c>
      <x:c r="B3695" s="32">
        <x:v>542.01</x:v>
      </x:c>
      <x:c r="C3695" s="32">
        <x:v>544.73</x:v>
      </x:c>
      <x:c r="D3695" s="32">
        <x:v>538.59</x:v>
      </x:c>
      <x:c r="E3695" s="32">
        <x:v>539.47</x:v>
      </x:c>
      <x:c r="F3695" s="33">
        <x:v>107972910</x:v>
      </x:c>
      <x:c r="G3695" s="32" t="n">
        <x:f t="shared" si="162">AVERAGE(E3496:E3695)</x:f>
        <x:v>579.6125</x:v>
      </x:c>
      <x:c r="H3695" s="37" t="n">
        <x:f t="shared" si="163">IFERROR(E3695/G3695-1,"")</x:f>
        <x:v>-0.06925747805645999</x:v>
      </x:c>
      <x:c r="I3695" s="38" t="b">
        <x:f t="shared" si="164">E3695&lt;G3695</x:f>
        <x:v>1</x:v>
      </x:c>
    </x:row>
    <x:row r="3696">
      <x:c r="A3696" s="31">
        <x:v>42398</x:v>
      </x:c>
      <x:c r="B3696" s="32">
        <x:v>539.96</x:v>
      </x:c>
      <x:c r="C3696" s="32">
        <x:v>545.71</x:v>
      </x:c>
      <x:c r="D3696" s="32">
        <x:v>537.51</x:v>
      </x:c>
      <x:c r="E3696" s="32">
        <x:v>545.25</x:v>
      </x:c>
      <x:c r="F3696" s="33">
        <x:v>98772890</x:v>
      </x:c>
      <x:c r="G3696" s="32" t="n">
        <x:f t="shared" si="162">AVERAGE(E3497:E3696)</x:f>
        <x:v>579.49735</x:v>
      </x:c>
      <x:c r="H3696" s="37" t="n">
        <x:f t="shared" si="163">IFERROR(E3696/G3696-1,"")</x:f>
        <x:v>-0.05909837206330626</x:v>
      </x:c>
      <x:c r="I3696" s="38" t="b">
        <x:f t="shared" si="164">E3696&lt;G3696</x:f>
        <x:v>1</x:v>
      </x:c>
    </x:row>
    <x:row r="3697">
      <x:c r="A3697" s="31">
        <x:v>42401</x:v>
      </x:c>
      <x:c r="B3697" s="32">
        <x:v>545.27</x:v>
      </x:c>
      <x:c r="C3697" s="32">
        <x:v>548.58000000000004</x:v>
      </x:c>
      <x:c r="D3697" s="32">
        <x:v>540.55999999999995</x:v>
      </x:c>
      <x:c r="E3697" s="32">
        <x:v>540.55999999999995</x:v>
      </x:c>
      <x:c r="F3697" s="33">
        <x:v>91516390</x:v>
      </x:c>
      <x:c r="G3697" s="32" t="n">
        <x:f t="shared" si="162">AVERAGE(E3498:E3697)</x:f>
        <x:v>579.3585499999999</x:v>
      </x:c>
      <x:c r="H3697" s="37" t="n">
        <x:f t="shared" si="163">IFERROR(E3697/G3697-1,"")</x:f>
        <x:v>-0.06696811499545485</x:v>
      </x:c>
      <x:c r="I3697" s="38" t="b">
        <x:f t="shared" si="164">E3697&lt;G3697</x:f>
        <x:v>1</x:v>
      </x:c>
    </x:row>
    <x:row r="3698">
      <x:c r="A3698" s="31">
        <x:v>42402</x:v>
      </x:c>
      <x:c r="B3698" s="32">
        <x:v>537.71</x:v>
      </x:c>
      <x:c r="C3698" s="32">
        <x:v>542.26</x:v>
      </x:c>
      <x:c r="D3698" s="32">
        <x:v>535.38</x:v>
      </x:c>
      <x:c r="E3698" s="32">
        <x:v>536.45000000000005</x:v>
      </x:c>
      <x:c r="F3698" s="33">
        <x:v>81857900</x:v>
      </x:c>
      <x:c r="G3698" s="32" t="n">
        <x:f t="shared" si="162">AVERAGE(E3499:E3698)</x:f>
        <x:v>579.2155999999999</x:v>
      </x:c>
      <x:c r="H3698" s="37" t="n">
        <x:f t="shared" si="163">IFERROR(E3698/G3698-1,"")</x:f>
        <x:v>-0.07383364674570203</x:v>
      </x:c>
      <x:c r="I3698" s="38" t="b">
        <x:f t="shared" si="164">E3698&lt;G3698</x:f>
        <x:v>1</x:v>
      </x:c>
    </x:row>
    <x:row r="3699">
      <x:c r="A3699" s="31">
        <x:v>42403</x:v>
      </x:c>
      <x:c r="B3699" s="32">
        <x:v>531.11</x:v>
      </x:c>
      <x:c r="C3699" s="32">
        <x:v>539.07000000000005</x:v>
      </x:c>
      <x:c r="D3699" s="32">
        <x:v>530.23</x:v>
      </x:c>
      <x:c r="E3699" s="32">
        <x:v>539.07000000000005</x:v>
      </x:c>
      <x:c r="F3699" s="33">
        <x:v>72488010</x:v>
      </x:c>
      <x:c r="G3699" s="32" t="n">
        <x:f t="shared" si="162">AVERAGE(E3500:E3699)</x:f>
        <x:v>579.09975</x:v>
      </x:c>
      <x:c r="H3699" s="37" t="n">
        <x:f t="shared" si="163">IFERROR(E3699/G3699-1,"")</x:f>
        <x:v>-0.06912410167678351</x:v>
      </x:c>
      <x:c r="I3699" s="38" t="b">
        <x:f t="shared" si="164">E3699&lt;G3699</x:f>
        <x:v>1</x:v>
      </x:c>
    </x:row>
    <x:row r="3700">
      <x:c r="A3700" s="31">
        <x:v>42404</x:v>
      </x:c>
      <x:c r="B3700" s="32">
        <x:v>542.91</x:v>
      </x:c>
      <x:c r="C3700" s="32">
        <x:v>545.16999999999996</x:v>
      </x:c>
      <x:c r="D3700" s="32">
        <x:v>539.07000000000005</x:v>
      </x:c>
      <x:c r="E3700" s="32">
        <x:v>542.15</x:v>
      </x:c>
      <x:c r="F3700" s="33">
        <x:v>58991600</x:v>
      </x:c>
      <x:c r="G3700" s="32" t="n">
        <x:f t="shared" si="162">AVERAGE(E3501:E3700)</x:f>
        <x:v>578.99795</x:v>
      </x:c>
      <x:c r="H3700" s="37" t="n">
        <x:f t="shared" si="163">IFERROR(E3700/G3700-1,"")</x:f>
        <x:v>-0.06364089890128277</x:v>
      </x:c>
      <x:c r="I3700" s="38" t="b">
        <x:f t="shared" si="164">E3700&lt;G3700</x:f>
        <x:v>1</x:v>
      </x:c>
    </x:row>
    <x:row r="3701">
      <x:c r="A3701" s="31">
        <x:v>42405</x:v>
      </x:c>
      <x:c r="B3701" s="32">
        <x:v>540.64</x:v>
      </x:c>
      <x:c r="C3701" s="32">
        <x:v>545.54</x:v>
      </x:c>
      <x:c r="D3701" s="32">
        <x:v>540.64</x:v>
      </x:c>
      <x:c r="E3701" s="32">
        <x:v>544.75</x:v>
      </x:c>
      <x:c r="F3701" s="33">
        <x:v>58916530</x:v>
      </x:c>
      <x:c r="G3701" s="32" t="n">
        <x:f t="shared" si="162">AVERAGE(E3502:E3701)</x:f>
        <x:v>578.91545</x:v>
      </x:c>
      <x:c r="H3701" s="37" t="n">
        <x:f t="shared" si="163">IFERROR(E3701/G3701-1,"")</x:f>
        <x:v>-0.05901630367612398</x:v>
      </x:c>
      <x:c r="I3701" s="38" t="b">
        <x:f t="shared" si="164">E3701&lt;G3701</x:f>
        <x:v>1</x:v>
      </x:c>
    </x:row>
    <x:row r="3702">
      <x:c r="A3702" s="31">
        <x:v>42415</x:v>
      </x:c>
      <x:c r="B3702" s="32">
        <x:v>540.13</x:v>
      </x:c>
      <x:c r="C3702" s="32">
        <x:v>544.75</x:v>
      </x:c>
      <x:c r="D3702" s="32">
        <x:v>537.80999999999995</x:v>
      </x:c>
      <x:c r="E3702" s="32">
        <x:v>543.79</x:v>
      </x:c>
      <x:c r="F3702" s="33">
        <x:v>63716290</x:v>
      </x:c>
      <x:c r="G3702" s="32" t="n">
        <x:f t="shared" si="162">AVERAGE(E3503:E3702)</x:f>
        <x:v>578.8055499999999</x:v>
      </x:c>
      <x:c r="H3702" s="37" t="n">
        <x:f t="shared" si="163">IFERROR(E3702/G3702-1,"")</x:f>
        <x:v>-0.06049622364540208</x:v>
      </x:c>
      <x:c r="I3702" s="38" t="b">
        <x:f t="shared" si="164">E3702&lt;G3702</x:f>
        <x:v>1</x:v>
      </x:c>
    </x:row>
    <x:row r="3703">
      <x:c r="A3703" s="31">
        <x:v>42416</x:v>
      </x:c>
      <x:c r="B3703" s="32">
        <x:v>545.72</x:v>
      </x:c>
      <x:c r="C3703" s="32">
        <x:v>548.89</x:v>
      </x:c>
      <x:c r="D3703" s="32">
        <x:v>543.79</x:v>
      </x:c>
      <x:c r="E3703" s="32">
        <x:v>548.04999999999995</x:v>
      </x:c>
      <x:c r="F3703" s="33">
        <x:v>101448930</x:v>
      </x:c>
      <x:c r="G3703" s="32" t="n">
        <x:f t="shared" si="162">AVERAGE(E3504:E3703)</x:f>
        <x:v>578.7338</x:v>
      </x:c>
      <x:c r="H3703" s="37" t="n">
        <x:f t="shared" si="163">IFERROR(E3703/G3703-1,"")</x:f>
        <x:v>-0.05301884908052723</x:v>
      </x:c>
      <x:c r="I3703" s="38" t="b">
        <x:f t="shared" si="164">E3703&lt;G3703</x:f>
        <x:v>1</x:v>
      </x:c>
    </x:row>
    <x:row r="3704">
      <x:c r="A3704" s="31">
        <x:v>42417</x:v>
      </x:c>
      <x:c r="B3704" s="32">
        <x:v>551.38</x:v>
      </x:c>
      <x:c r="C3704" s="32">
        <x:v>552.38</x:v>
      </x:c>
      <x:c r="D3704" s="32">
        <x:v>547.04999999999995</x:v>
      </x:c>
      <x:c r="E3704" s="32">
        <x:v>547.04999999999995</x:v>
      </x:c>
      <x:c r="F3704" s="33">
        <x:v>108235660</x:v>
      </x:c>
      <x:c r="G3704" s="32" t="n">
        <x:f t="shared" si="162">AVERAGE(E3505:E3704)</x:f>
        <x:v>578.7436499999999</x:v>
      </x:c>
      <x:c r="H3704" s="37" t="n">
        <x:f t="shared" si="163">IFERROR(E3704/G3704-1,"")</x:f>
        <x:v>-0.05476284707400236</x:v>
      </x:c>
      <x:c r="I3704" s="38" t="b">
        <x:f t="shared" si="164">E3704&lt;G3704</x:f>
        <x:v>1</x:v>
      </x:c>
    </x:row>
    <x:row r="3705">
      <x:c r="A3705" s="31">
        <x:v>42418</x:v>
      </x:c>
      <x:c r="B3705" s="32">
        <x:v>550.51</x:v>
      </x:c>
      <x:c r="C3705" s="32">
        <x:v>555.04999999999995</x:v>
      </x:c>
      <x:c r="D3705" s="32">
        <x:v>547.04999999999995</x:v>
      </x:c>
      <x:c r="E3705" s="32">
        <x:v>552.49</x:v>
      </x:c>
      <x:c r="F3705" s="33">
        <x:v>105390240</x:v>
      </x:c>
      <x:c r="G3705" s="32" t="n">
        <x:f t="shared" si="162">AVERAGE(E3506:E3705)</x:f>
        <x:v>578.7428499999999</x:v>
      </x:c>
      <x:c r="H3705" s="37" t="n">
        <x:f t="shared" si="163">IFERROR(E3705/G3705-1,"")</x:f>
        <x:v>-0.045361856306302295</x:v>
      </x:c>
      <x:c r="I3705" s="38" t="b">
        <x:f t="shared" si="164">E3705&lt;G3705</x:f>
        <x:v>1</x:v>
      </x:c>
    </x:row>
    <x:row r="3706">
      <x:c r="A3706" s="31">
        <x:v>42419</x:v>
      </x:c>
      <x:c r="B3706" s="32">
        <x:v>552.37</x:v>
      </x:c>
      <x:c r="C3706" s="32">
        <x:v>555.16</x:v>
      </x:c>
      <x:c r="D3706" s="32">
        <x:v>551.38</x:v>
      </x:c>
      <x:c r="E3706" s="32">
        <x:v>554.03</x:v>
      </x:c>
      <x:c r="F3706" s="33">
        <x:v>176932600</x:v>
      </x:c>
      <x:c r="G3706" s="32" t="n">
        <x:f t="shared" si="162">AVERAGE(E3507:E3706)</x:f>
        <x:v>578.7665</x:v>
      </x:c>
      <x:c r="H3706" s="37" t="n">
        <x:f t="shared" si="163">IFERROR(E3706/G3706-1,"")</x:f>
        <x:v>-0.04274003419340955</x:v>
      </x:c>
      <x:c r="I3706" s="38" t="b">
        <x:f t="shared" si="164">E3706&lt;G3706</x:f>
        <x:v>1</x:v>
      </x:c>
    </x:row>
    <x:row r="3707">
      <x:c r="A3707" s="31">
        <x:v>42422</x:v>
      </x:c>
      <x:c r="B3707" s="32">
        <x:v>555.30999999999995</x:v>
      </x:c>
      <x:c r="C3707" s="32">
        <x:v>561.44000000000005</x:v>
      </x:c>
      <x:c r="D3707" s="32">
        <x:v>554.03</x:v>
      </x:c>
      <x:c r="E3707" s="32">
        <x:v>560.71</x:v>
      </x:c>
      <x:c r="F3707" s="33">
        <x:v>146133920</x:v>
      </x:c>
      <x:c r="G3707" s="32" t="n">
        <x:f t="shared" si="162">AVERAGE(E3508:E3707)</x:f>
        <x:v>578.8051499999999</x:v>
      </x:c>
      <x:c r="H3707" s="37" t="n">
        <x:f t="shared" si="163">IFERROR(E3707/G3707-1,"")</x:f>
        <x:v>-0.031262938831832954</x:v>
      </x:c>
      <x:c r="I3707" s="38" t="b">
        <x:f t="shared" si="164">E3707&lt;G3707</x:f>
        <x:v>1</x:v>
      </x:c>
    </x:row>
    <x:row r="3708">
      <x:c r="A3708" s="31">
        <x:v>42423</x:v>
      </x:c>
      <x:c r="B3708" s="32">
        <x:v>564.75</x:v>
      </x:c>
      <x:c r="C3708" s="32">
        <x:v>567.58000000000004</x:v>
      </x:c>
      <x:c r="D3708" s="32">
        <x:v>560.71</x:v>
      </x:c>
      <x:c r="E3708" s="32">
        <x:v>561.28</x:v>
      </x:c>
      <x:c r="F3708" s="33">
        <x:v>151169460</x:v>
      </x:c>
      <x:c r="G3708" s="32" t="n">
        <x:f t="shared" si="162">AVERAGE(E3509:E3708)</x:f>
        <x:v>578.8389999999999</x:v>
      </x:c>
      <x:c r="H3708" s="37" t="n">
        <x:f t="shared" si="163">IFERROR(E3708/G3708-1,"")</x:f>
        <x:v>-0.03033485995242191</x:v>
      </x:c>
      <x:c r="I3708" s="38" t="b">
        <x:f t="shared" si="164">E3708&lt;G3708</x:f>
        <x:v>1</x:v>
      </x:c>
    </x:row>
    <x:row r="3709">
      <x:c r="A3709" s="31">
        <x:v>42424</x:v>
      </x:c>
      <x:c r="B3709" s="32">
        <x:v>559.48</x:v>
      </x:c>
      <x:c r="C3709" s="32">
        <x:v>569.70000000000005</x:v>
      </x:c>
      <x:c r="D3709" s="32">
        <x:v>557.77</x:v>
      </x:c>
      <x:c r="E3709" s="32">
        <x:v>568.04</x:v>
      </x:c>
      <x:c r="F3709" s="33">
        <x:v>150465740</x:v>
      </x:c>
      <x:c r="G3709" s="32" t="n">
        <x:f t="shared" si="162">AVERAGE(E3510:E3709)</x:f>
        <x:v>578.92085</x:v>
      </x:c>
      <x:c r="H3709" s="37" t="n">
        <x:f t="shared" si="163">IFERROR(E3709/G3709-1,"")</x:f>
        <x:v>-0.018795056353558492</x:v>
      </x:c>
      <x:c r="I3709" s="38" t="b">
        <x:f t="shared" si="164">E3709&lt;G3709</x:f>
        <x:v>1</x:v>
      </x:c>
    </x:row>
    <x:row r="3710">
      <x:c r="A3710" s="31">
        <x:v>42425</x:v>
      </x:c>
      <x:c r="B3710" s="32">
        <x:v>571.15</x:v>
      </x:c>
      <x:c r="C3710" s="32">
        <x:v>573.63</x:v>
      </x:c>
      <x:c r="D3710" s="32">
        <x:v>562.82000000000005</x:v>
      </x:c>
      <x:c r="E3710" s="32">
        <x:v>562.82000000000005</x:v>
      </x:c>
      <x:c r="F3710" s="33">
        <x:v>128761360</x:v>
      </x:c>
      <x:c r="G3710" s="32" t="n">
        <x:f t="shared" si="162">AVERAGE(E3511:E3710)</x:f>
        <x:v>579.0129</x:v>
      </x:c>
      <x:c r="H3710" s="37" t="n">
        <x:f t="shared" si="163">IFERROR(E3710/G3710-1,"")</x:f>
        <x:v>-0.027966389004458914</x:v>
      </x:c>
      <x:c r="I3710" s="38" t="b">
        <x:f t="shared" si="164">E3710&lt;G3710</x:f>
        <x:v>1</x:v>
      </x:c>
    </x:row>
    <x:row r="3711">
      <x:c r="A3711" s="31">
        <x:v>42426</x:v>
      </x:c>
      <x:c r="B3711" s="32">
        <x:v>565.61</x:v>
      </x:c>
      <x:c r="C3711" s="32">
        <x:v>566.79999999999995</x:v>
      </x:c>
      <x:c r="D3711" s="32">
        <x:v>562.39</x:v>
      </x:c>
      <x:c r="E3711" s="32">
        <x:v>566.11</x:v>
      </x:c>
      <x:c r="F3711" s="33">
        <x:v>96285500</x:v>
      </x:c>
      <x:c r="G3711" s="32" t="n">
        <x:f t="shared" si="162">AVERAGE(E3512:E3711)</x:f>
        <x:v>579.1293499999999</x:v>
      </x:c>
      <x:c r="H3711" s="37" t="n">
        <x:f t="shared" si="163">IFERROR(E3711/G3711-1,"")</x:f>
        <x:v>-0.022480901719106328</x:v>
      </x:c>
      <x:c r="I3711" s="38" t="b">
        <x:f t="shared" si="164">E3711&lt;G3711</x:f>
        <x:v>1</x:v>
      </x:c>
    </x:row>
    <x:row r="3712">
      <x:c r="A3712" s="31">
        <x:v>42429</x:v>
      </x:c>
      <x:c r="B3712" s="32">
        <x:v>565.61</x:v>
      </x:c>
      <x:c r="C3712" s="32">
        <x:v>566.30999999999995</x:v>
      </x:c>
      <x:c r="D3712" s="32">
        <x:v>559.37</x:v>
      </x:c>
      <x:c r="E3712" s="32">
        <x:v>559.37</x:v>
      </x:c>
      <x:c r="F3712" s="33">
        <x:v>116967700</x:v>
      </x:c>
      <x:c r="G3712" s="32" t="n">
        <x:f t="shared" si="162">AVERAGE(E3513:E3712)</x:f>
        <x:v>579.2077499999999</x:v>
      </x:c>
      <x:c r="H3712" s="37" t="n">
        <x:f t="shared" si="163">IFERROR(E3712/G3712-1,"")</x:f>
        <x:v>-0.03424980069759065</x:v>
      </x:c>
      <x:c r="I3712" s="38" t="b">
        <x:f t="shared" si="164">E3712&lt;G3712</x:f>
        <x:v>1</x:v>
      </x:c>
    </x:row>
    <x:row r="3713">
      <x:c r="A3713" s="31">
        <x:v>42430</x:v>
      </x:c>
      <x:c r="B3713" s="32">
        <x:v>560.03</x:v>
      </x:c>
      <x:c r="C3713" s="32">
        <x:v>565.65</x:v>
      </x:c>
      <x:c r="D3713" s="32">
        <x:v>559.37</x:v>
      </x:c>
      <x:c r="E3713" s="32">
        <x:v>561.55999999999995</x:v>
      </x:c>
      <x:c r="F3713" s="33">
        <x:v>115276230</x:v>
      </x:c>
      <x:c r="G3713" s="32" t="n">
        <x:f t="shared" si="162">AVERAGE(E3514:E3713)</x:f>
        <x:v>579.3283499999999</x:v>
      </x:c>
      <x:c r="H3713" s="37" t="n">
        <x:f t="shared" si="163">IFERROR(E3713/G3713-1,"")</x:f>
        <x:v>-0.030670603294314813</x:v>
      </x:c>
      <x:c r="I3713" s="38" t="b">
        <x:f t="shared" si="164">E3713&lt;G3713</x:f>
        <x:v>1</x:v>
      </x:c>
    </x:row>
    <x:row r="3714">
      <x:c r="A3714" s="31">
        <x:v>42431</x:v>
      </x:c>
      <x:c r="B3714" s="32">
        <x:v>564.85</x:v>
      </x:c>
      <x:c r="C3714" s="32">
        <x:v>570.17999999999995</x:v>
      </x:c>
      <x:c r="D3714" s="32">
        <x:v>561.55999999999995</x:v>
      </x:c>
      <x:c r="E3714" s="32">
        <x:v>570.17999999999995</x:v>
      </x:c>
      <x:c r="F3714" s="33">
        <x:v>140295650</x:v>
      </x:c>
      <x:c r="G3714" s="32" t="n">
        <x:f t="shared" si="162">AVERAGE(E3515:E3714)</x:f>
        <x:v>579.5344999999999</x:v>
      </x:c>
      <x:c r="H3714" s="37" t="n">
        <x:f t="shared" si="163">IFERROR(E3714/G3714-1,"")</x:f>
        <x:v>-0.016141403143384747</x:v>
      </x:c>
      <x:c r="I3714" s="38" t="b">
        <x:f t="shared" si="164">E3714&lt;G3714</x:f>
        <x:v>1</x:v>
      </x:c>
    </x:row>
    <x:row r="3715">
      <x:c r="A3715" s="31">
        <x:v>42432</x:v>
      </x:c>
      <x:c r="B3715" s="32">
        <x:v>573.05999999999995</x:v>
      </x:c>
      <x:c r="C3715" s="32">
        <x:v>573.88</x:v>
      </x:c>
      <x:c r="D3715" s="32">
        <x:v>569.39</x:v>
      </x:c>
      <x:c r="E3715" s="32">
        <x:v>570.39</x:v>
      </x:c>
      <x:c r="F3715" s="33">
        <x:v>121565340</x:v>
      </x:c>
      <x:c r="G3715" s="32" t="n">
        <x:f t="shared" si="162">AVERAGE(E3516:E3715)</x:f>
        <x:v>579.7023499999999</x:v>
      </x:c>
      <x:c r="H3715" s="37" t="n">
        <x:f t="shared" si="163">IFERROR(E3715/G3715-1,"")</x:f>
        <x:v>-0.016064019750825498</x:v>
      </x:c>
      <x:c r="I3715" s="38" t="b">
        <x:f t="shared" si="164">E3715&lt;G3715</x:f>
        <x:v>1</x:v>
      </x:c>
    </x:row>
    <x:row r="3716">
      <x:c r="A3716" s="31">
        <x:v>42433</x:v>
      </x:c>
      <x:c r="B3716" s="32">
        <x:v>570.17999999999995</x:v>
      </x:c>
      <x:c r="C3716" s="32">
        <x:v>576.02</x:v>
      </x:c>
      <x:c r="D3716" s="32">
        <x:v>568.83000000000004</x:v>
      </x:c>
      <x:c r="E3716" s="32">
        <x:v>573.65</x:v>
      </x:c>
      <x:c r="F3716" s="33">
        <x:v>131099670</x:v>
      </x:c>
      <x:c r="G3716" s="32" t="n">
        <x:f t="shared" si="162">AVERAGE(E3517:E3716)</x:f>
        <x:v>579.8200999999997</x:v>
      </x:c>
      <x:c r="H3716" s="37" t="n">
        <x:f t="shared" si="163">IFERROR(E3716/G3716-1,"")</x:f>
        <x:v>-0.010641404118276854</x:v>
      </x:c>
      <x:c r="I3716" s="38" t="b">
        <x:f t="shared" si="164">E3716&lt;G3716</x:f>
        <x:v>1</x:v>
      </x:c>
    </x:row>
    <x:row r="3717">
      <x:c r="A3717" s="31">
        <x:v>42436</x:v>
      </x:c>
      <x:c r="B3717" s="32">
        <x:v>575.76</x:v>
      </x:c>
      <x:c r="C3717" s="32">
        <x:v>580.95000000000005</x:v>
      </x:c>
      <x:c r="D3717" s="32">
        <x:v>573.65</x:v>
      </x:c>
      <x:c r="E3717" s="32">
        <x:v>576.20000000000005</x:v>
      </x:c>
      <x:c r="F3717" s="33">
        <x:v>154505980</x:v>
      </x:c>
      <x:c r="G3717" s="32" t="n">
        <x:f t="shared" si="162">AVERAGE(E3518:E3717)</x:f>
        <x:v>579.9382999999997</x:v>
      </x:c>
      <x:c r="H3717" s="37" t="n">
        <x:f t="shared" si="163">IFERROR(E3717/G3717-1,"")</x:f>
        <x:v>-0.006446030551870208</x:v>
      </x:c>
      <x:c r="I3717" s="38" t="b">
        <x:f t="shared" si="164">E3717&lt;G3717</x:f>
        <x:v>1</x:v>
      </x:c>
    </x:row>
    <x:row r="3718">
      <x:c r="A3718" s="31">
        <x:v>42437</x:v>
      </x:c>
      <x:c r="B3718" s="32">
        <x:v>576.75</x:v>
      </x:c>
      <x:c r="C3718" s="32">
        <x:v>579.87</x:v>
      </x:c>
      <x:c r="D3718" s="32">
        <x:v>574.53</x:v>
      </x:c>
      <x:c r="E3718" s="32">
        <x:v>574.71</x:v>
      </x:c>
      <x:c r="F3718" s="33">
        <x:v>141443700</x:v>
      </x:c>
      <x:c r="G3718" s="32" t="n">
        <x:f t="shared" si="162">AVERAGE(E3519:E3718)</x:f>
        <x:v>580.0027499999998</x:v>
      </x:c>
      <x:c r="H3718" s="37" t="n">
        <x:f t="shared" si="163">IFERROR(E3718/G3718-1,"")</x:f>
        <x:v>-0.009125387767557558</x:v>
      </x:c>
      <x:c r="I3718" s="38" t="b">
        <x:f t="shared" si="164">E3718&lt;G3718</x:f>
        <x:v>1</x:v>
      </x:c>
    </x:row>
    <x:row r="3719">
      <x:c r="A3719" s="31">
        <x:v>42438</x:v>
      </x:c>
      <x:c r="B3719" s="32">
        <x:v>573.47</x:v>
      </x:c>
      <x:c r="C3719" s="32">
        <x:v>576.32000000000005</x:v>
      </x:c>
      <x:c r="D3719" s="32">
        <x:v>571.48</x:v>
      </x:c>
      <x:c r="E3719" s="32">
        <x:v>571.71</x:v>
      </x:c>
      <x:c r="F3719" s="33">
        <x:v>118988380</x:v>
      </x:c>
      <x:c r="G3719" s="32" t="n">
        <x:f t="shared" si="162">AVERAGE(E3520:E3719)</x:f>
        <x:v>580.0462999999999</x:v>
      </x:c>
      <x:c r="H3719" s="37" t="n">
        <x:f t="shared" si="163">IFERROR(E3719/G3719-1,"")</x:f>
        <x:v>-0.014371783769674629</x:v>
      </x:c>
      <x:c r="I3719" s="38" t="b">
        <x:f t="shared" si="164">E3719&lt;G3719</x:f>
        <x:v>1</x:v>
      </x:c>
    </x:row>
    <x:row r="3720">
      <x:c r="A3720" s="31">
        <x:v>42439</x:v>
      </x:c>
      <x:c r="B3720" s="32">
        <x:v>574.07000000000005</x:v>
      </x:c>
      <x:c r="C3720" s="32">
        <x:v>575.91</x:v>
      </x:c>
      <x:c r="D3720" s="32">
        <x:v>571.52</x:v>
      </x:c>
      <x:c r="E3720" s="32">
        <x:v>575.91</x:v>
      </x:c>
      <x:c r="F3720" s="33">
        <x:v>118002950</x:v>
      </x:c>
      <x:c r="G3720" s="32" t="n">
        <x:f t="shared" si="162">AVERAGE(E3521:E3720)</x:f>
        <x:v>580.0898499999998</x:v>
      </x:c>
      <x:c r="H3720" s="37" t="n">
        <x:f t="shared" si="163">IFERROR(E3720/G3720-1,"")</x:f>
        <x:v>-0.007205521696337036</x:v>
      </x:c>
      <x:c r="I3720" s="38" t="b">
        <x:f t="shared" si="164">E3720&lt;G3720</x:f>
        <x:v>1</x:v>
      </x:c>
    </x:row>
    <x:row r="3721">
      <x:c r="A3721" s="31">
        <x:v>42440</x:v>
      </x:c>
      <x:c r="B3721" s="32">
        <x:v>576.12</x:v>
      </x:c>
      <x:c r="C3721" s="32">
        <x:v>580.92999999999995</x:v>
      </x:c>
      <x:c r="D3721" s="32">
        <x:v>574.80999999999995</x:v>
      </x:c>
      <x:c r="E3721" s="32">
        <x:v>577.26</x:v>
      </x:c>
      <x:c r="F3721" s="33">
        <x:v>134136630</x:v>
      </x:c>
      <x:c r="G3721" s="32" t="n">
        <x:f t="shared" si="162">AVERAGE(E3522:E3721)</x:f>
        <x:v>580.1437499999997</x:v>
      </x:c>
      <x:c r="H3721" s="37" t="n">
        <x:f t="shared" si="163">IFERROR(E3721/G3721-1,"")</x:f>
        <x:v>-0.0049707507837493115</x:v>
      </x:c>
      <x:c r="I3721" s="38" t="b">
        <x:f t="shared" si="164">E3721&lt;G3721</x:f>
        <x:v>1</x:v>
      </x:c>
    </x:row>
    <x:row r="3722">
      <x:c r="A3722" s="31">
        <x:v>42443</x:v>
      </x:c>
      <x:c r="B3722" s="32">
        <x:v>579.61</x:v>
      </x:c>
      <x:c r="C3722" s="32">
        <x:v>579.84</x:v>
      </x:c>
      <x:c r="D3722" s="32">
        <x:v>576.26</x:v>
      </x:c>
      <x:c r="E3722" s="32">
        <x:v>577.98</x:v>
      </x:c>
      <x:c r="F3722" s="33">
        <x:v>122214350</x:v>
      </x:c>
      <x:c r="G3722" s="32" t="n">
        <x:f t="shared" si="162">AVERAGE(E3523:E3722)</x:f>
        <x:v>580.1687999999998</x:v>
      </x:c>
      <x:c r="H3722" s="37" t="n">
        <x:f t="shared" si="163">IFERROR(E3722/G3722-1,"")</x:f>
        <x:v>-0.0037726951190752978</x:v>
      </x:c>
      <x:c r="I3722" s="38" t="b">
        <x:f t="shared" si="164">E3722&lt;G3722</x:f>
        <x:v>1</x:v>
      </x:c>
    </x:row>
    <x:row r="3723">
      <x:c r="A3723" s="31">
        <x:v>42444</x:v>
      </x:c>
      <x:c r="B3723" s="32">
        <x:v>577.98</x:v>
      </x:c>
      <x:c r="C3723" s="32">
        <x:v>578.96</x:v>
      </x:c>
      <x:c r="D3723" s="32">
        <x:v>572.59</x:v>
      </x:c>
      <x:c r="E3723" s="32">
        <x:v>574.04</x:v>
      </x:c>
      <x:c r="F3723" s="33">
        <x:v>138716120</x:v>
      </x:c>
      <x:c r="G3723" s="32" t="n">
        <x:f t="shared" si="162">AVERAGE(E3524:E3723)</x:f>
        <x:v>580.1911999999998</x:v>
      </x:c>
      <x:c r="H3723" s="37" t="n">
        <x:f t="shared" si="163">IFERROR(E3723/G3723-1,"")</x:f>
        <x:v>-0.0106020222299128</x:v>
      </x:c>
      <x:c r="I3723" s="38" t="b">
        <x:f t="shared" si="164">E3723&lt;G3723</x:f>
        <x:v>1</x:v>
      </x:c>
    </x:row>
    <x:row r="3724">
      <x:c r="A3724" s="31">
        <x:v>42445</x:v>
      </x:c>
      <x:c r="B3724" s="32">
        <x:v>573.88</x:v>
      </x:c>
      <x:c r="C3724" s="32">
        <x:v>577.96</x:v>
      </x:c>
      <x:c r="D3724" s="32">
        <x:v>573.37</x:v>
      </x:c>
      <x:c r="E3724" s="32">
        <x:v>577.07000000000005</x:v>
      </x:c>
      <x:c r="F3724" s="33">
        <x:v>138524560</x:v>
      </x:c>
      <x:c r="G3724" s="32" t="n">
        <x:f t="shared" si="162">AVERAGE(E3525:E3724)</x:f>
        <x:v>580.2016499999997</x:v>
      </x:c>
      <x:c r="H3724" s="37" t="n">
        <x:f t="shared" si="163">IFERROR(E3724/G3724-1,"")</x:f>
        <x:v>-0.005397519982922705</x:v>
      </x:c>
      <x:c r="I3724" s="38" t="b">
        <x:f t="shared" si="164">E3724&lt;G3724</x:f>
        <x:v>1</x:v>
      </x:c>
    </x:row>
    <x:row r="3725">
      <x:c r="A3725" s="31">
        <x:v>42446</x:v>
      </x:c>
      <x:c r="B3725" s="32">
        <x:v>581.54999999999995</x:v>
      </x:c>
      <x:c r="C3725" s="32">
        <x:v>583.53</x:v>
      </x:c>
      <x:c r="D3725" s="32">
        <x:v>577.07000000000005</x:v>
      </x:c>
      <x:c r="E3725" s="32">
        <x:v>579.26</x:v>
      </x:c>
      <x:c r="F3725" s="33">
        <x:v>138979600</x:v>
      </x:c>
      <x:c r="G3725" s="32" t="n">
        <x:f t="shared" ref="G3725:G3788" si="165">AVERAGE(E3526:E3725)</x:f>
        <x:v>580.2463999999997</x:v>
      </x:c>
      <x:c r="H3725" s="37" t="n">
        <x:f t="shared" ref="H3725:H3788" si="166">IFERROR(E3725/G3725-1,"")</x:f>
        <x:v>-0.0016999674620983285</x:v>
      </x:c>
      <x:c r="I3725" s="38" t="b">
        <x:f t="shared" ref="I3725:I3788" si="167">E3725&lt;G3725</x:f>
        <x:v>1</x:v>
      </x:c>
    </x:row>
    <x:row r="3726">
      <x:c r="A3726" s="31">
        <x:v>42447</x:v>
      </x:c>
      <x:c r="B3726" s="32">
        <x:v>579.95000000000005</x:v>
      </x:c>
      <x:c r="C3726" s="32">
        <x:v>580.80999999999995</x:v>
      </x:c>
      <x:c r="D3726" s="32">
        <x:v>575.44000000000005</x:v>
      </x:c>
      <x:c r="E3726" s="32">
        <x:v>575.82000000000005</x:v>
      </x:c>
      <x:c r="F3726" s="33">
        <x:v>174491080</x:v>
      </x:c>
      <x:c r="G3726" s="32" t="n">
        <x:f t="shared" si="165">AVERAGE(E3527:E3726)</x:f>
        <x:v>580.2859999999997</x:v>
      </x:c>
      <x:c r="H3726" s="37" t="n">
        <x:f t="shared" si="166">IFERROR(E3726/G3726-1,"")</x:f>
        <x:v>-0.007696204974787735</x:v>
      </x:c>
      <x:c r="I3726" s="38" t="b">
        <x:f t="shared" si="167">E3726&lt;G3726</x:f>
        <x:v>1</x:v>
      </x:c>
    </x:row>
    <x:row r="3727">
      <x:c r="A3727" s="31">
        <x:v>42450</x:v>
      </x:c>
      <x:c r="B3727" s="32">
        <x:v>577.65</x:v>
      </x:c>
      <x:c r="C3727" s="32">
        <x:v>580.83000000000004</x:v>
      </x:c>
      <x:c r="D3727" s="32">
        <x:v>572.27</x:v>
      </x:c>
      <x:c r="E3727" s="32">
        <x:v>572.27</x:v>
      </x:c>
      <x:c r="F3727" s="33">
        <x:v>143177260</x:v>
      </x:c>
      <x:c r="G3727" s="32" t="n">
        <x:f t="shared" si="165">AVERAGE(E3528:E3727)</x:f>
        <x:v>580.3023999999998</x:v>
      </x:c>
      <x:c r="H3727" s="37" t="n">
        <x:f t="shared" si="166">IFERROR(E3727/G3727-1,"")</x:f>
        <x:v>-0.01384174871584165</x:v>
      </x:c>
      <x:c r="I3727" s="38" t="b">
        <x:f t="shared" si="167">E3727&lt;G3727</x:f>
        <x:v>1</x:v>
      </x:c>
    </x:row>
    <x:row r="3728">
      <x:c r="A3728" s="31">
        <x:v>42451</x:v>
      </x:c>
      <x:c r="B3728" s="32">
        <x:v>572.27</x:v>
      </x:c>
      <x:c r="C3728" s="32">
        <x:v>573.79999999999995</x:v>
      </x:c>
      <x:c r="D3728" s="32">
        <x:v>567.79999999999995</x:v>
      </x:c>
      <x:c r="E3728" s="32">
        <x:v>570.91</x:v>
      </x:c>
      <x:c r="F3728" s="33">
        <x:v>122911350</x:v>
      </x:c>
      <x:c r="G3728" s="32" t="n">
        <x:f t="shared" si="165">AVERAGE(E3529:E3728)</x:f>
        <x:v>580.2665999999998</x:v>
      </x:c>
      <x:c r="H3728" s="37" t="n">
        <x:f t="shared" si="166">IFERROR(E3728/G3728-1,"")</x:f>
        <x:v>-0.01612465718343925</x:v>
      </x:c>
      <x:c r="I3728" s="38" t="b">
        <x:f t="shared" si="167">E3728&lt;G3728</x:f>
        <x:v>1</x:v>
      </x:c>
    </x:row>
    <x:row r="3729">
      <x:c r="A3729" s="31">
        <x:v>42452</x:v>
      </x:c>
      <x:c r="B3729" s="32">
        <x:v>570.74</x:v>
      </x:c>
      <x:c r="C3729" s="32">
        <x:v>575.22</x:v>
      </x:c>
      <x:c r="D3729" s="32">
        <x:v>570.39</x:v>
      </x:c>
      <x:c r="E3729" s="32">
        <x:v>574.71</x:v>
      </x:c>
      <x:c r="F3729" s="33">
        <x:v>130484450</x:v>
      </x:c>
      <x:c r="G3729" s="32" t="n">
        <x:f t="shared" si="165">AVERAGE(E3530:E3729)</x:f>
        <x:v>580.2409999999998</x:v>
      </x:c>
      <x:c r="H3729" s="37" t="n">
        <x:f t="shared" si="166">IFERROR(E3729/G3729-1,"")</x:f>
        <x:v>-0.00953224608395431</x:v>
      </x:c>
      <x:c r="I3729" s="38" t="b">
        <x:f t="shared" si="167">E3729&lt;G3729</x:f>
        <x:v>1</x:v>
      </x:c>
    </x:row>
    <x:row r="3730">
      <x:c r="A3730" s="31">
        <x:v>42453</x:v>
      </x:c>
      <x:c r="B3730" s="32">
        <x:v>573.92999999999995</x:v>
      </x:c>
      <x:c r="C3730" s="32">
        <x:v>577.21</x:v>
      </x:c>
      <x:c r="D3730" s="32">
        <x:v>570.66</x:v>
      </x:c>
      <x:c r="E3730" s="32">
        <x:v>570.66</x:v>
      </x:c>
      <x:c r="F3730" s="33">
        <x:v>140020360</x:v>
      </x:c>
      <x:c r="G3730" s="32" t="n">
        <x:f t="shared" si="165">AVERAGE(E3531:E3730)</x:f>
        <x:v>580.2219499999998</x:v>
      </x:c>
      <x:c r="H3730" s="37" t="n">
        <x:f t="shared" si="166">IFERROR(E3730/G3730-1,"")</x:f>
        <x:v>-0.016479814319330433</x:v>
      </x:c>
      <x:c r="I3730" s="38" t="b">
        <x:f t="shared" si="167">E3730&lt;G3730</x:f>
        <x:v>1</x:v>
      </x:c>
    </x:row>
    <x:row r="3731">
      <x:c r="A3731" s="31">
        <x:v>42454</x:v>
      </x:c>
      <x:c r="B3731" s="32">
        <x:v>569.48</x:v>
      </x:c>
      <x:c r="C3731" s="32">
        <x:v>572.48</x:v>
      </x:c>
      <x:c r="D3731" s="32">
        <x:v>564.88</x:v>
      </x:c>
      <x:c r="E3731" s="32">
        <x:v>572.08000000000004</x:v>
      </x:c>
      <x:c r="F3731" s="33">
        <x:v>132180850</x:v>
      </x:c>
      <x:c r="G3731" s="32" t="n">
        <x:f t="shared" si="165">AVERAGE(E3532:E3731)</x:f>
        <x:v>580.2118499999998</x:v>
      </x:c>
      <x:c r="H3731" s="37" t="n">
        <x:f t="shared" si="166">IFERROR(E3731/G3731-1,"")</x:f>
        <x:v>-0.014015311821018117</x:v>
      </x:c>
      <x:c r="I3731" s="38" t="b">
        <x:f t="shared" si="167">E3731&lt;G3731</x:f>
        <x:v>1</x:v>
      </x:c>
    </x:row>
    <x:row r="3732">
      <x:c r="A3732" s="31">
        <x:v>42457</x:v>
      </x:c>
      <x:c r="B3732" s="32">
        <x:v>573.69000000000005</x:v>
      </x:c>
      <x:c r="C3732" s="32">
        <x:v>576</x:v>
      </x:c>
      <x:c r="D3732" s="32">
        <x:v>571.58000000000004</x:v>
      </x:c>
      <x:c r="E3732" s="32">
        <x:v>575.72</x:v>
      </x:c>
      <x:c r="F3732" s="33">
        <x:v>110859230</x:v>
      </x:c>
      <x:c r="G3732" s="32" t="n">
        <x:f t="shared" si="165">AVERAGE(E3533:E3732)</x:f>
        <x:v>580.1851999999998</x:v>
      </x:c>
      <x:c r="H3732" s="37" t="n">
        <x:f t="shared" si="166">IFERROR(E3732/G3732-1,"")</x:f>
        <x:v>-0.007696163225121455</x:v>
      </x:c>
      <x:c r="I3732" s="38" t="b">
        <x:f t="shared" si="167">E3732&lt;G3732</x:f>
        <x:v>1</x:v>
      </x:c>
    </x:row>
    <x:row r="3733">
      <x:c r="A3733" s="31">
        <x:v>42458</x:v>
      </x:c>
      <x:c r="B3733" s="32">
        <x:v>575.63</x:v>
      </x:c>
      <x:c r="C3733" s="32">
        <x:v>576.07000000000005</x:v>
      </x:c>
      <x:c r="D3733" s="32">
        <x:v>568.28</x:v>
      </x:c>
      <x:c r="E3733" s="32">
        <x:v>568.28</x:v>
      </x:c>
      <x:c r="F3733" s="33">
        <x:v>132852470</x:v>
      </x:c>
      <x:c r="G3733" s="32" t="n">
        <x:f t="shared" si="165">AVERAGE(E3534:E3733)</x:f>
        <x:v>580.1129499999997</x:v>
      </x:c>
      <x:c r="H3733" s="37" t="n">
        <x:f t="shared" si="166">IFERROR(E3733/G3733-1,"")</x:f>
        <x:v>-0.020397665661488484</x:v>
      </x:c>
      <x:c r="I3733" s="38" t="b">
        <x:f t="shared" si="167">E3733&lt;G3733</x:f>
        <x:v>1</x:v>
      </x:c>
    </x:row>
    <x:row r="3734">
      <x:c r="A3734" s="31">
        <x:v>42459</x:v>
      </x:c>
      <x:c r="B3734" s="32">
        <x:v>566.08000000000004</x:v>
      </x:c>
      <x:c r="C3734" s="32">
        <x:v>571.89</x:v>
      </x:c>
      <x:c r="D3734" s="32">
        <x:v>565.54999999999995</x:v>
      </x:c>
      <x:c r="E3734" s="32">
        <x:v>569.91</x:v>
      </x:c>
      <x:c r="F3734" s="33">
        <x:v>122484050</x:v>
      </x:c>
      <x:c r="G3734" s="32" t="n">
        <x:f t="shared" si="165">AVERAGE(E3535:E3734)</x:f>
        <x:v>580.0300999999997</x:v>
      </x:c>
      <x:c r="H3734" s="37" t="n">
        <x:f t="shared" si="166">IFERROR(E3734/G3734-1,"")</x:f>
        <x:v>-0.017447542808553873</x:v>
      </x:c>
      <x:c r="I3734" s="38" t="b">
        <x:f t="shared" si="167">E3734&lt;G3734</x:f>
        <x:v>1</x:v>
      </x:c>
    </x:row>
    <x:row r="3735">
      <x:c r="A3735" s="31">
        <x:v>42460</x:v>
      </x:c>
      <x:c r="B3735" s="32">
        <x:v>569.04</x:v>
      </x:c>
      <x:c r="C3735" s="32">
        <x:v>570.94000000000005</x:v>
      </x:c>
      <x:c r="D3735" s="32">
        <x:v>561.22</x:v>
      </x:c>
      <x:c r="E3735" s="32">
        <x:v>561.22</x:v>
      </x:c>
      <x:c r="F3735" s="33">
        <x:v>145625020</x:v>
      </x:c>
      <x:c r="G3735" s="32" t="n">
        <x:f t="shared" si="165">AVERAGE(E3536:E3735)</x:f>
        <x:v>579.9344499999997</x:v>
      </x:c>
      <x:c r="H3735" s="37" t="n">
        <x:f t="shared" si="166">IFERROR(E3735/G3735-1,"")</x:f>
        <x:v>-0.0322699401630645</x:v>
      </x:c>
      <x:c r="I3735" s="38" t="b">
        <x:f t="shared" si="167">E3735&lt;G3735</x:f>
        <x:v>1</x:v>
      </x:c>
    </x:row>
    <x:row r="3736">
      <x:c r="A3736" s="31">
        <x:v>42461</x:v>
      </x:c>
      <x:c r="B3736" s="32">
        <x:v>560.64</x:v>
      </x:c>
      <x:c r="C3736" s="32">
        <x:v>562.73</x:v>
      </x:c>
      <x:c r="D3736" s="32">
        <x:v>557.96</x:v>
      </x:c>
      <x:c r="E3736" s="32">
        <x:v>558.42999999999995</x:v>
      </x:c>
      <x:c r="F3736" s="33">
        <x:v>116291560</x:v>
      </x:c>
      <x:c r="G3736" s="32" t="n">
        <x:f t="shared" si="165">AVERAGE(E3537:E3736)</x:f>
        <x:v>579.8322499999998</x:v>
      </x:c>
      <x:c r="H3736" s="37" t="n">
        <x:f t="shared" si="166">IFERROR(E3736/G3736-1,"")</x:f>
        <x:v>-0.0369111066174741</x:v>
      </x:c>
      <x:c r="I3736" s="38" t="b">
        <x:f t="shared" si="167">E3736&lt;G3736</x:f>
        <x:v>1</x:v>
      </x:c>
    </x:row>
    <x:row r="3737">
      <x:c r="A3737" s="31">
        <x:v>42464</x:v>
      </x:c>
      <x:c r="B3737" s="32">
        <x:v>557.55999999999995</x:v>
      </x:c>
      <x:c r="C3737" s="32">
        <x:v>560.91999999999996</x:v>
      </x:c>
      <x:c r="D3737" s="32">
        <x:v>554.29999999999995</x:v>
      </x:c>
      <x:c r="E3737" s="32">
        <x:v>555.82000000000005</x:v>
      </x:c>
      <x:c r="F3737" s="33">
        <x:v>108880000</x:v>
      </x:c>
      <x:c r="G3737" s="32" t="n">
        <x:f t="shared" si="165">AVERAGE(E3538:E3737)</x:f>
        <x:v>579.7095999999998</x:v>
      </x:c>
      <x:c r="H3737" s="37" t="n">
        <x:f t="shared" si="166">IFERROR(E3737/G3737-1,"")</x:f>
        <x:v>-0.041209598737022346</x:v>
      </x:c>
      <x:c r="I3737" s="38" t="b">
        <x:f t="shared" si="167">E3737&lt;G3737</x:f>
        <x:v>1</x:v>
      </x:c>
    </x:row>
    <x:row r="3738">
      <x:c r="A3738" s="31">
        <x:v>42465</x:v>
      </x:c>
      <x:c r="B3738" s="32">
        <x:v>555.98</x:v>
      </x:c>
      <x:c r="C3738" s="32">
        <x:v>560.32000000000005</x:v>
      </x:c>
      <x:c r="D3738" s="32">
        <x:v>555.15</x:v>
      </x:c>
      <x:c r="E3738" s="32">
        <x:v>560.32000000000005</x:v>
      </x:c>
      <x:c r="F3738" s="33">
        <x:v>112087100</x:v>
      </x:c>
      <x:c r="G3738" s="32" t="n">
        <x:f t="shared" si="165">AVERAGE(E3539:E3738)</x:f>
        <x:v>579.5876999999997</x:v>
      </x:c>
      <x:c r="H3738" s="37" t="n">
        <x:f t="shared" si="166">IFERROR(E3738/G3738-1,"")</x:f>
        <x:v>-0.03324380417320738</x:v>
      </x:c>
      <x:c r="I3738" s="38" t="b">
        <x:f t="shared" si="167">E3738&lt;G3738</x:f>
        <x:v>1</x:v>
      </x:c>
    </x:row>
    <x:row r="3739">
      <x:c r="A3739" s="31">
        <x:v>42466</x:v>
      </x:c>
      <x:c r="B3739" s="32">
        <x:v>561.94000000000005</x:v>
      </x:c>
      <x:c r="C3739" s="32">
        <x:v>567.79</x:v>
      </x:c>
      <x:c r="D3739" s="32">
        <x:v>560.32000000000005</x:v>
      </x:c>
      <x:c r="E3739" s="32">
        <x:v>567.79</x:v>
      </x:c>
      <x:c r="F3739" s="33">
        <x:v>99562200</x:v>
      </x:c>
      <x:c r="G3739" s="32" t="n">
        <x:f t="shared" si="165">AVERAGE(E3540:E3739)</x:f>
        <x:v>579.4562499999997</x:v>
      </x:c>
      <x:c r="H3739" s="37" t="n">
        <x:f t="shared" si="166">IFERROR(E3739/G3739-1,"")</x:f>
        <x:v>-0.020133098918166392</x:v>
      </x:c>
      <x:c r="I3739" s="38" t="b">
        <x:f t="shared" si="167">E3739&lt;G3739</x:f>
        <x:v>1</x:v>
      </x:c>
    </x:row>
    <x:row r="3740">
      <x:c r="A3740" s="31">
        <x:v>42467</x:v>
      </x:c>
      <x:c r="B3740" s="32">
        <x:v>570.72</x:v>
      </x:c>
      <x:c r="C3740" s="32">
        <x:v>572.55999999999995</x:v>
      </x:c>
      <x:c r="D3740" s="32">
        <x:v>567.01</x:v>
      </x:c>
      <x:c r="E3740" s="32">
        <x:v>571.6</x:v>
      </x:c>
      <x:c r="F3740" s="33">
        <x:v>117899300</x:v>
      </x:c>
      <x:c r="G3740" s="32" t="n">
        <x:f t="shared" si="165">AVERAGE(E3541:E3740)</x:f>
        <x:v>579.3488999999997</x:v>
      </x:c>
      <x:c r="H3740" s="37" t="n">
        <x:f t="shared" si="166">IFERROR(E3740/G3740-1,"")</x:f>
        <x:v>-0.013375187214474282</x:v>
      </x:c>
      <x:c r="I3740" s="38" t="b">
        <x:f t="shared" si="167">E3740&lt;G3740</x:f>
        <x:v>1</x:v>
      </x:c>
    </x:row>
    <x:row r="3741">
      <x:c r="A3741" s="31">
        <x:v>42468</x:v>
      </x:c>
      <x:c r="B3741" s="32">
        <x:v>571.21</x:v>
      </x:c>
      <x:c r="C3741" s="32">
        <x:v>574.46</x:v>
      </x:c>
      <x:c r="D3741" s="32">
        <x:v>569.09</x:v>
      </x:c>
      <x:c r="E3741" s="32">
        <x:v>572.34</x:v>
      </x:c>
      <x:c r="F3741" s="33">
        <x:v>111597810</x:v>
      </x:c>
      <x:c r="G3741" s="32" t="n">
        <x:f t="shared" si="165">AVERAGE(E3542:E3741)</x:f>
        <x:v>579.2604999999999</x:v>
      </x:c>
      <x:c r="H3741" s="37" t="n">
        <x:f t="shared" si="166">IFERROR(E3741/G3741-1,"")</x:f>
        <x:v>-0.011947129141379076</x:v>
      </x:c>
      <x:c r="I3741" s="38" t="b">
        <x:f t="shared" si="167">E3741&lt;G3741</x:f>
        <x:v>1</x:v>
      </x:c>
    </x:row>
    <x:row r="3742">
      <x:c r="A3742" s="31">
        <x:v>42471</x:v>
      </x:c>
      <x:c r="B3742" s="32">
        <x:v>575.11</x:v>
      </x:c>
      <x:c r="C3742" s="32">
        <x:v>581.88</x:v>
      </x:c>
      <x:c r="D3742" s="32">
        <x:v>572.34</x:v>
      </x:c>
      <x:c r="E3742" s="32">
        <x:v>579.27</x:v>
      </x:c>
      <x:c r="F3742" s="33">
        <x:v>129674560</x:v>
      </x:c>
      <x:c r="G3742" s="32" t="n">
        <x:f t="shared" si="165">AVERAGE(E3543:E3742)</x:f>
        <x:v>579.2168999999999</x:v>
      </x:c>
      <x:c r="H3742" s="37" t="n">
        <x:f t="shared" si="166">IFERROR(E3742/G3742-1,"")</x:f>
        <x:v>0.00009167550187183515</x:v>
      </x:c>
      <x:c r="I3742" s="38" t="b">
        <x:f t="shared" si="167">E3742&lt;G3742</x:f>
        <x:v>0</x:v>
      </x:c>
    </x:row>
    <x:row r="3743">
      <x:c r="A3743" s="31">
        <x:v>42472</x:v>
      </x:c>
      <x:c r="B3743" s="32">
        <x:v>580.9</x:v>
      </x:c>
      <x:c r="C3743" s="32">
        <x:v>582.97</x:v>
      </x:c>
      <x:c r="D3743" s="32">
        <x:v>577.16999999999996</x:v>
      </x:c>
      <x:c r="E3743" s="32">
        <x:v>579.84</x:v>
      </x:c>
      <x:c r="F3743" s="33">
        <x:v>138444120</x:v>
      </x:c>
      <x:c r="G3743" s="32" t="n">
        <x:f t="shared" si="165">AVERAGE(E3544:E3743)</x:f>
        <x:v>579.2073499999998</x:v>
      </x:c>
      <x:c r="H3743" s="37" t="n">
        <x:f t="shared" si="166">IFERROR(E3743/G3743-1,"")</x:f>
        <x:v>0.0010922685977658997</x:v>
      </x:c>
      <x:c r="I3743" s="38" t="b">
        <x:f t="shared" si="167">E3743&lt;G3743</x:f>
        <x:v>0</x:v>
      </x:c>
    </x:row>
    <x:row r="3744">
      <x:c r="A3744" s="31">
        <x:v>42473</x:v>
      </x:c>
      <x:c r="B3744" s="32">
        <x:v>580.77</x:v>
      </x:c>
      <x:c r="C3744" s="32">
        <x:v>582.80999999999995</x:v>
      </x:c>
      <x:c r="D3744" s="32">
        <x:v>575.65</x:v>
      </x:c>
      <x:c r="E3744" s="32">
        <x:v>578.02</x:v>
      </x:c>
      <x:c r="F3744" s="33">
        <x:v>130634250</x:v>
      </x:c>
      <x:c r="G3744" s="32" t="n">
        <x:f t="shared" si="165">AVERAGE(E3545:E3744)</x:f>
        <x:v>579.1386999999999</x:v>
      </x:c>
      <x:c r="H3744" s="37" t="n">
        <x:f t="shared" si="166">IFERROR(E3744/G3744-1,"")</x:f>
        <x:v>-0.0019316616209551496</x:v>
      </x:c>
      <x:c r="I3744" s="38" t="b">
        <x:f t="shared" si="167">E3744&lt;G3744</x:f>
        <x:v>1</x:v>
      </x:c>
    </x:row>
    <x:row r="3745">
      <x:c r="A3745" s="31">
        <x:v>42474</x:v>
      </x:c>
      <x:c r="B3745" s="32">
        <x:v>575.69000000000005</x:v>
      </x:c>
      <x:c r="C3745" s="32">
        <x:v>584.80999999999995</x:v>
      </x:c>
      <x:c r="D3745" s="32">
        <x:v>575.69000000000005</x:v>
      </x:c>
      <x:c r="E3745" s="32">
        <x:v>579.49</x:v>
      </x:c>
      <x:c r="F3745" s="33">
        <x:v>116830600</x:v>
      </x:c>
      <x:c r="G3745" s="32" t="n">
        <x:f t="shared" si="165">AVERAGE(E3546:E3745)</x:f>
        <x:v>579.0708999999999</x:v>
      </x:c>
      <x:c r="H3745" s="37" t="n">
        <x:f t="shared" si="166">IFERROR(E3745/G3745-1,"")</x:f>
        <x:v>0.0007237455724333763</x:v>
      </x:c>
      <x:c r="I3745" s="38" t="b">
        <x:f t="shared" si="167">E3745&lt;G3745</x:f>
        <x:v>0</x:v>
      </x:c>
    </x:row>
    <x:row r="3746">
      <x:c r="A3746" s="31">
        <x:v>42475</x:v>
      </x:c>
      <x:c r="B3746" s="32">
        <x:v>581.54</x:v>
      </x:c>
      <x:c r="C3746" s="32">
        <x:v>586.36</x:v>
      </x:c>
      <x:c r="D3746" s="32">
        <x:v>579.49</x:v>
      </x:c>
      <x:c r="E3746" s="32">
        <x:v>579.86</x:v>
      </x:c>
      <x:c r="F3746" s="33">
        <x:v>115434600</x:v>
      </x:c>
      <x:c r="G3746" s="32" t="n">
        <x:f t="shared" si="165">AVERAGE(E3547:E3746)</x:f>
        <x:v>579.0126999999998</x:v>
      </x:c>
      <x:c r="H3746" s="37" t="n">
        <x:f t="shared" si="166">IFERROR(E3746/G3746-1,"")</x:f>
        <x:v>0.0014633530490786306</x:v>
      </x:c>
      <x:c r="I3746" s="38" t="b">
        <x:f t="shared" si="167">E3746&lt;G3746</x:f>
        <x:v>0</x:v>
      </x:c>
    </x:row>
    <x:row r="3747">
      <x:c r="A3747" s="31">
        <x:v>42479</x:v>
      </x:c>
      <x:c r="B3747" s="32">
        <x:v>578.32000000000005</x:v>
      </x:c>
      <x:c r="C3747" s="32">
        <x:v>579.86</x:v>
      </x:c>
      <x:c r="D3747" s="32">
        <x:v>568.28</x:v>
      </x:c>
      <x:c r="E3747" s="32">
        <x:v>568.28</x:v>
      </x:c>
      <x:c r="F3747" s="33">
        <x:v>125545070</x:v>
      </x:c>
      <x:c r="G3747" s="32" t="n">
        <x:f t="shared" si="165">AVERAGE(E3548:E3747)</x:f>
        <x:v>578.8255999999999</x:v>
      </x:c>
      <x:c r="H3747" s="37" t="n">
        <x:f t="shared" si="166">IFERROR(E3747/G3747-1,"")</x:f>
        <x:v>-0.018218959216731112</x:v>
      </x:c>
      <x:c r="I3747" s="38" t="b">
        <x:f t="shared" si="167">E3747&lt;G3747</x:f>
        <x:v>1</x:v>
      </x:c>
    </x:row>
    <x:row r="3748">
      <x:c r="A3748" s="31">
        <x:v>42480</x:v>
      </x:c>
      <x:c r="B3748" s="32">
        <x:v>569.79999999999995</x:v>
      </x:c>
      <x:c r="C3748" s="32">
        <x:v>571.71</x:v>
      </x:c>
      <x:c r="D3748" s="32">
        <x:v>565.29999999999995</x:v>
      </x:c>
      <x:c r="E3748" s="32">
        <x:v>568.03</x:v>
      </x:c>
      <x:c r="F3748" s="33">
        <x:v>108722460</x:v>
      </x:c>
      <x:c r="G3748" s="32" t="n">
        <x:f t="shared" si="165">AVERAGE(E3549:E3748)</x:f>
        <x:v>578.5835999999999</x:v>
      </x:c>
      <x:c r="H3748" s="37" t="n">
        <x:f t="shared" si="166">IFERROR(E3748/G3748-1,"")</x:f>
        <x:v>-0.01824040639935176</x:v>
      </x:c>
      <x:c r="I3748" s="38" t="b">
        <x:f t="shared" si="167">E3748&lt;G3748</x:f>
        <x:v>1</x:v>
      </x:c>
    </x:row>
    <x:row r="3749">
      <x:c r="A3749" s="31">
        <x:v>42481</x:v>
      </x:c>
      <x:c r="B3749" s="32">
        <x:v>571.19000000000005</x:v>
      </x:c>
      <x:c r="C3749" s="32">
        <x:v>577.41</x:v>
      </x:c>
      <x:c r="D3749" s="32">
        <x:v>568.03</x:v>
      </x:c>
      <x:c r="E3749" s="32">
        <x:v>575.73</x:v>
      </x:c>
      <x:c r="F3749" s="33">
        <x:v>100005660</x:v>
      </x:c>
      <x:c r="G3749" s="32" t="n">
        <x:f t="shared" si="165">AVERAGE(E3550:E3749)</x:f>
        <x:v>578.3361499999999</x:v>
      </x:c>
      <x:c r="H3749" s="37" t="n">
        <x:f t="shared" si="166">IFERROR(E3749/G3749-1,"")</x:f>
        <x:v>-0.004506289292135479</x:v>
      </x:c>
      <x:c r="I3749" s="38" t="b">
        <x:f t="shared" si="167">E3749&lt;G3749</x:f>
        <x:v>1</x:v>
      </x:c>
    </x:row>
    <x:row r="3750">
      <x:c r="A3750" s="31">
        <x:v>42482</x:v>
      </x:c>
      <x:c r="B3750" s="32">
        <x:v>574.57000000000005</x:v>
      </x:c>
      <x:c r="C3750" s="32">
        <x:v>592.48</x:v>
      </x:c>
      <x:c r="D3750" s="32">
        <x:v>574.57000000000005</x:v>
      </x:c>
      <x:c r="E3750" s="32">
        <x:v>592.48</x:v>
      </x:c>
      <x:c r="F3750" s="33">
        <x:v>129717340</x:v>
      </x:c>
      <x:c r="G3750" s="32" t="n">
        <x:f t="shared" si="165">AVERAGE(E3551:E3750)</x:f>
        <x:v>578.1471999999999</x:v>
      </x:c>
      <x:c r="H3750" s="37" t="n">
        <x:f t="shared" si="166">IFERROR(E3750/G3750-1,"")</x:f>
        <x:v>0.024790918299007814</x:v>
      </x:c>
      <x:c r="I3750" s="38" t="b">
        <x:f t="shared" si="167">E3750&lt;G3750</x:f>
        <x:v>0</x:v>
      </x:c>
    </x:row>
    <x:row r="3751">
      <x:c r="A3751" s="31">
        <x:v>42485</x:v>
      </x:c>
      <x:c r="B3751" s="32">
        <x:v>597.91</x:v>
      </x:c>
      <x:c r="C3751" s="32">
        <x:v>601.61</x:v>
      </x:c>
      <x:c r="D3751" s="32">
        <x:v>591.58000000000004</x:v>
      </x:c>
      <x:c r="E3751" s="32">
        <x:v>591.58000000000004</x:v>
      </x:c>
      <x:c r="F3751" s="33">
        <x:v>130331660</x:v>
      </x:c>
      <x:c r="G3751" s="32" t="n">
        <x:f t="shared" si="165">AVERAGE(E3552:E3751)</x:f>
        <x:v>577.98925</x:v>
      </x:c>
      <x:c r="H3751" s="37" t="n">
        <x:f t="shared" si="166">IFERROR(E3751/G3751-1,"")</x:f>
        <x:v>0.02351384562948189</x:v>
      </x:c>
      <x:c r="I3751" s="38" t="b">
        <x:f t="shared" si="167">E3751&lt;G3751</x:f>
        <x:v>0</x:v>
      </x:c>
    </x:row>
    <x:row r="3752">
      <x:c r="A3752" s="31">
        <x:v>42486</x:v>
      </x:c>
      <x:c r="B3752" s="32">
        <x:v>590.99</x:v>
      </x:c>
      <x:c r="C3752" s="32">
        <x:v>598.48</x:v>
      </x:c>
      <x:c r="D3752" s="32">
        <x:v>590.19000000000005</x:v>
      </x:c>
      <x:c r="E3752" s="32">
        <x:v>598.48</x:v>
      </x:c>
      <x:c r="F3752" s="33">
        <x:v>132638550</x:v>
      </x:c>
      <x:c r="G3752" s="32" t="n">
        <x:f t="shared" si="165">AVERAGE(E3553:E3752)</x:f>
        <x:v>577.87115</x:v>
      </x:c>
      <x:c r="H3752" s="37" t="n">
        <x:f t="shared" si="166">IFERROR(E3752/G3752-1,"")</x:f>
        <x:v>0.035663400050339966</x:v>
      </x:c>
      <x:c r="I3752" s="38" t="b">
        <x:f t="shared" si="167">E3752&lt;G3752</x:f>
        <x:v>0</x:v>
      </x:c>
    </x:row>
    <x:row r="3753">
      <x:c r="A3753" s="31">
        <x:v>42487</x:v>
      </x:c>
      <x:c r="B3753" s="32">
        <x:v>601.79</x:v>
      </x:c>
      <x:c r="C3753" s="32">
        <x:v>601.79</x:v>
      </x:c>
      <x:c r="D3753" s="32">
        <x:v>591.35</x:v>
      </x:c>
      <x:c r="E3753" s="32">
        <x:v>593.96</x:v>
      </x:c>
      <x:c r="F3753" s="33">
        <x:v>134186560</x:v>
      </x:c>
      <x:c r="G3753" s="32" t="n">
        <x:f t="shared" si="165">AVERAGE(E3554:E3753)</x:f>
        <x:v>577.70455</x:v>
      </x:c>
      <x:c r="H3753" s="37" t="n">
        <x:f t="shared" si="166">IFERROR(E3753/G3753-1,"")</x:f>
        <x:v>0.028137998913112305</x:v>
      </x:c>
      <x:c r="I3753" s="38" t="b">
        <x:f t="shared" si="167">E3753&lt;G3753</x:f>
        <x:v>0</x:v>
      </x:c>
    </x:row>
    <x:row r="3754">
      <x:c r="A3754" s="31">
        <x:v>42488</x:v>
      </x:c>
      <x:c r="B3754" s="32">
        <x:v>594.98</x:v>
      </x:c>
      <x:c r="C3754" s="32">
        <x:v>597.28</x:v>
      </x:c>
      <x:c r="D3754" s="32">
        <x:v>589.97</x:v>
      </x:c>
      <x:c r="E3754" s="32">
        <x:v>591.66999999999996</x:v>
      </x:c>
      <x:c r="F3754" s="33">
        <x:v>94003230</x:v>
      </x:c>
      <x:c r="G3754" s="32" t="n">
        <x:f t="shared" si="165">AVERAGE(E3555:E3754)</x:f>
        <x:v>577.4926</x:v>
      </x:c>
      <x:c r="H3754" s="37" t="n">
        <x:f t="shared" si="166">IFERROR(E3754/G3754-1,"")</x:f>
        <x:v>0.024549924968735315</x:v>
      </x:c>
      <x:c r="I3754" s="38" t="b">
        <x:f t="shared" si="167">E3754&lt;G3754</x:f>
        <x:v>0</x:v>
      </x:c>
    </x:row>
    <x:row r="3755">
      <x:c r="A3755" s="31">
        <x:v>42489</x:v>
      </x:c>
      <x:c r="B3755" s="32">
        <x:v>591.20000000000005</x:v>
      </x:c>
      <x:c r="C3755" s="32">
        <x:v>599.71</x:v>
      </x:c>
      <x:c r="D3755" s="32">
        <x:v>591.20000000000005</x:v>
      </x:c>
      <x:c r="E3755" s="32">
        <x:v>598.37</x:v>
      </x:c>
      <x:c r="F3755" s="33">
        <x:v>110322990</x:v>
      </x:c>
      <x:c r="G3755" s="32" t="n">
        <x:f t="shared" si="165">AVERAGE(E3556:E3755)</x:f>
        <x:v>577.2909999999999</x:v>
      </x:c>
      <x:c r="H3755" s="37" t="n">
        <x:f t="shared" si="166">IFERROR(E3755/G3755-1,"")</x:f>
        <x:v>0.036513647363288326</x:v>
      </x:c>
      <x:c r="I3755" s="38" t="b">
        <x:f t="shared" si="167">E3755&lt;G3755</x:f>
        <x:v>0</x:v>
      </x:c>
    </x:row>
    <x:row r="3756">
      <x:c r="A3756" s="31">
        <x:v>42494</x:v>
      </x:c>
      <x:c r="B3756" s="32">
        <x:v>595.95000000000005</x:v>
      </x:c>
      <x:c r="C3756" s="32">
        <x:v>603.08000000000004</x:v>
      </x:c>
      <x:c r="D3756" s="32">
        <x:v>592.42999999999995</x:v>
      </x:c>
      <x:c r="E3756" s="32">
        <x:v>599.07000000000005</x:v>
      </x:c>
      <x:c r="F3756" s="33">
        <x:v>131949650</x:v>
      </x:c>
      <x:c r="G3756" s="32" t="n">
        <x:f t="shared" si="165">AVERAGE(E3557:E3756)</x:f>
        <x:v>577.1319000000001</x:v>
      </x:c>
      <x:c r="H3756" s="37" t="n">
        <x:f t="shared" si="166">IFERROR(E3756/G3756-1,"")</x:f>
        <x:v>0.03801228107474208</x:v>
      </x:c>
      <x:c r="I3756" s="38" t="b">
        <x:f t="shared" si="167">E3756&lt;G3756</x:f>
        <x:v>0</x:v>
      </x:c>
    </x:row>
    <x:row r="3757">
      <x:c r="A3757" s="31">
        <x:v>42495</x:v>
      </x:c>
      <x:c r="B3757" s="32">
        <x:v>600.66</x:v>
      </x:c>
      <x:c r="C3757" s="32">
        <x:v>605.21</x:v>
      </x:c>
      <x:c r="D3757" s="32">
        <x:v>599.07000000000005</x:v>
      </x:c>
      <x:c r="E3757" s="32">
        <x:v>601.51</x:v>
      </x:c>
      <x:c r="F3757" s="33">
        <x:v>120477350</x:v>
      </x:c>
      <x:c r="G3757" s="32" t="n">
        <x:f t="shared" si="165">AVERAGE(E3558:E3757)</x:f>
        <x:v>577.0049500000001</x:v>
      </x:c>
      <x:c r="H3757" s="37" t="n">
        <x:f t="shared" si="166">IFERROR(E3757/G3757-1,"")</x:f>
        <x:v>0.042469393026870694</x:v>
      </x:c>
      <x:c r="I3757" s="38" t="b">
        <x:f t="shared" si="167">E3757&lt;G3757</x:f>
        <x:v>0</x:v>
      </x:c>
    </x:row>
    <x:row r="3758">
      <x:c r="A3758" s="31">
        <x:v>42496</x:v>
      </x:c>
      <x:c r="B3758" s="32">
        <x:v>602.4</x:v>
      </x:c>
      <x:c r="C3758" s="32">
        <x:v>608.94000000000005</x:v>
      </x:c>
      <x:c r="D3758" s="32">
        <x:v>601.51</x:v>
      </x:c>
      <x:c r="E3758" s="32">
        <x:v>606.52</x:v>
      </x:c>
      <x:c r="F3758" s="33">
        <x:v>113045550</x:v>
      </x:c>
      <x:c r="G3758" s="32" t="n">
        <x:f t="shared" si="165">AVERAGE(E3559:E3758)</x:f>
        <x:v>576.8944000000001</x:v>
      </x:c>
      <x:c r="H3758" s="37" t="n">
        <x:f t="shared" si="166">IFERROR(E3758/G3758-1,"")</x:f>
        <x:v>0.051353592615910104</x:v>
      </x:c>
      <x:c r="I3758" s="38" t="b">
        <x:f t="shared" si="167">E3758&lt;G3758</x:f>
        <x:v>0</x:v>
      </x:c>
    </x:row>
    <x:row r="3759">
      <x:c r="A3759" s="31">
        <x:v>42499</x:v>
      </x:c>
      <x:c r="B3759" s="32">
        <x:v>610.91999999999996</x:v>
      </x:c>
      <x:c r="C3759" s="32">
        <x:v>612.97</x:v>
      </x:c>
      <x:c r="D3759" s="32">
        <x:v>603.85</x:v>
      </x:c>
      <x:c r="E3759" s="32">
        <x:v>603.85</x:v>
      </x:c>
      <x:c r="F3759" s="33">
        <x:v>105330980</x:v>
      </x:c>
      <x:c r="G3759" s="32" t="n">
        <x:f t="shared" si="165">AVERAGE(E3560:E3759)</x:f>
        <x:v>576.81095</x:v>
      </x:c>
      <x:c r="H3759" s="37" t="n">
        <x:f t="shared" si="166">IFERROR(E3759/G3759-1,"")</x:f>
        <x:v>0.04687679732848338</x:v>
      </x:c>
      <x:c r="I3759" s="38" t="b">
        <x:f t="shared" si="167">E3759&lt;G3759</x:f>
        <x:v>0</x:v>
      </x:c>
    </x:row>
    <x:row r="3760">
      <x:c r="A3760" s="31">
        <x:v>42500</x:v>
      </x:c>
      <x:c r="B3760" s="32">
        <x:v>600.35</x:v>
      </x:c>
      <x:c r="C3760" s="32">
        <x:v>605.46</x:v>
      </x:c>
      <x:c r="D3760" s="32">
        <x:v>597.74</x:v>
      </x:c>
      <x:c r="E3760" s="32">
        <x:v>605.04999999999995</x:v>
      </x:c>
      <x:c r="F3760" s="33">
        <x:v>107970160</x:v>
      </x:c>
      <x:c r="G3760" s="32" t="n">
        <x:f t="shared" si="165">AVERAGE(E3561:E3760)</x:f>
        <x:v>576.7531500000001</x:v>
      </x:c>
      <x:c r="H3760" s="37" t="n">
        <x:f t="shared" si="166">IFERROR(E3760/G3760-1,"")</x:f>
        <x:v>0.04906232415028833</x:v>
      </x:c>
      <x:c r="I3760" s="38" t="b">
        <x:f t="shared" si="167">E3760&lt;G3760</x:f>
        <x:v>0</x:v>
      </x:c>
    </x:row>
    <x:row r="3761">
      <x:c r="A3761" s="31">
        <x:v>42501</x:v>
      </x:c>
      <x:c r="B3761" s="32">
        <x:v>606.6</x:v>
      </x:c>
      <x:c r="C3761" s="32">
        <x:v>614.05999999999995</x:v>
      </x:c>
      <x:c r="D3761" s="32">
        <x:v>605.04999999999995</x:v>
      </x:c>
      <x:c r="E3761" s="32">
        <x:v>614.05999999999995</x:v>
      </x:c>
      <x:c r="F3761" s="33">
        <x:v>104828050</x:v>
      </x:c>
      <x:c r="G3761" s="32" t="n">
        <x:f t="shared" si="165">AVERAGE(E3562:E3761)</x:f>
        <x:v>576.6742000000002</x:v>
      </x:c>
      <x:c r="H3761" s="37" t="n">
        <x:f t="shared" si="166">IFERROR(E3761/G3761-1,"")</x:f>
        <x:v>0.06483002013962103</x:v>
      </x:c>
      <x:c r="I3761" s="38" t="b">
        <x:f t="shared" si="167">E3761&lt;G3761</x:f>
        <x:v>0</x:v>
      </x:c>
    </x:row>
    <x:row r="3762">
      <x:c r="A3762" s="31">
        <x:v>42502</x:v>
      </x:c>
      <x:c r="B3762" s="32">
        <x:v>615.54999999999995</x:v>
      </x:c>
      <x:c r="C3762" s="32">
        <x:v>617.55999999999995</x:v>
      </x:c>
      <x:c r="D3762" s="32">
        <x:v>612.12</x:v>
      </x:c>
      <x:c r="E3762" s="32">
        <x:v>612.12</x:v>
      </x:c>
      <x:c r="F3762" s="33">
        <x:v>86561510</x:v>
      </x:c>
      <x:c r="G3762" s="32" t="n">
        <x:f t="shared" si="165">AVERAGE(E3563:E3762)</x:f>
        <x:v>576.5747500000001</x:v>
      </x:c>
      <x:c r="H3762" s="37" t="n">
        <x:f t="shared" si="166">IFERROR(E3762/G3762-1,"")</x:f>
        <x:v>0.06164898827081822</x:v>
      </x:c>
      <x:c r="I3762" s="38" t="b">
        <x:f t="shared" si="167">E3762&lt;G3762</x:f>
        <x:v>0</x:v>
      </x:c>
    </x:row>
    <x:row r="3763">
      <x:c r="A3763" s="31">
        <x:v>42503</x:v>
      </x:c>
      <x:c r="B3763" s="32">
        <x:v>612.32000000000005</x:v>
      </x:c>
      <x:c r="C3763" s="32">
        <x:v>615.29999999999995</x:v>
      </x:c>
      <x:c r="D3763" s="32">
        <x:v>608.04</x:v>
      </x:c>
      <x:c r="E3763" s="32">
        <x:v>610.82000000000005</x:v>
      </x:c>
      <x:c r="F3763" s="33">
        <x:v>105664260</x:v>
      </x:c>
      <x:c r="G3763" s="32" t="n">
        <x:f t="shared" si="165">AVERAGE(E3564:E3763)</x:f>
        <x:v>576.4725500000002</x:v>
      </x:c>
      <x:c r="H3763" s="37" t="n">
        <x:f t="shared" si="166">IFERROR(E3763/G3763-1,"")</x:f>
        <x:v>0.059582108462926664</x:v>
      </x:c>
      <x:c r="I3763" s="38" t="b">
        <x:f t="shared" si="167">E3763&lt;G3763</x:f>
        <x:v>0</x:v>
      </x:c>
    </x:row>
    <x:row r="3764">
      <x:c r="A3764" s="31">
        <x:v>42506</x:v>
      </x:c>
      <x:c r="B3764" s="32">
        <x:v>610.13</x:v>
      </x:c>
      <x:c r="C3764" s="32">
        <x:v>616.16999999999996</x:v>
      </x:c>
      <x:c r="D3764" s="32">
        <x:v>608.49</x:v>
      </x:c>
      <x:c r="E3764" s="32">
        <x:v>615.78</x:v>
      </x:c>
      <x:c r="F3764" s="33">
        <x:v>90053950</x:v>
      </x:c>
      <x:c r="G3764" s="32" t="n">
        <x:f t="shared" si="165">AVERAGE(E3565:E3764)</x:f>
        <x:v>576.3741500000001</x:v>
      </x:c>
      <x:c r="H3764" s="37" t="n">
        <x:f t="shared" si="166">IFERROR(E3764/G3764-1,"")</x:f>
        <x:v>0.06836852416091155</x:v>
      </x:c>
      <x:c r="I3764" s="38" t="b">
        <x:f t="shared" si="167">E3764&lt;G3764</x:f>
        <x:v>0</x:v>
      </x:c>
    </x:row>
    <x:row r="3765">
      <x:c r="A3765" s="31">
        <x:v>42507</x:v>
      </x:c>
      <x:c r="B3765" s="32">
        <x:v>615.78</x:v>
      </x:c>
      <x:c r="C3765" s="32">
        <x:v>626.12</x:v>
      </x:c>
      <x:c r="D3765" s="32">
        <x:v>615.78</x:v>
      </x:c>
      <x:c r="E3765" s="32">
        <x:v>624.75</x:v>
      </x:c>
      <x:c r="F3765" s="33">
        <x:v>116003280</x:v>
      </x:c>
      <x:c r="G3765" s="32" t="n">
        <x:f t="shared" si="165">AVERAGE(E3566:E3765)</x:f>
        <x:v>576.3405500000001</x:v>
      </x:c>
      <x:c r="H3765" s="37" t="n">
        <x:f t="shared" si="166">IFERROR(E3765/G3765-1,"")</x:f>
        <x:v>0.08399452372386418</x:v>
      </x:c>
      <x:c r="I3765" s="38" t="b">
        <x:f t="shared" si="167">E3765&lt;G3765</x:f>
        <x:v>0</x:v>
      </x:c>
    </x:row>
    <x:row r="3766">
      <x:c r="A3766" s="31">
        <x:v>42508</x:v>
      </x:c>
      <x:c r="B3766" s="32">
        <x:v>625.53</x:v>
      </x:c>
      <x:c r="C3766" s="32">
        <x:v>627.80999999999995</x:v>
      </x:c>
      <x:c r="D3766" s="32">
        <x:v>621.79</x:v>
      </x:c>
      <x:c r="E3766" s="32">
        <x:v>622.45000000000005</x:v>
      </x:c>
      <x:c r="F3766" s="33">
        <x:v>113469020</x:v>
      </x:c>
      <x:c r="G3766" s="32" t="n">
        <x:f t="shared" si="165">AVERAGE(E3567:E3766)</x:f>
        <x:v>576.3293000000001</x:v>
      </x:c>
      <x:c r="H3766" s="37" t="n">
        <x:f t="shared" si="166">IFERROR(E3766/G3766-1,"")</x:f>
        <x:v>0.08002490937038931</x:v>
      </x:c>
      <x:c r="I3766" s="38" t="b">
        <x:f t="shared" si="167">E3766&lt;G3766</x:f>
        <x:v>0</x:v>
      </x:c>
    </x:row>
    <x:row r="3767">
      <x:c r="A3767" s="31">
        <x:v>42509</x:v>
      </x:c>
      <x:c r="B3767" s="32">
        <x:v>622.45000000000005</x:v>
      </x:c>
      <x:c r="C3767" s="32">
        <x:v>623.67999999999995</x:v>
      </x:c>
      <x:c r="D3767" s="32">
        <x:v>618.13</x:v>
      </x:c>
      <x:c r="E3767" s="32">
        <x:v>619.20000000000005</x:v>
      </x:c>
      <x:c r="F3767" s="33">
        <x:v>114111200</x:v>
      </x:c>
      <x:c r="G3767" s="32" t="n">
        <x:f t="shared" si="165">AVERAGE(E3568:E3767)</x:f>
        <x:v>576.2924500000001</x:v>
      </x:c>
      <x:c r="H3767" s="37" t="n">
        <x:f t="shared" si="166">IFERROR(E3767/G3767-1,"")</x:f>
        <x:v>0.07445447185712717</x:v>
      </x:c>
      <x:c r="I3767" s="38" t="b">
        <x:f t="shared" si="167">E3767&lt;G3767</x:f>
        <x:v>0</x:v>
      </x:c>
    </x:row>
    <x:row r="3768">
      <x:c r="A3768" s="31">
        <x:v>42510</x:v>
      </x:c>
      <x:c r="B3768" s="32">
        <x:v>620.72</x:v>
      </x:c>
      <x:c r="C3768" s="32">
        <x:v>622.48</x:v>
      </x:c>
      <x:c r="D3768" s="32">
        <x:v>614.41</x:v>
      </x:c>
      <x:c r="E3768" s="32">
        <x:v>614.80999999999995</x:v>
      </x:c>
      <x:c r="F3768" s="33">
        <x:v>89160520</x:v>
      </x:c>
      <x:c r="G3768" s="32" t="n">
        <x:f t="shared" si="165">AVERAGE(E3569:E3768)</x:f>
        <x:v>576.2612000000001</x:v>
      </x:c>
      <x:c r="H3768" s="37" t="n">
        <x:f t="shared" si="166">IFERROR(E3768/G3768-1,"")</x:f>
        <x:v>0.06689466512754949</x:v>
      </x:c>
      <x:c r="I3768" s="38" t="b">
        <x:f t="shared" si="167">E3768&lt;G3768</x:f>
        <x:v>0</x:v>
      </x:c>
    </x:row>
    <x:row r="3769">
      <x:c r="A3769" s="31">
        <x:v>42513</x:v>
      </x:c>
      <x:c r="B3769" s="32">
        <x:v>616.11</x:v>
      </x:c>
      <x:c r="C3769" s="32">
        <x:v>616.83000000000004</x:v>
      </x:c>
      <x:c r="D3769" s="32">
        <x:v>610.45000000000005</x:v>
      </x:c>
      <x:c r="E3769" s="32">
        <x:v>611.03</x:v>
      </x:c>
      <x:c r="F3769" s="33">
        <x:v>76074600</x:v>
      </x:c>
      <x:c r="G3769" s="32" t="n">
        <x:f t="shared" si="165">AVERAGE(E3570:E3769)</x:f>
        <x:v>576.2690000000001</x:v>
      </x:c>
      <x:c r="H3769" s="37" t="n">
        <x:f t="shared" si="166">IFERROR(E3769/G3769-1,"")</x:f>
        <x:v>0.06032078768769411</x:v>
      </x:c>
      <x:c r="I3769" s="38" t="b">
        <x:f t="shared" si="167">E3769&lt;G3769</x:f>
        <x:v>0</x:v>
      </x:c>
    </x:row>
    <x:row r="3770">
      <x:c r="A3770" s="31">
        <x:v>42514</x:v>
      </x:c>
      <x:c r="B3770" s="32">
        <x:v>612.23</x:v>
      </x:c>
      <x:c r="C3770" s="32">
        <x:v>613.14</x:v>
      </x:c>
      <x:c r="D3770" s="32">
        <x:v>608.15</x:v>
      </x:c>
      <x:c r="E3770" s="32">
        <x:v>611.62</x:v>
      </x:c>
      <x:c r="F3770" s="33">
        <x:v>95492370</x:v>
      </x:c>
      <x:c r="G3770" s="32" t="n">
        <x:f t="shared" si="165">AVERAGE(E3571:E3770)</x:f>
        <x:v>576.3233000000001</x:v>
      </x:c>
      <x:c r="H3770" s="37" t="n">
        <x:f t="shared" si="166">IFERROR(E3770/G3770-1,"")</x:f>
        <x:v>0.061244617387497424</x:v>
      </x:c>
      <x:c r="I3770" s="38" t="b">
        <x:f t="shared" si="167">E3770&lt;G3770</x:f>
        <x:v>0</x:v>
      </x:c>
    </x:row>
    <x:row r="3771">
      <x:c r="A3771" s="31">
        <x:v>42515</x:v>
      </x:c>
      <x:c r="B3771" s="32">
        <x:v>613.96</x:v>
      </x:c>
      <x:c r="C3771" s="32">
        <x:v>616.38</x:v>
      </x:c>
      <x:c r="D3771" s="32">
        <x:v>611.62</x:v>
      </x:c>
      <x:c r="E3771" s="32">
        <x:v>611.89</x:v>
      </x:c>
      <x:c r="F3771" s="33">
        <x:v>95084720</x:v>
      </x:c>
      <x:c r="G3771" s="32" t="n">
        <x:f t="shared" si="165">AVERAGE(E3572:E3771)</x:f>
        <x:v>576.3473500000002</x:v>
      </x:c>
      <x:c r="H3771" s="37" t="n">
        <x:f t="shared" si="166">IFERROR(E3771/G3771-1,"")</x:f>
        <x:v>0.061668800940959834</x:v>
      </x:c>
      <x:c r="I3771" s="38" t="b">
        <x:f t="shared" si="167">E3771&lt;G3771</x:f>
        <x:v>0</x:v>
      </x:c>
    </x:row>
    <x:row r="3772">
      <x:c r="A3772" s="31">
        <x:v>42516</x:v>
      </x:c>
      <x:c r="B3772" s="32">
        <x:v>611.88</x:v>
      </x:c>
      <x:c r="C3772" s="32">
        <x:v>613.37</x:v>
      </x:c>
      <x:c r="D3772" s="32">
        <x:v>604.34</x:v>
      </x:c>
      <x:c r="E3772" s="32">
        <x:v>604.34</x:v>
      </x:c>
      <x:c r="F3772" s="33">
        <x:v>94423070</x:v>
      </x:c>
      <x:c r="G3772" s="32" t="n">
        <x:f t="shared" si="165">AVERAGE(E3573:E3772)</x:f>
        <x:v>576.3638500000002</x:v>
      </x:c>
      <x:c r="H3772" s="37" t="n">
        <x:f t="shared" si="166">IFERROR(E3772/G3772-1,"")</x:f>
        <x:v>0.04853904352259408</x:v>
      </x:c>
      <x:c r="I3772" s="38" t="b">
        <x:f t="shared" si="167">E3772&lt;G3772</x:f>
        <x:v>0</x:v>
      </x:c>
    </x:row>
    <x:row r="3773">
      <x:c r="A3773" s="31">
        <x:v>42517</x:v>
      </x:c>
      <x:c r="B3773" s="32">
        <x:v>604.36</x:v>
      </x:c>
      <x:c r="C3773" s="32">
        <x:v>609.94000000000005</x:v>
      </x:c>
      <x:c r="D3773" s="32">
        <x:v>603.23</x:v>
      </x:c>
      <x:c r="E3773" s="32">
        <x:v>608.11</x:v>
      </x:c>
      <x:c r="F3773" s="33">
        <x:v>89454250</x:v>
      </x:c>
      <x:c r="G3773" s="32" t="n">
        <x:f t="shared" si="165">AVERAGE(E3574:E3773)</x:f>
        <x:v>576.3856000000003</x:v>
      </x:c>
      <x:c r="H3773" s="37" t="n">
        <x:f t="shared" si="166">IFERROR(E3773/G3773-1,"")</x:f>
        <x:v>0.055040236952484056</x:v>
      </x:c>
      <x:c r="I3773" s="38" t="b">
        <x:f t="shared" si="167">E3773&lt;G3773</x:f>
        <x:v>0</x:v>
      </x:c>
    </x:row>
    <x:row r="3774">
      <x:c r="A3774" s="31">
        <x:v>42520</x:v>
      </x:c>
      <x:c r="B3774" s="32">
        <x:v>609.98</x:v>
      </x:c>
      <x:c r="C3774" s="32">
        <x:v>615.52</x:v>
      </x:c>
      <x:c r="D3774" s="32">
        <x:v>608.11</x:v>
      </x:c>
      <x:c r="E3774" s="32">
        <x:v>614.5</x:v>
      </x:c>
      <x:c r="F3774" s="33">
        <x:v>101592790</x:v>
      </x:c>
      <x:c r="G3774" s="32" t="n">
        <x:f t="shared" si="165">AVERAGE(E3575:E3774)</x:f>
        <x:v>576.3854500000002</x:v>
      </x:c>
      <x:c r="H3774" s="37" t="n">
        <x:f t="shared" si="166">IFERROR(E3774/G3774-1,"")</x:f>
        <x:v>0.06612684272304192</x:v>
      </x:c>
      <x:c r="I3774" s="38" t="b">
        <x:f t="shared" si="167">E3774&lt;G3774</x:f>
        <x:v>0</x:v>
      </x:c>
    </x:row>
    <x:row r="3775">
      <x:c r="A3775" s="31">
        <x:v>42521</x:v>
      </x:c>
      <x:c r="B3775" s="32">
        <x:v>616.22</x:v>
      </x:c>
      <x:c r="C3775" s="32">
        <x:v>621.14</x:v>
      </x:c>
      <x:c r="D3775" s="32">
        <x:v>614.5</x:v>
      </x:c>
      <x:c r="E3775" s="32">
        <x:v>618.44000000000005</x:v>
      </x:c>
      <x:c r="F3775" s="33">
        <x:v>107978420</x:v>
      </x:c>
      <x:c r="G3775" s="32" t="n">
        <x:f t="shared" si="165">AVERAGE(E3576:E3775)</x:f>
        <x:v>576.4124000000003</x:v>
      </x:c>
      <x:c r="H3775" s="37" t="n">
        <x:f t="shared" si="166">IFERROR(E3775/G3775-1,"")</x:f>
        <x:v>0.07291238009452905</x:v>
      </x:c>
      <x:c r="I3775" s="38" t="b">
        <x:f t="shared" si="167">E3775&lt;G3775</x:f>
        <x:v>0</x:v>
      </x:c>
    </x:row>
    <x:row r="3776">
      <x:c r="A3776" s="31">
        <x:v>42522</x:v>
      </x:c>
      <x:c r="B3776" s="32">
        <x:v>618.17999999999995</x:v>
      </x:c>
      <x:c r="C3776" s="32">
        <x:v>620.24</x:v>
      </x:c>
      <x:c r="D3776" s="32">
        <x:v>616.33000000000004</x:v>
      </x:c>
      <x:c r="E3776" s="32">
        <x:v>619.86</x:v>
      </x:c>
      <x:c r="F3776" s="33">
        <x:v>99652390</x:v>
      </x:c>
      <x:c r="G3776" s="32" t="n">
        <x:f t="shared" si="165">AVERAGE(E3577:E3776)</x:f>
        <x:v>576.4905000000002</x:v>
      </x:c>
      <x:c r="H3776" s="37" t="n">
        <x:f t="shared" si="166">IFERROR(E3776/G3776-1,"")</x:f>
        <x:v>0.07523020760966537</x:v>
      </x:c>
      <x:c r="I3776" s="38" t="b">
        <x:f t="shared" si="167">E3776&lt;G3776</x:f>
        <x:v>0</x:v>
      </x:c>
    </x:row>
    <x:row r="3777">
      <x:c r="A3777" s="31">
        <x:v>42523</x:v>
      </x:c>
      <x:c r="B3777" s="32">
        <x:v>619.19000000000005</x:v>
      </x:c>
      <x:c r="C3777" s="32">
        <x:v>624.52</x:v>
      </x:c>
      <x:c r="D3777" s="32">
        <x:v>618.38</x:v>
      </x:c>
      <x:c r="E3777" s="32">
        <x:v>623.37</x:v>
      </x:c>
      <x:c r="F3777" s="33">
        <x:v>121873950</x:v>
      </x:c>
      <x:c r="G3777" s="32" t="n">
        <x:f t="shared" si="165">AVERAGE(E3578:E3777)</x:f>
        <x:v>576.6360500000002</x:v>
      </x:c>
      <x:c r="H3777" s="37" t="n">
        <x:f t="shared" si="166">IFERROR(E3777/G3777-1,"")</x:f>
        <x:v>0.08104583471671578</x:v>
      </x:c>
      <x:c r="I3777" s="38" t="b">
        <x:f t="shared" si="167">E3777&lt;G3777</x:f>
        <x:v>0</x:v>
      </x:c>
    </x:row>
    <x:row r="3778">
      <x:c r="A3778" s="31">
        <x:v>42524</x:v>
      </x:c>
      <x:c r="B3778" s="32">
        <x:v>623.21</x:v>
      </x:c>
      <x:c r="C3778" s="32">
        <x:v>625.19000000000005</x:v>
      </x:c>
      <x:c r="D3778" s="32">
        <x:v>621.62</x:v>
      </x:c>
      <x:c r="E3778" s="32">
        <x:v>621.88</x:v>
      </x:c>
      <x:c r="F3778" s="33">
        <x:v>118639060</x:v>
      </x:c>
      <x:c r="G3778" s="32" t="n">
        <x:f t="shared" si="165">AVERAGE(E3579:E3778)</x:f>
        <x:v>576.8003000000001</x:v>
      </x:c>
      <x:c r="H3778" s="37" t="n">
        <x:f t="shared" si="166">IFERROR(E3778/G3778-1,"")</x:f>
        <x:v>0.07815477904571111</x:v>
      </x:c>
      <x:c r="I3778" s="38" t="b">
        <x:f t="shared" si="167">E3778&lt;G3778</x:f>
        <x:v>0</x:v>
      </x:c>
    </x:row>
    <x:row r="3779">
      <x:c r="A3779" s="31">
        <x:v>42527</x:v>
      </x:c>
      <x:c r="B3779" s="32">
        <x:v>621.09</x:v>
      </x:c>
      <x:c r="C3779" s="32">
        <x:v>624.54999999999995</x:v>
      </x:c>
      <x:c r="D3779" s="32">
        <x:v>616.98</x:v>
      </x:c>
      <x:c r="E3779" s="32">
        <x:v>620.04999999999995</x:v>
      </x:c>
      <x:c r="F3779" s="33">
        <x:v>118156660</x:v>
      </x:c>
      <x:c r="G3779" s="32" t="n">
        <x:f t="shared" si="165">AVERAGE(E3580:E3779)</x:f>
        <x:v>577.0348000000001</x:v>
      </x:c>
      <x:c r="H3779" s="37" t="n">
        <x:f t="shared" si="166">IFERROR(E3779/G3779-1,"")</x:f>
        <x:v>0.07454524406500229</x:v>
      </x:c>
      <x:c r="I3779" s="38" t="b">
        <x:f t="shared" si="167">E3779&lt;G3779</x:f>
        <x:v>0</x:v>
      </x:c>
    </x:row>
    <x:row r="3780">
      <x:c r="A3780" s="31">
        <x:v>42528</x:v>
      </x:c>
      <x:c r="B3780" s="32">
        <x:v>622.4</x:v>
      </x:c>
      <x:c r="C3780" s="32">
        <x:v>624.69000000000005</x:v>
      </x:c>
      <x:c r="D3780" s="32">
        <x:v>620.04999999999995</x:v>
      </x:c>
      <x:c r="E3780" s="32">
        <x:v>624.65</x:v>
      </x:c>
      <x:c r="F3780" s="33">
        <x:v>112253160</x:v>
      </x:c>
      <x:c r="G3780" s="32" t="n">
        <x:f t="shared" si="165">AVERAGE(E3581:E3780)</x:f>
        <x:v>577.2569500000002</x:v>
      </x:c>
      <x:c r="H3780" s="37" t="n">
        <x:f t="shared" si="166">IFERROR(E3780/G3780-1,"")</x:f>
        <x:v>0.08210044071361944</x:v>
      </x:c>
      <x:c r="I3780" s="38" t="b">
        <x:f t="shared" si="167">E3780&lt;G3780</x:f>
        <x:v>0</x:v>
      </x:c>
    </x:row>
    <x:row r="3781">
      <x:c r="A3781" s="31">
        <x:v>42529</x:v>
      </x:c>
      <x:c r="B3781" s="32">
        <x:v>626.84</x:v>
      </x:c>
      <x:c r="C3781" s="32">
        <x:v>632.67999999999995</x:v>
      </x:c>
      <x:c r="D3781" s="32">
        <x:v>624.65</x:v>
      </x:c>
      <x:c r="E3781" s="32">
        <x:v>627.87</x:v>
      </x:c>
      <x:c r="F3781" s="33">
        <x:v>126073730</x:v>
      </x:c>
      <x:c r="G3781" s="32" t="n">
        <x:f t="shared" si="165">AVERAGE(E3582:E3781)</x:f>
        <x:v>577.5072000000001</x:v>
      </x:c>
      <x:c r="H3781" s="37" t="n">
        <x:f t="shared" si="166">IFERROR(E3781/G3781-1,"")</x:f>
        <x:v>0.08720722442940954</x:v>
      </x:c>
      <x:c r="I3781" s="38" t="b">
        <x:f t="shared" si="167">E3781&lt;G3781</x:f>
        <x:v>0</x:v>
      </x:c>
    </x:row>
    <x:row r="3782">
      <x:c r="A3782" s="31">
        <x:v>42530</x:v>
      </x:c>
      <x:c r="B3782" s="32">
        <x:v>628.4</x:v>
      </x:c>
      <x:c r="C3782" s="32">
        <x:v>631.26</x:v>
      </x:c>
      <x:c r="D3782" s="32">
        <x:v>626.27</x:v>
      </x:c>
      <x:c r="E3782" s="32">
        <x:v>631.26</x:v>
      </x:c>
      <x:c r="F3782" s="33">
        <x:v>116376380</x:v>
      </x:c>
      <x:c r="G3782" s="32" t="n">
        <x:f t="shared" si="165">AVERAGE(E3583:E3782)</x:f>
        <x:v>577.8300500000001</x:v>
      </x:c>
      <x:c r="H3782" s="37" t="n">
        <x:f t="shared" si="166">IFERROR(E3782/G3782-1,"")</x:f>
        <x:v>0.09246654790625697</x:v>
      </x:c>
      <x:c r="I3782" s="38" t="b">
        <x:f t="shared" si="167">E3782&lt;G3782</x:f>
        <x:v>0</x:v>
      </x:c>
    </x:row>
    <x:row r="3783">
      <x:c r="A3783" s="31">
        <x:v>42531</x:v>
      </x:c>
      <x:c r="B3783" s="32">
        <x:v>629.95000000000005</x:v>
      </x:c>
      <x:c r="C3783" s="32">
        <x:v>633.47</x:v>
      </x:c>
      <x:c r="D3783" s="32">
        <x:v>628.55999999999995</x:v>
      </x:c>
      <x:c r="E3783" s="32">
        <x:v>629.84</x:v>
      </x:c>
      <x:c r="F3783" s="33">
        <x:v>128988300</x:v>
      </x:c>
      <x:c r="G3783" s="32" t="n">
        <x:f t="shared" si="165">AVERAGE(E3584:E3783)</x:f>
        <x:v>578.19775</x:v>
      </x:c>
      <x:c r="H3783" s="37" t="n">
        <x:f t="shared" si="166">IFERROR(E3783/G3783-1,"")</x:f>
        <x:v>0.08931589581592103</x:v>
      </x:c>
      <x:c r="I3783" s="38" t="b">
        <x:f t="shared" si="167">E3783&lt;G3783</x:f>
        <x:v>0</x:v>
      </x:c>
    </x:row>
    <x:row r="3784">
      <x:c r="A3784" s="31">
        <x:v>42534</x:v>
      </x:c>
      <x:c r="B3784" s="32">
        <x:v>626.26</x:v>
      </x:c>
      <x:c r="C3784" s="32">
        <x:v>629.84</x:v>
      </x:c>
      <x:c r="D3784" s="32">
        <x:v>621.4</x:v>
      </x:c>
      <x:c r="E3784" s="32">
        <x:v>623.58000000000004</x:v>
      </x:c>
      <x:c r="F3784" s="33">
        <x:v>116109850</x:v>
      </x:c>
      <x:c r="G3784" s="32" t="n">
        <x:f t="shared" si="165">AVERAGE(E3585:E3784)</x:f>
        <x:v>578.681</x:v>
      </x:c>
      <x:c r="H3784" s="37" t="n">
        <x:f t="shared" si="166">IFERROR(E3784/G3784-1,"")</x:f>
        <x:v>0.07758851595265792</x:v>
      </x:c>
      <x:c r="I3784" s="38" t="b">
        <x:f t="shared" si="167">E3784&lt;G3784</x:f>
        <x:v>0</x:v>
      </x:c>
    </x:row>
    <x:row r="3785">
      <x:c r="A3785" s="31">
        <x:v>42535</x:v>
      </x:c>
      <x:c r="B3785" s="32">
        <x:v>621.63</x:v>
      </x:c>
      <x:c r="C3785" s="32">
        <x:v>626.4</x:v>
      </x:c>
      <x:c r="D3785" s="32">
        <x:v>619.13</x:v>
      </x:c>
      <x:c r="E3785" s="32">
        <x:v>625.42999999999995</x:v>
      </x:c>
      <x:c r="F3785" s="33">
        <x:v>91857820</x:v>
      </x:c>
      <x:c r="G3785" s="32" t="n">
        <x:f t="shared" si="165">AVERAGE(E3586:E3785)</x:f>
        <x:v>579.1582500000001</x:v>
      </x:c>
      <x:c r="H3785" s="37" t="n">
        <x:f t="shared" si="166">IFERROR(E3785/G3785-1,"")</x:f>
        <x:v>0.07989483012630805</x:v>
      </x:c>
      <x:c r="I3785" s="38" t="b">
        <x:f t="shared" si="167">E3785&lt;G3785</x:f>
        <x:v>0</x:v>
      </x:c>
    </x:row>
    <x:row r="3786">
      <x:c r="A3786" s="31">
        <x:v>42536</x:v>
      </x:c>
      <x:c r="B3786" s="32">
        <x:v>624.63</x:v>
      </x:c>
      <x:c r="C3786" s="32">
        <x:v>628.75</x:v>
      </x:c>
      <x:c r="D3786" s="32">
        <x:v>621.76</x:v>
      </x:c>
      <x:c r="E3786" s="32">
        <x:v>627.02</x:v>
      </x:c>
      <x:c r="F3786" s="33">
        <x:v>103691960</x:v>
      </x:c>
      <x:c r="G3786" s="32" t="n">
        <x:f t="shared" si="165">AVERAGE(E3587:E3786)</x:f>
        <x:v>579.5639000000001</x:v>
      </x:c>
      <x:c r="H3786" s="37" t="n">
        <x:f t="shared" si="166">IFERROR(E3786/G3786-1,"")</x:f>
        <x:v>0.08188242918511635</x:v>
      </x:c>
      <x:c r="I3786" s="38" t="b">
        <x:f t="shared" si="167">E3786&lt;G3786</x:f>
        <x:v>0</x:v>
      </x:c>
    </x:row>
    <x:row r="3787">
      <x:c r="A3787" s="31">
        <x:v>42537</x:v>
      </x:c>
      <x:c r="B3787" s="32">
        <x:v>627.38</x:v>
      </x:c>
      <x:c r="C3787" s="32">
        <x:v>630.21</x:v>
      </x:c>
      <x:c r="D3787" s="32">
        <x:v>625.11</x:v>
      </x:c>
      <x:c r="E3787" s="32">
        <x:v>625.11</x:v>
      </x:c>
      <x:c r="F3787" s="33">
        <x:v>116946050</x:v>
      </x:c>
      <x:c r="G3787" s="32" t="n">
        <x:f t="shared" si="165">AVERAGE(E3588:E3787)</x:f>
        <x:v>579.9104000000001</x:v>
      </x:c>
      <x:c r="H3787" s="37" t="n">
        <x:f t="shared" si="166">IFERROR(E3787/G3787-1,"")</x:f>
        <x:v>0.07794238558232425</x:v>
      </x:c>
      <x:c r="I3787" s="38" t="b">
        <x:f t="shared" si="167">E3787&lt;G3787</x:f>
        <x:v>0</x:v>
      </x:c>
    </x:row>
    <x:row r="3788">
      <x:c r="A3788" s="31">
        <x:v>42538</x:v>
      </x:c>
      <x:c r="B3788" s="32">
        <x:v>622.91999999999996</x:v>
      </x:c>
      <x:c r="C3788" s="32">
        <x:v>625.11</x:v>
      </x:c>
      <x:c r="D3788" s="32">
        <x:v>618.16</x:v>
      </x:c>
      <x:c r="E3788" s="32">
        <x:v>619.25</x:v>
      </x:c>
      <x:c r="F3788" s="33">
        <x:v>143669220</x:v>
      </x:c>
      <x:c r="G3788" s="32" t="n">
        <x:f t="shared" si="165">AVERAGE(E3589:E3788)</x:f>
        <x:v>580.1523000000001</x:v>
      </x:c>
      <x:c r="H3788" s="37" t="n">
        <x:f t="shared" si="166">IFERROR(E3788/G3788-1,"")</x:f>
        <x:v>0.0673921313420629</x:v>
      </x:c>
      <x:c r="I3788" s="38" t="b">
        <x:f t="shared" si="167">E3788&lt;G3788</x:f>
        <x:v>0</x:v>
      </x:c>
    </x:row>
    <x:row r="3789">
      <x:c r="A3789" s="31">
        <x:v>42541</x:v>
      </x:c>
      <x:c r="B3789" s="32">
        <x:v>622.04</x:v>
      </x:c>
      <x:c r="C3789" s="32">
        <x:v>626.46</x:v>
      </x:c>
      <x:c r="D3789" s="32">
        <x:v>619.25</x:v>
      </x:c>
      <x:c r="E3789" s="32">
        <x:v>626.46</x:v>
      </x:c>
      <x:c r="F3789" s="33">
        <x:v>94712000</x:v>
      </x:c>
      <x:c r="G3789" s="32" t="n">
        <x:f t="shared" ref="G3789:G3852" si="168">AVERAGE(E3590:E3789)</x:f>
        <x:v>580.4608500000002</x:v>
      </x:c>
      <x:c r="H3789" s="37" t="n">
        <x:f t="shared" ref="H3789:H3852" si="169">IFERROR(E3789/G3789-1,"")</x:f>
        <x:v>0.0792459129672567</x:v>
      </x:c>
      <x:c r="I3789" s="38" t="b">
        <x:f t="shared" ref="I3789:I3852" si="170">E3789&lt;G3789</x:f>
        <x:v>0</x:v>
      </x:c>
    </x:row>
    <x:row r="3790">
      <x:c r="A3790" s="31">
        <x:v>42542</x:v>
      </x:c>
      <x:c r="B3790" s="32">
        <x:v>629.03</x:v>
      </x:c>
      <x:c r="C3790" s="32">
        <x:v>631.96</x:v>
      </x:c>
      <x:c r="D3790" s="32">
        <x:v>626.46</x:v>
      </x:c>
      <x:c r="E3790" s="32">
        <x:v>628</x:v>
      </x:c>
      <x:c r="F3790" s="33">
        <x:v>108155080</x:v>
      </x:c>
      <x:c r="G3790" s="32" t="n">
        <x:f t="shared" si="168">AVERAGE(E3591:E3790)</x:f>
        <x:v>580.7893000000001</x:v>
      </x:c>
      <x:c r="H3790" s="37" t="n">
        <x:f t="shared" si="169">IFERROR(E3790/G3790-1,"")</x:f>
        <x:v>0.08128713803783905</x:v>
      </x:c>
      <x:c r="I3790" s="38" t="b">
        <x:f t="shared" si="170">E3790&lt;G3790</x:f>
        <x:v>0</x:v>
      </x:c>
    </x:row>
    <x:row r="3791">
      <x:c r="A3791" s="31">
        <x:v>42543</x:v>
      </x:c>
      <x:c r="B3791" s="32">
        <x:v>628.77</x:v>
      </x:c>
      <x:c r="C3791" s="32">
        <x:v>629.95000000000005</x:v>
      </x:c>
      <x:c r="D3791" s="32">
        <x:v>625.80999999999995</x:v>
      </x:c>
      <x:c r="E3791" s="32">
        <x:v>626.41</x:v>
      </x:c>
      <x:c r="F3791" s="33">
        <x:v>93762050</x:v>
      </x:c>
      <x:c r="G3791" s="32" t="n">
        <x:f t="shared" si="168">AVERAGE(E3592:E3791)</x:f>
        <x:v>581.1498500000001</x:v>
      </x:c>
      <x:c r="H3791" s="37" t="n">
        <x:f t="shared" si="169">IFERROR(E3791/G3791-1,"")</x:f>
        <x:v>0.07788034359812679</x:v>
      </x:c>
      <x:c r="I3791" s="38" t="b">
        <x:f t="shared" si="170">E3791&lt;G3791</x:f>
        <x:v>0</x:v>
      </x:c>
    </x:row>
    <x:row r="3792">
      <x:c r="A3792" s="31">
        <x:v>42544</x:v>
      </x:c>
      <x:c r="B3792" s="32">
        <x:v>626.47</x:v>
      </x:c>
      <x:c r="C3792" s="32">
        <x:v>632.6</x:v>
      </x:c>
      <x:c r="D3792" s="32">
        <x:v>626.41</x:v>
      </x:c>
      <x:c r="E3792" s="32">
        <x:v>632.27</x:v>
      </x:c>
      <x:c r="F3792" s="33">
        <x:v>105505080</x:v>
      </x:c>
      <x:c r="G3792" s="32" t="n">
        <x:f t="shared" si="168">AVERAGE(E3593:E3792)</x:f>
        <x:v>581.5271500000002</x:v>
      </x:c>
      <x:c r="H3792" s="37" t="n">
        <x:f t="shared" si="169">IFERROR(E3792/G3792-1,"")</x:f>
        <x:v>0.08725792080386907</x:v>
      </x:c>
      <x:c r="I3792" s="38" t="b">
        <x:f t="shared" si="170">E3792&lt;G3792</x:f>
        <x:v>0</x:v>
      </x:c>
    </x:row>
    <x:row r="3793">
      <x:c r="A3793" s="31">
        <x:v>42545</x:v>
      </x:c>
      <x:c r="B3793" s="32">
        <x:v>631.77</x:v>
      </x:c>
      <x:c r="C3793" s="32">
        <x:v>632.27</x:v>
      </x:c>
      <x:c r="D3793" s="32">
        <x:v>597.67999999999995</x:v>
      </x:c>
      <x:c r="E3793" s="32">
        <x:v>620.77</x:v>
      </x:c>
      <x:c r="F3793" s="33">
        <x:v>262210430</x:v>
      </x:c>
      <x:c r="G3793" s="32" t="n">
        <x:f t="shared" si="168">AVERAGE(E3594:E3793)</x:f>
        <x:v>581.8563500000001</x:v>
      </x:c>
      <x:c r="H3793" s="37" t="n">
        <x:f t="shared" si="169">IFERROR(E3793/G3793-1,"")</x:f>
        <x:v>0.0668784486067735</x:v>
      </x:c>
      <x:c r="I3793" s="38" t="b">
        <x:f t="shared" si="170">E3793&lt;G3793</x:f>
        <x:v>0</x:v>
      </x:c>
    </x:row>
    <x:row r="3794">
      <x:c r="A3794" s="31">
        <x:v>42548</x:v>
      </x:c>
      <x:c r="B3794" s="32">
        <x:v>616.19000000000005</x:v>
      </x:c>
      <x:c r="C3794" s="32">
        <x:v>621.27</x:v>
      </x:c>
      <x:c r="D3794" s="32">
        <x:v>608.26</x:v>
      </x:c>
      <x:c r="E3794" s="32">
        <x:v>621.27</x:v>
      </x:c>
      <x:c r="F3794" s="33">
        <x:v>101865150</x:v>
      </x:c>
      <x:c r="G3794" s="32" t="n">
        <x:f t="shared" si="168">AVERAGE(E3595:E3794)</x:f>
        <x:v>582.1291000000002</x:v>
      </x:c>
      <x:c r="H3794" s="37" t="n">
        <x:f t="shared" si="169">IFERROR(E3794/G3794-1,"")</x:f>
        <x:v>0.06723749079027264</x:v>
      </x:c>
      <x:c r="I3794" s="38" t="b">
        <x:f t="shared" si="170">E3794&lt;G3794</x:f>
        <x:v>0</x:v>
      </x:c>
    </x:row>
    <x:row r="3795">
      <x:c r="A3795" s="31">
        <x:v>42549</x:v>
      </x:c>
      <x:c r="B3795" s="32">
        <x:v>617.67999999999995</x:v>
      </x:c>
      <x:c r="C3795" s="32">
        <x:v>624.85</x:v>
      </x:c>
      <x:c r="D3795" s="32">
        <x:v>617.65</x:v>
      </x:c>
      <x:c r="E3795" s="32">
        <x:v>622.20000000000005</x:v>
      </x:c>
      <x:c r="F3795" s="33">
        <x:v>76760440</x:v>
      </x:c>
      <x:c r="G3795" s="32" t="n">
        <x:f t="shared" si="168">AVERAGE(E3596:E3795)</x:f>
        <x:v>582.3784000000002</x:v>
      </x:c>
      <x:c r="H3795" s="37" t="n">
        <x:f t="shared" si="169">IFERROR(E3795/G3795-1,"")</x:f>
        <x:v>0.06837753598004292</x:v>
      </x:c>
      <x:c r="I3795" s="38" t="b">
        <x:f t="shared" si="170">E3795&lt;G3795</x:f>
        <x:v>0</x:v>
      </x:c>
    </x:row>
    <x:row r="3796">
      <x:c r="A3796" s="31">
        <x:v>42550</x:v>
      </x:c>
      <x:c r="B3796" s="32">
        <x:v>623.55999999999995</x:v>
      </x:c>
      <x:c r="C3796" s="32">
        <x:v>631.25</x:v>
      </x:c>
      <x:c r="D3796" s="32">
        <x:v>622.20000000000005</x:v>
      </x:c>
      <x:c r="E3796" s="32">
        <x:v>630.12</x:v>
      </x:c>
      <x:c r="F3796" s="33">
        <x:v>113362110</x:v>
      </x:c>
      <x:c r="G3796" s="32" t="n">
        <x:f t="shared" si="168">AVERAGE(E3597:E3796)</x:f>
        <x:v>582.6686500000001</x:v>
      </x:c>
      <x:c r="H3796" s="37" t="n">
        <x:f t="shared" si="169">IFERROR(E3796/G3796-1,"")</x:f>
        <x:v>0.08143796650120083</x:v>
      </x:c>
      <x:c r="I3796" s="38" t="b">
        <x:f t="shared" si="170">E3796&lt;G3796</x:f>
        <x:v>0</x:v>
      </x:c>
    </x:row>
    <x:row r="3797">
      <x:c r="A3797" s="31">
        <x:v>42551</x:v>
      </x:c>
      <x:c r="B3797" s="32">
        <x:v>633.16999999999996</x:v>
      </x:c>
      <x:c r="C3797" s="32">
        <x:v>637.46</x:v>
      </x:c>
      <x:c r="D3797" s="32">
        <x:v>630.12</x:v>
      </x:c>
      <x:c r="E3797" s="32">
        <x:v>632.26</x:v>
      </x:c>
      <x:c r="F3797" s="33">
        <x:v>99042580</x:v>
      </x:c>
      <x:c r="G3797" s="32" t="n">
        <x:f t="shared" si="168">AVERAGE(E3598:E3797)</x:f>
        <x:v>582.9962500000001</x:v>
      </x:c>
      <x:c r="H3797" s="37" t="n">
        <x:f t="shared" si="169">IFERROR(E3797/G3797-1,"")</x:f>
        <x:v>0.08450097234759202</x:v>
      </x:c>
      <x:c r="I3797" s="38" t="b">
        <x:f t="shared" si="170">E3797&lt;G3797</x:f>
        <x:v>0</x:v>
      </x:c>
    </x:row>
    <x:row r="3798">
      <x:c r="A3798" s="31">
        <x:v>42552</x:v>
      </x:c>
      <x:c r="B3798" s="32">
        <x:v>632.26</x:v>
      </x:c>
      <x:c r="C3798" s="32">
        <x:v>643.54999999999995</x:v>
      </x:c>
      <x:c r="D3798" s="32">
        <x:v>632.26</x:v>
      </x:c>
      <x:c r="E3798" s="32">
        <x:v>640.29999999999995</x:v>
      </x:c>
      <x:c r="F3798" s="33">
        <x:v>106711160</x:v>
      </x:c>
      <x:c r="G3798" s="32" t="n">
        <x:f t="shared" si="168">AVERAGE(E3599:E3798)</x:f>
        <x:v>583.3869000000002</x:v>
      </x:c>
      <x:c r="H3798" s="37" t="n">
        <x:f t="shared" si="169">IFERROR(E3798/G3798-1,"")</x:f>
        <x:v>0.09755635582492461</x:v>
      </x:c>
      <x:c r="I3798" s="38" t="b">
        <x:f t="shared" si="170">E3798&lt;G3798</x:f>
        <x:v>0</x:v>
      </x:c>
    </x:row>
    <x:row r="3799">
      <x:c r="A3799" s="31">
        <x:v>42555</x:v>
      </x:c>
      <x:c r="B3799" s="32">
        <x:v>643.11</x:v>
      </x:c>
      <x:c r="C3799" s="32">
        <x:v>647.96</x:v>
      </x:c>
      <x:c r="D3799" s="32">
        <x:v>640.29999999999995</x:v>
      </x:c>
      <x:c r="E3799" s="32">
        <x:v>647.96</x:v>
      </x:c>
      <x:c r="F3799" s="33">
        <x:v>124752900</x:v>
      </x:c>
      <x:c r="G3799" s="32" t="n">
        <x:f t="shared" si="168">AVERAGE(E3600:E3799)</x:f>
        <x:v>583.8103500000002</x:v>
      </x:c>
      <x:c r="H3799" s="37" t="n">
        <x:f t="shared" si="169">IFERROR(E3799/G3799-1,"")</x:f>
        <x:v>0.1098809741896487</x:v>
      </x:c>
      <x:c r="I3799" s="38" t="b">
        <x:f t="shared" si="170">E3799&lt;G3799</x:f>
        <x:v>0</x:v>
      </x:c>
    </x:row>
    <x:row r="3800">
      <x:c r="A3800" s="31">
        <x:v>42556</x:v>
      </x:c>
      <x:c r="B3800" s="32">
        <x:v>650.47</x:v>
      </x:c>
      <x:c r="C3800" s="32">
        <x:v>658.45</x:v>
      </x:c>
      <x:c r="D3800" s="32">
        <x:v>647.52</x:v>
      </x:c>
      <x:c r="E3800" s="32">
        <x:v>650.88</x:v>
      </x:c>
      <x:c r="F3800" s="33">
        <x:v>140423840</x:v>
      </x:c>
      <x:c r="G3800" s="32" t="n">
        <x:f t="shared" si="168">AVERAGE(E3601:E3800)</x:f>
        <x:v>584.2441000000003</x:v>
      </x:c>
      <x:c r="H3800" s="37" t="n">
        <x:f t="shared" si="169">IFERROR(E3800/G3800-1,"")</x:f>
        <x:v>0.11405489589026163</x:v>
      </x:c>
      <x:c r="I3800" s="38" t="b">
        <x:f t="shared" si="170">E3800&lt;G3800</x:f>
        <x:v>0</x:v>
      </x:c>
    </x:row>
    <x:row r="3801">
      <x:c r="A3801" s="31">
        <x:v>42557</x:v>
      </x:c>
      <x:c r="B3801" s="32">
        <x:v>646.79999999999995</x:v>
      </x:c>
      <x:c r="C3801" s="32">
        <x:v>652.36</x:v>
      </x:c>
      <x:c r="D3801" s="32">
        <x:v>644.07000000000005</x:v>
      </x:c>
      <x:c r="E3801" s="32">
        <x:v>649.46</x:v>
      </x:c>
      <x:c r="F3801" s="33">
        <x:v>117965440</x:v>
      </x:c>
      <x:c r="G3801" s="32" t="n">
        <x:f t="shared" si="168">AVERAGE(E3602:E3801)</x:f>
        <x:v>584.6790000000003</x:v>
      </x:c>
      <x:c r="H3801" s="37" t="n">
        <x:f t="shared" si="169">IFERROR(E3801/G3801-1,"")</x:f>
        <x:v>0.11079754874041936</x:v>
      </x:c>
      <x:c r="I3801" s="38" t="b">
        <x:f t="shared" si="170">E3801&lt;G3801</x:f>
        <x:v>0</x:v>
      </x:c>
    </x:row>
    <x:row r="3802">
      <x:c r="A3802" s="31">
        <x:v>42558</x:v>
      </x:c>
      <x:c r="B3802" s="32">
        <x:v>652.49</x:v>
      </x:c>
      <x:c r="C3802" s="32">
        <x:v>661.12</x:v>
      </x:c>
      <x:c r="D3802" s="32">
        <x:v>649.46</x:v>
      </x:c>
      <x:c r="E3802" s="32">
        <x:v>661.12</x:v>
      </x:c>
      <x:c r="F3802" s="33">
        <x:v>130188390</x:v>
      </x:c>
      <x:c r="G3802" s="32" t="n">
        <x:f t="shared" si="168">AVERAGE(E3603:E3802)</x:f>
        <x:v>585.1533500000003</x:v>
      </x:c>
      <x:c r="H3802" s="37" t="n">
        <x:f t="shared" si="169">IFERROR(E3802/G3802-1,"")</x:f>
        <x:v>0.12982348985953807</x:v>
      </x:c>
      <x:c r="I3802" s="38" t="b">
        <x:f t="shared" si="170">E3802&lt;G3802</x:f>
        <x:v>0</x:v>
      </x:c>
    </x:row>
    <x:row r="3803">
      <x:c r="A3803" s="31">
        <x:v>42559</x:v>
      </x:c>
      <x:c r="B3803" s="32">
        <x:v>661.07</x:v>
      </x:c>
      <x:c r="C3803" s="32">
        <x:v>665.53</x:v>
      </x:c>
      <x:c r="D3803" s="32">
        <x:v>655.91</x:v>
      </x:c>
      <x:c r="E3803" s="32">
        <x:v>658.68</x:v>
      </x:c>
      <x:c r="F3803" s="33">
        <x:v>131939490</x:v>
      </x:c>
      <x:c r="G3803" s="32" t="n">
        <x:f t="shared" si="168">AVERAGE(E3604:E3803)</x:f>
        <x:v>585.5861500000002</x:v>
      </x:c>
      <x:c r="H3803" s="37" t="n">
        <x:f t="shared" si="169">IFERROR(E3803/G3803-1,"")</x:f>
        <x:v>0.12482168507571378</x:v>
      </x:c>
      <x:c r="I3803" s="38" t="b">
        <x:f t="shared" si="170">E3803&lt;G3803</x:f>
        <x:v>0</x:v>
      </x:c>
    </x:row>
    <x:row r="3804">
      <x:c r="A3804" s="31">
        <x:v>42562</x:v>
      </x:c>
      <x:c r="B3804" s="32">
        <x:v>658.92</x:v>
      </x:c>
      <x:c r="C3804" s="32">
        <x:v>664.89</x:v>
      </x:c>
      <x:c r="D3804" s="32">
        <x:v>648.77</x:v>
      </x:c>
      <x:c r="E3804" s="32">
        <x:v>652.26</x:v>
      </x:c>
      <x:c r="F3804" s="33">
        <x:v>146647990</x:v>
      </x:c>
      <x:c r="G3804" s="32" t="n">
        <x:f t="shared" si="168">AVERAGE(E3605:E3804)</x:f>
        <x:v>585.9814500000002</x:v>
      </x:c>
      <x:c r="H3804" s="37" t="n">
        <x:f t="shared" si="169">IFERROR(E3804/G3804-1,"")</x:f>
        <x:v>0.1131069080770386</x:v>
      </x:c>
      <x:c r="I3804" s="38" t="b">
        <x:f t="shared" si="170">E3804&lt;G3804</x:f>
        <x:v>0</x:v>
      </x:c>
    </x:row>
    <x:row r="3805">
      <x:c r="A3805" s="31">
        <x:v>42563</x:v>
      </x:c>
      <x:c r="B3805" s="32">
        <x:v>652.80999999999995</x:v>
      </x:c>
      <x:c r="C3805" s="32">
        <x:v>658.9</x:v>
      </x:c>
      <x:c r="D3805" s="32">
        <x:v>649.86</x:v>
      </x:c>
      <x:c r="E3805" s="32">
        <x:v>658.9</x:v>
      </x:c>
      <x:c r="F3805" s="33">
        <x:v>149112960</x:v>
      </x:c>
      <x:c r="G3805" s="32" t="n">
        <x:f t="shared" si="168">AVERAGE(E3606:E3805)</x:f>
        <x:v>586.4123500000002</x:v>
      </x:c>
      <x:c r="H3805" s="37" t="n">
        <x:f t="shared" si="169">IFERROR(E3805/G3805-1,"")</x:f>
        <x:v>0.12361207945228259</x:v>
      </x:c>
      <x:c r="I3805" s="38" t="b">
        <x:f t="shared" si="170">E3805&lt;G3805</x:f>
        <x:v>0</x:v>
      </x:c>
    </x:row>
    <x:row r="3806">
      <x:c r="A3806" s="31">
        <x:v>42564</x:v>
      </x:c>
      <x:c r="B3806" s="32">
        <x:v>662.04</x:v>
      </x:c>
      <x:c r="C3806" s="32">
        <x:v>676.06</x:v>
      </x:c>
      <x:c r="D3806" s="32">
        <x:v>658.9</x:v>
      </x:c>
      <x:c r="E3806" s="32">
        <x:v>675.12</x:v>
      </x:c>
      <x:c r="F3806" s="33">
        <x:v>138393530</x:v>
      </x:c>
      <x:c r="G3806" s="32" t="n">
        <x:f t="shared" si="168">AVERAGE(E3607:E3806)</x:f>
        <x:v>586.9367000000001</x:v>
      </x:c>
      <x:c r="H3806" s="37" t="n">
        <x:f t="shared" si="169">IFERROR(E3806/G3806-1,"")</x:f>
        <x:v>0.15024328858631586</x:v>
      </x:c>
      <x:c r="I3806" s="38" t="b">
        <x:f t="shared" si="170">E3806&lt;G3806</x:f>
        <x:v>0</x:v>
      </x:c>
    </x:row>
    <x:row r="3807">
      <x:c r="A3807" s="31">
        <x:v>42565</x:v>
      </x:c>
      <x:c r="B3807" s="32">
        <x:v>675.66</x:v>
      </x:c>
      <x:c r="C3807" s="32">
        <x:v>681.75</x:v>
      </x:c>
      <x:c r="D3807" s="32">
        <x:v>666.69</x:v>
      </x:c>
      <x:c r="E3807" s="32">
        <x:v>666.69</x:v>
      </x:c>
      <x:c r="F3807" s="33">
        <x:v>152057570</x:v>
      </x:c>
      <x:c r="G3807" s="32" t="n">
        <x:f t="shared" si="168">AVERAGE(E3608:E3807)</x:f>
        <x:v>587.4182500000002</x:v>
      </x:c>
      <x:c r="H3807" s="37" t="n">
        <x:f t="shared" si="169">IFERROR(E3807/G3807-1,"")</x:f>
        <x:v>0.1349494163655962</x:v>
      </x:c>
      <x:c r="I3807" s="38" t="b">
        <x:f t="shared" si="170">E3807&lt;G3807</x:f>
        <x:v>0</x:v>
      </x:c>
    </x:row>
    <x:row r="3808">
      <x:c r="A3808" s="31">
        <x:v>42566</x:v>
      </x:c>
      <x:c r="B3808" s="32">
        <x:v>666.69</x:v>
      </x:c>
      <x:c r="C3808" s="32">
        <x:v>670.18</x:v>
      </x:c>
      <x:c r="D3808" s="32">
        <x:v>661.47</x:v>
      </x:c>
      <x:c r="E3808" s="32">
        <x:v>664.56</x:v>
      </x:c>
      <x:c r="F3808" s="33">
        <x:v>116464580</x:v>
      </x:c>
      <x:c r="G3808" s="32" t="n">
        <x:f t="shared" si="168">AVERAGE(E3609:E3808)</x:f>
        <x:v>587.9166500000002</x:v>
      </x:c>
      <x:c r="H3808" s="37" t="n">
        <x:f t="shared" si="169">IFERROR(E3808/G3808-1,"")</x:f>
        <x:v>0.13036431269636561</x:v>
      </x:c>
      <x:c r="I3808" s="38" t="b">
        <x:f t="shared" si="170">E3808&lt;G3808</x:f>
        <x:v>0</x:v>
      </x:c>
    </x:row>
    <x:row r="3809">
      <x:c r="A3809" s="31">
        <x:v>42569</x:v>
      </x:c>
      <x:c r="B3809" s="32">
        <x:v>664.12</x:v>
      </x:c>
      <x:c r="C3809" s="32">
        <x:v>673.5</x:v>
      </x:c>
      <x:c r="D3809" s="32">
        <x:v>662.25</x:v>
      </x:c>
      <x:c r="E3809" s="32">
        <x:v>673.5</x:v>
      </x:c>
      <x:c r="F3809" s="33">
        <x:v>122748180</x:v>
      </x:c>
      <x:c r="G3809" s="32" t="n">
        <x:f t="shared" si="168">AVERAGE(E3610:E3809)</x:f>
        <x:v>588.4782000000002</x:v>
      </x:c>
      <x:c r="H3809" s="37" t="n">
        <x:f t="shared" si="169">IFERROR(E3809/G3809-1,"")</x:f>
        <x:v>0.14447739950264893</x:v>
      </x:c>
      <x:c r="I3809" s="38" t="b">
        <x:f t="shared" si="170">E3809&lt;G3809</x:f>
        <x:v>0</x:v>
      </x:c>
    </x:row>
    <x:row r="3810">
      <x:c r="A3810" s="31">
        <x:v>42570</x:v>
      </x:c>
      <x:c r="B3810" s="32">
        <x:v>675.89</x:v>
      </x:c>
      <x:c r="C3810" s="32">
        <x:v>677.35</x:v>
      </x:c>
      <x:c r="D3810" s="32">
        <x:v>660.09</x:v>
      </x:c>
      <x:c r="E3810" s="32">
        <x:v>667.76</x:v>
      </x:c>
      <x:c r="F3810" s="33">
        <x:v>131066870</x:v>
      </x:c>
      <x:c r="G3810" s="32" t="n">
        <x:f t="shared" si="168">AVERAGE(E3611:E3810)</x:f>
        <x:v>589.0038000000002</x:v>
      </x:c>
      <x:c r="H3810" s="37" t="n">
        <x:f t="shared" si="169">IFERROR(E3810/G3810-1,"")</x:f>
        <x:v>0.13371085212013867</x:v>
      </x:c>
      <x:c r="I3810" s="38" t="b">
        <x:f t="shared" si="170">E3810&lt;G3810</x:f>
        <x:v>0</x:v>
      </x:c>
    </x:row>
    <x:row r="3811">
      <x:c r="A3811" s="31">
        <x:v>42571</x:v>
      </x:c>
      <x:c r="B3811" s="32">
        <x:v>667.86</x:v>
      </x:c>
      <x:c r="C3811" s="32">
        <x:v>667.86</x:v>
      </x:c>
      <x:c r="D3811" s="32">
        <x:v>660.26</x:v>
      </x:c>
      <x:c r="E3811" s="32">
        <x:v>660.26</x:v>
      </x:c>
      <x:c r="F3811" s="33">
        <x:v>124236080</x:v>
      </x:c>
      <x:c r="G3811" s="32" t="n">
        <x:f t="shared" si="168">AVERAGE(E3612:E3811)</x:f>
        <x:v>589.4874000000001</x:v>
      </x:c>
      <x:c r="H3811" s="37" t="n">
        <x:f t="shared" si="169">IFERROR(E3811/G3811-1,"")</x:f>
        <x:v>0.12005786722498213</x:v>
      </x:c>
      <x:c r="I3811" s="38" t="b">
        <x:f t="shared" si="170">E3811&lt;G3811</x:f>
        <x:v>0</x:v>
      </x:c>
    </x:row>
    <x:row r="3812">
      <x:c r="A3812" s="31">
        <x:v>42572</x:v>
      </x:c>
      <x:c r="B3812" s="32">
        <x:v>662.72</x:v>
      </x:c>
      <x:c r="C3812" s="32">
        <x:v>665.9</x:v>
      </x:c>
      <x:c r="D3812" s="32">
        <x:v>656.03</x:v>
      </x:c>
      <x:c r="E3812" s="32">
        <x:v>659.57</x:v>
      </x:c>
      <x:c r="F3812" s="33">
        <x:v>104596580</x:v>
      </x:c>
      <x:c r="G3812" s="32" t="n">
        <x:f t="shared" si="168">AVERAGE(E3613:E3812)</x:f>
        <x:v>589.9737000000001</x:v>
      </x:c>
      <x:c r="H3812" s="37" t="n">
        <x:f t="shared" si="169">IFERROR(E3812/G3812-1,"")</x:f>
        <x:v>0.11796508895227009</x:v>
      </x:c>
      <x:c r="I3812" s="38" t="b">
        <x:f t="shared" si="170">E3812&lt;G3812</x:f>
        <x:v>0</x:v>
      </x:c>
    </x:row>
    <x:row r="3813">
      <x:c r="A3813" s="31">
        <x:v>42573</x:v>
      </x:c>
      <x:c r="B3813" s="32">
        <x:v>657.15</x:v>
      </x:c>
      <x:c r="C3813" s="32">
        <x:v>659.57</x:v>
      </x:c>
      <x:c r="D3813" s="32">
        <x:v>640.26</x:v>
      </x:c>
      <x:c r="E3813" s="32">
        <x:v>649.87</x:v>
      </x:c>
      <x:c r="F3813" s="33">
        <x:v>140165040</x:v>
      </x:c>
      <x:c r="G3813" s="32" t="n">
        <x:f t="shared" si="168">AVERAGE(E3614:E3813)</x:f>
        <x:v>590.37305</x:v>
      </x:c>
      <x:c r="H3813" s="37" t="n">
        <x:f t="shared" si="169">IFERROR(E3813/G3813-1,"")</x:f>
        <x:v>0.10077856704332966</x:v>
      </x:c>
      <x:c r="I3813" s="38" t="b">
        <x:f t="shared" si="170">E3813&lt;G3813</x:f>
        <x:v>0</x:v>
      </x:c>
    </x:row>
    <x:row r="3814">
      <x:c r="A3814" s="31">
        <x:v>42576</x:v>
      </x:c>
      <x:c r="B3814" s="32">
        <x:v>651.33000000000004</x:v>
      </x:c>
      <x:c r="C3814" s="32">
        <x:v>654.16999999999996</x:v>
      </x:c>
      <x:c r="D3814" s="32">
        <x:v>646.04</x:v>
      </x:c>
      <x:c r="E3814" s="32">
        <x:v>649.29999999999995</x:v>
      </x:c>
      <x:c r="F3814" s="33">
        <x:v>86417860</x:v>
      </x:c>
      <x:c r="G3814" s="32" t="n">
        <x:f t="shared" si="168">AVERAGE(E3615:E3814)</x:f>
        <x:v>590.7131000000002</x:v>
      </x:c>
      <x:c r="H3814" s="37" t="n">
        <x:f t="shared" si="169">IFERROR(E3814/G3814-1,"")</x:f>
        <x:v>0.09917995724150996</x:v>
      </x:c>
      <x:c r="I3814" s="38" t="b">
        <x:f t="shared" si="170">E3814&lt;G3814</x:f>
        <x:v>0</x:v>
      </x:c>
    </x:row>
    <x:row r="3815">
      <x:c r="A3815" s="31">
        <x:v>42577</x:v>
      </x:c>
      <x:c r="B3815" s="32">
        <x:v>648.58000000000004</x:v>
      </x:c>
      <x:c r="C3815" s="32">
        <x:v>651.92999999999995</x:v>
      </x:c>
      <x:c r="D3815" s="32">
        <x:v>642.91</x:v>
      </x:c>
      <x:c r="E3815" s="32">
        <x:v>648.59</x:v>
      </x:c>
      <x:c r="F3815" s="33">
        <x:v>97294620</x:v>
      </x:c>
      <x:c r="G3815" s="32" t="n">
        <x:f t="shared" si="168">AVERAGE(E3616:E3815)</x:f>
        <x:v>591.0582</x:v>
      </x:c>
      <x:c r="H3815" s="37" t="n">
        <x:f t="shared" si="169">IFERROR(E3815/G3815-1,"")</x:f>
        <x:v>0.09733694583714425</x:v>
      </x:c>
      <x:c r="I3815" s="38" t="b">
        <x:f t="shared" si="170">E3815&lt;G3815</x:f>
        <x:v>0</x:v>
      </x:c>
    </x:row>
    <x:row r="3816">
      <x:c r="A3816" s="31">
        <x:v>42578</x:v>
      </x:c>
      <x:c r="B3816" s="32">
        <x:v>647.98</x:v>
      </x:c>
      <x:c r="C3816" s="32">
        <x:v>656.11</x:v>
      </x:c>
      <x:c r="D3816" s="32">
        <x:v>647.74</x:v>
      </x:c>
      <x:c r="E3816" s="32">
        <x:v>656.11</x:v>
      </x:c>
      <x:c r="F3816" s="33">
        <x:v>111642190</x:v>
      </x:c>
      <x:c r="G3816" s="32" t="n">
        <x:f t="shared" si="168">AVERAGE(E3617:E3816)</x:f>
        <x:v>591.4048500000001</x:v>
      </x:c>
      <x:c r="H3816" s="37" t="n">
        <x:f t="shared" si="169">IFERROR(E3816/G3816-1,"")</x:f>
        <x:v>0.10940923125672697</x:v>
      </x:c>
      <x:c r="I3816" s="38" t="b">
        <x:f t="shared" si="170">E3816&lt;G3816</x:f>
        <x:v>0</x:v>
      </x:c>
    </x:row>
    <x:row r="3817">
      <x:c r="A3817" s="31">
        <x:v>42579</x:v>
      </x:c>
      <x:c r="B3817" s="32">
        <x:v>655.81</x:v>
      </x:c>
      <x:c r="C3817" s="32">
        <x:v>657.2</x:v>
      </x:c>
      <x:c r="D3817" s="32">
        <x:v>649.86</x:v>
      </x:c>
      <x:c r="E3817" s="32">
        <x:v>657.14</x:v>
      </x:c>
      <x:c r="F3817" s="33">
        <x:v>115779900</x:v>
      </x:c>
      <x:c r="G3817" s="32" t="n">
        <x:f t="shared" si="168">AVERAGE(E3618:E3817)</x:f>
        <x:v>591.75045</x:v>
      </x:c>
      <x:c r="H3817" s="37" t="n">
        <x:f t="shared" si="169">IFERROR(E3817/G3817-1,"")</x:f>
        <x:v>0.11050190160396167</x:v>
      </x:c>
      <x:c r="I3817" s="38" t="b">
        <x:f t="shared" si="170">E3817&lt;G3817</x:f>
        <x:v>0</x:v>
      </x:c>
    </x:row>
    <x:row r="3818">
      <x:c r="A3818" s="31">
        <x:v>42580</x:v>
      </x:c>
      <x:c r="B3818" s="32">
        <x:v>654.19000000000005</x:v>
      </x:c>
      <x:c r="C3818" s="32">
        <x:v>657.88</x:v>
      </x:c>
      <x:c r="D3818" s="32">
        <x:v>650.98</x:v>
      </x:c>
      <x:c r="E3818" s="32">
        <x:v>652.23</x:v>
      </x:c>
      <x:c r="F3818" s="33">
        <x:v>112283210</x:v>
      </x:c>
      <x:c r="G3818" s="32" t="n">
        <x:f t="shared" si="168">AVERAGE(E3619:E3818)</x:f>
        <x:v>592.0511000000001</x:v>
      </x:c>
      <x:c r="H3818" s="37" t="n">
        <x:f t="shared" si="169">IFERROR(E3818/G3818-1,"")</x:f>
        <x:v>0.10164477356768686</x:v>
      </x:c>
      <x:c r="I3818" s="38" t="b">
        <x:f t="shared" si="170">E3818&lt;G3818</x:f>
        <x:v>0</x:v>
      </x:c>
    </x:row>
    <x:row r="3819">
      <x:c r="A3819" s="31">
        <x:v>42583</x:v>
      </x:c>
      <x:c r="B3819" s="32">
        <x:v>655.38</x:v>
      </x:c>
      <x:c r="C3819" s="32">
        <x:v>655.38</x:v>
      </x:c>
      <x:c r="D3819" s="32">
        <x:v>646.02</x:v>
      </x:c>
      <x:c r="E3819" s="32">
        <x:v>648.38</x:v>
      </x:c>
      <x:c r="F3819" s="33">
        <x:v>89743110</x:v>
      </x:c>
      <x:c r="G3819" s="32" t="n">
        <x:f t="shared" si="168">AVERAGE(E3620:E3819)</x:f>
        <x:v>592.3388</x:v>
      </x:c>
      <x:c r="H3819" s="37" t="n">
        <x:f t="shared" si="169">IFERROR(E3819/G3819-1,"")</x:f>
        <x:v>0.09461004411664398</x:v>
      </x:c>
      <x:c r="I3819" s="38" t="b">
        <x:f t="shared" si="170">E3819&lt;G3819</x:f>
        <x:v>0</x:v>
      </x:c>
    </x:row>
    <x:row r="3820">
      <x:c r="A3820" s="31">
        <x:v>42584</x:v>
      </x:c>
      <x:c r="B3820" s="32">
        <x:v>643.20000000000005</x:v>
      </x:c>
      <x:c r="C3820" s="32">
        <x:v>643.20000000000005</x:v>
      </x:c>
      <x:c r="D3820" s="32">
        <x:v>633.33000000000004</x:v>
      </x:c>
      <x:c r="E3820" s="32">
        <x:v>636.04999999999995</x:v>
      </x:c>
      <x:c r="F3820" s="33">
        <x:v>136282920</x:v>
      </x:c>
      <x:c r="G3820" s="32" t="n">
        <x:f t="shared" si="168">AVERAGE(E3621:E3820)</x:f>
        <x:v>592.56915</x:v>
      </x:c>
      <x:c r="H3820" s="37" t="n">
        <x:f t="shared" si="169">IFERROR(E3820/G3820-1,"")</x:f>
        <x:v>0.07337683711681575</x:v>
      </x:c>
      <x:c r="I3820" s="38" t="b">
        <x:f t="shared" si="170">E3820&lt;G3820</x:f>
        <x:v>0</x:v>
      </x:c>
    </x:row>
    <x:row r="3821">
      <x:c r="A3821" s="31">
        <x:v>42585</x:v>
      </x:c>
      <x:c r="B3821" s="32">
        <x:v>632.98</x:v>
      </x:c>
      <x:c r="C3821" s="32">
        <x:v>634.75</x:v>
      </x:c>
      <x:c r="D3821" s="32">
        <x:v>627.66</x:v>
      </x:c>
      <x:c r="E3821" s="32">
        <x:v>631.61</x:v>
      </x:c>
      <x:c r="F3821" s="33">
        <x:v>87450230</x:v>
      </x:c>
      <x:c r="G3821" s="32" t="n">
        <x:f t="shared" si="168">AVERAGE(E3622:E3821)</x:f>
        <x:v>592.7652000000002</x:v>
      </x:c>
      <x:c r="H3821" s="37" t="n">
        <x:f t="shared" si="169">IFERROR(E3821/G3821-1,"")</x:f>
        <x:v>0.0655315123087521</x:v>
      </x:c>
      <x:c r="I3821" s="38" t="b">
        <x:f t="shared" si="170">E3821&lt;G3821</x:f>
        <x:v>0</x:v>
      </x:c>
    </x:row>
    <x:row r="3822">
      <x:c r="A3822" s="31">
        <x:v>42586</x:v>
      </x:c>
      <x:c r="B3822" s="32">
        <x:v>633.74</x:v>
      </x:c>
      <x:c r="C3822" s="32">
        <x:v>641.02</x:v>
      </x:c>
      <x:c r="D3822" s="32">
        <x:v>631.61</x:v>
      </x:c>
      <x:c r="E3822" s="32">
        <x:v>631.94000000000005</x:v>
      </x:c>
      <x:c r="F3822" s="33">
        <x:v>103788870</x:v>
      </x:c>
      <x:c r="G3822" s="32" t="n">
        <x:f t="shared" si="168">AVERAGE(E3623:E3822)</x:f>
        <x:v>592.9598000000001</x:v>
      </x:c>
      <x:c r="H3822" s="37" t="n">
        <x:f t="shared" si="169">IFERROR(E3822/G3822-1,"")</x:f>
        <x:v>0.0657383519085104</x:v>
      </x:c>
      <x:c r="I3822" s="38" t="b">
        <x:f t="shared" si="170">E3822&lt;G3822</x:f>
        <x:v>0</x:v>
      </x:c>
    </x:row>
    <x:row r="3823">
      <x:c r="A3823" s="31">
        <x:v>42587</x:v>
      </x:c>
      <x:c r="B3823" s="32">
        <x:v>629.69000000000005</x:v>
      </x:c>
      <x:c r="C3823" s="32">
        <x:v>631.94000000000005</x:v>
      </x:c>
      <x:c r="D3823" s="32">
        <x:v>622.49</x:v>
      </x:c>
      <x:c r="E3823" s="32">
        <x:v>627.39</x:v>
      </x:c>
      <x:c r="F3823" s="33">
        <x:v>118506920</x:v>
      </x:c>
      <x:c r="G3823" s="32" t="n">
        <x:f t="shared" si="168">AVERAGE(E3624:E3823)</x:f>
        <x:v>593.1237000000001</x:v>
      </x:c>
      <x:c r="H3823" s="37" t="n">
        <x:f t="shared" si="169">IFERROR(E3823/G3823-1,"")</x:f>
        <x:v>0.05777260291571529</x:v>
      </x:c>
      <x:c r="I3823" s="38" t="b">
        <x:f t="shared" si="170">E3823&lt;G3823</x:f>
        <x:v>0</x:v>
      </x:c>
    </x:row>
    <x:row r="3824">
      <x:c r="A3824" s="31">
        <x:v>42590</x:v>
      </x:c>
      <x:c r="B3824" s="32">
        <x:v>627.39</x:v>
      </x:c>
      <x:c r="C3824" s="32">
        <x:v>629.91</x:v>
      </x:c>
      <x:c r="D3824" s="32">
        <x:v>622.14</x:v>
      </x:c>
      <x:c r="E3824" s="32">
        <x:v>629.46</x:v>
      </x:c>
      <x:c r="F3824" s="33">
        <x:v>84087430</x:v>
      </x:c>
      <x:c r="G3824" s="32" t="n">
        <x:f t="shared" si="168">AVERAGE(E3625:E3824)</x:f>
        <x:v>593.31875</x:v>
      </x:c>
      <x:c r="H3824" s="37" t="n">
        <x:f t="shared" si="169">IFERROR(E3824/G3824-1,"")</x:f>
        <x:v>0.060913716278138796</x:v>
      </x:c>
      <x:c r="I3824" s="38" t="b">
        <x:f t="shared" si="170">E3824&lt;G3824</x:f>
        <x:v>0</x:v>
      </x:c>
    </x:row>
    <x:row r="3825">
      <x:c r="A3825" s="31">
        <x:v>42591</x:v>
      </x:c>
      <x:c r="B3825" s="32">
        <x:v>629.66</x:v>
      </x:c>
      <x:c r="C3825" s="32">
        <x:v>637.34</x:v>
      </x:c>
      <x:c r="D3825" s="32">
        <x:v>629.46</x:v>
      </x:c>
      <x:c r="E3825" s="32">
        <x:v>637.34</x:v>
      </x:c>
      <x:c r="F3825" s="33">
        <x:v>87157080</x:v>
      </x:c>
      <x:c r="G3825" s="32" t="n">
        <x:f t="shared" si="168">AVERAGE(E3626:E3825)</x:f>
        <x:v>593.55425</x:v>
      </x:c>
      <x:c r="H3825" s="37" t="n">
        <x:f t="shared" si="169">IFERROR(E3825/G3825-1,"")</x:f>
        <x:v>0.07376874144191548</x:v>
      </x:c>
      <x:c r="I3825" s="38" t="b">
        <x:f t="shared" si="170">E3825&lt;G3825</x:f>
        <x:v>0</x:v>
      </x:c>
    </x:row>
    <x:row r="3826">
      <x:c r="A3826" s="31">
        <x:v>42592</x:v>
      </x:c>
      <x:c r="B3826" s="32">
        <x:v>637.21</x:v>
      </x:c>
      <x:c r="C3826" s="32">
        <x:v>648.48</x:v>
      </x:c>
      <x:c r="D3826" s="32">
        <x:v>637.21</x:v>
      </x:c>
      <x:c r="E3826" s="32">
        <x:v>648.33000000000004</x:v>
      </x:c>
      <x:c r="F3826" s="33">
        <x:v>107877050</x:v>
      </x:c>
      <x:c r="G3826" s="32" t="n">
        <x:f t="shared" si="168">AVERAGE(E3627:E3826)</x:f>
        <x:v>593.8205</x:v>
      </x:c>
      <x:c r="H3826" s="37" t="n">
        <x:f t="shared" si="169">IFERROR(E3826/G3826-1,"")</x:f>
        <x:v>0.0917945742863373</x:v>
      </x:c>
      <x:c r="I3826" s="38" t="b">
        <x:f t="shared" si="170">E3826&lt;G3826</x:f>
        <x:v>0</x:v>
      </x:c>
    </x:row>
    <x:row r="3827">
      <x:c r="A3827" s="31">
        <x:v>42593</x:v>
      </x:c>
      <x:c r="B3827" s="32">
        <x:v>649.27</x:v>
      </x:c>
      <x:c r="C3827" s="32">
        <x:v>660.24</x:v>
      </x:c>
      <x:c r="D3827" s="32">
        <x:v>648.30999999999995</x:v>
      </x:c>
      <x:c r="E3827" s="32">
        <x:v>660.24</x:v>
      </x:c>
      <x:c r="F3827" s="33">
        <x:v>134689840</x:v>
      </x:c>
      <x:c r="G3827" s="32" t="n">
        <x:f t="shared" si="168">AVERAGE(E3628:E3827)</x:f>
        <x:v>594.113</x:v>
      </x:c>
      <x:c r="H3827" s="37" t="n">
        <x:f t="shared" si="169">IFERROR(E3827/G3827-1,"")</x:f>
        <x:v>0.1113037418807532</x:v>
      </x:c>
      <x:c r="I3827" s="38" t="b">
        <x:f t="shared" si="170">E3827&lt;G3827</x:f>
        <x:v>0</x:v>
      </x:c>
    </x:row>
    <x:row r="3828">
      <x:c r="A3828" s="31">
        <x:v>42594</x:v>
      </x:c>
      <x:c r="B3828" s="32">
        <x:v>665.14</x:v>
      </x:c>
      <x:c r="C3828" s="32">
        <x:v>668.52</x:v>
      </x:c>
      <x:c r="D3828" s="32">
        <x:v>652.66999999999996</x:v>
      </x:c>
      <x:c r="E3828" s="32">
        <x:v>655.71</x:v>
      </x:c>
      <x:c r="F3828" s="33">
        <x:v>117895770</x:v>
      </x:c>
      <x:c r="G3828" s="32" t="n">
        <x:f t="shared" si="168">AVERAGE(E3629:E3828)</x:f>
        <x:v>594.3985</x:v>
      </x:c>
      <x:c r="H3828" s="37" t="n">
        <x:f t="shared" si="169">IFERROR(E3828/G3828-1,"")</x:f>
        <x:v>0.10314881346436788</x:v>
      </x:c>
      <x:c r="I3828" s="38" t="b">
        <x:f t="shared" si="170">E3828&lt;G3828</x:f>
        <x:v>0</x:v>
      </x:c>
    </x:row>
    <x:row r="3829">
      <x:c r="A3829" s="31">
        <x:v>42597</x:v>
      </x:c>
      <x:c r="B3829" s="32">
        <x:v>654.05999999999995</x:v>
      </x:c>
      <x:c r="C3829" s="32">
        <x:v>659.47</x:v>
      </x:c>
      <x:c r="D3829" s="32">
        <x:v>653.64</x:v>
      </x:c>
      <x:c r="E3829" s="32">
        <x:v>659.47</x:v>
      </x:c>
      <x:c r="F3829" s="33">
        <x:v>114385770</x:v>
      </x:c>
      <x:c r="G3829" s="32" t="n">
        <x:f t="shared" si="168">AVERAGE(E3630:E3829)</x:f>
        <x:v>594.7036499999999</x:v>
      </x:c>
      <x:c r="H3829" s="37" t="n">
        <x:f t="shared" si="169">IFERROR(E3829/G3829-1,"")</x:f>
        <x:v>0.10890525053949163</x:v>
      </x:c>
      <x:c r="I3829" s="38" t="b">
        <x:f t="shared" si="170">E3829&lt;G3829</x:f>
        <x:v>0</x:v>
      </x:c>
    </x:row>
    <x:row r="3830">
      <x:c r="A3830" s="31">
        <x:v>42598</x:v>
      </x:c>
      <x:c r="B3830" s="32">
        <x:v>659.47</x:v>
      </x:c>
      <x:c r="C3830" s="32">
        <x:v>662.13</x:v>
      </x:c>
      <x:c r="D3830" s="32">
        <x:v>656.83</x:v>
      </x:c>
      <x:c r="E3830" s="32">
        <x:v>658.11</x:v>
      </x:c>
      <x:c r="F3830" s="33">
        <x:v>128458310</x:v>
      </x:c>
      <x:c r="G3830" s="32" t="n">
        <x:f t="shared" si="168">AVERAGE(E3631:E3830)</x:f>
        <x:v>595.0129999999999</x:v>
      </x:c>
      <x:c r="H3830" s="37" t="n">
        <x:f t="shared" si="169">IFERROR(E3830/G3830-1,"")</x:f>
        <x:v>0.10604306124404017</x:v>
      </x:c>
      <x:c r="I3830" s="38" t="b">
        <x:f t="shared" si="170">E3830&lt;G3830</x:f>
        <x:v>0</x:v>
      </x:c>
    </x:row>
    <x:row r="3831">
      <x:c r="A3831" s="31">
        <x:v>42599</x:v>
      </x:c>
      <x:c r="B3831" s="32">
        <x:v>659.46</x:v>
      </x:c>
      <x:c r="C3831" s="32">
        <x:v>660.76</x:v>
      </x:c>
      <x:c r="D3831" s="32">
        <x:v>657.06</x:v>
      </x:c>
      <x:c r="E3831" s="32">
        <x:v>660.51</x:v>
      </x:c>
      <x:c r="F3831" s="33">
        <x:v>113029210</x:v>
      </x:c>
      <x:c r="G3831" s="32" t="n">
        <x:f t="shared" si="168">AVERAGE(E3632:E3831)</x:f>
        <x:v>595.2895499999998</x:v>
      </x:c>
      <x:c r="H3831" s="37" t="n">
        <x:f t="shared" si="169">IFERROR(E3831/G3831-1,"")</x:f>
        <x:v>0.10956088511884698</x:v>
      </x:c>
      <x:c r="I3831" s="38" t="b">
        <x:f t="shared" si="170">E3831&lt;G3831</x:f>
        <x:v>0</x:v>
      </x:c>
    </x:row>
    <x:row r="3832">
      <x:c r="A3832" s="31">
        <x:v>42600</x:v>
      </x:c>
      <x:c r="B3832" s="32">
        <x:v>663.56</x:v>
      </x:c>
      <x:c r="C3832" s="32">
        <x:v>665.94</x:v>
      </x:c>
      <x:c r="D3832" s="32">
        <x:v>656.35</x:v>
      </x:c>
      <x:c r="E3832" s="32">
        <x:v>660.65</x:v>
      </x:c>
      <x:c r="F3832" s="33">
        <x:v>120173290</x:v>
      </x:c>
      <x:c r="G3832" s="32" t="n">
        <x:f t="shared" si="168">AVERAGE(E3633:E3832)</x:f>
        <x:v>595.5559499999998</x:v>
      </x:c>
      <x:c r="H3832" s="37" t="n">
        <x:f t="shared" si="169">IFERROR(E3832/G3832-1,"")</x:f>
        <x:v>0.10929963843027712</x:v>
      </x:c>
      <x:c r="I3832" s="38" t="b">
        <x:f t="shared" si="170">E3832&lt;G3832</x:f>
        <x:v>0</x:v>
      </x:c>
    </x:row>
    <x:row r="3833">
      <x:c r="A3833" s="31">
        <x:v>42601</x:v>
      </x:c>
      <x:c r="B3833" s="32">
        <x:v>664.09</x:v>
      </x:c>
      <x:c r="C3833" s="32">
        <x:v>666.93</x:v>
      </x:c>
      <x:c r="D3833" s="32">
        <x:v>659.64</x:v>
      </x:c>
      <x:c r="E3833" s="32">
        <x:v>662.28</x:v>
      </x:c>
      <x:c r="F3833" s="33">
        <x:v>101626960</x:v>
      </x:c>
      <x:c r="G3833" s="32" t="n">
        <x:f t="shared" si="168">AVERAGE(E3634:E3833)</x:f>
        <x:v>595.8535499999999</x:v>
      </x:c>
      <x:c r="H3833" s="37" t="n">
        <x:f t="shared" si="169">IFERROR(E3833/G3833-1,"")</x:f>
        <x:v>0.11148116848510847</x:v>
      </x:c>
      <x:c r="I3833" s="38" t="b">
        <x:f t="shared" si="170">E3833&lt;G3833</x:f>
        <x:v>0</x:v>
      </x:c>
    </x:row>
    <x:row r="3834">
      <x:c r="A3834" s="31">
        <x:v>42604</x:v>
      </x:c>
      <x:c r="B3834" s="32">
        <x:v>662.87</x:v>
      </x:c>
      <x:c r="C3834" s="32">
        <x:v>664.95</x:v>
      </x:c>
      <x:c r="D3834" s="32">
        <x:v>657.68</x:v>
      </x:c>
      <x:c r="E3834" s="32">
        <x:v>657.68</x:v>
      </x:c>
      <x:c r="F3834" s="33">
        <x:v>109773170</x:v>
      </x:c>
      <x:c r="G3834" s="32" t="n">
        <x:f t="shared" si="168">AVERAGE(E3635:E3834)</x:f>
        <x:v>596.0833999999999</x:v>
      </x:c>
      <x:c r="H3834" s="37" t="n">
        <x:f t="shared" si="169">IFERROR(E3834/G3834-1,"")</x:f>
        <x:v>0.10333553995967693</x:v>
      </x:c>
      <x:c r="I3834" s="38" t="b">
        <x:f t="shared" si="170">E3834&lt;G3834</x:f>
        <x:v>0</x:v>
      </x:c>
    </x:row>
    <x:row r="3835">
      <x:c r="A3835" s="31">
        <x:v>42605</x:v>
      </x:c>
      <x:c r="B3835" s="32">
        <x:v>653.58000000000004</x:v>
      </x:c>
      <x:c r="C3835" s="32">
        <x:v>659.16</x:v>
      </x:c>
      <x:c r="D3835" s="32">
        <x:v>652.88</x:v>
      </x:c>
      <x:c r="E3835" s="32">
        <x:v>659.16</x:v>
      </x:c>
      <x:c r="F3835" s="33">
        <x:v>90297080</x:v>
      </x:c>
      <x:c r="G3835" s="32" t="n">
        <x:f t="shared" si="168">AVERAGE(E3636:E3835)</x:f>
        <x:v>596.3262</x:v>
      </x:c>
      <x:c r="H3835" s="37" t="n">
        <x:f t="shared" si="169">IFERROR(E3835/G3835-1,"")</x:f>
        <x:v>0.10536816930062765</x:v>
      </x:c>
      <x:c r="I3835" s="38" t="b">
        <x:f t="shared" si="170">E3835&lt;G3835</x:f>
        <x:v>0</x:v>
      </x:c>
    </x:row>
    <x:row r="3836">
      <x:c r="A3836" s="31">
        <x:v>42606</x:v>
      </x:c>
      <x:c r="B3836" s="32">
        <x:v>660.95</x:v>
      </x:c>
      <x:c r="C3836" s="32">
        <x:v>665.43</x:v>
      </x:c>
      <x:c r="D3836" s="32">
        <x:v>659.16</x:v>
      </x:c>
      <x:c r="E3836" s="32">
        <x:v>660.77</x:v>
      </x:c>
      <x:c r="F3836" s="33">
        <x:v>98316870</x:v>
      </x:c>
      <x:c r="G3836" s="32" t="n">
        <x:f t="shared" si="168">AVERAGE(E3637:E3836)</x:f>
        <x:v>596.5541499999999</x:v>
      </x:c>
      <x:c r="H3836" s="37" t="n">
        <x:f t="shared" si="169">IFERROR(E3836/G3836-1,"")</x:f>
        <x:v>0.10764462873990577</x:v>
      </x:c>
      <x:c r="I3836" s="38" t="b">
        <x:f t="shared" si="170">E3836&lt;G3836</x:f>
        <x:v>0</x:v>
      </x:c>
    </x:row>
    <x:row r="3837">
      <x:c r="A3837" s="31">
        <x:v>42607</x:v>
      </x:c>
      <x:c r="B3837" s="32">
        <x:v>660.77</x:v>
      </x:c>
      <x:c r="C3837" s="32">
        <x:v>660.77</x:v>
      </x:c>
      <x:c r="D3837" s="32">
        <x:v>656.49</x:v>
      </x:c>
      <x:c r="E3837" s="32">
        <x:v>658.5</x:v>
      </x:c>
      <x:c r="F3837" s="33">
        <x:v>106728730</x:v>
      </x:c>
      <x:c r="G3837" s="32" t="n">
        <x:f t="shared" si="168">AVERAGE(E3638:E3837)</x:f>
        <x:v>596.7848499999999</x:v>
      </x:c>
      <x:c r="H3837" s="37" t="n">
        <x:f t="shared" si="169">IFERROR(E3837/G3837-1,"")</x:f>
        <x:v>0.10341272905972754</x:v>
      </x:c>
      <x:c r="I3837" s="38" t="b">
        <x:f t="shared" si="170">E3837&lt;G3837</x:f>
        <x:v>0</x:v>
      </x:c>
    </x:row>
    <x:row r="3838">
      <x:c r="A3838" s="31">
        <x:v>42608</x:v>
      </x:c>
      <x:c r="B3838" s="32">
        <x:v>662.9</x:v>
      </x:c>
      <x:c r="C3838" s="32">
        <x:v>668.84</x:v>
      </x:c>
      <x:c r="D3838" s="32">
        <x:v>658.5</x:v>
      </x:c>
      <x:c r="E3838" s="32">
        <x:v>667.75</x:v>
      </x:c>
      <x:c r="F3838" s="33">
        <x:v>109776940</x:v>
      </x:c>
      <x:c r="G3838" s="32" t="n">
        <x:f t="shared" si="168">AVERAGE(E3639:E3838)</x:f>
        <x:v>597.0702999999999</x:v>
      </x:c>
      <x:c r="H3838" s="37" t="n">
        <x:f t="shared" si="169">IFERROR(E3838/G3838-1,"")</x:f>
        <x:v>0.11837751768929072</x:v>
      </x:c>
      <x:c r="I3838" s="38" t="b">
        <x:f t="shared" si="170">E3838&lt;G3838</x:f>
        <x:v>0</x:v>
      </x:c>
    </x:row>
    <x:row r="3839">
      <x:c r="A3839" s="31">
        <x:v>42611</x:v>
      </x:c>
      <x:c r="B3839" s="32">
        <x:v>670.71</x:v>
      </x:c>
      <x:c r="C3839" s="32">
        <x:v>679.62</x:v>
      </x:c>
      <x:c r="D3839" s="32">
        <x:v>667.75</x:v>
      </x:c>
      <x:c r="E3839" s="32">
        <x:v>669.44</x:v>
      </x:c>
      <x:c r="F3839" s="33">
        <x:v>108619910</x:v>
      </x:c>
      <x:c r="G3839" s="32" t="n">
        <x:f t="shared" si="168">AVERAGE(E3640:E3839)</x:f>
        <x:v>597.3911499999999</x:v>
      </x:c>
      <x:c r="H3839" s="37" t="n">
        <x:f t="shared" si="169">IFERROR(E3839/G3839-1,"")</x:f>
        <x:v>0.12060582082610383</x:v>
      </x:c>
      <x:c r="I3839" s="38" t="b">
        <x:f t="shared" si="170">E3839&lt;G3839</x:f>
        <x:v>0</x:v>
      </x:c>
    </x:row>
    <x:row r="3840">
      <x:c r="A3840" s="31">
        <x:v>42612</x:v>
      </x:c>
      <x:c r="B3840" s="32">
        <x:v>667.96</x:v>
      </x:c>
      <x:c r="C3840" s="32">
        <x:v>672.67</x:v>
      </x:c>
      <x:c r="D3840" s="32">
        <x:v>666.33</x:v>
      </x:c>
      <x:c r="E3840" s="32">
        <x:v>672.67</x:v>
      </x:c>
      <x:c r="F3840" s="33">
        <x:v>87433660</x:v>
      </x:c>
      <x:c r="G3840" s="32" t="n">
        <x:f t="shared" si="168">AVERAGE(E3641:E3840)</x:f>
        <x:v>597.73685</x:v>
      </x:c>
      <x:c r="H3840" s="37" t="n">
        <x:f t="shared" si="169">IFERROR(E3840/G3840-1,"")</x:f>
        <x:v>0.12536143622398388</x:v>
      </x:c>
      <x:c r="I3840" s="38" t="b">
        <x:f t="shared" si="170">E3840&lt;G3840</x:f>
        <x:v>0</x:v>
      </x:c>
    </x:row>
    <x:row r="3841">
      <x:c r="A3841" s="31">
        <x:v>42613</x:v>
      </x:c>
      <x:c r="B3841" s="32">
        <x:v>673.1</x:v>
      </x:c>
      <x:c r="C3841" s="32">
        <x:v>676.26</x:v>
      </x:c>
      <x:c r="D3841" s="32">
        <x:v>671.39</x:v>
      </x:c>
      <x:c r="E3841" s="32">
        <x:v>674.63</x:v>
      </x:c>
      <x:c r="F3841" s="33">
        <x:v>93688890</x:v>
      </x:c>
      <x:c r="G3841" s="32" t="n">
        <x:f t="shared" si="168">AVERAGE(E3642:E3841)</x:f>
        <x:v>598.0821</x:v>
      </x:c>
      <x:c r="H3841" s="37" t="n">
        <x:f t="shared" si="169">IFERROR(E3841/G3841-1,"")</x:f>
        <x:v>0.1279889500120468</x:v>
      </x:c>
      <x:c r="I3841" s="38" t="b">
        <x:f t="shared" si="170">E3841&lt;G3841</x:f>
        <x:v>0</x:v>
      </x:c>
    </x:row>
    <x:row r="3842">
      <x:c r="A3842" s="31">
        <x:v>42614</x:v>
      </x:c>
      <x:c r="B3842" s="32">
        <x:v>674.19</x:v>
      </x:c>
      <x:c r="C3842" s="32">
        <x:v>674.72</x:v>
      </x:c>
      <x:c r="D3842" s="32">
        <x:v>664.77</x:v>
      </x:c>
      <x:c r="E3842" s="32">
        <x:v>669.19</x:v>
      </x:c>
      <x:c r="F3842" s="33">
        <x:v>93925040</x:v>
      </x:c>
      <x:c r="G3842" s="32" t="n">
        <x:f t="shared" si="168">AVERAGE(E3643:E3842)</x:f>
        <x:v>598.3717</x:v>
      </x:c>
      <x:c r="H3842" s="37" t="n">
        <x:f t="shared" si="169">IFERROR(E3842/G3842-1,"")</x:f>
        <x:v>0.11835168675256535</x:v>
      </x:c>
      <x:c r="I3842" s="38" t="b">
        <x:f t="shared" si="170">E3842&lt;G3842</x:f>
        <x:v>0</x:v>
      </x:c>
    </x:row>
    <x:row r="3843">
      <x:c r="A3843" s="31">
        <x:v>42618</x:v>
      </x:c>
      <x:c r="B3843" s="32">
        <x:v>669.3</x:v>
      </x:c>
      <x:c r="C3843" s="32">
        <x:v>670.08</x:v>
      </x:c>
      <x:c r="D3843" s="32">
        <x:v>660.31</x:v>
      </x:c>
      <x:c r="E3843" s="32">
        <x:v>664.55</x:v>
      </x:c>
      <x:c r="F3843" s="33">
        <x:v>103194860</x:v>
      </x:c>
      <x:c r="G3843" s="32" t="n">
        <x:f t="shared" si="168">AVERAGE(E3644:E3843)</x:f>
        <x:v>598.6483999999999</x:v>
      </x:c>
      <x:c r="H3843" s="37" t="n">
        <x:f t="shared" si="169">IFERROR(E3843/G3843-1,"")</x:f>
        <x:v>0.11008398251795226</x:v>
      </x:c>
      <x:c r="I3843" s="38" t="b">
        <x:f t="shared" si="170">E3843&lt;G3843</x:f>
        <x:v>0</x:v>
      </x:c>
    </x:row>
    <x:row r="3844">
      <x:c r="A3844" s="31">
        <x:v>42619</x:v>
      </x:c>
      <x:c r="B3844" s="32">
        <x:v>666.38</x:v>
      </x:c>
      <x:c r="C3844" s="32">
        <x:v>668.4</x:v>
      </x:c>
      <x:c r="D3844" s="32">
        <x:v>663.9</x:v>
      </x:c>
      <x:c r="E3844" s="32">
        <x:v>663.9</x:v>
      </x:c>
      <x:c r="F3844" s="33">
        <x:v>87906500</x:v>
      </x:c>
      <x:c r="G3844" s="32" t="n">
        <x:f t="shared" si="168">AVERAGE(E3645:E3844)</x:f>
        <x:v>598.94265</x:v>
      </x:c>
      <x:c r="H3844" s="37" t="n">
        <x:f t="shared" si="169">IFERROR(E3844/G3844-1,"")</x:f>
        <x:v>0.10845337195472715</x:v>
      </x:c>
      <x:c r="I3844" s="38" t="b">
        <x:f t="shared" si="170">E3844&lt;G3844</x:f>
        <x:v>0</x:v>
      </x:c>
    </x:row>
    <x:row r="3845">
      <x:c r="A3845" s="31">
        <x:v>42620</x:v>
      </x:c>
      <x:c r="B3845" s="32">
        <x:v>663.05</x:v>
      </x:c>
      <x:c r="C3845" s="32">
        <x:v>663.9</x:v>
      </x:c>
      <x:c r="D3845" s="32">
        <x:v>656.22</x:v>
      </x:c>
      <x:c r="E3845" s="32">
        <x:v>661.28</x:v>
      </x:c>
      <x:c r="F3845" s="33">
        <x:v>88002530</x:v>
      </x:c>
      <x:c r="G3845" s="32" t="n">
        <x:f t="shared" si="168">AVERAGE(E3646:E3845)</x:f>
        <x:v>599.2323499999999</x:v>
      </x:c>
      <x:c r="H3845" s="37" t="n">
        <x:f t="shared" si="169">IFERROR(E3845/G3845-1,"")</x:f>
        <x:v>0.10354522748980433</x:v>
      </x:c>
      <x:c r="I3845" s="38" t="b">
        <x:f t="shared" si="170">E3845&lt;G3845</x:f>
        <x:v>0</x:v>
      </x:c>
    </x:row>
    <x:row r="3846">
      <x:c r="A3846" s="31">
        <x:v>42621</x:v>
      </x:c>
      <x:c r="B3846" s="32">
        <x:v>661.89</x:v>
      </x:c>
      <x:c r="C3846" s="32">
        <x:v>668.2</x:v>
      </x:c>
      <x:c r="D3846" s="32">
        <x:v>660.54</x:v>
      </x:c>
      <x:c r="E3846" s="32">
        <x:v>666.07</x:v>
      </x:c>
      <x:c r="F3846" s="33">
        <x:v>112627640</x:v>
      </x:c>
      <x:c r="G3846" s="32" t="n">
        <x:f t="shared" si="168">AVERAGE(E3647:E3846)</x:f>
        <x:v>599.5532</x:v>
      </x:c>
      <x:c r="H3846" s="37" t="n">
        <x:f t="shared" si="169">IFERROR(E3846/G3846-1,"")</x:f>
        <x:v>0.11094394959446485</x:v>
      </x:c>
      <x:c r="I3846" s="38" t="b">
        <x:f t="shared" si="170">E3846&lt;G3846</x:f>
        <x:v>0</x:v>
      </x:c>
    </x:row>
    <x:row r="3847">
      <x:c r="A3847" s="31">
        <x:v>42622</x:v>
      </x:c>
      <x:c r="B3847" s="32">
        <x:v>669.24</x:v>
      </x:c>
      <x:c r="C3847" s="32">
        <x:v>672.39</x:v>
      </x:c>
      <x:c r="D3847" s="32">
        <x:v>666.07</x:v>
      </x:c>
      <x:c r="E3847" s="32">
        <x:v>666.88</x:v>
      </x:c>
      <x:c r="F3847" s="33">
        <x:v>95460760</x:v>
      </x:c>
      <x:c r="G3847" s="32" t="n">
        <x:f t="shared" si="168">AVERAGE(E3648:E3847)</x:f>
        <x:v>599.8652999999999</x:v>
      </x:c>
      <x:c r="H3847" s="37" t="n">
        <x:f t="shared" si="169">IFERROR(E3847/G3847-1,"")</x:f>
        <x:v>0.1117162469641102</x:v>
      </x:c>
      <x:c r="I3847" s="38" t="b">
        <x:f t="shared" si="170">E3847&lt;G3847</x:f>
        <x:v>0</x:v>
      </x:c>
    </x:row>
    <x:row r="3848">
      <x:c r="A3848" s="31">
        <x:v>42625</x:v>
      </x:c>
      <x:c r="B3848" s="32">
        <x:v>665.77</x:v>
      </x:c>
      <x:c r="C3848" s="32">
        <x:v>666.88</x:v>
      </x:c>
      <x:c r="D3848" s="32">
        <x:v>655.55</x:v>
      </x:c>
      <x:c r="E3848" s="32">
        <x:v>659.76</x:v>
      </x:c>
      <x:c r="F3848" s="33">
        <x:v>88572250</x:v>
      </x:c>
      <x:c r="G3848" s="32" t="n">
        <x:f t="shared" si="168">AVERAGE(E3649:E3848)</x:f>
        <x:v>600.1641500000001</x:v>
      </x:c>
      <x:c r="H3848" s="37" t="n">
        <x:f t="shared" si="169">IFERROR(E3848/G3848-1,"")</x:f>
        <x:v>0.09929925004684126</x:v>
      </x:c>
      <x:c r="I3848" s="38" t="b">
        <x:f t="shared" si="170">E3848&lt;G3848</x:f>
        <x:v>0</x:v>
      </x:c>
    </x:row>
    <x:row r="3849">
      <x:c r="A3849" s="31">
        <x:v>42626</x:v>
      </x:c>
      <x:c r="B3849" s="32">
        <x:v>658.61</x:v>
      </x:c>
      <x:c r="C3849" s="32">
        <x:v>661.74</x:v>
      </x:c>
      <x:c r="D3849" s="32">
        <x:v>654.95000000000005</x:v>
      </x:c>
      <x:c r="E3849" s="32">
        <x:v>659.72</x:v>
      </x:c>
      <x:c r="F3849" s="33">
        <x:v>81226280</x:v>
      </x:c>
      <x:c r="G3849" s="32" t="n">
        <x:f t="shared" si="168">AVERAGE(E3650:E3849)</x:f>
        <x:v>600.4935999999999</x:v>
      </x:c>
      <x:c r="H3849" s="37" t="n">
        <x:f t="shared" si="169">IFERROR(E3849/G3849-1,"")</x:f>
        <x:v>0.09862952744209119</x:v>
      </x:c>
      <x:c r="I3849" s="38" t="b">
        <x:f t="shared" si="170">E3849&lt;G3849</x:f>
        <x:v>0</x:v>
      </x:c>
    </x:row>
    <x:row r="3850">
      <x:c r="A3850" s="31">
        <x:v>42627</x:v>
      </x:c>
      <x:c r="B3850" s="32">
        <x:v>658.16</x:v>
      </x:c>
      <x:c r="C3850" s="32">
        <x:v>661.82</x:v>
      </x:c>
      <x:c r="D3850" s="32">
        <x:v>656.64</x:v>
      </x:c>
      <x:c r="E3850" s="32">
        <x:v>656.64</x:v>
      </x:c>
      <x:c r="F3850" s="33">
        <x:v>92963280</x:v>
      </x:c>
      <x:c r="G3850" s="32" t="n">
        <x:f t="shared" si="168">AVERAGE(E3651:E3850)</x:f>
        <x:v>600.7982999999999</x:v>
      </x:c>
      <x:c r="H3850" s="37" t="n">
        <x:f t="shared" si="169">IFERROR(E3850/G3850-1,"")</x:f>
        <x:v>0.09294583556577973</x:v>
      </x:c>
      <x:c r="I3850" s="38" t="b">
        <x:f t="shared" si="170">E3850&lt;G3850</x:f>
        <x:v>0</x:v>
      </x:c>
    </x:row>
    <x:row r="3851">
      <x:c r="A3851" s="31">
        <x:v>42628</x:v>
      </x:c>
      <x:c r="B3851" s="32">
        <x:v>657.46</x:v>
      </x:c>
      <x:c r="C3851" s="32">
        <x:v>660.32</x:v>
      </x:c>
      <x:c r="D3851" s="32">
        <x:v>654.84</x:v>
      </x:c>
      <x:c r="E3851" s="32">
        <x:v>656.18</x:v>
      </x:c>
      <x:c r="F3851" s="33">
        <x:v>105142830</x:v>
      </x:c>
      <x:c r="G3851" s="32" t="n">
        <x:f t="shared" si="168">AVERAGE(E3652:E3851)</x:f>
        <x:v>601.1271999999999</x:v>
      </x:c>
      <x:c r="H3851" s="37" t="n">
        <x:f t="shared" si="169">IFERROR(E3851/G3851-1,"")</x:f>
        <x:v>0.09158261346350671</x:v>
      </x:c>
      <x:c r="I3851" s="38" t="b">
        <x:f t="shared" si="170">E3851&lt;G3851</x:f>
        <x:v>0</x:v>
      </x:c>
    </x:row>
    <x:row r="3852">
      <x:c r="A3852" s="31">
        <x:v>42629</x:v>
      </x:c>
      <x:c r="B3852" s="32">
        <x:v>654.67999999999995</x:v>
      </x:c>
      <x:c r="C3852" s="32">
        <x:v>657.53</x:v>
      </x:c>
      <x:c r="D3852" s="32">
        <x:v>651.30999999999995</x:v>
      </x:c>
      <x:c r="E3852" s="32">
        <x:v>651.30999999999995</x:v>
      </x:c>
      <x:c r="F3852" s="33">
        <x:v>184317130</x:v>
      </x:c>
      <x:c r="G3852" s="32" t="n">
        <x:f t="shared" si="168">AVERAGE(E3653:E3852)</x:f>
        <x:v>601.4694499999999</x:v>
      </x:c>
      <x:c r="H3852" s="37" t="n">
        <x:f t="shared" si="169">IFERROR(E3852/G3852-1,"")</x:f>
        <x:v>0.08286464092232793</x:v>
      </x:c>
      <x:c r="I3852" s="38" t="b">
        <x:f t="shared" si="170">E3852&lt;G3852</x:f>
        <x:v>0</x:v>
      </x:c>
    </x:row>
    <x:row r="3853">
      <x:c r="A3853" s="31">
        <x:v>42632</x:v>
      </x:c>
      <x:c r="B3853" s="32">
        <x:v>651.30999999999995</x:v>
      </x:c>
      <x:c r="C3853" s="32">
        <x:v>658.35</x:v>
      </x:c>
      <x:c r="D3853" s="32">
        <x:v>651.30999999999995</x:v>
      </x:c>
      <x:c r="E3853" s="32">
        <x:v>657.89</x:v>
      </x:c>
      <x:c r="F3853" s="33">
        <x:v>104348350</x:v>
      </x:c>
      <x:c r="G3853" s="32" t="n">
        <x:f t="shared" ref="G3853:G3916" si="171">AVERAGE(E3654:E3853)</x:f>
        <x:v>601.8928999999999</x:v>
      </x:c>
      <x:c r="H3853" s="37" t="n">
        <x:f t="shared" ref="H3853:H3916" si="172">IFERROR(E3853/G3853-1,"")</x:f>
        <x:v>0.09303499011202843</x:v>
      </x:c>
      <x:c r="I3853" s="38" t="b">
        <x:f t="shared" ref="I3853:I3916" si="173">E3853&lt;G3853</x:f>
        <x:v>0</x:v>
      </x:c>
    </x:row>
    <x:row r="3854">
      <x:c r="A3854" s="31">
        <x:v>42633</x:v>
      </x:c>
      <x:c r="B3854" s="32">
        <x:v>656.2</x:v>
      </x:c>
      <x:c r="C3854" s="32">
        <x:v>663.37</x:v>
      </x:c>
      <x:c r="D3854" s="32">
        <x:v>653.28</x:v>
      </x:c>
      <x:c r="E3854" s="32">
        <x:v>663.37</x:v>
      </x:c>
      <x:c r="F3854" s="33">
        <x:v>100490650</x:v>
      </x:c>
      <x:c r="G3854" s="32" t="n">
        <x:f t="shared" si="171">AVERAGE(E3655:E3854)</x:f>
        <x:v>602.3576999999999</x:v>
      </x:c>
      <x:c r="H3854" s="37" t="n">
        <x:f t="shared" si="172">IFERROR(E3854/G3854-1,"")</x:f>
        <x:v>0.10128915094801672</x:v>
      </x:c>
      <x:c r="I3854" s="38" t="b">
        <x:f t="shared" si="173">E3854&lt;G3854</x:f>
        <x:v>0</x:v>
      </x:c>
    </x:row>
    <x:row r="3855">
      <x:c r="A3855" s="31">
        <x:v>42634</x:v>
      </x:c>
      <x:c r="B3855" s="32">
        <x:v>663.12</x:v>
      </x:c>
      <x:c r="C3855" s="32">
        <x:v>668.83</x:v>
      </x:c>
      <x:c r="D3855" s="32">
        <x:v>662.79</x:v>
      </x:c>
      <x:c r="E3855" s="32">
        <x:v>668.48</x:v>
      </x:c>
      <x:c r="F3855" s="33">
        <x:v>134925820</x:v>
      </x:c>
      <x:c r="G3855" s="32" t="n">
        <x:f t="shared" si="171">AVERAGE(E3656:E3855)</x:f>
        <x:v>602.8279999999999</x:v>
      </x:c>
      <x:c r="H3855" s="37" t="n">
        <x:f t="shared" si="172">IFERROR(E3855/G3855-1,"")</x:f>
        <x:v>0.10890668648437063</x:v>
      </x:c>
      <x:c r="I3855" s="38" t="b">
        <x:f t="shared" si="173">E3855&lt;G3855</x:f>
        <x:v>0</x:v>
      </x:c>
    </x:row>
    <x:row r="3856">
      <x:c r="A3856" s="31">
        <x:v>42635</x:v>
      </x:c>
      <x:c r="B3856" s="32">
        <x:v>668.48</x:v>
      </x:c>
      <x:c r="C3856" s="32">
        <x:v>675.36</x:v>
      </x:c>
      <x:c r="D3856" s="32">
        <x:v>668.48</x:v>
      </x:c>
      <x:c r="E3856" s="32">
        <x:v>671.38</x:v>
      </x:c>
      <x:c r="F3856" s="33">
        <x:v>112592880</x:v>
      </x:c>
      <x:c r="G3856" s="32" t="n">
        <x:f t="shared" si="171">AVERAGE(E3657:E3856)</x:f>
        <x:v>603.313</x:v>
      </x:c>
      <x:c r="H3856" s="37" t="n">
        <x:f t="shared" si="172">IFERROR(E3856/G3856-1,"")</x:f>
        <x:v>0.11282203433375382</x:v>
      </x:c>
      <x:c r="I3856" s="38" t="b">
        <x:f t="shared" si="173">E3856&lt;G3856</x:f>
        <x:v>0</x:v>
      </x:c>
    </x:row>
    <x:row r="3857">
      <x:c r="A3857" s="31">
        <x:v>42636</x:v>
      </x:c>
      <x:c r="B3857" s="32">
        <x:v>670.73</x:v>
      </x:c>
      <x:c r="C3857" s="32">
        <x:v>674.09</x:v>
      </x:c>
      <x:c r="D3857" s="32">
        <x:v>670.3</x:v>
      </x:c>
      <x:c r="E3857" s="32">
        <x:v>674.09</x:v>
      </x:c>
      <x:c r="F3857" s="33">
        <x:v>99084600</x:v>
      </x:c>
      <x:c r="G3857" s="32" t="n">
        <x:f t="shared" si="171">AVERAGE(E3658:E3857)</x:f>
        <x:v>603.82535</x:v>
      </x:c>
      <x:c r="H3857" s="37" t="n">
        <x:f t="shared" si="172">IFERROR(E3857/G3857-1,"")</x:f>
        <x:v>0.11636584982727216</x:v>
      </x:c>
      <x:c r="I3857" s="38" t="b">
        <x:f t="shared" si="173">E3857&lt;G3857</x:f>
        <x:v>0</x:v>
      </x:c>
    </x:row>
    <x:row r="3858">
      <x:c r="A3858" s="31">
        <x:v>42639</x:v>
      </x:c>
      <x:c r="B3858" s="32">
        <x:v>673.21</x:v>
      </x:c>
      <x:c r="C3858" s="32">
        <x:v>677.04</x:v>
      </x:c>
      <x:c r="D3858" s="32">
        <x:v>671.51</x:v>
      </x:c>
      <x:c r="E3858" s="32">
        <x:v>677.04</x:v>
      </x:c>
      <x:c r="F3858" s="33">
        <x:v>91965270</x:v>
      </x:c>
      <x:c r="G3858" s="32" t="n">
        <x:f t="shared" si="171">AVERAGE(E3659:E3858)</x:f>
        <x:v>604.3924499999998</x:v>
      </x:c>
      <x:c r="H3858" s="37" t="n">
        <x:f t="shared" si="172">IFERROR(E3858/G3858-1,"")</x:f>
        <x:v>0.12019930096744291</x:v>
      </x:c>
      <x:c r="I3858" s="38" t="b">
        <x:f t="shared" si="173">E3858&lt;G3858</x:f>
        <x:v>0</x:v>
      </x:c>
    </x:row>
    <x:row r="3859">
      <x:c r="A3859" s="31">
        <x:v>42640</x:v>
      </x:c>
      <x:c r="B3859" s="32">
        <x:v>676.61</x:v>
      </x:c>
      <x:c r="C3859" s="32">
        <x:v>684.89</x:v>
      </x:c>
      <x:c r="D3859" s="32">
        <x:v>676.24</x:v>
      </x:c>
      <x:c r="E3859" s="32">
        <x:v>684.89</x:v>
      </x:c>
      <x:c r="F3859" s="33">
        <x:v>115019350</x:v>
      </x:c>
      <x:c r="G3859" s="32" t="n">
        <x:f t="shared" si="171">AVERAGE(E3660:E3859)</x:f>
        <x:v>604.9461499999999</x:v>
      </x:c>
      <x:c r="H3859" s="37" t="n">
        <x:f t="shared" si="172">IFERROR(E3859/G3859-1,"")</x:f>
        <x:v>0.13215035751529314</x:v>
      </x:c>
      <x:c r="I3859" s="38" t="b">
        <x:f t="shared" si="173">E3859&lt;G3859</x:f>
        <x:v>0</x:v>
      </x:c>
    </x:row>
    <x:row r="3860">
      <x:c r="A3860" s="31">
        <x:v>42641</x:v>
      </x:c>
      <x:c r="B3860" s="32">
        <x:v>684.99</x:v>
      </x:c>
      <x:c r="C3860" s="32">
        <x:v>687.94</x:v>
      </x:c>
      <x:c r="D3860" s="32">
        <x:v>682.98</x:v>
      </x:c>
      <x:c r="E3860" s="32">
        <x:v>686.72</x:v>
      </x:c>
      <x:c r="F3860" s="33">
        <x:v>111646620</x:v>
      </x:c>
      <x:c r="G3860" s="32" t="n">
        <x:f t="shared" si="171">AVERAGE(E3661:E3860)</x:f>
        <x:v>605.5537499999999</x:v>
      </x:c>
      <x:c r="H3860" s="37" t="n">
        <x:f t="shared" si="172">IFERROR(E3860/G3860-1,"")</x:f>
        <x:v>0.13403640882415502</x:v>
      </x:c>
      <x:c r="I3860" s="38" t="b">
        <x:f t="shared" si="173">E3860&lt;G3860</x:f>
        <x:v>0</x:v>
      </x:c>
    </x:row>
    <x:row r="3861">
      <x:c r="A3861" s="31">
        <x:v>42642</x:v>
      </x:c>
      <x:c r="B3861" s="32">
        <x:v>689.82</x:v>
      </x:c>
      <x:c r="C3861" s="32">
        <x:v>692.17</x:v>
      </x:c>
      <x:c r="D3861" s="32">
        <x:v>685.91</x:v>
      </x:c>
      <x:c r="E3861" s="32">
        <x:v>688.55</x:v>
      </x:c>
      <x:c r="F3861" s="33">
        <x:v>109747830</x:v>
      </x:c>
      <x:c r="G3861" s="32" t="n">
        <x:f t="shared" si="171">AVERAGE(E3662:E3861)</x:f>
        <x:v>606.1913</x:v>
      </x:c>
      <x:c r="H3861" s="37" t="n">
        <x:f t="shared" si="172">IFERROR(E3861/G3861-1,"")</x:f>
        <x:v>0.13586255691891314</x:v>
      </x:c>
      <x:c r="I3861" s="38" t="b">
        <x:f t="shared" si="173">E3861&lt;G3861</x:f>
        <x:v>0</x:v>
      </x:c>
    </x:row>
    <x:row r="3862">
      <x:c r="A3862" s="31">
        <x:v>42643</x:v>
      </x:c>
      <x:c r="B3862" s="32">
        <x:v>688.55</x:v>
      </x:c>
      <x:c r="C3862" s="32">
        <x:v>689.12</x:v>
      </x:c>
      <x:c r="D3862" s="32">
        <x:v>684.62</x:v>
      </x:c>
      <x:c r="E3862" s="32">
        <x:v>685.73</x:v>
      </x:c>
      <x:c r="F3862" s="33">
        <x:v>102428420</x:v>
      </x:c>
      <x:c r="G3862" s="32" t="n">
        <x:f t="shared" si="171">AVERAGE(E3663:E3862)</x:f>
        <x:v>606.8027999999999</x:v>
      </x:c>
      <x:c r="H3862" s="37" t="n">
        <x:f t="shared" si="172">IFERROR(E3862/G3862-1,"")</x:f>
        <x:v>0.13007059295046108</x:v>
      </x:c>
      <x:c r="I3862" s="38" t="b">
        <x:f t="shared" si="173">E3862&lt;G3862</x:f>
        <x:v>0</x:v>
      </x:c>
    </x:row>
    <x:row r="3863">
      <x:c r="A3863" s="31">
        <x:v>42646</x:v>
      </x:c>
      <x:c r="B3863" s="32">
        <x:v>687.68</x:v>
      </x:c>
      <x:c r="C3863" s="32">
        <x:v>688.42</x:v>
      </x:c>
      <x:c r="D3863" s="32">
        <x:v>681.99</x:v>
      </x:c>
      <x:c r="E3863" s="32">
        <x:v>683.05</x:v>
      </x:c>
      <x:c r="F3863" s="33">
        <x:v>108519140</x:v>
      </x:c>
      <x:c r="G3863" s="32" t="n">
        <x:f t="shared" si="171">AVERAGE(E3664:E3863)</x:f>
        <x:v>607.4069499999999</x:v>
      </x:c>
      <x:c r="H3863" s="37" t="n">
        <x:f t="shared" si="172">IFERROR(E3863/G3863-1,"")</x:f>
        <x:v>0.12453438341461198</x:v>
      </x:c>
      <x:c r="I3863" s="38" t="b">
        <x:f t="shared" si="173">E3863&lt;G3863</x:f>
        <x:v>0</x:v>
      </x:c>
    </x:row>
    <x:row r="3864">
      <x:c r="A3864" s="31">
        <x:v>42647</x:v>
      </x:c>
      <x:c r="B3864" s="32">
        <x:v>682.82</x:v>
      </x:c>
      <x:c r="C3864" s="32">
        <x:v>689.17</x:v>
      </x:c>
      <x:c r="D3864" s="32">
        <x:v>680.24</x:v>
      </x:c>
      <x:c r="E3864" s="32">
        <x:v>684.2</x:v>
      </x:c>
      <x:c r="F3864" s="33">
        <x:v>111644670</x:v>
      </x:c>
      <x:c r="G3864" s="32" t="n">
        <x:f t="shared" si="171">AVERAGE(E3665:E3864)</x:f>
        <x:v>607.9879499999998</x:v>
      </x:c>
      <x:c r="H3864" s="37" t="n">
        <x:f t="shared" si="172">IFERROR(E3864/G3864-1,"")</x:f>
        <x:v>0.12535125079370446</x:v>
      </x:c>
      <x:c r="I3864" s="38" t="b">
        <x:f t="shared" si="173">E3864&lt;G3864</x:f>
        <x:v>0</x:v>
      </x:c>
    </x:row>
    <x:row r="3865">
      <x:c r="A3865" s="31">
        <x:v>42648</x:v>
      </x:c>
      <x:c r="B3865" s="32">
        <x:v>686.41</x:v>
      </x:c>
      <x:c r="C3865" s="32">
        <x:v>689.5</x:v>
      </x:c>
      <x:c r="D3865" s="32">
        <x:v>684.2</x:v>
      </x:c>
      <x:c r="E3865" s="32">
        <x:v>687.04</x:v>
      </x:c>
      <x:c r="F3865" s="33">
        <x:v>106465990</x:v>
      </x:c>
      <x:c r="G3865" s="32" t="n">
        <x:f t="shared" si="171">AVERAGE(E3666:E3865)</x:f>
        <x:v>608.5603999999998</x:v>
      </x:c>
      <x:c r="H3865" s="37" t="n">
        <x:f t="shared" si="172">IFERROR(E3865/G3865-1,"")</x:f>
        <x:v>0.1289594262130762</x:v>
      </x:c>
      <x:c r="I3865" s="38" t="b">
        <x:f t="shared" si="173">E3865&lt;G3865</x:f>
        <x:v>0</x:v>
      </x:c>
    </x:row>
    <x:row r="3866">
      <x:c r="A3866" s="31">
        <x:v>42649</x:v>
      </x:c>
      <x:c r="B3866" s="32">
        <x:v>687.04</x:v>
      </x:c>
      <x:c r="C3866" s="32">
        <x:v>690.93</x:v>
      </x:c>
      <x:c r="D3866" s="32">
        <x:v>687.04</x:v>
      </x:c>
      <x:c r="E3866" s="32">
        <x:v>687.32</x:v>
      </x:c>
      <x:c r="F3866" s="33">
        <x:v>140831260</x:v>
      </x:c>
      <x:c r="G3866" s="32" t="n">
        <x:f t="shared" si="171">AVERAGE(E3667:E3866)</x:f>
        <x:v>609.1114499999999</x:v>
      </x:c>
      <x:c r="H3866" s="37" t="n">
        <x:f t="shared" si="172">IFERROR(E3866/G3866-1,"")</x:f>
        <x:v>0.12839776694396443</x:v>
      </x:c>
      <x:c r="I3866" s="38" t="b">
        <x:f t="shared" si="173">E3866&lt;G3866</x:f>
        <x:v>0</x:v>
      </x:c>
    </x:row>
    <x:row r="3867">
      <x:c r="A3867" s="31">
        <x:v>42650</x:v>
      </x:c>
      <x:c r="B3867" s="32">
        <x:v>689.51</x:v>
      </x:c>
      <x:c r="C3867" s="32">
        <x:v>690.19</x:v>
      </x:c>
      <x:c r="D3867" s="32">
        <x:v>680.26</x:v>
      </x:c>
      <x:c r="E3867" s="32">
        <x:v>683.95</x:v>
      </x:c>
      <x:c r="F3867" s="33">
        <x:v>128830960</x:v>
      </x:c>
      <x:c r="G3867" s="32" t="n">
        <x:f t="shared" si="171">AVERAGE(E3668:E3867)</x:f>
        <x:v>609.6902999999999</x:v>
      </x:c>
      <x:c r="H3867" s="37" t="n">
        <x:f t="shared" si="172">IFERROR(E3867/G3867-1,"")</x:f>
        <x:v>0.1217990510920055</x:v>
      </x:c>
      <x:c r="I3867" s="38" t="b">
        <x:f t="shared" si="173">E3867&lt;G3867</x:f>
        <x:v>0</x:v>
      </x:c>
    </x:row>
    <x:row r="3868">
      <x:c r="A3868" s="31">
        <x:v>42653</x:v>
      </x:c>
      <x:c r="B3868" s="32">
        <x:v>684.05</x:v>
      </x:c>
      <x:c r="C3868" s="32">
        <x:v>684.46</x:v>
      </x:c>
      <x:c r="D3868" s="32">
        <x:v>674.19</x:v>
      </x:c>
      <x:c r="E3868" s="32">
        <x:v>674.19</x:v>
      </x:c>
      <x:c r="F3868" s="33">
        <x:v>119618590</x:v>
      </x:c>
      <x:c r="G3868" s="32" t="n">
        <x:f t="shared" si="171">AVERAGE(E3669:E3868)</x:f>
        <x:v>610.2267499999999</x:v>
      </x:c>
      <x:c r="H3868" s="37" t="n">
        <x:f t="shared" si="172">IFERROR(E3868/G3868-1,"")</x:f>
        <x:v>0.10481882349470939</x:v>
      </x:c>
      <x:c r="I3868" s="38" t="b">
        <x:f t="shared" si="173">E3868&lt;G3868</x:f>
        <x:v>0</x:v>
      </x:c>
    </x:row>
    <x:row r="3869">
      <x:c r="A3869" s="31">
        <x:v>42654</x:v>
      </x:c>
      <x:c r="B3869" s="32">
        <x:v>677.63</x:v>
      </x:c>
      <x:c r="C3869" s="32">
        <x:v>682.36</x:v>
      </x:c>
      <x:c r="D3869" s="32">
        <x:v>669.2</x:v>
      </x:c>
      <x:c r="E3869" s="32">
        <x:v>682.36</x:v>
      </x:c>
      <x:c r="F3869" s="33">
        <x:v>126219300</x:v>
      </x:c>
      <x:c r="G3869" s="32" t="n">
        <x:f t="shared" si="171">AVERAGE(E3670:E3869)</x:f>
        <x:v>610.8068</x:v>
      </x:c>
      <x:c r="H3869" s="37" t="n">
        <x:f t="shared" si="172">IFERROR(E3869/G3869-1,"")</x:f>
        <x:v>0.11714538868918956</x:v>
      </x:c>
      <x:c r="I3869" s="38" t="b">
        <x:f t="shared" si="173">E3869&lt;G3869</x:f>
        <x:v>0</x:v>
      </x:c>
    </x:row>
    <x:row r="3870">
      <x:c r="A3870" s="31">
        <x:v>42655</x:v>
      </x:c>
      <x:c r="B3870" s="32">
        <x:v>683.88</x:v>
      </x:c>
      <x:c r="C3870" s="32">
        <x:v>686.18</x:v>
      </x:c>
      <x:c r="D3870" s="32">
        <x:v>681.12</x:v>
      </x:c>
      <x:c r="E3870" s="32">
        <x:v>682.45</x:v>
      </x:c>
      <x:c r="F3870" s="33">
        <x:v>107650470</x:v>
      </x:c>
      <x:c r="G3870" s="32" t="n">
        <x:f t="shared" si="171">AVERAGE(E3671:E3870)</x:f>
        <x:v>611.3976999999999</x:v>
      </x:c>
      <x:c r="H3870" s="37" t="n">
        <x:f t="shared" si="172">IFERROR(E3870/G3870-1,"")</x:f>
        <x:v>0.1162129003756478</x:v>
      </x:c>
      <x:c r="I3870" s="38" t="b">
        <x:f t="shared" si="173">E3870&lt;G3870</x:f>
        <x:v>0</x:v>
      </x:c>
    </x:row>
    <x:row r="3871">
      <x:c r="A3871" s="31">
        <x:v>42656</x:v>
      </x:c>
      <x:c r="B3871" s="32">
        <x:v>680.73</x:v>
      </x:c>
      <x:c r="C3871" s="32">
        <x:v>685.23</x:v>
      </x:c>
      <x:c r="D3871" s="32">
        <x:v>678.79</x:v>
      </x:c>
      <x:c r="E3871" s="32">
        <x:v>685.23</x:v>
      </x:c>
      <x:c r="F3871" s="33">
        <x:v>117781230</x:v>
      </x:c>
      <x:c r="G3871" s="32" t="n">
        <x:f t="shared" si="171">AVERAGE(E3672:E3871)</x:f>
        <x:v>611.9929999999999</x:v>
      </x:c>
      <x:c r="H3871" s="37" t="n">
        <x:f t="shared" si="172">IFERROR(E3871/G3871-1,"")</x:f>
        <x:v>0.11966966942432355</x:v>
      </x:c>
      <x:c r="I3871" s="38" t="b">
        <x:f t="shared" si="173">E3871&lt;G3871</x:f>
        <x:v>0</x:v>
      </x:c>
    </x:row>
    <x:row r="3872">
      <x:c r="A3872" s="31">
        <x:v>42657</x:v>
      </x:c>
      <x:c r="B3872" s="32">
        <x:v>685.06</x:v>
      </x:c>
      <x:c r="C3872" s="32">
        <x:v>690.62</x:v>
      </x:c>
      <x:c r="D3872" s="32">
        <x:v>684.78</x:v>
      </x:c>
      <x:c r="E3872" s="32">
        <x:v>687</x:v>
      </x:c>
      <x:c r="F3872" s="33">
        <x:v>134748710</x:v>
      </x:c>
      <x:c r="G3872" s="32" t="n">
        <x:f t="shared" si="171">AVERAGE(E3673:E3872)</x:f>
        <x:v>612.5896499999999</x:v>
      </x:c>
      <x:c r="H3872" s="37" t="n">
        <x:f t="shared" si="172">IFERROR(E3872/G3872-1,"")</x:f>
        <x:v>0.12146850669122489</x:v>
      </x:c>
      <x:c r="I3872" s="38" t="b">
        <x:f t="shared" si="173">E3872&lt;G3872</x:f>
        <x:v>0</x:v>
      </x:c>
    </x:row>
    <x:row r="3873">
      <x:c r="A3873" s="31">
        <x:v>42660</x:v>
      </x:c>
      <x:c r="B3873" s="32">
        <x:v>687.18</x:v>
      </x:c>
      <x:c r="C3873" s="32">
        <x:v>687.94</x:v>
      </x:c>
      <x:c r="D3873" s="32">
        <x:v>680.95</x:v>
      </x:c>
      <x:c r="E3873" s="32">
        <x:v>680.95</x:v>
      </x:c>
      <x:c r="F3873" s="33">
        <x:v>106159380</x:v>
      </x:c>
      <x:c r="G3873" s="32" t="n">
        <x:f t="shared" si="171">AVERAGE(E3674:E3873)</x:f>
        <x:v>613.1448999999998</x:v>
      </x:c>
      <x:c r="H3873" s="37" t="n">
        <x:f t="shared" si="172">IFERROR(E3873/G3873-1,"")</x:f>
        <x:v>0.11058576855161029</x:v>
      </x:c>
      <x:c r="I3873" s="38" t="b">
        <x:f t="shared" si="173">E3873&lt;G3873</x:f>
        <x:v>0</x:v>
      </x:c>
    </x:row>
    <x:row r="3874">
      <x:c r="A3874" s="31">
        <x:v>42661</x:v>
      </x:c>
      <x:c r="B3874" s="32">
        <x:v>680.44</x:v>
      </x:c>
      <x:c r="C3874" s="32">
        <x:v>682.99</x:v>
      </x:c>
      <x:c r="D3874" s="32">
        <x:v>678.13</x:v>
      </x:c>
      <x:c r="E3874" s="32">
        <x:v>682.02</x:v>
      </x:c>
      <x:c r="F3874" s="33">
        <x:v>100892180</x:v>
      </x:c>
      <x:c r="G3874" s="32" t="n">
        <x:f t="shared" si="171">AVERAGE(E3675:E3874)</x:f>
        <x:v>613.6735499999999</x:v>
      </x:c>
      <x:c r="H3874" s="37" t="n">
        <x:f t="shared" si="172">IFERROR(E3874/G3874-1,"")</x:f>
        <x:v>0.1113726508173607</x:v>
      </x:c>
      <x:c r="I3874" s="38" t="b">
        <x:f t="shared" si="173">E3874&lt;G3874</x:f>
        <x:v>0</x:v>
      </x:c>
    </x:row>
    <x:row r="3875">
      <x:c r="A3875" s="31">
        <x:v>42662</x:v>
      </x:c>
      <x:c r="B3875" s="32">
        <x:v>683.83</x:v>
      </x:c>
      <x:c r="C3875" s="32">
        <x:v>689.88</x:v>
      </x:c>
      <x:c r="D3875" s="32">
        <x:v>682.02</x:v>
      </x:c>
      <x:c r="E3875" s="32">
        <x:v>688.89</x:v>
      </x:c>
      <x:c r="F3875" s="33">
        <x:v>122517570</x:v>
      </x:c>
      <x:c r="G3875" s="32" t="n">
        <x:f t="shared" si="171">AVERAGE(E3676:E3875)</x:f>
        <x:v>614.2207499999998</x:v>
      </x:c>
      <x:c r="H3875" s="37" t="n">
        <x:f t="shared" si="172">IFERROR(E3875/G3875-1,"")</x:f>
        <x:v>0.12156744948782694</x:v>
      </x:c>
      <x:c r="I3875" s="38" t="b">
        <x:f t="shared" si="173">E3875&lt;G3875</x:f>
        <x:v>0</x:v>
      </x:c>
    </x:row>
    <x:row r="3876">
      <x:c r="A3876" s="31">
        <x:v>42663</x:v>
      </x:c>
      <x:c r="B3876" s="32">
        <x:v>690.45</x:v>
      </x:c>
      <x:c r="C3876" s="32">
        <x:v>690.86</x:v>
      </x:c>
      <x:c r="D3876" s="32">
        <x:v>685.63</x:v>
      </x:c>
      <x:c r="E3876" s="32">
        <x:v>686.39</x:v>
      </x:c>
      <x:c r="F3876" s="33">
        <x:v>106042150</x:v>
      </x:c>
      <x:c r="G3876" s="32" t="n">
        <x:f t="shared" si="171">AVERAGE(E3677:E3876)</x:f>
        <x:v>614.7575499999998</x:v>
      </x:c>
      <x:c r="H3876" s="37" t="n">
        <x:f t="shared" si="172">IFERROR(E3876/G3876-1,"")</x:f>
        <x:v>0.11652146443748457</x:v>
      </x:c>
      <x:c r="I3876" s="38" t="b">
        <x:f t="shared" si="173">E3876&lt;G3876</x:f>
        <x:v>0</x:v>
      </x:c>
    </x:row>
    <x:row r="3877">
      <x:c r="A3877" s="31">
        <x:v>42664</x:v>
      </x:c>
      <x:c r="B3877" s="32">
        <x:v>685.77</x:v>
      </x:c>
      <x:c r="C3877" s="32">
        <x:v>687.54</x:v>
      </x:c>
      <x:c r="D3877" s="32">
        <x:v>683.76</x:v>
      </x:c>
      <x:c r="E3877" s="32">
        <x:v>684.83</x:v>
      </x:c>
      <x:c r="F3877" s="33">
        <x:v>111996680</x:v>
      </x:c>
      <x:c r="G3877" s="32" t="n">
        <x:f t="shared" si="171">AVERAGE(E3678:E3877)</x:f>
        <x:v>615.3096499999998</x:v>
      </x:c>
      <x:c r="H3877" s="37" t="n">
        <x:f t="shared" si="172">IFERROR(E3877/G3877-1,"")</x:f>
        <x:v>0.11298433236013805</x:v>
      </x:c>
      <x:c r="I3877" s="38" t="b">
        <x:f t="shared" si="173">E3877&lt;G3877</x:f>
        <x:v>0</x:v>
      </x:c>
    </x:row>
    <x:row r="3878">
      <x:c r="A3878" s="31">
        <x:v>42667</x:v>
      </x:c>
      <x:c r="B3878" s="32">
        <x:v>683.14</x:v>
      </x:c>
      <x:c r="C3878" s="32">
        <x:v>684.83</x:v>
      </x:c>
      <x:c r="D3878" s="32">
        <x:v>677.89</x:v>
      </x:c>
      <x:c r="E3878" s="32">
        <x:v>678.02</x:v>
      </x:c>
      <x:c r="F3878" s="33">
        <x:v>91994310</x:v>
      </x:c>
      <x:c r="G3878" s="32" t="n">
        <x:f t="shared" si="171">AVERAGE(E3679:E3878)</x:f>
        <x:v>615.8500499999998</x:v>
      </x:c>
      <x:c r="H3878" s="37" t="n">
        <x:f t="shared" si="172">IFERROR(E3878/G3878-1,"")</x:f>
        <x:v>0.10094981724853347</x:v>
      </x:c>
      <x:c r="I3878" s="38" t="b">
        <x:f t="shared" si="173">E3878&lt;G3878</x:f>
        <x:v>0</x:v>
      </x:c>
    </x:row>
    <x:row r="3879">
      <x:c r="A3879" s="31">
        <x:v>42668</x:v>
      </x:c>
      <x:c r="B3879" s="32">
        <x:v>676.29</x:v>
      </x:c>
      <x:c r="C3879" s="32">
        <x:v>678.02</x:v>
      </x:c>
      <x:c r="D3879" s="32">
        <x:v>670.6</x:v>
      </x:c>
      <x:c r="E3879" s="32">
        <x:v>676.18</x:v>
      </x:c>
      <x:c r="F3879" s="33">
        <x:v>108043320</x:v>
      </x:c>
      <x:c r="G3879" s="32" t="n">
        <x:f t="shared" si="171">AVERAGE(E3680:E3879)</x:f>
        <x:v>616.3580999999998</x:v>
      </x:c>
      <x:c r="H3879" s="37" t="n">
        <x:f t="shared" si="172">IFERROR(E3879/G3879-1,"")</x:f>
        <x:v>0.09705705173664492</x:v>
      </x:c>
      <x:c r="I3879" s="38" t="b">
        <x:f t="shared" si="173">E3879&lt;G3879</x:f>
        <x:v>0</x:v>
      </x:c>
    </x:row>
    <x:row r="3880">
      <x:c r="A3880" s="31">
        <x:v>42669</x:v>
      </x:c>
      <x:c r="B3880" s="32">
        <x:v>676.18</x:v>
      </x:c>
      <x:c r="C3880" s="32">
        <x:v>676.18</x:v>
      </x:c>
      <x:c r="D3880" s="32">
        <x:v>670.8</x:v>
      </x:c>
      <x:c r="E3880" s="32">
        <x:v>673.61</x:v>
      </x:c>
      <x:c r="F3880" s="33">
        <x:v>91959690</x:v>
      </x:c>
      <x:c r="G3880" s="32" t="n">
        <x:f t="shared" si="171">AVERAGE(E3681:E3880)</x:f>
        <x:v>616.8993499999998</x:v>
      </x:c>
      <x:c r="H3880" s="37" t="n">
        <x:f t="shared" si="172">IFERROR(E3880/G3880-1,"")</x:f>
        <x:v>0.09192852934599505</x:v>
      </x:c>
      <x:c r="I3880" s="38" t="b">
        <x:f t="shared" si="173">E3880&lt;G3880</x:f>
        <x:v>0</x:v>
      </x:c>
    </x:row>
    <x:row r="3881">
      <x:c r="A3881" s="31">
        <x:v>42670</x:v>
      </x:c>
      <x:c r="B3881" s="32">
        <x:v>672.81</x:v>
      </x:c>
      <x:c r="C3881" s="32">
        <x:v>676.9</x:v>
      </x:c>
      <x:c r="D3881" s="32">
        <x:v>671.61</x:v>
      </x:c>
      <x:c r="E3881" s="32">
        <x:v>676.9</x:v>
      </x:c>
      <x:c r="F3881" s="33">
        <x:v>85549590</x:v>
      </x:c>
      <x:c r="G3881" s="32" t="n">
        <x:f t="shared" si="171">AVERAGE(E3682:E3881)</x:f>
        <x:v>617.4835999999997</x:v>
      </x:c>
      <x:c r="H3881" s="37" t="n">
        <x:f t="shared" si="172">IFERROR(E3881/G3881-1,"")</x:f>
        <x:v>0.09622344625833024</x:v>
      </x:c>
      <x:c r="I3881" s="38" t="b">
        <x:f t="shared" si="173">E3881&lt;G3881</x:f>
        <x:v>0</x:v>
      </x:c>
    </x:row>
    <x:row r="3882">
      <x:c r="A3882" s="31">
        <x:v>42671</x:v>
      </x:c>
      <x:c r="B3882" s="32">
        <x:v>676.74</x:v>
      </x:c>
      <x:c r="C3882" s="32">
        <x:v>682.25</x:v>
      </x:c>
      <x:c r="D3882" s="32">
        <x:v>675.85</x:v>
      </x:c>
      <x:c r="E3882" s="32">
        <x:v>682.25</x:v>
      </x:c>
      <x:c r="F3882" s="33">
        <x:v>103029880</x:v>
      </x:c>
      <x:c r="G3882" s="32" t="n">
        <x:f t="shared" si="171">AVERAGE(E3683:E3882)</x:f>
        <x:v>618.1054999999998</x:v>
      </x:c>
      <x:c r="H3882" s="37" t="n">
        <x:f t="shared" si="172">IFERROR(E3882/G3882-1,"")</x:f>
        <x:v>0.10377597351908419</x:v>
      </x:c>
      <x:c r="I3882" s="38" t="b">
        <x:f t="shared" si="173">E3882&lt;G3882</x:f>
        <x:v>0</x:v>
      </x:c>
    </x:row>
    <x:row r="3883">
      <x:c r="A3883" s="31">
        <x:v>42674</x:v>
      </x:c>
      <x:c r="B3883" s="32">
        <x:v>682.11</x:v>
      </x:c>
      <x:c r="C3883" s="32">
        <x:v>683.34</x:v>
      </x:c>
      <x:c r="D3883" s="32">
        <x:v>675.8</x:v>
      </x:c>
      <x:c r="E3883" s="32">
        <x:v>675.8</x:v>
      </x:c>
      <x:c r="F3883" s="33">
        <x:v>114384030</x:v>
      </x:c>
      <x:c r="G3883" s="32" t="n">
        <x:f t="shared" si="171">AVERAGE(E3684:E3883)</x:f>
        <x:v>618.6631999999997</x:v>
      </x:c>
      <x:c r="H3883" s="37" t="n">
        <x:f t="shared" si="172">IFERROR(E3883/G3883-1,"")</x:f>
        <x:v>0.09235525888722695</x:v>
      </x:c>
      <x:c r="I3883" s="38" t="b">
        <x:f t="shared" si="173">E3883&lt;G3883</x:f>
        <x:v>0</x:v>
      </x:c>
    </x:row>
    <x:row r="3884">
      <x:c r="A3884" s="31">
        <x:v>42675</x:v>
      </x:c>
      <x:c r="B3884" s="32">
        <x:v>675.13</x:v>
      </x:c>
      <x:c r="C3884" s="32">
        <x:v>676.6</x:v>
      </x:c>
      <x:c r="D3884" s="32">
        <x:v>672.33</x:v>
      </x:c>
      <x:c r="E3884" s="32">
        <x:v>676.6</x:v>
      </x:c>
      <x:c r="F3884" s="33">
        <x:v>103689100</x:v>
      </x:c>
      <x:c r="G3884" s="32" t="n">
        <x:f t="shared" si="171">AVERAGE(E3685:E3884)</x:f>
        <x:v>619.2443499999998</x:v>
      </x:c>
      <x:c r="H3884" s="37" t="n">
        <x:f t="shared" si="172">IFERROR(E3884/G3884-1,"")</x:f>
        <x:v>0.09262199970011875</x:v>
      </x:c>
      <x:c r="I3884" s="38" t="b">
        <x:f t="shared" si="173">E3884&lt;G3884</x:f>
        <x:v>0</x:v>
      </x:c>
    </x:row>
    <x:row r="3885">
      <x:c r="A3885" s="31">
        <x:v>42676</x:v>
      </x:c>
      <x:c r="B3885" s="32">
        <x:v>675.68</x:v>
      </x:c>
      <x:c r="C3885" s="32">
        <x:v>678.14</x:v>
      </x:c>
      <x:c r="D3885" s="32">
        <x:v>671.4</x:v>
      </x:c>
      <x:c r="E3885" s="32">
        <x:v>671.4</x:v>
      </x:c>
      <x:c r="F3885" s="33">
        <x:v>128035040</x:v>
      </x:c>
      <x:c r="G3885" s="32" t="n">
        <x:f t="shared" si="171">AVERAGE(E3686:E3885)</x:f>
        <x:v>619.8361999999998</x:v>
      </x:c>
      <x:c r="H3885" s="37" t="n">
        <x:f t="shared" si="172">IFERROR(E3885/G3885-1,"")</x:f>
        <x:v>0.08318939745694132</x:v>
      </x:c>
      <x:c r="I3885" s="38" t="b">
        <x:f t="shared" si="173">E3885&lt;G3885</x:f>
        <x:v>0</x:v>
      </x:c>
    </x:row>
    <x:row r="3886">
      <x:c r="A3886" s="31">
        <x:v>42677</x:v>
      </x:c>
      <x:c r="B3886" s="32">
        <x:v>668.66</x:v>
      </x:c>
      <x:c r="C3886" s="32">
        <x:v>671.4</x:v>
      </x:c>
      <x:c r="D3886" s="32">
        <x:v>661.86</x:v>
      </x:c>
      <x:c r="E3886" s="32">
        <x:v>667.63</x:v>
      </x:c>
      <x:c r="F3886" s="33">
        <x:v>114649680</x:v>
      </x:c>
      <x:c r="G3886" s="32" t="n">
        <x:f t="shared" si="171">AVERAGE(E3687:E3886)</x:f>
        <x:v>620.4591499999999</x:v>
      </x:c>
      <x:c r="H3886" s="37" t="n">
        <x:f t="shared" si="172">IFERROR(E3886/G3886-1,"")</x:f>
        <x:v>0.07602571418279536</x:v>
      </x:c>
      <x:c r="I3886" s="38" t="b">
        <x:f t="shared" si="173">E3886&lt;G3886</x:f>
        <x:v>0</x:v>
      </x:c>
    </x:row>
    <x:row r="3887">
      <x:c r="A3887" s="31">
        <x:v>42678</x:v>
      </x:c>
      <x:c r="B3887" s="32">
        <x:v>666.93</x:v>
      </x:c>
      <x:c r="C3887" s="32">
        <x:v>668.99</x:v>
      </x:c>
      <x:c r="D3887" s="32">
        <x:v>665.08</x:v>
      </x:c>
      <x:c r="E3887" s="32">
        <x:v>666.73</x:v>
      </x:c>
      <x:c r="F3887" s="33">
        <x:v>74501690</x:v>
      </x:c>
      <x:c r="G3887" s="32" t="n">
        <x:f t="shared" si="171">AVERAGE(E3688:E3887)</x:f>
        <x:v>621.1609499999998</x:v>
      </x:c>
      <x:c r="H3887" s="37" t="n">
        <x:f t="shared" si="172">IFERROR(E3887/G3887-1,"")</x:f>
        <x:v>0.0733610990839011</x:v>
      </x:c>
      <x:c r="I3887" s="38" t="b">
        <x:f t="shared" si="173">E3887&lt;G3887</x:f>
        <x:v>0</x:v>
      </x:c>
    </x:row>
    <x:row r="3888">
      <x:c r="A3888" s="31">
        <x:v>42681</x:v>
      </x:c>
      <x:c r="B3888" s="32">
        <x:v>667.12</x:v>
      </x:c>
      <x:c r="C3888" s="32">
        <x:v>674.36</x:v>
      </x:c>
      <x:c r="D3888" s="32">
        <x:v>666.61</x:v>
      </x:c>
      <x:c r="E3888" s="32">
        <x:v>674.14</x:v>
      </x:c>
      <x:c r="F3888" s="33">
        <x:v>86516180</x:v>
      </x:c>
      <x:c r="G3888" s="32" t="n">
        <x:f t="shared" si="171">AVERAGE(E3689:E3888)</x:f>
        <x:v>621.8527999999999</x:v>
      </x:c>
      <x:c r="H3888" s="37" t="n">
        <x:f t="shared" si="172">IFERROR(E3888/G3888-1,"")</x:f>
        <x:v>0.08408292123151995</x:v>
      </x:c>
      <x:c r="I3888" s="38" t="b">
        <x:f t="shared" si="173">E3888&lt;G3888</x:f>
        <x:v>0</x:v>
      </x:c>
    </x:row>
    <x:row r="3889">
      <x:c r="A3889" s="31">
        <x:v>42682</x:v>
      </x:c>
      <x:c r="B3889" s="32">
        <x:v>675.82</x:v>
      </x:c>
      <x:c r="C3889" s="32">
        <x:v>677.91</x:v>
      </x:c>
      <x:c r="D3889" s="32">
        <x:v>674.14</x:v>
      </x:c>
      <x:c r="E3889" s="32">
        <x:v>676.46</x:v>
      </x:c>
      <x:c r="F3889" s="33">
        <x:v>77559310</x:v>
      </x:c>
      <x:c r="G3889" s="32" t="n">
        <x:f t="shared" si="171">AVERAGE(E3690:E3889)</x:f>
        <x:v>622.5878999999998</x:v>
      </x:c>
      <x:c r="H3889" s="37" t="n">
        <x:f t="shared" si="172">IFERROR(E3889/G3889-1,"")</x:f>
        <x:v>0.08652930774915535</x:v>
      </x:c>
      <x:c r="I3889" s="38" t="b">
        <x:f t="shared" si="173">E3889&lt;G3889</x:f>
        <x:v>0</x:v>
      </x:c>
    </x:row>
    <x:row r="3890">
      <x:c r="A3890" s="31">
        <x:v>42683</x:v>
      </x:c>
      <x:c r="B3890" s="32">
        <x:v>675.57</x:v>
      </x:c>
      <x:c r="C3890" s="32">
        <x:v>676.46</x:v>
      </x:c>
      <x:c r="D3890" s="32">
        <x:v>656.68</x:v>
      </x:c>
      <x:c r="E3890" s="32">
        <x:v>670.26</x:v>
      </x:c>
      <x:c r="F3890" s="33">
        <x:v>129849160</x:v>
      </x:c>
      <x:c r="G3890" s="32" t="n">
        <x:f t="shared" si="171">AVERAGE(E3691:E3890)</x:f>
        <x:v>623.3297999999999</x:v>
      </x:c>
      <x:c r="H3890" s="37" t="n">
        <x:f t="shared" si="172">IFERROR(E3890/G3890-1,"")</x:f>
        <x:v>0.07528951768389724</x:v>
      </x:c>
      <x:c r="I3890" s="38" t="b">
        <x:f t="shared" si="173">E3890&lt;G3890</x:f>
        <x:v>0</x:v>
      </x:c>
    </x:row>
    <x:row r="3891">
      <x:c r="A3891" s="31">
        <x:v>42684</x:v>
      </x:c>
      <x:c r="B3891" s="32">
        <x:v>675.36</x:v>
      </x:c>
      <x:c r="C3891" s="32">
        <x:v>678.57</x:v>
      </x:c>
      <x:c r="D3891" s="32">
        <x:v>670.26</x:v>
      </x:c>
      <x:c r="E3891" s="32">
        <x:v>678.17</x:v>
      </x:c>
      <x:c r="F3891" s="33">
        <x:v>104949360</x:v>
      </x:c>
      <x:c r="G3891" s="32" t="n">
        <x:f t="shared" si="171">AVERAGE(E3692:E3891)</x:f>
        <x:v>624.1094499999998</x:v>
      </x:c>
      <x:c r="H3891" s="37" t="n">
        <x:f t="shared" si="172">IFERROR(E3891/G3891-1,"")</x:f>
        <x:v>0.08662030353810568</x:v>
      </x:c>
      <x:c r="I3891" s="38" t="b">
        <x:f t="shared" si="173">E3891&lt;G3891</x:f>
        <x:v>0</x:v>
      </x:c>
    </x:row>
    <x:row r="3892">
      <x:c r="A3892" s="31">
        <x:v>42685</x:v>
      </x:c>
      <x:c r="B3892" s="32">
        <x:v>678.38</x:v>
      </x:c>
      <x:c r="C3892" s="32">
        <x:v>679.56</x:v>
      </x:c>
      <x:c r="D3892" s="32">
        <x:v>676.73</x:v>
      </x:c>
      <x:c r="E3892" s="32">
        <x:v>679.2</x:v>
      </x:c>
      <x:c r="F3892" s="33">
        <x:v>96643530</x:v>
      </x:c>
      <x:c r="G3892" s="32" t="n">
        <x:f t="shared" si="171">AVERAGE(E3693:E3892)</x:f>
        <x:v>624.7936999999998</x:v>
      </x:c>
      <x:c r="H3892" s="37" t="n">
        <x:f t="shared" si="172">IFERROR(E3892/G3892-1,"")</x:f>
        <x:v>0.08707882297788894</x:v>
      </x:c>
      <x:c r="I3892" s="38" t="b">
        <x:f t="shared" si="173">E3892&lt;G3892</x:f>
        <x:v>0</x:v>
      </x:c>
    </x:row>
    <x:row r="3893">
      <x:c r="A3893" s="31">
        <x:v>42688</x:v>
      </x:c>
      <x:c r="B3893" s="32">
        <x:v>677.13</x:v>
      </x:c>
      <x:c r="C3893" s="32">
        <x:v>679.96</x:v>
      </x:c>
      <x:c r="D3893" s="32">
        <x:v>672.45</x:v>
      </x:c>
      <x:c r="E3893" s="32">
        <x:v>673.05</x:v>
      </x:c>
      <x:c r="F3893" s="33">
        <x:v>111753270</x:v>
      </x:c>
      <x:c r="G3893" s="32" t="n">
        <x:f t="shared" si="171">AVERAGE(E3694:E3893)</x:f>
        <x:v>625.4702999999998</x:v>
      </x:c>
      <x:c r="H3893" s="37" t="n">
        <x:f t="shared" si="172">IFERROR(E3893/G3893-1,"")</x:f>
        <x:v>0.07607027863673155</x:v>
      </x:c>
      <x:c r="I3893" s="38" t="b">
        <x:f t="shared" si="173">E3893&lt;G3893</x:f>
        <x:v>0</x:v>
      </x:c>
    </x:row>
    <x:row r="3894">
      <x:c r="A3894" s="31">
        <x:v>42689</x:v>
      </x:c>
      <x:c r="B3894" s="32">
        <x:v>673.75</x:v>
      </x:c>
      <x:c r="C3894" s="32">
        <x:v>675.73</x:v>
      </x:c>
      <x:c r="D3894" s="32">
        <x:v>671.55</x:v>
      </x:c>
      <x:c r="E3894" s="32">
        <x:v>674.26</x:v>
      </x:c>
      <x:c r="F3894" s="33">
        <x:v>105064180</x:v>
      </x:c>
      <x:c r="G3894" s="32" t="n">
        <x:f t="shared" si="171">AVERAGE(E3695:E3894)</x:f>
        <x:v>626.1281499999998</x:v>
      </x:c>
      <x:c r="H3894" s="37" t="n">
        <x:f t="shared" si="172">IFERROR(E3894/G3894-1,"")</x:f>
        <x:v>0.0768722025994204</x:v>
      </x:c>
      <x:c r="I3894" s="38" t="b">
        <x:f t="shared" si="173">E3894&lt;G3894</x:f>
        <x:v>0</x:v>
      </x:c>
    </x:row>
    <x:row r="3895">
      <x:c r="A3895" s="31">
        <x:v>42690</x:v>
      </x:c>
      <x:c r="B3895" s="32">
        <x:v>674.85</x:v>
      </x:c>
      <x:c r="C3895" s="32">
        <x:v>676.9</x:v>
      </x:c>
      <x:c r="D3895" s="32">
        <x:v>673.95</x:v>
      </x:c>
      <x:c r="E3895" s="32">
        <x:v>674.6</x:v>
      </x:c>
      <x:c r="F3895" s="33">
        <x:v>102400010</x:v>
      </x:c>
      <x:c r="G3895" s="32" t="n">
        <x:f t="shared" si="171">AVERAGE(E3696:E3895)</x:f>
        <x:v>626.8037999999999</x:v>
      </x:c>
      <x:c r="H3895" s="37" t="n">
        <x:f t="shared" si="172">IFERROR(E3895/G3895-1,"")</x:f>
        <x:v>0.07625384530215062</x:v>
      </x:c>
      <x:c r="I3895" s="38" t="b">
        <x:f t="shared" si="173">E3895&lt;G3895</x:f>
        <x:v>0</x:v>
      </x:c>
    </x:row>
    <x:row r="3896">
      <x:c r="A3896" s="31">
        <x:v>42691</x:v>
      </x:c>
      <x:c r="B3896" s="32">
        <x:v>674.5</x:v>
      </x:c>
      <x:c r="C3896" s="32">
        <x:v>676.48</x:v>
      </x:c>
      <x:c r="D3896" s="32">
        <x:v>673.13</x:v>
      </x:c>
      <x:c r="E3896" s="32">
        <x:v>674.57</x:v>
      </x:c>
      <x:c r="F3896" s="33">
        <x:v>119114290</x:v>
      </x:c>
      <x:c r="G3896" s="32" t="n">
        <x:f t="shared" si="171">AVERAGE(E3697:E3896)</x:f>
        <x:v>627.4504</x:v>
      </x:c>
      <x:c r="H3896" s="37" t="n">
        <x:f t="shared" si="172">IFERROR(E3896/G3896-1,"")</x:f>
        <x:v>0.07509693196466216</x:v>
      </x:c>
      <x:c r="I3896" s="38" t="b">
        <x:f t="shared" si="173">E3896&lt;G3896</x:f>
        <x:v>0</x:v>
      </x:c>
    </x:row>
    <x:row r="3897">
      <x:c r="A3897" s="31">
        <x:v>42692</x:v>
      </x:c>
      <x:c r="B3897" s="32">
        <x:v>673.82</x:v>
      </x:c>
      <x:c r="C3897" s="32">
        <x:v>675.15</x:v>
      </x:c>
      <x:c r="D3897" s="32">
        <x:v>669.18</x:v>
      </x:c>
      <x:c r="E3897" s="32">
        <x:v>673.25</x:v>
      </x:c>
      <x:c r="F3897" s="33">
        <x:v>96180820</x:v>
      </x:c>
      <x:c r="G3897" s="32" t="n">
        <x:f t="shared" si="171">AVERAGE(E3698:E3897)</x:f>
        <x:v>628.1138499999998</x:v>
      </x:c>
      <x:c r="H3897" s="37" t="n">
        <x:f t="shared" si="172">IFERROR(E3897/G3897-1,"")</x:f>
        <x:v>0.07185982286491566</x:v>
      </x:c>
      <x:c r="I3897" s="38" t="b">
        <x:f t="shared" si="173">E3897&lt;G3897</x:f>
        <x:v>0</x:v>
      </x:c>
    </x:row>
    <x:row r="3898">
      <x:c r="A3898" s="31">
        <x:v>42695</x:v>
      </x:c>
      <x:c r="B3898" s="32">
        <x:v>673.2</x:v>
      </x:c>
      <x:c r="C3898" s="32">
        <x:v>675.04</x:v>
      </x:c>
      <x:c r="D3898" s="32">
        <x:v>671.65</x:v>
      </x:c>
      <x:c r="E3898" s="32">
        <x:v>674.29</x:v>
      </x:c>
      <x:c r="F3898" s="33">
        <x:v>96259380</x:v>
      </x:c>
      <x:c r="G3898" s="32" t="n">
        <x:f t="shared" si="171">AVERAGE(E3699:E3898)</x:f>
        <x:v>628.80305</x:v>
      </x:c>
      <x:c r="H3898" s="37" t="n">
        <x:f t="shared" si="172">IFERROR(E3898/G3898-1,"")</x:f>
        <x:v>0.07233894619308856</x:v>
      </x:c>
      <x:c r="I3898" s="38" t="b">
        <x:f t="shared" si="173">E3898&lt;G3898</x:f>
        <x:v>0</x:v>
      </x:c>
    </x:row>
    <x:row r="3899">
      <x:c r="A3899" s="31">
        <x:v>42696</x:v>
      </x:c>
      <x:c r="B3899" s="32">
        <x:v>675.23</x:v>
      </x:c>
      <x:c r="C3899" s="32">
        <x:v>681.91</x:v>
      </x:c>
      <x:c r="D3899" s="32">
        <x:v>674.29</x:v>
      </x:c>
      <x:c r="E3899" s="32">
        <x:v>681.91</x:v>
      </x:c>
      <x:c r="F3899" s="33">
        <x:v>106254350</x:v>
      </x:c>
      <x:c r="G3899" s="32" t="n">
        <x:f t="shared" si="171">AVERAGE(E3700:E3899)</x:f>
        <x:v>629.5172499999999</x:v>
      </x:c>
      <x:c r="H3899" s="37" t="n">
        <x:f t="shared" si="172">IFERROR(E3899/G3899-1,"")</x:f>
        <x:v>0.08322686947815972</x:v>
      </x:c>
      <x:c r="I3899" s="38" t="b">
        <x:f t="shared" si="173">E3899&lt;G3899</x:f>
        <x:v>0</x:v>
      </x:c>
    </x:row>
    <x:row r="3900">
      <x:c r="A3900" s="31">
        <x:v>42697</x:v>
      </x:c>
      <x:c r="B3900" s="32">
        <x:v>681.17</x:v>
      </x:c>
      <x:c r="C3900" s="32">
        <x:v>684.12</x:v>
      </x:c>
      <x:c r="D3900" s="32">
        <x:v>679.81</x:v>
      </x:c>
      <x:c r="E3900" s="32">
        <x:v>683.16</x:v>
      </x:c>
      <x:c r="F3900" s="33">
        <x:v>109567320</x:v>
      </x:c>
      <x:c r="G3900" s="32" t="n">
        <x:f t="shared" si="171">AVERAGE(E3701:E3900)</x:f>
        <x:v>630.2222999999999</x:v>
      </x:c>
      <x:c r="H3900" s="37" t="n">
        <x:f t="shared" si="172">IFERROR(E3900/G3900-1,"")</x:f>
        <x:v>0.08399845578298337</x:v>
      </x:c>
      <x:c r="I3900" s="38" t="b">
        <x:f t="shared" si="173">E3900&lt;G3900</x:f>
        <x:v>0</x:v>
      </x:c>
    </x:row>
    <x:row r="3901">
      <x:c r="A3901" s="31">
        <x:v>42698</x:v>
      </x:c>
      <x:c r="B3901" s="32">
        <x:v>683.61</x:v>
      </x:c>
      <x:c r="C3901" s="32">
        <x:v>683.61</x:v>
      </x:c>
      <x:c r="D3901" s="32">
        <x:v>676.39</x:v>
      </x:c>
      <x:c r="E3901" s="32">
        <x:v>678.18</x:v>
      </x:c>
      <x:c r="F3901" s="33">
        <x:v>117539200</x:v>
      </x:c>
      <x:c r="G3901" s="32" t="n">
        <x:f t="shared" si="171">AVERAGE(E3702:E3901)</x:f>
        <x:v>630.8894499999999</x:v>
      </x:c>
      <x:c r="H3901" s="37" t="n">
        <x:f t="shared" si="172">IFERROR(E3901/G3901-1,"")</x:f>
        <x:v>0.07495853671352415</x:v>
      </x:c>
      <x:c r="I3901" s="38" t="b">
        <x:f t="shared" si="173">E3901&lt;G3901</x:f>
        <x:v>0</x:v>
      </x:c>
    </x:row>
    <x:row r="3902">
      <x:c r="A3902" s="31">
        <x:v>42699</x:v>
      </x:c>
      <x:c r="B3902" s="32">
        <x:v>678.47</x:v>
      </x:c>
      <x:c r="C3902" s="32">
        <x:v>678.87</x:v>
      </x:c>
      <x:c r="D3902" s="32">
        <x:v>671.48</x:v>
      </x:c>
      <x:c r="E3902" s="32">
        <x:v>675.87</x:v>
      </x:c>
      <x:c r="F3902" s="33">
        <x:v>108511930</x:v>
      </x:c>
      <x:c r="G3902" s="32" t="n">
        <x:f t="shared" si="171">AVERAGE(E3703:E3902)</x:f>
        <x:v>631.5498499999999</x:v>
      </x:c>
      <x:c r="H3902" s="37" t="n">
        <x:f t="shared" si="172">IFERROR(E3902/G3902-1,"")</x:f>
        <x:v>0.07017680393717152</x:v>
      </x:c>
      <x:c r="I3902" s="38" t="b">
        <x:f t="shared" si="173">E3902&lt;G3902</x:f>
        <x:v>0</x:v>
      </x:c>
    </x:row>
    <x:row r="3903">
      <x:c r="A3903" s="31">
        <x:v>42702</x:v>
      </x:c>
      <x:c r="B3903" s="32">
        <x:v>672.38</x:v>
      </x:c>
      <x:c r="C3903" s="32">
        <x:v>675.87</x:v>
      </x:c>
      <x:c r="D3903" s="32">
        <x:v>660.96</x:v>
      </x:c>
      <x:c r="E3903" s="32">
        <x:v>665.29</x:v>
      </x:c>
      <x:c r="F3903" s="33">
        <x:v>94780750</x:v>
      </x:c>
      <x:c r="G3903" s="32" t="n">
        <x:f t="shared" si="171">AVERAGE(E3704:E3903)</x:f>
        <x:v>632.1360499999998</x:v>
      </x:c>
      <x:c r="H3903" s="37" t="n">
        <x:f t="shared" si="172">IFERROR(E3903/G3903-1,"")</x:f>
        <x:v>0.05244749132722326</x:v>
      </x:c>
      <x:c r="I3903" s="38" t="b">
        <x:f t="shared" si="173">E3903&lt;G3903</x:f>
        <x:v>0</x:v>
      </x:c>
    </x:row>
    <x:row r="3904">
      <x:c r="A3904" s="31">
        <x:v>42703</x:v>
      </x:c>
      <x:c r="B3904" s="32">
        <x:v>665.29</x:v>
      </x:c>
      <x:c r="C3904" s="32">
        <x:v>667.79</x:v>
      </x:c>
      <x:c r="D3904" s="32">
        <x:v>658.26</x:v>
      </x:c>
      <x:c r="E3904" s="32">
        <x:v>658.26</x:v>
      </x:c>
      <x:c r="F3904" s="33">
        <x:v>111429590</x:v>
      </x:c>
      <x:c r="G3904" s="32" t="n">
        <x:f t="shared" si="171">AVERAGE(E3705:E3904)</x:f>
        <x:v>632.6920999999999</x:v>
      </x:c>
      <x:c r="H3904" s="37" t="n">
        <x:f t="shared" si="172">IFERROR(E3904/G3904-1,"")</x:f>
        <x:v>0.040411283782427754</x:v>
      </x:c>
      <x:c r="I3904" s="38" t="b">
        <x:f t="shared" si="173">E3904&lt;G3904</x:f>
        <x:v>0</x:v>
      </x:c>
    </x:row>
    <x:row r="3905">
      <x:c r="A3905" s="31">
        <x:v>42704</x:v>
      </x:c>
      <x:c r="B3905" s="32">
        <x:v>658.44</x:v>
      </x:c>
      <x:c r="C3905" s="32">
        <x:v>665.78</x:v>
      </x:c>
      <x:c r="D3905" s="32">
        <x:v>654.99</x:v>
      </x:c>
      <x:c r="E3905" s="32">
        <x:v>665.07</x:v>
      </x:c>
      <x:c r="F3905" s="33">
        <x:v>115315370</x:v>
      </x:c>
      <x:c r="G3905" s="32" t="n">
        <x:f t="shared" si="171">AVERAGE(E3706:E3905)</x:f>
        <x:v>633.2549999999999</x:v>
      </x:c>
      <x:c r="H3905" s="37" t="n">
        <x:f t="shared" si="172">IFERROR(E3905/G3905-1,"")</x:f>
        <x:v>0.05024042447355348</x:v>
      </x:c>
      <x:c r="I3905" s="38" t="b">
        <x:f t="shared" si="173">E3905&lt;G3905</x:f>
        <x:v>0</x:v>
      </x:c>
    </x:row>
    <x:row r="3906">
      <x:c r="A3906" s="31">
        <x:v>42705</x:v>
      </x:c>
      <x:c r="B3906" s="32">
        <x:v>670.75</x:v>
      </x:c>
      <x:c r="C3906" s="32">
        <x:v>670.81</x:v>
      </x:c>
      <x:c r="D3906" s="32">
        <x:v>665.07</x:v>
      </x:c>
      <x:c r="E3906" s="32">
        <x:v>666.54</x:v>
      </x:c>
      <x:c r="F3906" s="33">
        <x:v>107595380</x:v>
      </x:c>
      <x:c r="G3906" s="32" t="n">
        <x:f t="shared" si="171">AVERAGE(E3707:E3906)</x:f>
        <x:v>633.8175499999999</x:v>
      </x:c>
      <x:c r="H3906" s="37" t="n">
        <x:f t="shared" si="172">IFERROR(E3906/G3906-1,"")</x:f>
        <x:v>0.05162755433326205</x:v>
      </x:c>
      <x:c r="I3906" s="38" t="b">
        <x:f t="shared" si="173">E3906&lt;G3906</x:f>
        <x:v>0</x:v>
      </x:c>
    </x:row>
    <x:row r="3907">
      <x:c r="A3907" s="31">
        <x:v>42706</x:v>
      </x:c>
      <x:c r="B3907" s="32">
        <x:v>667.02</x:v>
      </x:c>
      <x:c r="C3907" s="32">
        <x:v>667.39</x:v>
      </x:c>
      <x:c r="D3907" s="32">
        <x:v>662.09</x:v>
      </x:c>
      <x:c r="E3907" s="32">
        <x:v>665.14</x:v>
      </x:c>
      <x:c r="F3907" s="33">
        <x:v>106687860</x:v>
      </x:c>
      <x:c r="G3907" s="32" t="n">
        <x:f t="shared" si="171">AVERAGE(E3708:E3907)</x:f>
        <x:v>634.3396999999999</x:v>
      </x:c>
      <x:c r="H3907" s="37" t="n">
        <x:f t="shared" si="172">IFERROR(E3907/G3907-1,"")</x:f>
        <x:v>0.048554898897231524</x:v>
      </x:c>
      <x:c r="I3907" s="38" t="b">
        <x:f t="shared" si="173">E3907&lt;G3907</x:f>
        <x:v>0</x:v>
      </x:c>
    </x:row>
    <x:row r="3908">
      <x:c r="A3908" s="31">
        <x:v>42709</x:v>
      </x:c>
      <x:c r="B3908" s="32">
        <x:v>663.06</x:v>
      </x:c>
      <x:c r="C3908" s="32">
        <x:v>665.14</x:v>
      </x:c>
      <x:c r="D3908" s="32">
        <x:v>658.11</x:v>
      </x:c>
      <x:c r="E3908" s="32">
        <x:v>660.21</x:v>
      </x:c>
      <x:c r="F3908" s="33">
        <x:v>87046940</x:v>
      </x:c>
      <x:c r="G3908" s="32" t="n">
        <x:f t="shared" si="171">AVERAGE(E3709:E3908)</x:f>
        <x:v>634.8343499999999</x:v>
      </x:c>
      <x:c r="H3908" s="37" t="n">
        <x:f t="shared" si="172">IFERROR(E3908/G3908-1,"")</x:f>
        <x:v>0.039972080905830376</x:v>
      </x:c>
      <x:c r="I3908" s="38" t="b">
        <x:f t="shared" si="173">E3908&lt;G3908</x:f>
        <x:v>0</x:v>
      </x:c>
    </x:row>
    <x:row r="3909">
      <x:c r="A3909" s="31">
        <x:v>42710</x:v>
      </x:c>
      <x:c r="B3909" s="32">
        <x:v>660.68</x:v>
      </x:c>
      <x:c r="C3909" s="32">
        <x:v>660.77</x:v>
      </x:c>
      <x:c r="D3909" s="32">
        <x:v>648.37</x:v>
      </x:c>
      <x:c r="E3909" s="32">
        <x:v>651.49</x:v>
      </x:c>
      <x:c r="F3909" s="33">
        <x:v>117960660</x:v>
      </x:c>
      <x:c r="G3909" s="32" t="n">
        <x:f t="shared" si="171">AVERAGE(E3710:E3909)</x:f>
        <x:v>635.2515999999999</x:v>
      </x:c>
      <x:c r="H3909" s="37" t="n">
        <x:f t="shared" si="172">IFERROR(E3909/G3909-1,"")</x:f>
        <x:v>0.0255621552153511</x:v>
      </x:c>
      <x:c r="I3909" s="38" t="b">
        <x:f t="shared" si="173">E3909&lt;G3909</x:f>
        <x:v>0</x:v>
      </x:c>
    </x:row>
    <x:row r="3910">
      <x:c r="A3910" s="31">
        <x:v>42711</x:v>
      </x:c>
      <x:c r="B3910" s="32">
        <x:v>648.63</x:v>
      </x:c>
      <x:c r="C3910" s="32">
        <x:v>654.13</x:v>
      </x:c>
      <x:c r="D3910" s="32">
        <x:v>647.33000000000004</x:v>
      </x:c>
      <x:c r="E3910" s="32">
        <x:v>653.53</x:v>
      </x:c>
      <x:c r="F3910" s="33">
        <x:v>103897120</x:v>
      </x:c>
      <x:c r="G3910" s="32" t="n">
        <x:f t="shared" si="171">AVERAGE(E3711:E3910)</x:f>
        <x:v>635.7051499999999</x:v>
      </x:c>
      <x:c r="H3910" s="37" t="n">
        <x:f t="shared" si="172">IFERROR(E3910/G3910-1,"")</x:f>
        <x:v>0.02803949283720608</x:v>
      </x:c>
      <x:c r="I3910" s="38" t="b">
        <x:f t="shared" si="173">E3910&lt;G3910</x:f>
        <x:v>0</x:v>
      </x:c>
    </x:row>
    <x:row r="3911">
      <x:c r="A3911" s="31">
        <x:v>42712</x:v>
      </x:c>
      <x:c r="B3911" s="32">
        <x:v>655.48</x:v>
      </x:c>
      <x:c r="C3911" s="32">
        <x:v>660.72</x:v>
      </x:c>
      <x:c r="D3911" s="32">
        <x:v>653.53</x:v>
      </x:c>
      <x:c r="E3911" s="32">
        <x:v>658.89</x:v>
      </x:c>
      <x:c r="F3911" s="33">
        <x:v>90796840</x:v>
      </x:c>
      <x:c r="G3911" s="32" t="n">
        <x:f t="shared" si="171">AVERAGE(E3712:E3911)</x:f>
        <x:v>636.16905</x:v>
      </x:c>
      <x:c r="H3911" s="37" t="n">
        <x:f t="shared" si="172">IFERROR(E3911/G3911-1,"")</x:f>
        <x:v>0.03571527096453364</x:v>
      </x:c>
      <x:c r="I3911" s="38" t="b">
        <x:f t="shared" si="173">E3911&lt;G3911</x:f>
        <x:v>0</x:v>
      </x:c>
    </x:row>
    <x:row r="3912">
      <x:c r="A3912" s="31">
        <x:v>42713</x:v>
      </x:c>
      <x:c r="B3912" s="32">
        <x:v>659.46</x:v>
      </x:c>
      <x:c r="C3912" s="32">
        <x:v>664.46</x:v>
      </x:c>
      <x:c r="D3912" s="32">
        <x:v>658.89</x:v>
      </x:c>
      <x:c r="E3912" s="32">
        <x:v>663.07</x:v>
      </x:c>
      <x:c r="F3912" s="33">
        <x:v>79953030</x:v>
      </x:c>
      <x:c r="G3912" s="32" t="n">
        <x:f t="shared" si="171">AVERAGE(E3713:E3912)</x:f>
        <x:v>636.68755</x:v>
      </x:c>
      <x:c r="H3912" s="37" t="n">
        <x:f t="shared" si="172">IFERROR(E3912/G3912-1,"")</x:f>
        <x:v>0.04143704396292969</x:v>
      </x:c>
      <x:c r="I3912" s="38" t="b">
        <x:f t="shared" si="173">E3912&lt;G3912</x:f>
        <x:v>0</x:v>
      </x:c>
    </x:row>
    <x:row r="3913">
      <x:c r="A3913" s="31">
        <x:v>42716</x:v>
      </x:c>
      <x:c r="B3913" s="32">
        <x:v>663.7</x:v>
      </x:c>
      <x:c r="C3913" s="32">
        <x:v>664.67</x:v>
      </x:c>
      <x:c r="D3913" s="32">
        <x:v>658.84</x:v>
      </x:c>
      <x:c r="E3913" s="32">
        <x:v>659.7</x:v>
      </x:c>
      <x:c r="F3913" s="33">
        <x:v>94354570</x:v>
      </x:c>
      <x:c r="G3913" s="32" t="n">
        <x:f t="shared" si="171">AVERAGE(E3714:E3913)</x:f>
        <x:v>637.1782499999999</x:v>
      </x:c>
      <x:c r="H3913" s="37" t="n">
        <x:f t="shared" si="172">IFERROR(E3913/G3913-1,"")</x:f>
        <x:v>0.03534607466591977</x:v>
      </x:c>
      <x:c r="I3913" s="38" t="b">
        <x:f t="shared" si="173">E3913&lt;G3913</x:f>
        <x:v>0</x:v>
      </x:c>
    </x:row>
    <x:row r="3914">
      <x:c r="A3914" s="31">
        <x:v>42717</x:v>
      </x:c>
      <x:c r="B3914" s="32">
        <x:v>662.27</x:v>
      </x:c>
      <x:c r="C3914" s="32">
        <x:v>663.54</x:v>
      </x:c>
      <x:c r="D3914" s="32">
        <x:v>654.34</x:v>
      </x:c>
      <x:c r="E3914" s="32">
        <x:v>654.66</x:v>
      </x:c>
      <x:c r="F3914" s="33">
        <x:v>111295850</x:v>
      </x:c>
      <x:c r="G3914" s="32" t="n">
        <x:f t="shared" si="171">AVERAGE(E3715:E3914)</x:f>
        <x:v>637.60065</x:v>
      </x:c>
      <x:c r="H3914" s="37" t="n">
        <x:f t="shared" si="172">IFERROR(E3914/G3914-1,"")</x:f>
        <x:v>0.026755540478197393</x:v>
      </x:c>
      <x:c r="I3914" s="38" t="b">
        <x:f t="shared" si="173">E3914&lt;G3914</x:f>
        <x:v>0</x:v>
      </x:c>
    </x:row>
    <x:row r="3915">
      <x:c r="A3915" s="31">
        <x:v>42718</x:v>
      </x:c>
      <x:c r="B3915" s="32">
        <x:v>657.39</x:v>
      </x:c>
      <x:c r="C3915" s="32">
        <x:v>665.14</x:v>
      </x:c>
      <x:c r="D3915" s="32">
        <x:v>654.66</x:v>
      </x:c>
      <x:c r="E3915" s="32">
        <x:v>665.14</x:v>
      </x:c>
      <x:c r="F3915" s="33">
        <x:v>193827050</x:v>
      </x:c>
      <x:c r="G3915" s="32" t="n">
        <x:f t="shared" si="171">AVERAGE(E3716:E3915)</x:f>
        <x:v>638.0744</x:v>
      </x:c>
      <x:c r="H3915" s="37" t="n">
        <x:f t="shared" si="172">IFERROR(E3915/G3915-1,"")</x:f>
        <x:v>0.042417624026289236</x:v>
      </x:c>
      <x:c r="I3915" s="38" t="b">
        <x:f t="shared" si="173">E3915&lt;G3915</x:f>
        <x:v>0</x:v>
      </x:c>
    </x:row>
    <x:row r="3916">
      <x:c r="A3916" s="31">
        <x:v>42719</x:v>
      </x:c>
      <x:c r="B3916" s="32">
        <x:v>668.07</x:v>
      </x:c>
      <x:c r="C3916" s="32">
        <x:v>668.07</x:v>
      </x:c>
      <x:c r="D3916" s="32">
        <x:v>664.08</x:v>
      </x:c>
      <x:c r="E3916" s="32">
        <x:v>665.92</x:v>
      </x:c>
      <x:c r="F3916" s="33">
        <x:v>107135700</x:v>
      </x:c>
      <x:c r="G3916" s="32" t="n">
        <x:f t="shared" si="171">AVERAGE(E3717:E3916)</x:f>
        <x:v>638.53575</x:v>
      </x:c>
      <x:c r="H3916" s="37" t="n">
        <x:f t="shared" si="172">IFERROR(E3916/G3916-1,"")</x:f>
        <x:v>0.042886009123216606</x:v>
      </x:c>
      <x:c r="I3916" s="38" t="b">
        <x:f t="shared" si="173">E3916&lt;G3916</x:f>
        <x:v>0</x:v>
      </x:c>
    </x:row>
    <x:row r="3917">
      <x:c r="A3917" s="31">
        <x:v>42720</x:v>
      </x:c>
      <x:c r="B3917" s="32">
        <x:v>670.43</x:v>
      </x:c>
      <x:c r="C3917" s="32">
        <x:v>675.19</x:v>
      </x:c>
      <x:c r="D3917" s="32">
        <x:v>665.92</x:v>
      </x:c>
      <x:c r="E3917" s="32">
        <x:v>675.16</x:v>
      </x:c>
      <x:c r="F3917" s="33">
        <x:v>155852900</x:v>
      </x:c>
      <x:c r="G3917" s="32" t="n">
        <x:f t="shared" ref="G3917:G3980" si="174">AVERAGE(E3718:E3917)</x:f>
        <x:v>639.03055</x:v>
      </x:c>
      <x:c r="H3917" s="37" t="n">
        <x:f t="shared" ref="H3917:H3980" si="175">IFERROR(E3917/G3917-1,"")</x:f>
        <x:v>0.05653790730349284</x:v>
      </x:c>
      <x:c r="I3917" s="38" t="b">
        <x:f t="shared" ref="I3917:I3980" si="176">E3917&lt;G3917</x:f>
        <x:v>0</x:v>
      </x:c>
    </x:row>
    <x:row r="3918">
      <x:c r="A3918" s="31">
        <x:v>42723</x:v>
      </x:c>
      <x:c r="B3918" s="32">
        <x:v>673.98</x:v>
      </x:c>
      <x:c r="C3918" s="32">
        <x:v>679.9</x:v>
      </x:c>
      <x:c r="D3918" s="32">
        <x:v>673.88</x:v>
      </x:c>
      <x:c r="E3918" s="32">
        <x:v>674.33</x:v>
      </x:c>
      <x:c r="F3918" s="33">
        <x:v>107085610</x:v>
      </x:c>
      <x:c r="G3918" s="32" t="n">
        <x:f t="shared" si="174">AVERAGE(E3719:E3918)</x:f>
        <x:v>639.52865</x:v>
      </x:c>
      <x:c r="H3918" s="37" t="n">
        <x:f t="shared" si="175">IFERROR(E3918/G3918-1,"")</x:f>
        <x:v>0.05441718678279717</x:v>
      </x:c>
      <x:c r="I3918" s="38" t="b">
        <x:f t="shared" si="176">E3918&lt;G3918</x:f>
        <x:v>0</x:v>
      </x:c>
    </x:row>
    <x:row r="3919">
      <x:c r="A3919" s="31">
        <x:v>42724</x:v>
      </x:c>
      <x:c r="B3919" s="32">
        <x:v>673.93</x:v>
      </x:c>
      <x:c r="C3919" s="32">
        <x:v>674.33</x:v>
      </x:c>
      <x:c r="D3919" s="32">
        <x:v>662.66</x:v>
      </x:c>
      <x:c r="E3919" s="32">
        <x:v>662.66</x:v>
      </x:c>
      <x:c r="F3919" s="33">
        <x:v>92619080</x:v>
      </x:c>
      <x:c r="G3919" s="32" t="n">
        <x:f t="shared" si="174">AVERAGE(E3720:E3919)</x:f>
        <x:v>639.9834</x:v>
      </x:c>
      <x:c r="H3919" s="37" t="n">
        <x:f t="shared" si="175">IFERROR(E3919/G3919-1,"")</x:f>
        <x:v>0.03543310654620102</x:v>
      </x:c>
      <x:c r="I3919" s="38" t="b">
        <x:f t="shared" si="176">E3919&lt;G3919</x:f>
        <x:v>0</x:v>
      </x:c>
    </x:row>
    <x:row r="3920">
      <x:c r="A3920" s="31">
        <x:v>42725</x:v>
      </x:c>
      <x:c r="B3920" s="32">
        <x:v>662.36</x:v>
      </x:c>
      <x:c r="C3920" s="32">
        <x:v>667.06</x:v>
      </x:c>
      <x:c r="D3920" s="32">
        <x:v>657.4</x:v>
      </x:c>
      <x:c r="E3920" s="32">
        <x:v>666.94</x:v>
      </x:c>
      <x:c r="F3920" s="33">
        <x:v>81863850</x:v>
      </x:c>
      <x:c r="G3920" s="32" t="n">
        <x:f t="shared" si="174">AVERAGE(E3721:E3920)</x:f>
        <x:v>640.43855</x:v>
      </x:c>
      <x:c r="H3920" s="37" t="n">
        <x:f t="shared" si="175">IFERROR(E3920/G3920-1,"")</x:f>
        <x:v>0.04138016051657112</x:v>
      </x:c>
      <x:c r="I3920" s="38" t="b">
        <x:f t="shared" si="176">E3920&lt;G3920</x:f>
        <x:v>0</x:v>
      </x:c>
    </x:row>
    <x:row r="3921">
      <x:c r="A3921" s="31">
        <x:v>42726</x:v>
      </x:c>
      <x:c r="B3921" s="32">
        <x:v>669.01</x:v>
      </x:c>
      <x:c r="C3921" s="32">
        <x:v>669.95</x:v>
      </x:c>
      <x:c r="D3921" s="32">
        <x:v>663.7</x:v>
      </x:c>
      <x:c r="E3921" s="32">
        <x:v>664.15</x:v>
      </x:c>
      <x:c r="F3921" s="33">
        <x:v>86318960</x:v>
      </x:c>
      <x:c r="G3921" s="32" t="n">
        <x:f t="shared" si="174">AVERAGE(E3722:E3921)</x:f>
        <x:v>640.8729999999999</x:v>
      </x:c>
      <x:c r="H3921" s="37" t="n">
        <x:f t="shared" si="175">IFERROR(E3921/G3921-1,"")</x:f>
        <x:v>0.036320768701443296</x:v>
      </x:c>
      <x:c r="I3921" s="38" t="b">
        <x:f t="shared" si="176">E3921&lt;G3921</x:f>
        <x:v>0</x:v>
      </x:c>
    </x:row>
    <x:row r="3922">
      <x:c r="A3922" s="31">
        <x:v>42727</x:v>
      </x:c>
      <x:c r="B3922" s="32">
        <x:v>663.75</x:v>
      </x:c>
      <x:c r="C3922" s="32">
        <x:v>664.37</x:v>
      </x:c>
      <x:c r="D3922" s="32">
        <x:v>659.18</x:v>
      </x:c>
      <x:c r="E3922" s="32">
        <x:v>664.37</x:v>
      </x:c>
      <x:c r="F3922" s="33">
        <x:v>72131790</x:v>
      </x:c>
      <x:c r="G3922" s="32" t="n">
        <x:f t="shared" si="174">AVERAGE(E3723:E3922)</x:f>
        <x:v>641.3049499999998</x:v>
      </x:c>
      <x:c r="H3922" s="37" t="n">
        <x:f t="shared" si="175">IFERROR(E3922/G3922-1,"")</x:f>
        <x:v>0.03596580690668327</x:v>
      </x:c>
      <x:c r="I3922" s="38" t="b">
        <x:f t="shared" si="176">E3922&lt;G3922</x:f>
        <x:v>0</x:v>
      </x:c>
    </x:row>
    <x:row r="3923">
      <x:c r="A3923" s="31">
        <x:v>42730</x:v>
      </x:c>
      <x:c r="B3923" s="32">
        <x:v>665.67</x:v>
      </x:c>
      <x:c r="C3923" s="32">
        <x:v>665.73</x:v>
      </x:c>
      <x:c r="D3923" s="32">
        <x:v>662.09</x:v>
      </x:c>
      <x:c r="E3923" s="32">
        <x:v>662.45</x:v>
      </x:c>
      <x:c r="F3923" s="33">
        <x:v>67252060</x:v>
      </x:c>
      <x:c r="G3923" s="32" t="n">
        <x:f t="shared" si="174">AVERAGE(E3724:E3923)</x:f>
        <x:v>641.7469999999998</x:v>
      </x:c>
      <x:c r="H3923" s="37" t="n">
        <x:f t="shared" si="175">IFERROR(E3923/G3923-1,"")</x:f>
        <x:v>0.03226037675283289</x:v>
      </x:c>
      <x:c r="I3923" s="38" t="b">
        <x:f t="shared" si="176">E3923&lt;G3923</x:f>
        <x:v>0</x:v>
      </x:c>
    </x:row>
    <x:row r="3924">
      <x:c r="A3924" s="31">
        <x:v>42731</x:v>
      </x:c>
      <x:c r="B3924" s="32">
        <x:v>662.66</x:v>
      </x:c>
      <x:c r="C3924" s="32">
        <x:v>665.5</x:v>
      </x:c>
      <x:c r="D3924" s="32">
        <x:v>661.41</x:v>
      </x:c>
      <x:c r="E3924" s="32">
        <x:v>663.86</x:v>
      </x:c>
      <x:c r="F3924" s="33">
        <x:v>95593140</x:v>
      </x:c>
      <x:c r="G3924" s="32" t="n">
        <x:f t="shared" si="174">AVERAGE(E3725:E3924)</x:f>
        <x:v>642.1809499999998</x:v>
      </x:c>
      <x:c r="H3924" s="37" t="n">
        <x:f t="shared" si="175">IFERROR(E3924/G3924-1,"")</x:f>
        <x:v>0.03375847570688628</x:v>
      </x:c>
      <x:c r="I3924" s="38" t="b">
        <x:f t="shared" si="176">E3924&lt;G3924</x:f>
        <x:v>0</x:v>
      </x:c>
    </x:row>
    <x:row r="3925">
      <x:c r="A3925" s="31">
        <x:v>42732</x:v>
      </x:c>
      <x:c r="B3925" s="32">
        <x:v>665.9</x:v>
      </x:c>
      <x:c r="C3925" s="32">
        <x:v>666.64</x:v>
      </x:c>
      <x:c r="D3925" s="32">
        <x:v>661.8</x:v>
      </x:c>
      <x:c r="E3925" s="32">
        <x:v>663.5</x:v>
      </x:c>
      <x:c r="F3925" s="33">
        <x:v>101515350</x:v>
      </x:c>
      <x:c r="G3925" s="32" t="n">
        <x:f t="shared" si="174">AVERAGE(E3726:E3925)</x:f>
        <x:v>642.6021499999999</x:v>
      </x:c>
      <x:c r="H3925" s="37" t="n">
        <x:f t="shared" si="175">IFERROR(E3925/G3925-1,"")</x:f>
        <x:v>0.03252066616957339</x:v>
      </x:c>
      <x:c r="I3925" s="38" t="b">
        <x:f t="shared" si="176">E3925&lt;G3925</x:f>
        <x:v>0</x:v>
      </x:c>
    </x:row>
    <x:row r="3926">
      <x:c r="A3926" s="31">
        <x:v>42733</x:v>
      </x:c>
      <x:c r="B3926" s="32">
        <x:v>666.43</x:v>
      </x:c>
      <x:c r="C3926" s="32">
        <x:v>666.43</x:v>
      </x:c>
      <x:c r="D3926" s="32">
        <x:v>663.5</x:v>
      </x:c>
      <x:c r="E3926" s="32">
        <x:v>664.72</x:v>
      </x:c>
      <x:c r="F3926" s="33">
        <x:v>99258510</x:v>
      </x:c>
      <x:c r="G3926" s="32" t="n">
        <x:f t="shared" si="174">AVERAGE(E3727:E3926)</x:f>
        <x:v>643.0466499999999</x:v>
      </x:c>
      <x:c r="H3926" s="37" t="n">
        <x:f t="shared" si="175">IFERROR(E3926/G3926-1,"")</x:f>
        <x:v>0.03370416438682966</x:v>
      </x:c>
      <x:c r="I3926" s="38" t="b">
        <x:f t="shared" si="176">E3926&lt;G3926</x:f>
        <x:v>0</x:v>
      </x:c>
    </x:row>
    <x:row r="3927">
      <x:c r="A3927" s="31">
        <x:v>42734</x:v>
      </x:c>
      <x:c r="B3927" s="32">
        <x:v>664.17</x:v>
      </x:c>
      <x:c r="C3927" s="32">
        <x:v>665.49</x:v>
      </x:c>
      <x:c r="D3927" s="32">
        <x:v>663.39</x:v>
      </x:c>
      <x:c r="E3927" s="32">
        <x:v>664.87</x:v>
      </x:c>
      <x:c r="F3927" s="33">
        <x:v>90082950</x:v>
      </x:c>
      <x:c r="G3927" s="32" t="n">
        <x:f t="shared" si="174">AVERAGE(E3728:E3927)</x:f>
        <x:v>643.5096499999999</x:v>
      </x:c>
      <x:c r="H3927" s="37" t="n">
        <x:f t="shared" si="175">IFERROR(E3927/G3927-1,"")</x:f>
        <x:v>0.03319351932018444</x:v>
      </x:c>
      <x:c r="I3927" s="38" t="b">
        <x:f t="shared" si="176">E3927&lt;G3927</x:f>
        <x:v>0</x:v>
      </x:c>
    </x:row>
    <x:row r="3928">
      <x:c r="A3928" s="31">
        <x:v>42738</x:v>
      </x:c>
      <x:c r="B3928" s="32">
        <x:v>665.92</x:v>
      </x:c>
      <x:c r="C3928" s="32">
        <x:v>672.34</x:v>
      </x:c>
      <x:c r="D3928" s="32">
        <x:v>664.87</x:v>
      </x:c>
      <x:c r="E3928" s="32">
        <x:v>672.01</x:v>
      </x:c>
      <x:c r="F3928" s="33">
        <x:v>79722650</x:v>
      </x:c>
      <x:c r="G3928" s="32" t="n">
        <x:f t="shared" si="174">AVERAGE(E3729:E3928)</x:f>
        <x:v>644.0151499999998</x:v>
      </x:c>
      <x:c r="H3928" s="37" t="n">
        <x:f t="shared" si="175">IFERROR(E3928/G3928-1,"")</x:f>
        <x:v>0.04346924136800223</x:v>
      </x:c>
      <x:c r="I3928" s="38" t="b">
        <x:f t="shared" si="176">E3928&lt;G3928</x:f>
        <x:v>0</x:v>
      </x:c>
    </x:row>
    <x:row r="3929">
      <x:c r="A3929" s="31">
        <x:v>42739</x:v>
      </x:c>
      <x:c r="B3929" s="32">
        <x:v>672.58</x:v>
      </x:c>
      <x:c r="C3929" s="32">
        <x:v>675.93</x:v>
      </x:c>
      <x:c r="D3929" s="32">
        <x:v>672.01</x:v>
      </x:c>
      <x:c r="E3929" s="32">
        <x:v>674.7</x:v>
      </x:c>
      <x:c r="F3929" s="33">
        <x:v>92285170</x:v>
      </x:c>
      <x:c r="G3929" s="32" t="n">
        <x:f t="shared" si="174">AVERAGE(E3730:E3929)</x:f>
        <x:v>644.5150999999998</x:v>
      </x:c>
      <x:c r="H3929" s="37" t="n">
        <x:f t="shared" si="175">IFERROR(E3929/G3929-1,"")</x:f>
        <x:v>0.04683350320264057</x:v>
      </x:c>
      <x:c r="I3929" s="38" t="b">
        <x:f t="shared" si="176">E3929&lt;G3929</x:f>
        <x:v>0</x:v>
      </x:c>
    </x:row>
    <x:row r="3930">
      <x:c r="A3930" s="31">
        <x:v>42740</x:v>
      </x:c>
      <x:c r="B3930" s="32">
        <x:v>674.82</x:v>
      </x:c>
      <x:c r="C3930" s="32">
        <x:v>675.92</x:v>
      </x:c>
      <x:c r="D3930" s="32">
        <x:v>673.31</x:v>
      </x:c>
      <x:c r="E3930" s="32">
        <x:v>675.81</x:v>
      </x:c>
      <x:c r="F3930" s="33">
        <x:v>92735720</x:v>
      </x:c>
      <x:c r="G3930" s="32" t="n">
        <x:f t="shared" si="174">AVERAGE(E3731:E3930)</x:f>
        <x:v>645.0408499999999</x:v>
      </x:c>
      <x:c r="H3930" s="37" t="n">
        <x:f t="shared" si="175">IFERROR(E3930/G3930-1,"")</x:f>
        <x:v>0.04770108745825952</x:v>
      </x:c>
      <x:c r="I3930" s="38" t="b">
        <x:f t="shared" si="176">E3930&lt;G3930</x:f>
        <x:v>0</x:v>
      </x:c>
    </x:row>
    <x:row r="3931">
      <x:c r="A3931" s="31">
        <x:v>42741</x:v>
      </x:c>
      <x:c r="B3931" s="32">
        <x:v>675.35</x:v>
      </x:c>
      <x:c r="C3931" s="32">
        <x:v>683.76</x:v>
      </x:c>
      <x:c r="D3931" s="32">
        <x:v>675.22</x:v>
      </x:c>
      <x:c r="E3931" s="32">
        <x:v>679.8</x:v>
      </x:c>
      <x:c r="F3931" s="33">
        <x:v>111701460</x:v>
      </x:c>
      <x:c r="G3931" s="32" t="n">
        <x:f t="shared" si="174">AVERAGE(E3732:E3931)</x:f>
        <x:v>645.57945</x:v>
      </x:c>
      <x:c r="H3931" s="37" t="n">
        <x:f t="shared" si="175">IFERROR(E3931/G3931-1,"")</x:f>
        <x:v>0.05300749582410025</x:v>
      </x:c>
      <x:c r="I3931" s="38" t="b">
        <x:f t="shared" si="176">E3931&lt;G3931</x:f>
        <x:v>0</x:v>
      </x:c>
    </x:row>
    <x:row r="3932">
      <x:c r="A3932" s="31">
        <x:v>42744</x:v>
      </x:c>
      <x:c r="B3932" s="32">
        <x:v>681.74</x:v>
      </x:c>
      <x:c r="C3932" s="32">
        <x:v>684.88</x:v>
      </x:c>
      <x:c r="D3932" s="32">
        <x:v>679.8</x:v>
      </x:c>
      <x:c r="E3932" s="32">
        <x:v>682.57</x:v>
      </x:c>
      <x:c r="F3932" s="33">
        <x:v>88221600</x:v>
      </x:c>
      <x:c r="G3932" s="32" t="n">
        <x:f t="shared" si="174">AVERAGE(E3733:E3932)</x:f>
        <x:v>646.1137</x:v>
      </x:c>
      <x:c r="H3932" s="37" t="n">
        <x:f t="shared" si="175">IFERROR(E3932/G3932-1,"")</x:f>
        <x:v>0.0564239699607052</x:v>
      </x:c>
      <x:c r="I3932" s="38" t="b">
        <x:f t="shared" si="176">E3932&lt;G3932</x:f>
        <x:v>0</x:v>
      </x:c>
    </x:row>
    <x:row r="3933">
      <x:c r="A3933" s="31">
        <x:v>42745</x:v>
      </x:c>
      <x:c r="B3933" s="32">
        <x:v>682.77</x:v>
      </x:c>
      <x:c r="C3933" s="32">
        <x:v>683.02</x:v>
      </x:c>
      <x:c r="D3933" s="32">
        <x:v>680.76</x:v>
      </x:c>
      <x:c r="E3933" s="32">
        <x:v>681.07</x:v>
      </x:c>
      <x:c r="F3933" s="33">
        <x:v>78938330</x:v>
      </x:c>
      <x:c r="G3933" s="32" t="n">
        <x:f t="shared" si="174">AVERAGE(E3734:E3933)</x:f>
        <x:v>646.67765</x:v>
      </x:c>
      <x:c r="H3933" s="37" t="n">
        <x:f t="shared" si="175">IFERROR(E3933/G3933-1,"")</x:f>
        <x:v>0.05318314310073968</x:v>
      </x:c>
      <x:c r="I3933" s="38" t="b">
        <x:f t="shared" si="176">E3933&lt;G3933</x:f>
        <x:v>0</x:v>
      </x:c>
    </x:row>
    <x:row r="3934">
      <x:c r="A3934" s="31">
        <x:v>42746</x:v>
      </x:c>
      <x:c r="B3934" s="32">
        <x:v>680.85</x:v>
      </x:c>
      <x:c r="C3934" s="32">
        <x:v>687.16</x:v>
      </x:c>
      <x:c r="D3934" s="32">
        <x:v>680.85</x:v>
      </x:c>
      <x:c r="E3934" s="32">
        <x:v>687.16</x:v>
      </x:c>
      <x:c r="F3934" s="33">
        <x:v>96461920</x:v>
      </x:c>
      <x:c r="G3934" s="32" t="n">
        <x:f t="shared" si="174">AVERAGE(E3735:E3934)</x:f>
        <x:v>647.2639</x:v>
      </x:c>
      <x:c r="H3934" s="37" t="n">
        <x:f t="shared" si="175">IFERROR(E3934/G3934-1,"")</x:f>
        <x:v>0.061638073743955024</x:v>
      </x:c>
      <x:c r="I3934" s="38" t="b">
        <x:f t="shared" si="176">E3934&lt;G3934</x:f>
        <x:v>0</x:v>
      </x:c>
    </x:row>
    <x:row r="3935">
      <x:c r="A3935" s="31">
        <x:v>42747</x:v>
      </x:c>
      <x:c r="B3935" s="32">
        <x:v>688.71</x:v>
      </x:c>
      <x:c r="C3935" s="32">
        <x:v>688.99</x:v>
      </x:c>
      <x:c r="D3935" s="32">
        <x:v>685.59</x:v>
      </x:c>
      <x:c r="E3935" s="32">
        <x:v>686.96</x:v>
      </x:c>
      <x:c r="F3935" s="33">
        <x:v>102618890</x:v>
      </x:c>
      <x:c r="G3935" s="32" t="n">
        <x:f t="shared" si="174">AVERAGE(E3736:E3935)</x:f>
        <x:v>647.8926</x:v>
      </x:c>
      <x:c r="H3935" s="37" t="n">
        <x:f t="shared" si="175">IFERROR(E3935/G3935-1,"")</x:f>
        <x:v>0.06029919156354002</x:v>
      </x:c>
      <x:c r="I3935" s="38" t="b">
        <x:f t="shared" si="176">E3935&lt;G3935</x:f>
        <x:v>0</x:v>
      </x:c>
    </x:row>
    <x:row r="3936">
      <x:c r="A3936" s="31">
        <x:v>42748</x:v>
      </x:c>
      <x:c r="B3936" s="32">
        <x:v>686.58</x:v>
      </x:c>
      <x:c r="C3936" s="32">
        <x:v>688.62</x:v>
      </x:c>
      <x:c r="D3936" s="32">
        <x:v>685.06</x:v>
      </x:c>
      <x:c r="E3936" s="32">
        <x:v>685.06</x:v>
      </x:c>
      <x:c r="F3936" s="33">
        <x:v>82155530</x:v>
      </x:c>
      <x:c r="G3936" s="32" t="n">
        <x:f t="shared" si="174">AVERAGE(E3737:E3936)</x:f>
        <x:v>648.52575</x:v>
      </x:c>
      <x:c r="H3936" s="37" t="n">
        <x:f t="shared" si="175">IFERROR(E3936/G3936-1,"")</x:f>
        <x:v>0.05633430900777636</x:v>
      </x:c>
      <x:c r="I3936" s="38" t="b">
        <x:f t="shared" si="176">E3936&lt;G3936</x:f>
        <x:v>0</x:v>
      </x:c>
    </x:row>
    <x:row r="3937">
      <x:c r="A3937" s="31">
        <x:v>42751</x:v>
      </x:c>
      <x:c r="B3937" s="32">
        <x:v>684.62</x:v>
      </x:c>
      <x:c r="C3937" s="32">
        <x:v>685.06</x:v>
      </x:c>
      <x:c r="D3937" s="32">
        <x:v>677.85</x:v>
      </x:c>
      <x:c r="E3937" s="32">
        <x:v>677.94</x:v>
      </x:c>
      <x:c r="F3937" s="33">
        <x:v>76123340</x:v>
      </x:c>
      <x:c r="G3937" s="32" t="n">
        <x:f t="shared" si="174">AVERAGE(E3738:E3937)</x:f>
        <x:v>649.13635</x:v>
      </x:c>
      <x:c r="H3937" s="37" t="n">
        <x:f t="shared" si="175">IFERROR(E3937/G3937-1,"")</x:f>
        <x:v>0.04437226477919487</x:v>
      </x:c>
      <x:c r="I3937" s="38" t="b">
        <x:f t="shared" si="176">E3937&lt;G3937</x:f>
        <x:v>0</x:v>
      </x:c>
    </x:row>
    <x:row r="3938">
      <x:c r="A3938" s="31">
        <x:v>42752</x:v>
      </x:c>
      <x:c r="B3938" s="32">
        <x:v>678.83</x:v>
      </x:c>
      <x:c r="C3938" s="32">
        <x:v>684.73</x:v>
      </x:c>
      <x:c r="D3938" s="32">
        <x:v>677.94</x:v>
      </x:c>
      <x:c r="E3938" s="32">
        <x:v>684.71</x:v>
      </x:c>
      <x:c r="F3938" s="33">
        <x:v>94123250</x:v>
      </x:c>
      <x:c r="G3938" s="32" t="n">
        <x:f t="shared" si="174">AVERAGE(E3739:E3938)</x:f>
        <x:v>649.7583</x:v>
      </x:c>
      <x:c r="H3938" s="37" t="n">
        <x:f t="shared" si="175">IFERROR(E3938/G3938-1,"")</x:f>
        <x:v>0.053791848445799095</x:v>
      </x:c>
      <x:c r="I3938" s="38" t="b">
        <x:f t="shared" si="176">E3938&lt;G3938</x:f>
        <x:v>0</x:v>
      </x:c>
    </x:row>
    <x:row r="3939">
      <x:c r="A3939" s="31">
        <x:v>42753</x:v>
      </x:c>
      <x:c r="B3939" s="32">
        <x:v>683.74</x:v>
      </x:c>
      <x:c r="C3939" s="32">
        <x:v>688.07</x:v>
      </x:c>
      <x:c r="D3939" s="32">
        <x:v>683.28</x:v>
      </x:c>
      <x:c r="E3939" s="32">
        <x:v>683.28</x:v>
      </x:c>
      <x:c r="F3939" s="33">
        <x:v>84747660</x:v>
      </x:c>
      <x:c r="G3939" s="32" t="n">
        <x:f t="shared" si="174">AVERAGE(E3740:E3939)</x:f>
        <x:v>650.3357500000001</x:v>
      </x:c>
      <x:c r="H3939" s="37" t="n">
        <x:f t="shared" si="175">IFERROR(E3939/G3939-1,"")</x:f>
        <x:v>0.050657295097186195</x:v>
      </x:c>
      <x:c r="I3939" s="38" t="b">
        <x:f t="shared" si="176">E3939&lt;G3939</x:f>
        <x:v>0</x:v>
      </x:c>
    </x:row>
    <x:row r="3940">
      <x:c r="A3940" s="31">
        <x:v>42754</x:v>
      </x:c>
      <x:c r="B3940" s="32">
        <x:v>683.02</x:v>
      </x:c>
      <x:c r="C3940" s="32">
        <x:v>684.19</x:v>
      </x:c>
      <x:c r="D3940" s="32">
        <x:v>680.8</x:v>
      </x:c>
      <x:c r="E3940" s="32">
        <x:v>682.31</x:v>
      </x:c>
      <x:c r="F3940" s="33">
        <x:v>69116870</x:v>
      </x:c>
      <x:c r="G3940" s="32" t="n">
        <x:f t="shared" si="174">AVERAGE(E3741:E3940)</x:f>
        <x:v>650.8893</x:v>
      </x:c>
      <x:c r="H3940" s="37" t="n">
        <x:f t="shared" si="175">IFERROR(E3940/G3940-1,"")</x:f>
        <x:v>0.048273492896564685</x:v>
      </x:c>
      <x:c r="I3940" s="38" t="b">
        <x:f t="shared" si="176">E3940&lt;G3940</x:f>
        <x:v>0</x:v>
      </x:c>
    </x:row>
    <x:row r="3941">
      <x:c r="A3941" s="31">
        <x:v>42755</x:v>
      </x:c>
      <x:c r="B3941" s="32">
        <x:v>684.05</x:v>
      </x:c>
      <x:c r="C3941" s="32">
        <x:v>688.42</x:v>
      </x:c>
      <x:c r="D3941" s="32">
        <x:v>682.31</x:v>
      </x:c>
      <x:c r="E3941" s="32">
        <x:v>686.26</x:v>
      </x:c>
      <x:c r="F3941" s="33">
        <x:v>80002540</x:v>
      </x:c>
      <x:c r="G3941" s="32" t="n">
        <x:f t="shared" si="174">AVERAGE(E3742:E3941)</x:f>
        <x:v>651.4589000000001</x:v>
      </x:c>
      <x:c r="H3941" s="37" t="n">
        <x:f t="shared" si="175">IFERROR(E3941/G3941-1,"")</x:f>
        <x:v>0.05342025414036078</x:v>
      </x:c>
      <x:c r="I3941" s="38" t="b">
        <x:f t="shared" si="176">E3941&lt;G3941</x:f>
        <x:v>0</x:v>
      </x:c>
    </x:row>
    <x:row r="3942">
      <x:c r="A3942" s="31">
        <x:v>42758</x:v>
      </x:c>
      <x:c r="B3942" s="32">
        <x:v>687.83</x:v>
      </x:c>
      <x:c r="C3942" s="32">
        <x:v>689.47</x:v>
      </x:c>
      <x:c r="D3942" s="32">
        <x:v>686.26</x:v>
      </x:c>
      <x:c r="E3942" s="32">
        <x:v>687.15</x:v>
      </x:c>
      <x:c r="F3942" s="33">
        <x:v>75819770</x:v>
      </x:c>
      <x:c r="G3942" s="32" t="n">
        <x:f t="shared" si="174">AVERAGE(E3743:E3942)</x:f>
        <x:v>651.9983</x:v>
      </x:c>
      <x:c r="H3942" s="37" t="n">
        <x:f t="shared" si="175">IFERROR(E3942/G3942-1,"")</x:f>
        <x:v>0.0539137908795162</x:v>
      </x:c>
      <x:c r="I3942" s="38" t="b">
        <x:f t="shared" si="176">E3942&lt;G3942</x:f>
        <x:v>0</x:v>
      </x:c>
    </x:row>
    <x:row r="3943">
      <x:c r="A3943" s="31">
        <x:v>42759</x:v>
      </x:c>
      <x:c r="B3943" s="32">
        <x:v>687.08</x:v>
      </x:c>
      <x:c r="C3943" s="32">
        <x:v>692.75</x:v>
      </x:c>
      <x:c r="D3943" s="32">
        <x:v>687.08</x:v>
      </x:c>
      <x:c r="E3943" s="32">
        <x:v>691.36</x:v>
      </x:c>
      <x:c r="F3943" s="33">
        <x:v>92470490</x:v>
      </x:c>
      <x:c r="G3943" s="32" t="n">
        <x:f t="shared" si="174">AVERAGE(E3744:E3943)</x:f>
        <x:v>652.5559</x:v>
      </x:c>
      <x:c r="H3943" s="37" t="n">
        <x:f t="shared" si="175">IFERROR(E3943/G3943-1,"")</x:f>
        <x:v>0.05946479067923538</x:v>
      </x:c>
      <x:c r="I3943" s="38" t="b">
        <x:f t="shared" si="176">E3943&lt;G3943</x:f>
        <x:v>0</x:v>
      </x:c>
    </x:row>
    <x:row r="3944">
      <x:c r="A3944" s="31">
        <x:v>42760</x:v>
      </x:c>
      <x:c r="B3944" s="32">
        <x:v>693.07</x:v>
      </x:c>
      <x:c r="C3944" s="32">
        <x:v>697.28</x:v>
      </x:c>
      <x:c r="D3944" s="32">
        <x:v>691.19</x:v>
      </x:c>
      <x:c r="E3944" s="32">
        <x:v>697.28</x:v>
      </x:c>
      <x:c r="F3944" s="33">
        <x:v>89267610</x:v>
      </x:c>
      <x:c r="G3944" s="32" t="n">
        <x:f t="shared" si="174">AVERAGE(E3745:E3944)</x:f>
        <x:v>653.1522</x:v>
      </x:c>
      <x:c r="H3944" s="37" t="n">
        <x:f t="shared" si="175">IFERROR(E3944/G3944-1,"")</x:f>
        <x:v>0.06756128204115353</x:v>
      </x:c>
      <x:c r="I3944" s="38" t="b">
        <x:f t="shared" si="176">E3944&lt;G3944</x:f>
        <x:v>0</x:v>
      </x:c>
    </x:row>
    <x:row r="3945">
      <x:c r="A3945" s="31">
        <x:v>42768</x:v>
      </x:c>
      <x:c r="B3945" s="32">
        <x:v>699.8</x:v>
      </x:c>
      <x:c r="C3945" s="32">
        <x:v>703.2</x:v>
      </x:c>
      <x:c r="D3945" s="32">
        <x:v>697.28</x:v>
      </x:c>
      <x:c r="E3945" s="32">
        <x:v>703.18</x:v>
      </x:c>
      <x:c r="F3945" s="33">
        <x:v>82117060</x:v>
      </x:c>
      <x:c r="G3945" s="32" t="n">
        <x:f t="shared" si="174">AVERAGE(E3746:E3945)</x:f>
        <x:v>653.7706499999999</x:v>
      </x:c>
      <x:c r="H3945" s="37" t="n">
        <x:f t="shared" si="175">IFERROR(E3945/G3945-1,"")</x:f>
        <x:v>0.07557596842256542</x:v>
      </x:c>
      <x:c r="I3945" s="38" t="b">
        <x:f t="shared" si="176">E3945&lt;G3945</x:f>
        <x:v>0</x:v>
      </x:c>
    </x:row>
    <x:row r="3946">
      <x:c r="A3946" s="31">
        <x:v>42769</x:v>
      </x:c>
      <x:c r="B3946" s="32">
        <x:v>704.69</x:v>
      </x:c>
      <x:c r="C3946" s="32">
        <x:v>708.1</x:v>
      </x:c>
      <x:c r="D3946" s="32">
        <x:v>700.09</x:v>
      </x:c>
      <x:c r="E3946" s="32">
        <x:v>700.35</x:v>
      </x:c>
      <x:c r="F3946" s="33">
        <x:v>119246940</x:v>
      </x:c>
      <x:c r="G3946" s="32" t="n">
        <x:f t="shared" si="174">AVERAGE(E3747:E3946)</x:f>
        <x:v>654.3731</x:v>
      </x:c>
      <x:c r="H3946" s="37" t="n">
        <x:f t="shared" si="175">IFERROR(E3946/G3946-1,"")</x:f>
        <x:v>0.07026098719522555</x:v>
      </x:c>
      <x:c r="I3946" s="38" t="b">
        <x:f t="shared" si="176">E3946&lt;G3946</x:f>
        <x:v>0</x:v>
      </x:c>
    </x:row>
    <x:row r="3947">
      <x:c r="A3947" s="31">
        <x:v>42772</x:v>
      </x:c>
      <x:c r="B3947" s="32">
        <x:v>702.02</x:v>
      </x:c>
      <x:c r="C3947" s="32">
        <x:v>702.02</x:v>
      </x:c>
      <x:c r="D3947" s="32">
        <x:v>696.92</x:v>
      </x:c>
      <x:c r="E3947" s="32">
        <x:v>700.04</x:v>
      </x:c>
      <x:c r="F3947" s="33">
        <x:v>115790760</x:v>
      </x:c>
      <x:c r="G3947" s="32" t="n">
        <x:f t="shared" si="174">AVERAGE(E3748:E3947)</x:f>
        <x:v>655.0319</x:v>
      </x:c>
      <x:c r="H3947" s="37" t="n">
        <x:f t="shared" si="175">IFERROR(E3947/G3947-1,"")</x:f>
        <x:v>0.068711310090394</x:v>
      </x:c>
      <x:c r="I3947" s="38" t="b">
        <x:f t="shared" si="176">E3947&lt;G3947</x:f>
        <x:v>0</x:v>
      </x:c>
    </x:row>
    <x:row r="3948">
      <x:c r="A3948" s="31">
        <x:v>42773</x:v>
      </x:c>
      <x:c r="B3948" s="32">
        <x:v>699.99</x:v>
      </x:c>
      <x:c r="C3948" s="32">
        <x:v>703.3</x:v>
      </x:c>
      <x:c r="D3948" s="32">
        <x:v>698.99</x:v>
      </x:c>
      <x:c r="E3948" s="32">
        <x:v>701.91</x:v>
      </x:c>
      <x:c r="F3948" s="33">
        <x:v>151064680</x:v>
      </x:c>
      <x:c r="G3948" s="32" t="n">
        <x:f t="shared" si="174">AVERAGE(E3749:E3948)</x:f>
        <x:v>655.7013</x:v>
      </x:c>
      <x:c r="H3948" s="37" t="n">
        <x:f t="shared" si="175">IFERROR(E3948/G3948-1,"")</x:f>
        <x:v>0.07047217993924981</x:v>
      </x:c>
      <x:c r="I3948" s="38" t="b">
        <x:f t="shared" si="176">E3948&lt;G3948</x:f>
        <x:v>0</x:v>
      </x:c>
    </x:row>
    <x:row r="3949">
      <x:c r="A3949" s="31">
        <x:v>42774</x:v>
      </x:c>
      <x:c r="B3949" s="32">
        <x:v>702.67</x:v>
      </x:c>
      <x:c r="C3949" s="32">
        <x:v>702.77</x:v>
      </x:c>
      <x:c r="D3949" s="32">
        <x:v>700.47</x:v>
      </x:c>
      <x:c r="E3949" s="32">
        <x:v>702.04</x:v>
      </x:c>
      <x:c r="F3949" s="33">
        <x:v>131301380</x:v>
      </x:c>
      <x:c r="G3949" s="32" t="n">
        <x:f t="shared" si="174">AVERAGE(E3750:E3949)</x:f>
        <x:v>656.33285</x:v>
      </x:c>
      <x:c r="H3949" s="37" t="n">
        <x:f t="shared" si="175">IFERROR(E3949/G3949-1,"")</x:f>
        <x:v>0.06964019856693127</x:v>
      </x:c>
      <x:c r="I3949" s="38" t="b">
        <x:f t="shared" si="176">E3949&lt;G3949</x:f>
        <x:v>0</x:v>
      </x:c>
    </x:row>
    <x:row r="3950">
      <x:c r="A3950" s="31">
        <x:v>42775</x:v>
      </x:c>
      <x:c r="B3950" s="32">
        <x:v>700.93</x:v>
      </x:c>
      <x:c r="C3950" s="32">
        <x:v>702.64</x:v>
      </x:c>
      <x:c r="D3950" s="32">
        <x:v>700.21</x:v>
      </x:c>
      <x:c r="E3950" s="32">
        <x:v>700.65</x:v>
      </x:c>
      <x:c r="F3950" s="33">
        <x:v>138329170</x:v>
      </x:c>
      <x:c r="G3950" s="32" t="n">
        <x:f t="shared" si="174">AVERAGE(E3751:E3950)</x:f>
        <x:v>656.8737</x:v>
      </x:c>
      <x:c r="H3950" s="37" t="n">
        <x:f t="shared" si="175">IFERROR(E3950/G3950-1,"")</x:f>
        <x:v>0.06664340496506416</x:v>
      </x:c>
      <x:c r="I3950" s="38" t="b">
        <x:f t="shared" si="176">E3950&lt;G3950</x:f>
        <x:v>0</x:v>
      </x:c>
    </x:row>
    <x:row r="3951">
      <x:c r="A3951" s="31">
        <x:v>42776</x:v>
      </x:c>
      <x:c r="B3951" s="32">
        <x:v>701.15</x:v>
      </x:c>
      <x:c r="C3951" s="32">
        <x:v>704.08</x:v>
      </x:c>
      <x:c r="D3951" s="32">
        <x:v>700.65</x:v>
      </x:c>
      <x:c r="E3951" s="32">
        <x:v>703.78</x:v>
      </x:c>
      <x:c r="F3951" s="33">
        <x:v>129049870</x:v>
      </x:c>
      <x:c r="G3951" s="32" t="n">
        <x:f t="shared" si="174">AVERAGE(E3752:E3951)</x:f>
        <x:v>657.4347</x:v>
      </x:c>
      <x:c r="H3951" s="37" t="n">
        <x:f t="shared" si="175">IFERROR(E3951/G3951-1,"")</x:f>
        <x:v>0.07049414945697263</x:v>
      </x:c>
      <x:c r="I3951" s="38" t="b">
        <x:f t="shared" si="176">E3951&lt;G3951</x:f>
        <x:v>0</x:v>
      </x:c>
    </x:row>
    <x:row r="3952">
      <x:c r="A3952" s="31">
        <x:v>42779</x:v>
      </x:c>
      <x:c r="B3952" s="32">
        <x:v>704.61</x:v>
      </x:c>
      <x:c r="C3952" s="32">
        <x:v>706.47</x:v>
      </x:c>
      <x:c r="D3952" s="32">
        <x:v>703.58</x:v>
      </x:c>
      <x:c r="E3952" s="32">
        <x:v>705.9</x:v>
      </x:c>
      <x:c r="F3952" s="33">
        <x:v>158112440</x:v>
      </x:c>
      <x:c r="G3952" s="32" t="n">
        <x:f t="shared" si="174">AVERAGE(E3753:E3952)</x:f>
        <x:v>657.9717999999999</x:v>
      </x:c>
      <x:c r="H3952" s="37" t="n">
        <x:f t="shared" si="175">IFERROR(E3952/G3952-1,"")</x:f>
        <x:v>0.07284233154065278</x:v>
      </x:c>
      <x:c r="I3952" s="38" t="b">
        <x:f t="shared" si="176">E3952&lt;G3952</x:f>
        <x:v>0</x:v>
      </x:c>
    </x:row>
    <x:row r="3953">
      <x:c r="A3953" s="31">
        <x:v>42780</x:v>
      </x:c>
      <x:c r="B3953" s="32">
        <x:v>706.41</x:v>
      </x:c>
      <x:c r="C3953" s="32">
        <x:v>707.32</x:v>
      </x:c>
      <x:c r="D3953" s="32">
        <x:v>703.85</x:v>
      </x:c>
      <x:c r="E3953" s="32">
        <x:v>706.26</x:v>
      </x:c>
      <x:c r="F3953" s="33">
        <x:v>169469810</x:v>
      </x:c>
      <x:c r="G3953" s="32" t="n">
        <x:f t="shared" si="174">AVERAGE(E3754:E3953)</x:f>
        <x:v>658.5332999999998</x:v>
      </x:c>
      <x:c r="H3953" s="37" t="n">
        <x:f t="shared" si="175">IFERROR(E3953/G3953-1,"")</x:f>
        <x:v>0.07247423934370545</x:v>
      </x:c>
      <x:c r="I3953" s="38" t="b">
        <x:f t="shared" si="176">E3953&lt;G3953</x:f>
        <x:v>0</x:v>
      </x:c>
    </x:row>
    <x:row r="3954">
      <x:c r="A3954" s="31">
        <x:v>42781</x:v>
      </x:c>
      <x:c r="B3954" s="32">
        <x:v>706.84</x:v>
      </x:c>
      <x:c r="C3954" s="32">
        <x:v>711.73</x:v>
      </x:c>
      <x:c r="D3954" s="32">
        <x:v>706.26</x:v>
      </x:c>
      <x:c r="E3954" s="32">
        <x:v>711.57</x:v>
      </x:c>
      <x:c r="F3954" s="33">
        <x:v>152178230</x:v>
      </x:c>
      <x:c r="G3954" s="32" t="n">
        <x:f t="shared" si="174">AVERAGE(E3755:E3954)</x:f>
        <x:v>659.1327999999999</x:v>
      </x:c>
      <x:c r="H3954" s="37" t="n">
        <x:f t="shared" si="175">IFERROR(E3954/G3954-1,"")</x:f>
        <x:v>0.07955483325970159</x:v>
      </x:c>
      <x:c r="I3954" s="38" t="b">
        <x:f t="shared" si="176">E3954&lt;G3954</x:f>
        <x:v>0</x:v>
      </x:c>
    </x:row>
    <x:row r="3955">
      <x:c r="A3955" s="31">
        <x:v>42782</x:v>
      </x:c>
      <x:c r="B3955" s="32">
        <x:v>712.61</x:v>
      </x:c>
      <x:c r="C3955" s="32">
        <x:v>717.57</x:v>
      </x:c>
      <x:c r="D3955" s="32">
        <x:v>709.35</x:v>
      </x:c>
      <x:c r="E3955" s="32">
        <x:v>709.35</x:v>
      </x:c>
      <x:c r="F3955" s="33">
        <x:v>189608500</x:v>
      </x:c>
      <x:c r="G3955" s="32" t="n">
        <x:f t="shared" si="174">AVERAGE(E3756:E3955)</x:f>
        <x:v>659.6877</x:v>
      </x:c>
      <x:c r="H3955" s="37" t="n">
        <x:f t="shared" si="175">IFERROR(E3955/G3955-1,"")</x:f>
        <x:v>0.07528153094259604</x:v>
      </x:c>
      <x:c r="I3955" s="38" t="b">
        <x:f t="shared" si="176">E3955&lt;G3955</x:f>
        <x:v>0</x:v>
      </x:c>
    </x:row>
    <x:row r="3956">
      <x:c r="A3956" s="31">
        <x:v>42783</x:v>
      </x:c>
      <x:c r="B3956" s="32">
        <x:v>709.52</x:v>
      </x:c>
      <x:c r="C3956" s="32">
        <x:v>710.21</x:v>
      </x:c>
      <x:c r="D3956" s="32">
        <x:v>705.84</x:v>
      </x:c>
      <x:c r="E3956" s="32">
        <x:v>707.83</x:v>
      </x:c>
      <x:c r="F3956" s="33">
        <x:v>158563960</x:v>
      </x:c>
      <x:c r="G3956" s="32" t="n">
        <x:f t="shared" si="174">AVERAGE(E3757:E3956)</x:f>
        <x:v>660.2314999999998</x:v>
      </x:c>
      <x:c r="H3956" s="37" t="n">
        <x:f t="shared" si="175">IFERROR(E3956/G3956-1,"")</x:f>
        <x:v>0.07209365199933715</x:v>
      </x:c>
      <x:c r="I3956" s="38" t="b">
        <x:f t="shared" si="176">E3956&lt;G3956</x:f>
        <x:v>0</x:v>
      </x:c>
    </x:row>
    <x:row r="3957">
      <x:c r="A3957" s="31">
        <x:v>42786</x:v>
      </x:c>
      <x:c r="B3957" s="32">
        <x:v>705.72</x:v>
      </x:c>
      <x:c r="C3957" s="32">
        <x:v>711.4</x:v>
      </x:c>
      <x:c r="D3957" s="32">
        <x:v>704.41</x:v>
      </x:c>
      <x:c r="E3957" s="32">
        <x:v>710.59</x:v>
      </x:c>
      <x:c r="F3957" s="33">
        <x:v>186577070</x:v>
      </x:c>
      <x:c r="G3957" s="32" t="n">
        <x:f t="shared" si="174">AVERAGE(E3758:E3957)</x:f>
        <x:v>660.7768999999998</x:v>
      </x:c>
      <x:c r="H3957" s="37" t="n">
        <x:f t="shared" si="175">IFERROR(E3957/G3957-1,"")</x:f>
        <x:v>0.07538565588476254</x:v>
      </x:c>
      <x:c r="I3957" s="38" t="b">
        <x:f t="shared" si="176">E3957&lt;G3957</x:f>
        <x:v>0</x:v>
      </x:c>
    </x:row>
    <x:row r="3958">
      <x:c r="A3958" s="31">
        <x:v>42787</x:v>
      </x:c>
      <x:c r="B3958" s="32">
        <x:v>711.49</x:v>
      </x:c>
      <x:c r="C3958" s="32">
        <x:v>718.06</x:v>
      </x:c>
      <x:c r="D3958" s="32">
        <x:v>710.59</x:v>
      </x:c>
      <x:c r="E3958" s="32">
        <x:v>716.55</x:v>
      </x:c>
      <x:c r="F3958" s="33">
        <x:v>198966880</x:v>
      </x:c>
      <x:c r="G3958" s="32" t="n">
        <x:f t="shared" si="174">AVERAGE(E3759:E3958)</x:f>
        <x:v>661.3270499999999</x:v>
      </x:c>
      <x:c r="H3958" s="37" t="n">
        <x:f t="shared" si="175">IFERROR(E3958/G3958-1,"")</x:f>
        <x:v>0.0835032379213887</x:v>
      </x:c>
      <x:c r="I3958" s="38" t="b">
        <x:f t="shared" si="176">E3958&lt;G3958</x:f>
        <x:v>0</x:v>
      </x:c>
    </x:row>
    <x:row r="3959">
      <x:c r="A3959" s="31">
        <x:v>42788</x:v>
      </x:c>
      <x:c r="B3959" s="32">
        <x:v>717.77</x:v>
      </x:c>
      <x:c r="C3959" s="32">
        <x:v>719.09</x:v>
      </x:c>
      <x:c r="D3959" s="32">
        <x:v>715.36</x:v>
      </x:c>
      <x:c r="E3959" s="32">
        <x:v>717.24</x:v>
      </x:c>
      <x:c r="F3959" s="33">
        <x:v>213358850</x:v>
      </x:c>
      <x:c r="G3959" s="32" t="n">
        <x:f t="shared" si="174">AVERAGE(E3760:E3959)</x:f>
        <x:v>661.8939999999998</x:v>
      </x:c>
      <x:c r="H3959" s="37" t="n">
        <x:f t="shared" si="175">IFERROR(E3959/G3959-1,"")</x:f>
        <x:v>0.0836176185310642</x:v>
      </x:c>
      <x:c r="I3959" s="38" t="b">
        <x:f t="shared" si="176">E3959&lt;G3959</x:f>
        <x:v>0</x:v>
      </x:c>
    </x:row>
    <x:row r="3960">
      <x:c r="A3960" s="31">
        <x:v>42789</x:v>
      </x:c>
      <x:c r="B3960" s="32">
        <x:v>717.49</x:v>
      </x:c>
      <x:c r="C3960" s="32">
        <x:v>719.58</x:v>
      </x:c>
      <x:c r="D3960" s="32">
        <x:v>712.36</x:v>
      </x:c>
      <x:c r="E3960" s="32">
        <x:v>716.87</x:v>
      </x:c>
      <x:c r="F3960" s="33">
        <x:v>211235150</x:v>
      </x:c>
      <x:c r="G3960" s="32" t="n">
        <x:f t="shared" si="174">AVERAGE(E3761:E3960)</x:f>
        <x:v>662.4530999999998</x:v>
      </x:c>
      <x:c r="H3960" s="37" t="n">
        <x:f t="shared" si="175">IFERROR(E3960/G3960-1,"")</x:f>
        <x:v>0.08214453219405304</x:v>
      </x:c>
      <x:c r="I3960" s="38" t="b">
        <x:f t="shared" si="176">E3960&lt;G3960</x:f>
        <x:v>0</x:v>
      </x:c>
    </x:row>
    <x:row r="3961">
      <x:c r="A3961" s="31">
        <x:v>42790</x:v>
      </x:c>
      <x:c r="B3961" s="32">
        <x:v>716.35</x:v>
      </x:c>
      <x:c r="C3961" s="32">
        <x:v>717.94</x:v>
      </x:c>
      <x:c r="D3961" s="32">
        <x:v>713.7</x:v>
      </x:c>
      <x:c r="E3961" s="32">
        <x:v>714.47</x:v>
      </x:c>
      <x:c r="F3961" s="33">
        <x:v>231146780</x:v>
      </x:c>
      <x:c r="G3961" s="32" t="n">
        <x:f t="shared" si="174">AVERAGE(E3762:E3961)</x:f>
        <x:v>662.9551499999999</x:v>
      </x:c>
      <x:c r="H3961" s="37" t="n">
        <x:f t="shared" si="175">IFERROR(E3961/G3961-1,"")</x:f>
        <x:v>0.07770487943264359</x:v>
      </x:c>
      <x:c r="I3961" s="38" t="b">
        <x:f t="shared" si="176">E3961&lt;G3961</x:f>
        <x:v>0</x:v>
      </x:c>
    </x:row>
    <x:row r="3962">
      <x:c r="A3962" s="31">
        <x:v>42793</x:v>
      </x:c>
      <x:c r="B3962" s="32">
        <x:v>711.7</x:v>
      </x:c>
      <x:c r="C3962" s="32">
        <x:v>718.37</x:v>
      </x:c>
      <x:c r="D3962" s="32">
        <x:v>711.7</x:v>
      </x:c>
      <x:c r="E3962" s="32">
        <x:v>717.44</x:v>
      </x:c>
      <x:c r="F3962" s="33">
        <x:v>176837600</x:v>
      </x:c>
      <x:c r="G3962" s="32" t="n">
        <x:f t="shared" si="174">AVERAGE(E3763:E3962)</x:f>
        <x:v>663.48175</x:v>
      </x:c>
      <x:c r="H3962" s="37" t="n">
        <x:f t="shared" si="175">IFERROR(E3962/G3962-1,"")</x:f>
        <x:v>0.08132589931825551</x:v>
      </x:c>
      <x:c r="I3962" s="38" t="b">
        <x:f t="shared" si="176">E3962&lt;G3962</x:f>
        <x:v>0</x:v>
      </x:c>
    </x:row>
    <x:row r="3963">
      <x:c r="A3963" s="31">
        <x:v>42794</x:v>
      </x:c>
      <x:c r="B3963" s="32">
        <x:v>718.24</x:v>
      </x:c>
      <x:c r="C3963" s="32">
        <x:v>719.14</x:v>
      </x:c>
      <x:c r="D3963" s="32">
        <x:v>710.79</x:v>
      </x:c>
      <x:c r="E3963" s="32">
        <x:v>710.79</x:v>
      </x:c>
      <x:c r="F3963" s="33">
        <x:v>183667860</x:v>
      </x:c>
      <x:c r="G3963" s="32" t="n">
        <x:f t="shared" si="174">AVERAGE(E3764:E3963)</x:f>
        <x:v>663.9815999999998</x:v>
      </x:c>
      <x:c r="H3963" s="37" t="n">
        <x:f t="shared" si="175">IFERROR(E3963/G3963-1,"")</x:f>
        <x:v>0.07049653183160509</x:v>
      </x:c>
      <x:c r="I3963" s="38" t="b">
        <x:f t="shared" si="176">E3963&lt;G3963</x:f>
        <x:v>0</x:v>
      </x:c>
    </x:row>
    <x:row r="3964">
      <x:c r="A3964" s="31">
        <x:v>42795</x:v>
      </x:c>
      <x:c r="B3964" s="32">
        <x:v>710.7</x:v>
      </x:c>
      <x:c r="C3964" s="32">
        <x:v>712.49</x:v>
      </x:c>
      <x:c r="D3964" s="32">
        <x:v>705.79</x:v>
      </x:c>
      <x:c r="E3964" s="32">
        <x:v>709.52</x:v>
      </x:c>
      <x:c r="F3964" s="33">
        <x:v>211022340</x:v>
      </x:c>
      <x:c r="G3964" s="32" t="n">
        <x:f t="shared" si="174">AVERAGE(E3765:E3964)</x:f>
        <x:v>664.4502999999999</x:v>
      </x:c>
      <x:c r="H3964" s="37" t="n">
        <x:f t="shared" si="175">IFERROR(E3964/G3964-1,"")</x:f>
        <x:v>0.06783005440738021</x:v>
      </x:c>
      <x:c r="I3964" s="38" t="b">
        <x:f t="shared" si="176">E3964&lt;G3964</x:f>
        <x:v>0</x:v>
      </x:c>
    </x:row>
    <x:row r="3965">
      <x:c r="A3965" s="31">
        <x:v>42796</x:v>
      </x:c>
      <x:c r="B3965" s="32">
        <x:v>712.68</x:v>
      </x:c>
      <x:c r="C3965" s="32">
        <x:v>713.53</x:v>
      </x:c>
      <x:c r="D3965" s="32">
        <x:v>707.51</x:v>
      </x:c>
      <x:c r="E3965" s="32">
        <x:v>707.51</x:v>
      </x:c>
      <x:c r="F3965" s="33">
        <x:v>164954330</x:v>
      </x:c>
      <x:c r="G3965" s="32" t="n">
        <x:f t="shared" si="174">AVERAGE(E3766:E3965)</x:f>
        <x:v>664.8640999999999</x:v>
      </x:c>
      <x:c r="H3965" s="37" t="n">
        <x:f t="shared" si="175">IFERROR(E3965/G3965-1,"")</x:f>
        <x:v>0.06414228110677067</x:v>
      </x:c>
      <x:c r="I3965" s="38" t="b">
        <x:f t="shared" si="176">E3965&lt;G3965</x:f>
        <x:v>0</x:v>
      </x:c>
    </x:row>
    <x:row r="3966">
      <x:c r="A3966" s="31">
        <x:v>42797</x:v>
      </x:c>
      <x:c r="B3966" s="32">
        <x:v>708.23</x:v>
      </x:c>
      <x:c r="C3966" s="32">
        <x:v>712.62</x:v>
      </x:c>
      <x:c r="D3966" s="32">
        <x:v>705.83</x:v>
      </x:c>
      <x:c r="E3966" s="32">
        <x:v>712.62</x:v>
      </x:c>
      <x:c r="F3966" s="33">
        <x:v>163479620</x:v>
      </x:c>
      <x:c r="G3966" s="32" t="n">
        <x:f t="shared" si="174">AVERAGE(E3767:E3966)</x:f>
        <x:v>665.31495</x:v>
      </x:c>
      <x:c r="H3966" s="37" t="n">
        <x:f t="shared" si="175">IFERROR(E3966/G3966-1,"")</x:f>
        <x:v>0.07110173910867346</x:v>
      </x:c>
      <x:c r="I3966" s="38" t="b">
        <x:f t="shared" si="176">E3966&lt;G3966</x:f>
        <x:v>0</x:v>
      </x:c>
    </x:row>
    <x:row r="3967">
      <x:c r="A3967" s="31">
        <x:v>42800</x:v>
      </x:c>
      <x:c r="B3967" s="32">
        <x:v>714.61</x:v>
      </x:c>
      <x:c r="C3967" s="32">
        <x:v>718.04</x:v>
      </x:c>
      <x:c r="D3967" s="32">
        <x:v>712.62</x:v>
      </x:c>
      <x:c r="E3967" s="32">
        <x:v>716.29</x:v>
      </x:c>
      <x:c r="F3967" s="33">
        <x:v>156471030</x:v>
      </x:c>
      <x:c r="G3967" s="32" t="n">
        <x:f t="shared" si="174">AVERAGE(E3768:E3967)</x:f>
        <x:v>665.8004</x:v>
      </x:c>
      <x:c r="H3967" s="37" t="n">
        <x:f t="shared" si="175">IFERROR(E3967/G3967-1,"")</x:f>
        <x:v>0.07583293731875207</x:v>
      </x:c>
      <x:c r="I3967" s="38" t="b">
        <x:f t="shared" si="176">E3967&lt;G3967</x:f>
        <x:v>0</x:v>
      </x:c>
    </x:row>
    <x:row r="3968">
      <x:c r="A3968" s="31">
        <x:v>42801</x:v>
      </x:c>
      <x:c r="B3968" s="32">
        <x:v>716.46</x:v>
      </x:c>
      <x:c r="C3968" s="32">
        <x:v>716.95</x:v>
      </x:c>
      <x:c r="D3968" s="32">
        <x:v>714.27</x:v>
      </x:c>
      <x:c r="E3968" s="32">
        <x:v>716.54</x:v>
      </x:c>
      <x:c r="F3968" s="33">
        <x:v>176411640</x:v>
      </x:c>
      <x:c r="G3968" s="32" t="n">
        <x:f t="shared" si="174">AVERAGE(E3769:E3968)</x:f>
        <x:v>666.30905</x:v>
      </x:c>
      <x:c r="H3968" s="37" t="n">
        <x:f t="shared" si="175">IFERROR(E3968/G3968-1,"")</x:f>
        <x:v>0.07538686439873521</x:v>
      </x:c>
      <x:c r="I3968" s="38" t="b">
        <x:f t="shared" si="176">E3968&lt;G3968</x:f>
        <x:v>0</x:v>
      </x:c>
    </x:row>
    <x:row r="3969">
      <x:c r="A3969" s="31">
        <x:v>42802</x:v>
      </x:c>
      <x:c r="B3969" s="32">
        <x:v>715.04</x:v>
      </x:c>
      <x:c r="C3969" s="32">
        <x:v>718.78</x:v>
      </x:c>
      <x:c r="D3969" s="32">
        <x:v>713.89</x:v>
      </x:c>
      <x:c r="E3969" s="32">
        <x:v>716.6</x:v>
      </x:c>
      <x:c r="F3969" s="33">
        <x:v>162940400</x:v>
      </x:c>
      <x:c r="G3969" s="32" t="n">
        <x:f t="shared" si="174">AVERAGE(E3770:E3969)</x:f>
        <x:v>666.8369</x:v>
      </x:c>
      <x:c r="H3969" s="37" t="n">
        <x:f t="shared" si="175">IFERROR(E3969/G3969-1,"")</x:f>
        <x:v>0.07462559435448157</x:v>
      </x:c>
      <x:c r="I3969" s="38" t="b">
        <x:f t="shared" si="176">E3969&lt;G3969</x:f>
        <x:v>0</x:v>
      </x:c>
    </x:row>
    <x:row r="3970">
      <x:c r="A3970" s="31">
        <x:v>42803</x:v>
      </x:c>
      <x:c r="B3970" s="32">
        <x:v>715.86</x:v>
      </x:c>
      <x:c r="C3970" s="32">
        <x:v>718.23</x:v>
      </x:c>
      <x:c r="D3970" s="32">
        <x:v>714.96</x:v>
      </x:c>
      <x:c r="E3970" s="32">
        <x:v>715.8</x:v>
      </x:c>
      <x:c r="F3970" s="33">
        <x:v>185884380</x:v>
      </x:c>
      <x:c r="G3970" s="32" t="n">
        <x:f t="shared" si="174">AVERAGE(E3771:E3970)</x:f>
        <x:v>667.3577999999999</x:v>
      </x:c>
      <x:c r="H3970" s="37" t="n">
        <x:f t="shared" si="175">IFERROR(E3970/G3970-1,"")</x:f>
        <x:v>0.07258804797066887</x:v>
      </x:c>
      <x:c r="I3970" s="38" t="b">
        <x:f t="shared" si="176">E3970&lt;G3970</x:f>
        <x:v>0</x:v>
      </x:c>
    </x:row>
    <x:row r="3971">
      <x:c r="A3971" s="31">
        <x:v>42804</x:v>
      </x:c>
      <x:c r="B3971" s="32">
        <x:v>715.85</x:v>
      </x:c>
      <x:c r="C3971" s="32">
        <x:v>716.81</x:v>
      </x:c>
      <x:c r="D3971" s="32">
        <x:v>712.21</x:v>
      </x:c>
      <x:c r="E3971" s="32">
        <x:v>712.21</x:v>
      </x:c>
      <x:c r="F3971" s="33">
        <x:v>185800020</x:v>
      </x:c>
      <x:c r="G3971" s="32" t="n">
        <x:f t="shared" si="174">AVERAGE(E3772:E3971)</x:f>
        <x:v>667.8593999999997</x:v>
      </x:c>
      <x:c r="H3971" s="37" t="n">
        <x:f t="shared" si="175">IFERROR(E3971/G3971-1,"")</x:f>
        <x:v>0.06640709107336118</x:v>
      </x:c>
      <x:c r="I3971" s="38" t="b">
        <x:f t="shared" si="176">E3971&lt;G3971</x:f>
        <x:v>0</x:v>
      </x:c>
    </x:row>
    <x:row r="3972">
      <x:c r="A3972" s="31">
        <x:v>42807</x:v>
      </x:c>
      <x:c r="B3972" s="32">
        <x:v>711.93</x:v>
      </x:c>
      <x:c r="C3972" s="32">
        <x:v>712.63</x:v>
      </x:c>
      <x:c r="D3972" s="32">
        <x:v>707.63</x:v>
      </x:c>
      <x:c r="E3972" s="32">
        <x:v>710.17</x:v>
      </x:c>
      <x:c r="F3972" s="33">
        <x:v>128790790</x:v>
      </x:c>
      <x:c r="G3972" s="32" t="n">
        <x:f t="shared" si="174">AVERAGE(E3773:E3972)</x:f>
        <x:v>668.3885499999998</x:v>
      </x:c>
      <x:c r="H3972" s="37" t="n">
        <x:f t="shared" si="175">IFERROR(E3972/G3972-1,"")</x:f>
        <x:v>0.06251072074768516</x:v>
      </x:c>
      <x:c r="I3972" s="38" t="b">
        <x:f t="shared" si="176">E3972&lt;G3972</x:f>
        <x:v>0</x:v>
      </x:c>
    </x:row>
    <x:row r="3973">
      <x:c r="A3973" s="31">
        <x:v>42808</x:v>
      </x:c>
      <x:c r="B3973" s="32">
        <x:v>709.9</x:v>
      </x:c>
      <x:c r="C3973" s="32">
        <x:v>716.49</x:v>
      </x:c>
      <x:c r="D3973" s="32">
        <x:v>709.29</x:v>
      </x:c>
      <x:c r="E3973" s="32">
        <x:v>714.71</x:v>
      </x:c>
      <x:c r="F3973" s="33">
        <x:v>125968160</x:v>
      </x:c>
      <x:c r="G3973" s="32" t="n">
        <x:f t="shared" si="174">AVERAGE(E3774:E3973)</x:f>
        <x:v>668.9215499999998</x:v>
      </x:c>
      <x:c r="H3973" s="37" t="n">
        <x:f t="shared" si="175">IFERROR(E3973/G3973-1,"")</x:f>
        <x:v>0.06845115096082677</x:v>
      </x:c>
      <x:c r="I3973" s="38" t="b">
        <x:f t="shared" si="176">E3973&lt;G3973</x:f>
        <x:v>0</x:v>
      </x:c>
    </x:row>
    <x:row r="3974">
      <x:c r="A3974" s="31">
        <x:v>42809</x:v>
      </x:c>
      <x:c r="B3974" s="32">
        <x:v>715.63</x:v>
      </x:c>
      <x:c r="C3974" s="32">
        <x:v>716.49</x:v>
      </x:c>
      <x:c r="D3974" s="32">
        <x:v>713.14</x:v>
      </x:c>
      <x:c r="E3974" s="32">
        <x:v>713.14</x:v>
      </x:c>
      <x:c r="F3974" s="33">
        <x:v>129782600</x:v>
      </x:c>
      <x:c r="G3974" s="32" t="n">
        <x:f t="shared" si="174">AVERAGE(E3775:E3974)</x:f>
        <x:v>669.4147499999999</x:v>
      </x:c>
      <x:c r="H3974" s="37" t="n">
        <x:f t="shared" si="175">IFERROR(E3974/G3974-1,"")</x:f>
        <x:v>0.065318623469232</x:v>
      </x:c>
      <x:c r="I3974" s="38" t="b">
        <x:f t="shared" si="176">E3974&lt;G3974</x:f>
        <x:v>0</x:v>
      </x:c>
    </x:row>
    <x:row r="3975">
      <x:c r="A3975" s="31">
        <x:v>42810</x:v>
      </x:c>
      <x:c r="B3975" s="32">
        <x:v>712.56</x:v>
      </x:c>
      <x:c r="C3975" s="32">
        <x:v>715.03</x:v>
      </x:c>
      <x:c r="D3975" s="32">
        <x:v>710.66</x:v>
      </x:c>
      <x:c r="E3975" s="32">
        <x:v>714.92</x:v>
      </x:c>
      <x:c r="F3975" s="33">
        <x:v>162314460</x:v>
      </x:c>
      <x:c r="G3975" s="32" t="n">
        <x:f t="shared" si="174">AVERAGE(E3776:E3975)</x:f>
        <x:v>669.89715</x:v>
      </x:c>
      <x:c r="H3975" s="37" t="n">
        <x:f t="shared" si="175">IFERROR(E3975/G3975-1,"")</x:f>
        <x:v>0.06720860060383882</x:v>
      </x:c>
      <x:c r="I3975" s="38" t="b">
        <x:f t="shared" si="176">E3975&lt;G3975</x:f>
        <x:v>0</x:v>
      </x:c>
    </x:row>
    <x:row r="3976">
      <x:c r="A3976" s="31">
        <x:v>42811</x:v>
      </x:c>
      <x:c r="B3976" s="32">
        <x:v>715.82</x:v>
      </x:c>
      <x:c r="C3976" s="32">
        <x:v>717.1</x:v>
      </x:c>
      <x:c r="D3976" s="32">
        <x:v>710.54</x:v>
      </x:c>
      <x:c r="E3976" s="32">
        <x:v>710.54</x:v>
      </x:c>
      <x:c r="F3976" s="33">
        <x:v>235368860</x:v>
      </x:c>
      <x:c r="G3976" s="32" t="n">
        <x:f t="shared" si="174">AVERAGE(E3777:E3976)</x:f>
        <x:v>670.3505500000001</x:v>
      </x:c>
      <x:c r="H3976" s="37" t="n">
        <x:f t="shared" si="175">IFERROR(E3976/G3976-1,"")</x:f>
        <x:v>0.0599528858445777</x:v>
      </x:c>
      <x:c r="I3976" s="38" t="b">
        <x:f t="shared" si="176">E3976&lt;G3976</x:f>
        <x:v>0</x:v>
      </x:c>
    </x:row>
    <x:row r="3977">
      <x:c r="A3977" s="31">
        <x:v>42814</x:v>
      </x:c>
      <x:c r="B3977" s="32">
        <x:v>711.44</x:v>
      </x:c>
      <x:c r="C3977" s="32">
        <x:v>717.54</x:v>
      </x:c>
      <x:c r="D3977" s="32">
        <x:v>710.54</x:v>
      </x:c>
      <x:c r="E3977" s="32">
        <x:v>715.07</x:v>
      </x:c>
      <x:c r="F3977" s="33">
        <x:v>158390700</x:v>
      </x:c>
      <x:c r="G3977" s="32" t="n">
        <x:f t="shared" si="174">AVERAGE(E3778:E3977)</x:f>
        <x:v>670.8090500000002</x:v>
      </x:c>
      <x:c r="H3977" s="37" t="n">
        <x:f t="shared" si="175">IFERROR(E3977/G3977-1,"")</x:f>
        <x:v>0.06598144434694175</x:v>
      </x:c>
      <x:c r="I3977" s="38" t="b">
        <x:f t="shared" si="176">E3977&lt;G3977</x:f>
        <x:v>0</x:v>
      </x:c>
    </x:row>
    <x:row r="3978">
      <x:c r="A3978" s="31">
        <x:v>42815</x:v>
      </x:c>
      <x:c r="B3978" s="32">
        <x:v>717.03</x:v>
      </x:c>
      <x:c r="C3978" s="32">
        <x:v>718.8</x:v>
      </x:c>
      <x:c r="D3978" s="32">
        <x:v>714.78</x:v>
      </x:c>
      <x:c r="E3978" s="32">
        <x:v>716.18</x:v>
      </x:c>
      <x:c r="F3978" s="33">
        <x:v>201545030</x:v>
      </x:c>
      <x:c r="G3978" s="32" t="n">
        <x:f t="shared" si="174">AVERAGE(E3779:E3978)</x:f>
        <x:v>671.2805500000001</x:v>
      </x:c>
      <x:c r="H3978" s="37" t="n">
        <x:f t="shared" si="175">IFERROR(E3978/G3978-1,"")</x:f>
        <x:v>0.06688626685221233</x:v>
      </x:c>
      <x:c r="I3978" s="38" t="b">
        <x:f t="shared" si="176">E3978&lt;G3978</x:f>
        <x:v>0</x:v>
      </x:c>
    </x:row>
    <x:row r="3979">
      <x:c r="A3979" s="31">
        <x:v>42816</x:v>
      </x:c>
      <x:c r="B3979" s="32">
        <x:v>715.78</x:v>
      </x:c>
      <x:c r="C3979" s="32">
        <x:v>720.68</x:v>
      </x:c>
      <x:c r="D3979" s="32">
        <x:v>712.94</x:v>
      </x:c>
      <x:c r="E3979" s="32">
        <x:v>712.94</x:v>
      </x:c>
      <x:c r="F3979" s="33">
        <x:v>254610300</x:v>
      </x:c>
      <x:c r="G3979" s="32" t="n">
        <x:f t="shared" si="174">AVERAGE(E3780:E3979)</x:f>
        <x:v>671.745</x:v>
      </x:c>
      <x:c r="H3979" s="37" t="n">
        <x:f t="shared" si="175">IFERROR(E3979/G3979-1,"")</x:f>
        <x:v>0.06132535411502893</x:v>
      </x:c>
      <x:c r="I3979" s="38" t="b">
        <x:f t="shared" si="176">E3979&lt;G3979</x:f>
        <x:v>0</x:v>
      </x:c>
    </x:row>
    <x:row r="3980">
      <x:c r="A3980" s="31">
        <x:v>42817</x:v>
      </x:c>
      <x:c r="B3980" s="32">
        <x:v>712.61</x:v>
      </x:c>
      <x:c r="C3980" s="32">
        <x:v>719.56</x:v>
      </x:c>
      <x:c r="D3980" s="32">
        <x:v>712.61</x:v>
      </x:c>
      <x:c r="E3980" s="32">
        <x:v>719.56</x:v>
      </x:c>
      <x:c r="F3980" s="33">
        <x:v>176869560</x:v>
      </x:c>
      <x:c r="G3980" s="32" t="n">
        <x:f t="shared" si="174">AVERAGE(E3781:E3980)</x:f>
        <x:v>672.2195499999999</x:v>
      </x:c>
      <x:c r="H3980" s="37" t="n">
        <x:f t="shared" si="175">IFERROR(E3980/G3980-1,"")</x:f>
        <x:v>0.07042408986766313</x:v>
      </x:c>
      <x:c r="I3980" s="38" t="b">
        <x:f t="shared" si="176">E3980&lt;G3980</x:f>
        <x:v>0</x:v>
      </x:c>
    </x:row>
    <x:row r="3981">
      <x:c r="A3981" s="31">
        <x:v>42818</x:v>
      </x:c>
      <x:c r="B3981" s="32">
        <x:v>719.56</x:v>
      </x:c>
      <x:c r="C3981" s="32">
        <x:v>724.36</x:v>
      </x:c>
      <x:c r="D3981" s="32">
        <x:v>719.56</x:v>
      </x:c>
      <x:c r="E3981" s="32">
        <x:v>722.14</x:v>
      </x:c>
      <x:c r="F3981" s="33">
        <x:v>200241730</x:v>
      </x:c>
      <x:c r="G3981" s="32" t="n">
        <x:f t="shared" ref="G3981:G4044" si="177">AVERAGE(E3782:E3981)</x:f>
        <x:v>672.6908999999999</x:v>
      </x:c>
      <x:c r="H3981" s="37" t="n">
        <x:f t="shared" ref="H3981:H4044" si="178">IFERROR(E3981/G3981-1,"")</x:f>
        <x:v>0.0735093933930131</x:v>
      </x:c>
      <x:c r="I3981" s="38" t="b">
        <x:f t="shared" ref="I3981:I4044" si="179">E3981&lt;G3981</x:f>
        <x:v>0</x:v>
      </x:c>
    </x:row>
    <x:row r="3982">
      <x:c r="A3982" s="31">
        <x:v>42821</x:v>
      </x:c>
      <x:c r="B3982" s="32">
        <x:v>723.23</x:v>
      </x:c>
      <x:c r="C3982" s="32">
        <x:v>725.57</x:v>
      </x:c>
      <x:c r="D3982" s="32">
        <x:v>721.41</x:v>
      </x:c>
      <x:c r="E3982" s="32">
        <x:v>723.52</x:v>
      </x:c>
      <x:c r="F3982" s="33">
        <x:v>207369580</x:v>
      </x:c>
      <x:c r="G3982" s="32" t="n">
        <x:f t="shared" si="177">AVERAGE(E3783:E3982)</x:f>
        <x:v>673.1522</x:v>
      </x:c>
      <x:c r="H3982" s="37" t="n">
        <x:f t="shared" si="178">IFERROR(E3982/G3982-1,"")</x:f>
        <x:v>0.07482379170713549</x:v>
      </x:c>
      <x:c r="I3982" s="38" t="b">
        <x:f t="shared" si="179">E3982&lt;G3982</x:f>
        <x:v>0</x:v>
      </x:c>
    </x:row>
    <x:row r="3983">
      <x:c r="A3983" s="31">
        <x:v>42822</x:v>
      </x:c>
      <x:c r="B3983" s="32">
        <x:v>724.37</x:v>
      </x:c>
      <x:c r="C3983" s="32">
        <x:v>725</x:v>
      </x:c>
      <x:c r="D3983" s="32">
        <x:v>718.66</x:v>
      </x:c>
      <x:c r="E3983" s="32">
        <x:v>719.26</x:v>
      </x:c>
      <x:c r="F3983" s="33">
        <x:v>186623970</x:v>
      </x:c>
      <x:c r="G3983" s="32" t="n">
        <x:f t="shared" si="177">AVERAGE(E3784:E3983)</x:f>
        <x:v>673.5993</x:v>
      </x:c>
      <x:c r="H3983" s="37" t="n">
        <x:f t="shared" si="178">IFERROR(E3983/G3983-1,"")</x:f>
        <x:v>0.06778614526469973</x:v>
      </x:c>
      <x:c r="I3983" s="38" t="b">
        <x:f t="shared" si="179">E3983&lt;G3983</x:f>
        <x:v>0</x:v>
      </x:c>
    </x:row>
    <x:row r="3984">
      <x:c r="A3984" s="31">
        <x:v>42823</x:v>
      </x:c>
      <x:c r="B3984" s="32">
        <x:v>719.08</x:v>
      </x:c>
      <x:c r="C3984" s="32">
        <x:v>721.92</x:v>
      </x:c>
      <x:c r="D3984" s="32">
        <x:v>718.37</x:v>
      </x:c>
      <x:c r="E3984" s="32">
        <x:v>720.47</x:v>
      </x:c>
      <x:c r="F3984" s="33">
        <x:v>172783250</x:v>
      </x:c>
      <x:c r="G3984" s="32" t="n">
        <x:f t="shared" si="177">AVERAGE(E3785:E3984)</x:f>
        <x:v>674.0837499999999</x:v>
      </x:c>
      <x:c r="H3984" s="37" t="n">
        <x:f t="shared" si="178">IFERROR(E3984/G3984-1,"")</x:f>
        <x:v>0.06881377870331407</x:v>
      </x:c>
      <x:c r="I3984" s="38" t="b">
        <x:f t="shared" si="179">E3984&lt;G3984</x:f>
        <x:v>0</x:v>
      </x:c>
    </x:row>
    <x:row r="3985">
      <x:c r="A3985" s="31">
        <x:v>42824</x:v>
      </x:c>
      <x:c r="B3985" s="32">
        <x:v>721.87</x:v>
      </x:c>
      <x:c r="C3985" s="32">
        <x:v>725.91</x:v>
      </x:c>
      <x:c r="D3985" s="32">
        <x:v>720.47</x:v>
      </x:c>
      <x:c r="E3985" s="32">
        <x:v>723.86</x:v>
      </x:c>
      <x:c r="F3985" s="33">
        <x:v>180388070</x:v>
      </x:c>
      <x:c r="G3985" s="32" t="n">
        <x:f t="shared" si="177">AVERAGE(E3786:E3985)</x:f>
        <x:v>674.5758999999999</x:v>
      </x:c>
      <x:c r="H3985" s="37" t="n">
        <x:f t="shared" si="178">IFERROR(E3985/G3985-1,"")</x:f>
        <x:v>0.07305938442212367</x:v>
      </x:c>
      <x:c r="I3985" s="38" t="b">
        <x:f t="shared" si="179">E3985&lt;G3985</x:f>
        <x:v>0</x:v>
      </x:c>
    </x:row>
    <x:row r="3986">
      <x:c r="A3986" s="31">
        <x:v>42825</x:v>
      </x:c>
      <x:c r="B3986" s="32">
        <x:v>725.97</x:v>
      </x:c>
      <x:c r="C3986" s="32">
        <x:v>726.67</x:v>
      </x:c>
      <x:c r="D3986" s="32">
        <x:v>722.31</x:v>
      </x:c>
      <x:c r="E3986" s="32">
        <x:v>722.31</x:v>
      </x:c>
      <x:c r="F3986" s="33">
        <x:v>181949340</x:v>
      </x:c>
      <x:c r="G3986" s="32" t="n">
        <x:f t="shared" si="177">AVERAGE(E3787:E3986)</x:f>
        <x:v>675.0523499999998</x:v>
      </x:c>
      <x:c r="H3986" s="37" t="n">
        <x:f t="shared" si="178">IFERROR(E3986/G3986-1,"")</x:f>
        <x:v>0.0700059039865577</x:v>
      </x:c>
      <x:c r="I3986" s="38" t="b">
        <x:f t="shared" si="179">E3986&lt;G3986</x:f>
        <x:v>0</x:v>
      </x:c>
    </x:row>
    <x:row r="3987">
      <x:c r="A3987" s="31">
        <x:v>42828</x:v>
      </x:c>
      <x:c r="B3987" s="32">
        <x:v>723.02</x:v>
      </x:c>
      <x:c r="C3987" s="32">
        <x:v>724.37</x:v>
      </x:c>
      <x:c r="D3987" s="32">
        <x:v>721.58</x:v>
      </x:c>
      <x:c r="E3987" s="32">
        <x:v>722.38</x:v>
      </x:c>
      <x:c r="F3987" s="33">
        <x:v>177623170</x:v>
      </x:c>
      <x:c r="G3987" s="32" t="n">
        <x:f t="shared" si="177">AVERAGE(E3788:E3987)</x:f>
        <x:v>675.5387</x:v>
      </x:c>
      <x:c r="H3987" s="37" t="n">
        <x:f t="shared" si="178">IFERROR(E3987/G3987-1,"")</x:f>
        <x:v>0.06933918071607148</x:v>
      </x:c>
      <x:c r="I3987" s="38" t="b">
        <x:f t="shared" si="179">E3987&lt;G3987</x:f>
        <x:v>0</x:v>
      </x:c>
    </x:row>
    <x:row r="3988">
      <x:c r="A3988" s="31">
        <x:v>42829</x:v>
      </x:c>
      <x:c r="B3988" s="32">
        <x:v>723.7</x:v>
      </x:c>
      <x:c r="C3988" s="32">
        <x:v>724.67</x:v>
      </x:c>
      <x:c r="D3988" s="32">
        <x:v>722.38</x:v>
      </x:c>
      <x:c r="E3988" s="32">
        <x:v>724.14</x:v>
      </x:c>
      <x:c r="F3988" s="33">
        <x:v>187134630</x:v>
      </x:c>
      <x:c r="G3988" s="32" t="n">
        <x:f t="shared" si="177">AVERAGE(E3789:E3988)</x:f>
        <x:v>676.0631500000001</x:v>
      </x:c>
      <x:c r="H3988" s="37" t="n">
        <x:f t="shared" si="178">IFERROR(E3988/G3988-1,"")</x:f>
        <x:v>0.07111295742121126</x:v>
      </x:c>
      <x:c r="I3988" s="38" t="b">
        <x:f t="shared" si="179">E3988&lt;G3988</x:f>
        <x:v>0</x:v>
      </x:c>
    </x:row>
    <x:row r="3989">
      <x:c r="A3989" s="31">
        <x:v>42830</x:v>
      </x:c>
      <x:c r="B3989" s="32">
        <x:v>724.89</x:v>
      </x:c>
      <x:c r="C3989" s="32">
        <x:v>726.03</x:v>
      </x:c>
      <x:c r="D3989" s="32">
        <x:v>722.49</x:v>
      </x:c>
      <x:c r="E3989" s="32">
        <x:v>723.22</x:v>
      </x:c>
      <x:c r="F3989" s="33">
        <x:v>196707340</x:v>
      </x:c>
      <x:c r="G3989" s="32" t="n">
        <x:f t="shared" si="177">AVERAGE(E3790:E3989)</x:f>
        <x:v>676.5469499999999</x:v>
      </x:c>
      <x:c r="H3989" s="37" t="n">
        <x:f t="shared" si="178">IFERROR(E3989/G3989-1,"")</x:f>
        <x:v>0.06898715602812211</x:v>
      </x:c>
      <x:c r="I3989" s="38" t="b">
        <x:f t="shared" si="179">E3989&lt;G3989</x:f>
        <x:v>0</x:v>
      </x:c>
    </x:row>
    <x:row r="3990">
      <x:c r="A3990" s="31">
        <x:v>42832</x:v>
      </x:c>
      <x:c r="B3990" s="32">
        <x:v>721.85</x:v>
      </x:c>
      <x:c r="C3990" s="32">
        <x:v>727.95</x:v>
      </x:c>
      <x:c r="D3990" s="32">
        <x:v>720.28</x:v>
      </x:c>
      <x:c r="E3990" s="32">
        <x:v>727.95</x:v>
      </x:c>
      <x:c r="F3990" s="33">
        <x:v>189771920</x:v>
      </x:c>
      <x:c r="G3990" s="32" t="n">
        <x:f t="shared" si="177">AVERAGE(E3791:E3990)</x:f>
        <x:v>677.0467</x:v>
      </x:c>
      <x:c r="H3990" s="37" t="n">
        <x:f t="shared" si="178">IFERROR(E3990/G3990-1,"")</x:f>
        <x:v>0.0751843262805949</x:v>
      </x:c>
      <x:c r="I3990" s="38" t="b">
        <x:f t="shared" si="179">E3990&lt;G3990</x:f>
        <x:v>0</x:v>
      </x:c>
    </x:row>
    <x:row r="3991">
      <x:c r="A3991" s="31">
        <x:v>42835</x:v>
      </x:c>
      <x:c r="B3991" s="32">
        <x:v>728.71</x:v>
      </x:c>
      <x:c r="C3991" s="32">
        <x:v>730.9</x:v>
      </x:c>
      <x:c r="D3991" s="32">
        <x:v>727.77</x:v>
      </x:c>
      <x:c r="E3991" s="32">
        <x:v>729.87</x:v>
      </x:c>
      <x:c r="F3991" s="33">
        <x:v>144425190</x:v>
      </x:c>
      <x:c r="G3991" s="32" t="n">
        <x:f t="shared" si="177">AVERAGE(E3792:E3991)</x:f>
        <x:v>677.564</x:v>
      </x:c>
      <x:c r="H3991" s="37" t="n">
        <x:f t="shared" si="178">IFERROR(E3991/G3991-1,"")</x:f>
        <x:v>0.07719713562113695</x:v>
      </x:c>
      <x:c r="I3991" s="38" t="b">
        <x:f t="shared" si="179">E3991&lt;G3991</x:f>
        <x:v>0</x:v>
      </x:c>
    </x:row>
    <x:row r="3992">
      <x:c r="A3992" s="31">
        <x:v>42836</x:v>
      </x:c>
      <x:c r="B3992" s="32">
        <x:v>730.15</x:v>
      </x:c>
      <x:c r="C3992" s="32">
        <x:v>732.24</x:v>
      </x:c>
      <x:c r="D3992" s="32">
        <x:v>729.87</x:v>
      </x:c>
      <x:c r="E3992" s="32">
        <x:v>731.33</x:v>
      </x:c>
      <x:c r="F3992" s="33">
        <x:v>197010310</x:v>
      </x:c>
      <x:c r="G3992" s="32" t="n">
        <x:f t="shared" si="177">AVERAGE(E3793:E3992)</x:f>
        <x:v>678.0593000000001</x:v>
      </x:c>
      <x:c r="H3992" s="37" t="n">
        <x:f t="shared" si="178">IFERROR(E3992/G3992-1,"")</x:f>
        <x:v>0.078563482574459</x:v>
      </x:c>
      <x:c r="I3992" s="38" t="b">
        <x:f t="shared" si="179">E3992&lt;G3992</x:f>
        <x:v>0</x:v>
      </x:c>
    </x:row>
    <x:row r="3993">
      <x:c r="A3993" s="31">
        <x:v>42837</x:v>
      </x:c>
      <x:c r="B3993" s="32">
        <x:v>731.62</x:v>
      </x:c>
      <x:c r="C3993" s="32">
        <x:v>732.87</x:v>
      </x:c>
      <x:c r="D3993" s="32">
        <x:v>724.48</x:v>
      </x:c>
      <x:c r="E3993" s="32">
        <x:v>725.58</x:v>
      </x:c>
      <x:c r="F3993" s="33">
        <x:v>213521570</x:v>
      </x:c>
      <x:c r="G3993" s="32" t="n">
        <x:f t="shared" si="177">AVERAGE(E3794:E3993)</x:f>
        <x:v>678.5833499999999</x:v>
      </x:c>
      <x:c r="H3993" s="37" t="n">
        <x:f t="shared" si="178">IFERROR(E3993/G3993-1,"")</x:f>
        <x:v>0.06925700431641912</x:v>
      </x:c>
      <x:c r="I3993" s="38" t="b">
        <x:f t="shared" si="179">E3993&lt;G3993</x:f>
        <x:v>0</x:v>
      </x:c>
    </x:row>
    <x:row r="3994">
      <x:c r="A3994" s="31">
        <x:v>42838</x:v>
      </x:c>
      <x:c r="B3994" s="32">
        <x:v>725.54</x:v>
      </x:c>
      <x:c r="C3994" s="32">
        <x:v>727.34</x:v>
      </x:c>
      <x:c r="D3994" s="32">
        <x:v>723.88</x:v>
      </x:c>
      <x:c r="E3994" s="32">
        <x:v>724.35</x:v>
      </x:c>
      <x:c r="F3994" s="33">
        <x:v>168105900</x:v>
      </x:c>
      <x:c r="G3994" s="32" t="n">
        <x:f t="shared" si="177">AVERAGE(E3795:E3994)</x:f>
        <x:v>679.0987499999999</x:v>
      </x:c>
      <x:c r="H3994" s="37" t="n">
        <x:f t="shared" si="178">IFERROR(E3994/G3994-1,"")</x:f>
        <x:v>0.06663427078904238</x:v>
      </x:c>
      <x:c r="I3994" s="38" t="b">
        <x:f t="shared" si="179">E3994&lt;G3994</x:f>
        <x:v>0</x:v>
      </x:c>
    </x:row>
    <x:row r="3995">
      <x:c r="A3995" s="31">
        <x:v>42839</x:v>
      </x:c>
      <x:c r="B3995" s="32">
        <x:v>722.47</x:v>
      </x:c>
      <x:c r="C3995" s="32">
        <x:v>724.35</x:v>
      </x:c>
      <x:c r="D3995" s="32">
        <x:v>714.13</x:v>
      </x:c>
      <x:c r="E3995" s="32">
        <x:v>718.45</x:v>
      </x:c>
      <x:c r="F3995" s="33">
        <x:v>183224860</x:v>
      </x:c>
      <x:c r="G3995" s="32" t="n">
        <x:f t="shared" si="177">AVERAGE(E3796:E3995)</x:f>
        <x:v>679.5799999999998</x:v>
      </x:c>
      <x:c r="H3995" s="37" t="n">
        <x:f t="shared" si="178">IFERROR(E3995/G3995-1,"")</x:f>
        <x:v>0.05719709232172843</x:v>
      </x:c>
      <x:c r="I3995" s="38" t="b">
        <x:f t="shared" si="179">E3995&lt;G3995</x:f>
        <x:v>0</x:v>
      </x:c>
    </x:row>
    <x:row r="3996">
      <x:c r="A3996" s="31">
        <x:v>42842</x:v>
      </x:c>
      <x:c r="B3996" s="32">
        <x:v>718.93</x:v>
      </x:c>
      <x:c r="C3996" s="32">
        <x:v>721.78</x:v>
      </x:c>
      <x:c r="D3996" s="32">
        <x:v>710.83</x:v>
      </x:c>
      <x:c r="E3996" s="32">
        <x:v>710.83</x:v>
      </x:c>
      <x:c r="F3996" s="33">
        <x:v>154510130</x:v>
      </x:c>
      <x:c r="G3996" s="32" t="n">
        <x:f t="shared" si="177">AVERAGE(E3797:E3996)</x:f>
        <x:v>679.9835499999998</x:v>
      </x:c>
      <x:c r="H3996" s="37" t="n">
        <x:f t="shared" si="178">IFERROR(E3996/G3996-1,"")</x:f>
        <x:v>0.045363523867599786</x:v>
      </x:c>
      <x:c r="I3996" s="38" t="b">
        <x:f t="shared" si="179">E3996&lt;G3996</x:f>
        <x:v>0</x:v>
      </x:c>
    </x:row>
    <x:row r="3997">
      <x:c r="A3997" s="31">
        <x:v>42843</x:v>
      </x:c>
      <x:c r="B3997" s="32">
        <x:v>708.64</x:v>
      </x:c>
      <x:c r="C3997" s="32">
        <x:v>714.93</x:v>
      </x:c>
      <x:c r="D3997" s="32">
        <x:v>705.55</x:v>
      </x:c>
      <x:c r="E3997" s="32">
        <x:v>714.93</x:v>
      </x:c>
      <x:c r="F3997" s="33">
        <x:v>156906940</x:v>
      </x:c>
      <x:c r="G3997" s="32" t="n">
        <x:f t="shared" si="177">AVERAGE(E3798:E3997)</x:f>
        <x:v>680.3968999999997</x:v>
      </x:c>
      <x:c r="H3997" s="37" t="n">
        <x:f t="shared" si="178">IFERROR(E3997/G3997-1,"")</x:f>
        <x:v>0.050754346470420764</x:v>
      </x:c>
      <x:c r="I3997" s="38" t="b">
        <x:f t="shared" si="179">E3997&lt;G3997</x:f>
        <x:v>0</x:v>
      </x:c>
    </x:row>
    <x:row r="3998">
      <x:c r="A3998" s="31">
        <x:v>42844</x:v>
      </x:c>
      <x:c r="B3998" s="32">
        <x:v>714.87</x:v>
      </x:c>
      <x:c r="C3998" s="32">
        <x:v>716.77</x:v>
      </x:c>
      <x:c r="D3998" s="32">
        <x:v>714.02</x:v>
      </x:c>
      <x:c r="E3998" s="32">
        <x:v>716.77</x:v>
      </x:c>
      <x:c r="F3998" s="33">
        <x:v>142094700</x:v>
      </x:c>
      <x:c r="G3998" s="32" t="n">
        <x:f t="shared" si="177">AVERAGE(E3799:E3998)</x:f>
        <x:v>680.7792499999997</x:v>
      </x:c>
      <x:c r="H3998" s="37" t="n">
        <x:f t="shared" si="178">IFERROR(E3998/G3998-1,"")</x:f>
        <x:v>0.052866990290906024</x:v>
      </x:c>
      <x:c r="I3998" s="38" t="b">
        <x:f t="shared" si="179">E3998&lt;G3998</x:f>
        <x:v>0</x:v>
      </x:c>
    </x:row>
    <x:row r="3999">
      <x:c r="A3999" s="31">
        <x:v>42845</x:v>
      </x:c>
      <x:c r="B3999" s="32">
        <x:v>716.76</x:v>
      </x:c>
      <x:c r="C3999" s="32">
        <x:v>716.77</x:v>
      </x:c>
      <x:c r="D3999" s="32">
        <x:v>712.66</x:v>
      </x:c>
      <x:c r="E3999" s="32">
        <x:v>712.66</x:v>
      </x:c>
      <x:c r="F3999" s="33">
        <x:v>125260980</x:v>
      </x:c>
      <x:c r="G3999" s="32" t="n">
        <x:f t="shared" si="177">AVERAGE(E3800:E3999)</x:f>
        <x:v>681.1027499999997</x:v>
      </x:c>
      <x:c r="H3999" s="37" t="n">
        <x:f t="shared" si="178">IFERROR(E3999/G3999-1,"")</x:f>
        <x:v>0.046332583446477615</x:v>
      </x:c>
      <x:c r="I3999" s="38" t="b">
        <x:f t="shared" si="179">E3999&lt;G3999</x:f>
        <x:v>0</x:v>
      </x:c>
    </x:row>
    <x:row r="4000">
      <x:c r="A4000" s="31">
        <x:v>42846</x:v>
      </x:c>
      <x:c r="B4000" s="32">
        <x:v>712.77</x:v>
      </x:c>
      <x:c r="C4000" s="32">
        <x:v>715.08</x:v>
      </x:c>
      <x:c r="D4000" s="32">
        <x:v>711.08</x:v>
      </x:c>
      <x:c r="E4000" s="32">
        <x:v>712.41</x:v>
      </x:c>
      <x:c r="F4000" s="33">
        <x:v>132811530</x:v>
      </x:c>
      <x:c r="G4000" s="32" t="n">
        <x:f t="shared" si="177">AVERAGE(E3801:E4000)</x:f>
        <x:v>681.4103999999998</x:v>
      </x:c>
      <x:c r="H4000" s="37" t="n">
        <x:f t="shared" si="178">IFERROR(E4000/G4000-1,"")</x:f>
        <x:v>0.04549328862606172</x:v>
      </x:c>
      <x:c r="I4000" s="38" t="b">
        <x:f t="shared" si="179">E4000&lt;G4000</x:f>
        <x:v>0</x:v>
      </x:c>
    </x:row>
    <x:row r="4001">
      <x:c r="A4001" s="31">
        <x:v>42849</x:v>
      </x:c>
      <x:c r="B4001" s="32">
        <x:v>711.6</x:v>
      </x:c>
      <x:c r="C4001" s="32">
        <x:v>712.77</x:v>
      </x:c>
      <x:c r="D4001" s="32">
        <x:v>709.39</x:v>
      </x:c>
      <x:c r="E4001" s="32">
        <x:v>709.39</x:v>
      </x:c>
      <x:c r="F4001" s="33">
        <x:v>129826020</x:v>
      </x:c>
      <x:c r="G4001" s="32" t="n">
        <x:f t="shared" si="177">AVERAGE(E3802:E4001)</x:f>
        <x:v>681.7100499999999</x:v>
      </x:c>
      <x:c r="H4001" s="37" t="n">
        <x:f t="shared" si="178">IFERROR(E4001/G4001-1,"")</x:f>
        <x:v>0.040603699476045696</x:v>
      </x:c>
      <x:c r="I4001" s="38" t="b">
        <x:f t="shared" si="179">E4001&lt;G4001</x:f>
        <x:v>0</x:v>
      </x:c>
    </x:row>
    <x:row r="4002">
      <x:c r="A4002" s="31">
        <x:v>42850</x:v>
      </x:c>
      <x:c r="B4002" s="32">
        <x:v>709</x:v>
      </x:c>
      <x:c r="C4002" s="32">
        <x:v>709.81</x:v>
      </x:c>
      <x:c r="D4002" s="32">
        <x:v>706.04</x:v>
      </x:c>
      <x:c r="E4002" s="32">
        <x:v>707.58</x:v>
      </x:c>
      <x:c r="F4002" s="33">
        <x:v>117943390</x:v>
      </x:c>
      <x:c r="G4002" s="32" t="n">
        <x:f t="shared" si="177">AVERAGE(E3803:E4002)</x:f>
        <x:v>681.9423499999998</x:v>
      </x:c>
      <x:c r="H4002" s="37" t="n">
        <x:f t="shared" si="178">IFERROR(E4002/G4002-1,"")</x:f>
        <x:v>0.037595040108596045</x:v>
      </x:c>
      <x:c r="I4002" s="38" t="b">
        <x:f t="shared" si="179">E4002&lt;G4002</x:f>
        <x:v>0</x:v>
      </x:c>
    </x:row>
    <x:row r="4003">
      <x:c r="A4003" s="31">
        <x:v>42851</x:v>
      </x:c>
      <x:c r="B4003" s="32">
        <x:v>706.36</x:v>
      </x:c>
      <x:c r="C4003" s="32">
        <x:v>710.04</x:v>
      </x:c>
      <x:c r="D4003" s="32">
        <x:v>706.32</x:v>
      </x:c>
      <x:c r="E4003" s="32">
        <x:v>710.04</x:v>
      </x:c>
      <x:c r="F4003" s="33">
        <x:v>134367260</x:v>
      </x:c>
      <x:c r="G4003" s="32" t="n">
        <x:f t="shared" si="177">AVERAGE(E3804:E4003)</x:f>
        <x:v>682.1991499999999</x:v>
      </x:c>
      <x:c r="H4003" s="37" t="n">
        <x:f t="shared" si="178">IFERROR(E4003/G4003-1,"")</x:f>
        <x:v>0.04081044369521725</x:v>
      </x:c>
      <x:c r="I4003" s="38" t="b">
        <x:f t="shared" si="179">E4003&lt;G4003</x:f>
        <x:v>0</x:v>
      </x:c>
    </x:row>
    <x:row r="4004">
      <x:c r="A4004" s="31">
        <x:v>42852</x:v>
      </x:c>
      <x:c r="B4004" s="32">
        <x:v>711.74</x:v>
      </x:c>
      <x:c r="C4004" s="32">
        <x:v>716.53</x:v>
      </x:c>
      <x:c r="D4004" s="32">
        <x:v>710.04</x:v>
      </x:c>
      <x:c r="E4004" s="32">
        <x:v>716.53</x:v>
      </x:c>
      <x:c r="F4004" s="33">
        <x:v>163516320</x:v>
      </x:c>
      <x:c r="G4004" s="32" t="n">
        <x:f t="shared" si="177">AVERAGE(E3805:E4004)</x:f>
        <x:v>682.5205000000001</x:v>
      </x:c>
      <x:c r="H4004" s="37" t="n">
        <x:f t="shared" si="178">IFERROR(E4004/G4004-1,"")</x:f>
        <x:v>0.04982927252734526</x:v>
      </x:c>
      <x:c r="I4004" s="38" t="b">
        <x:f t="shared" si="179">E4004&lt;G4004</x:f>
        <x:v>0</x:v>
      </x:c>
    </x:row>
    <x:row r="4005">
      <x:c r="A4005" s="31">
        <x:v>42853</x:v>
      </x:c>
      <x:c r="B4005" s="32">
        <x:v>715.9</x:v>
      </x:c>
      <x:c r="C4005" s="32">
        <x:v>718.54</x:v>
      </x:c>
      <x:c r="D4005" s="32">
        <x:v>713.83</x:v>
      </x:c>
      <x:c r="E4005" s="32">
        <x:v>717.73</x:v>
      </x:c>
      <x:c r="F4005" s="33">
        <x:v>175317340</x:v>
      </x:c>
      <x:c r="G4005" s="32" t="n">
        <x:f t="shared" si="177">AVERAGE(E3806:E4005)</x:f>
        <x:v>682.8146500000001</x:v>
      </x:c>
      <x:c r="H4005" s="37" t="n">
        <x:f t="shared" si="178">IFERROR(E4005/G4005-1,"")</x:f>
        <x:v>0.05113444768649855</x:v>
      </x:c>
      <x:c r="I4005" s="38" t="b">
        <x:f t="shared" si="179">E4005&lt;G4005</x:f>
        <x:v>0</x:v>
      </x:c>
    </x:row>
    <x:row r="4006">
      <x:c r="A4006" s="31">
        <x:v>42858</x:v>
      </x:c>
      <x:c r="B4006" s="32">
        <x:v>718.7</x:v>
      </x:c>
      <x:c r="C4006" s="32">
        <x:v>719.54</x:v>
      </x:c>
      <x:c r="D4006" s="32">
        <x:v>716.66</x:v>
      </x:c>
      <x:c r="E4006" s="32">
        <x:v>719.54</x:v>
      </x:c>
      <x:c r="F4006" s="33">
        <x:v>169302120</x:v>
      </x:c>
      <x:c r="G4006" s="32" t="n">
        <x:f t="shared" si="177">AVERAGE(E3807:E4006)</x:f>
        <x:v>683.0367500000002</x:v>
      </x:c>
      <x:c r="H4006" s="37" t="n">
        <x:f t="shared" si="178">IFERROR(E4006/G4006-1,"")</x:f>
        <x:v>0.05344258562954307</x:v>
      </x:c>
      <x:c r="I4006" s="38" t="b">
        <x:f t="shared" si="179">E4006&lt;G4006</x:f>
        <x:v>0</x:v>
      </x:c>
    </x:row>
    <x:row r="4007">
      <x:c r="A4007" s="31">
        <x:v>42859</x:v>
      </x:c>
      <x:c r="B4007" s="32">
        <x:v>717.98</x:v>
      </x:c>
      <x:c r="C4007" s="32">
        <x:v>723.22</x:v>
      </x:c>
      <x:c r="D4007" s="32">
        <x:v>717.98</x:v>
      </x:c>
      <x:c r="E4007" s="32">
        <x:v>722.02</x:v>
      </x:c>
      <x:c r="F4007" s="33">
        <x:v>199862840</x:v>
      </x:c>
      <x:c r="G4007" s="32" t="n">
        <x:f t="shared" si="177">AVERAGE(E3808:E4007)</x:f>
        <x:v>683.3134000000001</x:v>
      </x:c>
      <x:c r="H4007" s="37" t="n">
        <x:f t="shared" si="178">IFERROR(E4007/G4007-1,"")</x:f>
        <x:v>0.056645457267485044</x:v>
      </x:c>
      <x:c r="I4007" s="38" t="b">
        <x:f t="shared" si="179">E4007&lt;G4007</x:f>
        <x:v>0</x:v>
      </x:c>
    </x:row>
    <x:row r="4008">
      <x:c r="A4008" s="31">
        <x:v>42860</x:v>
      </x:c>
      <x:c r="B4008" s="32">
        <x:v>720.39</x:v>
      </x:c>
      <x:c r="C4008" s="32">
        <x:v>722.02</x:v>
      </x:c>
      <x:c r="D4008" s="32">
        <x:v>719.86</x:v>
      </x:c>
      <x:c r="E4008" s="32">
        <x:v>720</x:v>
      </x:c>
      <x:c r="F4008" s="33">
        <x:v>179559890</x:v>
      </x:c>
      <x:c r="G4008" s="32" t="n">
        <x:f t="shared" si="177">AVERAGE(E3809:E4008)</x:f>
        <x:v>683.5906000000001</x:v>
      </x:c>
      <x:c r="H4008" s="37" t="n">
        <x:f t="shared" si="178">IFERROR(E4008/G4008-1,"")</x:f>
        <x:v>0.05326199628842154</x:v>
      </x:c>
      <x:c r="I4008" s="38" t="b">
        <x:f t="shared" si="179">E4008&lt;G4008</x:f>
        <x:v>0</x:v>
      </x:c>
    </x:row>
    <x:row r="4009">
      <x:c r="A4009" s="31">
        <x:v>42863</x:v>
      </x:c>
      <x:c r="B4009" s="32">
        <x:v>720.61</x:v>
      </x:c>
      <x:c r="C4009" s="32">
        <x:v>720.61</x:v>
      </x:c>
      <x:c r="D4009" s="32">
        <x:v>717.98</x:v>
      </x:c>
      <x:c r="E4009" s="32">
        <x:v>718.86</x:v>
      </x:c>
      <x:c r="F4009" s="33">
        <x:v>200765930</x:v>
      </x:c>
      <x:c r="G4009" s="32" t="n">
        <x:f t="shared" si="177">AVERAGE(E3810:E4009)</x:f>
        <x:v>683.8174</x:v>
      </x:c>
      <x:c r="H4009" s="37" t="n">
        <x:f t="shared" si="178">IFERROR(E4009/G4009-1,"")</x:f>
        <x:v>0.05124555180959134</x:v>
      </x:c>
      <x:c r="I4009" s="38" t="b">
        <x:f t="shared" si="179">E4009&lt;G4009</x:f>
        <x:v>0</x:v>
      </x:c>
    </x:row>
    <x:row r="4010">
      <x:c r="A4010" s="31">
        <x:v>42864</x:v>
      </x:c>
      <x:c r="B4010" s="32">
        <x:v>718.86</x:v>
      </x:c>
      <x:c r="C4010" s="32">
        <x:v>722.11</x:v>
      </x:c>
      <x:c r="D4010" s="32">
        <x:v>716.95</x:v>
      </x:c>
      <x:c r="E4010" s="32">
        <x:v>722.11</x:v>
      </x:c>
      <x:c r="F4010" s="33">
        <x:v>208726890</x:v>
      </x:c>
      <x:c r="G4010" s="32" t="n">
        <x:f t="shared" si="177">AVERAGE(E3811:E4010)</x:f>
        <x:v>684.0891499999999</x:v>
      </x:c>
      <x:c r="H4010" s="37" t="n">
        <x:f t="shared" si="178">IFERROR(E4010/G4010-1,"")</x:f>
        <x:v>0.05557879407968991</x:v>
      </x:c>
      <x:c r="I4010" s="38" t="b">
        <x:f t="shared" si="179">E4010&lt;G4010</x:f>
        <x:v>0</x:v>
      </x:c>
    </x:row>
    <x:row r="4011">
      <x:c r="A4011" s="31">
        <x:v>42865</x:v>
      </x:c>
      <x:c r="B4011" s="32">
        <x:v>721.94</x:v>
      </x:c>
      <x:c r="C4011" s="32">
        <x:v>727.52</x:v>
      </x:c>
      <x:c r="D4011" s="32">
        <x:v>721.81</x:v>
      </x:c>
      <x:c r="E4011" s="32">
        <x:v>724.31</x:v>
      </x:c>
      <x:c r="F4011" s="33">
        <x:v>207031480</x:v>
      </x:c>
      <x:c r="G4011" s="32" t="n">
        <x:f t="shared" si="177">AVERAGE(E3812:E4011)</x:f>
        <x:v>684.4093999999999</x:v>
      </x:c>
      <x:c r="H4011" s="37" t="n">
        <x:f t="shared" si="178">IFERROR(E4011/G4011-1,"")</x:f>
        <x:v>0.058299316169532434</x:v>
      </x:c>
      <x:c r="I4011" s="38" t="b">
        <x:f t="shared" si="179">E4011&lt;G4011</x:f>
        <x:v>0</x:v>
      </x:c>
    </x:row>
    <x:row r="4012">
      <x:c r="A4012" s="31">
        <x:v>42866</x:v>
      </x:c>
      <x:c r="B4012" s="32">
        <x:v>724.84</x:v>
      </x:c>
      <x:c r="C4012" s="32">
        <x:v>726.82</x:v>
      </x:c>
      <x:c r="D4012" s="32">
        <x:v>723.39</x:v>
      </x:c>
      <x:c r="E4012" s="32">
        <x:v>724.99</x:v>
      </x:c>
      <x:c r="F4012" s="33">
        <x:v>184492830</x:v>
      </x:c>
      <x:c r="G4012" s="32" t="n">
        <x:f t="shared" si="177">AVERAGE(E3813:E4012)</x:f>
        <x:v>684.7364999999998</x:v>
      </x:c>
      <x:c r="H4012" s="37" t="n">
        <x:f t="shared" si="178">IFERROR(E4012/G4012-1,"")</x:f>
        <x:v>0.058786847203267545</x:v>
      </x:c>
      <x:c r="I4012" s="38" t="b">
        <x:f t="shared" si="179">E4012&lt;G4012</x:f>
        <x:v>0</x:v>
      </x:c>
    </x:row>
    <x:row r="4013">
      <x:c r="A4013" s="31">
        <x:v>42867</x:v>
      </x:c>
      <x:c r="B4013" s="32">
        <x:v>724.63</x:v>
      </x:c>
      <x:c r="C4013" s="32">
        <x:v>726.4</x:v>
      </x:c>
      <x:c r="D4013" s="32">
        <x:v>724.41</x:v>
      </x:c>
      <x:c r="E4013" s="32">
        <x:v>725.37</x:v>
      </x:c>
      <x:c r="F4013" s="33">
        <x:v>175822670</x:v>
      </x:c>
      <x:c r="G4013" s="32" t="n">
        <x:f t="shared" si="177">AVERAGE(E3814:E4013)</x:f>
        <x:v>685.1139999999997</x:v>
      </x:c>
      <x:c r="H4013" s="37" t="n">
        <x:f t="shared" si="178">IFERROR(E4013/G4013-1,"")</x:f>
        <x:v>0.058758104490640006</x:v>
      </x:c>
      <x:c r="I4013" s="38" t="b">
        <x:f t="shared" si="179">E4013&lt;G4013</x:f>
        <x:v>0</x:v>
      </x:c>
    </x:row>
    <x:row r="4014">
      <x:c r="A4014" s="31">
        <x:v>42870</x:v>
      </x:c>
      <x:c r="B4014" s="32">
        <x:v>725.25</x:v>
      </x:c>
      <x:c r="C4014" s="32">
        <x:v>726.19</x:v>
      </x:c>
      <x:c r="D4014" s="32">
        <x:v>723.18</x:v>
      </x:c>
      <x:c r="E4014" s="32">
        <x:v>725.35</x:v>
      </x:c>
      <x:c r="F4014" s="33">
        <x:v>225204780</x:v>
      </x:c>
      <x:c r="G4014" s="32" t="n">
        <x:f t="shared" si="177">AVERAGE(E3815:E4014)</x:f>
        <x:v>685.4942499999997</x:v>
      </x:c>
      <x:c r="H4014" s="37" t="n">
        <x:f t="shared" si="178">IFERROR(E4014/G4014-1,"")</x:f>
        <x:v>0.05814162554974067</x:v>
      </x:c>
      <x:c r="I4014" s="38" t="b">
        <x:f t="shared" si="179">E4014&lt;G4014</x:f>
        <x:v>0</x:v>
      </x:c>
    </x:row>
    <x:row r="4015">
      <x:c r="A4015" s="31">
        <x:v>42871</x:v>
      </x:c>
      <x:c r="B4015" s="32">
        <x:v>725.84</x:v>
      </x:c>
      <x:c r="C4015" s="32">
        <x:v>727.86</x:v>
      </x:c>
      <x:c r="D4015" s="32">
        <x:v>725.03</x:v>
      </x:c>
      <x:c r="E4015" s="32">
        <x:v>725.03</x:v>
      </x:c>
      <x:c r="F4015" s="33">
        <x:v>283939360</x:v>
      </x:c>
      <x:c r="G4015" s="32" t="n">
        <x:f t="shared" si="177">AVERAGE(E3816:E4015)</x:f>
        <x:v>685.8764499999996</x:v>
      </x:c>
      <x:c r="H4015" s="37" t="n">
        <x:f t="shared" si="178">IFERROR(E4015/G4015-1,"")</x:f>
        <x:v>0.05708542697449426</x:v>
      </x:c>
      <x:c r="I4015" s="38" t="b">
        <x:f t="shared" si="179">E4015&lt;G4015</x:f>
        <x:v>0</x:v>
      </x:c>
    </x:row>
    <x:row r="4016">
      <x:c r="A4016" s="31">
        <x:v>42872</x:v>
      </x:c>
      <x:c r="B4016" s="32">
        <x:v>724.01</x:v>
      </x:c>
      <x:c r="C4016" s="32">
        <x:v>728.01</x:v>
      </x:c>
      <x:c r="D4016" s="32">
        <x:v>722.81</x:v>
      </x:c>
      <x:c r="E4016" s="32">
        <x:v>727.2</x:v>
      </x:c>
      <x:c r="F4016" s="33">
        <x:v>198308760</x:v>
      </x:c>
      <x:c r="G4016" s="32" t="n">
        <x:f t="shared" si="177">AVERAGE(E3817:E4016)</x:f>
        <x:v>686.2318999999998</x:v>
      </x:c>
      <x:c r="H4016" s="37" t="n">
        <x:f t="shared" si="178">IFERROR(E4016/G4016-1,"")</x:f>
        <x:v>0.059700080978456915</x:v>
      </x:c>
      <x:c r="I4016" s="38" t="b">
        <x:f t="shared" si="179">E4016&lt;G4016</x:f>
        <x:v>0</x:v>
      </x:c>
    </x:row>
    <x:row r="4017">
      <x:c r="A4017" s="31">
        <x:v>42873</x:v>
      </x:c>
      <x:c r="B4017" s="32">
        <x:v>727.2</x:v>
      </x:c>
      <x:c r="C4017" s="32">
        <x:v>729</x:v>
      </x:c>
      <x:c r="D4017" s="32">
        <x:v>723.8</x:v>
      </x:c>
      <x:c r="E4017" s="32">
        <x:v>726.99</x:v>
      </x:c>
      <x:c r="F4017" s="33">
        <x:v>207715300</x:v>
      </x:c>
      <x:c r="G4017" s="32" t="n">
        <x:f t="shared" si="177">AVERAGE(E3818:E4017)</x:f>
        <x:v>686.5811499999998</x:v>
      </x:c>
      <x:c r="H4017" s="37" t="n">
        <x:f t="shared" si="178">IFERROR(E4017/G4017-1,"")</x:f>
        <x:v>0.05885516956007342</x:v>
      </x:c>
      <x:c r="I4017" s="38" t="b">
        <x:f t="shared" si="179">E4017&lt;G4017</x:f>
        <x:v>0</x:v>
      </x:c>
    </x:row>
    <x:row r="4018">
      <x:c r="A4018" s="31">
        <x:v>42874</x:v>
      </x:c>
      <x:c r="B4018" s="32">
        <x:v>727.61</x:v>
      </x:c>
      <x:c r="C4018" s="32">
        <x:v>733.82</x:v>
      </x:c>
      <x:c r="D4018" s="32">
        <x:v>726.79</x:v>
      </x:c>
      <x:c r="E4018" s="32">
        <x:v>733.82</x:v>
      </x:c>
      <x:c r="F4018" s="33">
        <x:v>206013150</x:v>
      </x:c>
      <x:c r="G4018" s="32" t="n">
        <x:f t="shared" si="177">AVERAGE(E3819:E4018)</x:f>
        <x:v>686.9890999999999</x:v>
      </x:c>
      <x:c r="H4018" s="37" t="n">
        <x:f t="shared" si="178">IFERROR(E4018/G4018-1,"")</x:f>
        <x:v>0.06816833047278359</x:v>
      </x:c>
      <x:c r="I4018" s="38" t="b">
        <x:f t="shared" si="179">E4018&lt;G4018</x:f>
        <x:v>0</x:v>
      </x:c>
    </x:row>
    <x:row r="4019">
      <x:c r="A4019" s="31">
        <x:v>42877</x:v>
      </x:c>
      <x:c r="B4019" s="32">
        <x:v>738.63</x:v>
      </x:c>
      <x:c r="C4019" s="32">
        <x:v>746.87</x:v>
      </x:c>
      <x:c r="D4019" s="32">
        <x:v>733.82</x:v>
      </x:c>
      <x:c r="E4019" s="32">
        <x:v>744.1</x:v>
      </x:c>
      <x:c r="F4019" s="33">
        <x:v>239413730</x:v>
      </x:c>
      <x:c r="G4019" s="32" t="n">
        <x:f t="shared" si="177">AVERAGE(E3820:E4019)</x:f>
        <x:v>687.4676999999999</x:v>
      </x:c>
      <x:c r="H4019" s="37" t="n">
        <x:f t="shared" si="178">IFERROR(E4019/G4019-1,"")</x:f>
        <x:v>0.08237812481953721</x:v>
      </x:c>
      <x:c r="I4019" s="38" t="b">
        <x:f t="shared" si="179">E4019&lt;G4019</x:f>
        <x:v>0</x:v>
      </x:c>
    </x:row>
    <x:row r="4020">
      <x:c r="A4020" s="31">
        <x:v>42878</x:v>
      </x:c>
      <x:c r="B4020" s="32">
        <x:v>744.32</x:v>
      </x:c>
      <x:c r="C4020" s="32">
        <x:v>746.18</x:v>
      </x:c>
      <x:c r="D4020" s="32">
        <x:v>740.28</x:v>
      </x:c>
      <x:c r="E4020" s="32">
        <x:v>740.93</x:v>
      </x:c>
      <x:c r="F4020" s="33">
        <x:v>259818180</x:v>
      </x:c>
      <x:c r="G4020" s="32" t="n">
        <x:f t="shared" si="177">AVERAGE(E3821:E4020)</x:f>
        <x:v>687.9920999999999</x:v>
      </x:c>
      <x:c r="H4020" s="37" t="n">
        <x:f t="shared" si="178">IFERROR(E4020/G4020-1,"")</x:f>
        <x:v>0.07694550562426516</x:v>
      </x:c>
      <x:c r="I4020" s="38" t="b">
        <x:f t="shared" si="179">E4020&lt;G4020</x:f>
        <x:v>0</x:v>
      </x:c>
    </x:row>
    <x:row r="4021">
      <x:c r="A4021" s="31">
        <x:v>42879</x:v>
      </x:c>
      <x:c r="B4021" s="32">
        <x:v>739.91</x:v>
      </x:c>
      <x:c r="C4021" s="32">
        <x:v>744.27</x:v>
      </x:c>
      <x:c r="D4021" s="32">
        <x:v>737.3</x:v>
      </x:c>
      <x:c r="E4021" s="32">
        <x:v>742.74</x:v>
      </x:c>
      <x:c r="F4021" s="33">
        <x:v>199021090</x:v>
      </x:c>
      <x:c r="G4021" s="32" t="n">
        <x:f t="shared" si="177">AVERAGE(E3822:E4021)</x:f>
        <x:v>688.5477499999998</x:v>
      </x:c>
      <x:c r="H4021" s="37" t="n">
        <x:f t="shared" si="178">IFERROR(E4021/G4021-1,"")</x:f>
        <x:v>0.07870514426922481</x:v>
      </x:c>
      <x:c r="I4021" s="38" t="b">
        <x:f t="shared" si="179">E4021&lt;G4021</x:f>
        <x:v>0</x:v>
      </x:c>
    </x:row>
    <x:row r="4022">
      <x:c r="A4022" s="31">
        <x:v>42880</x:v>
      </x:c>
      <x:c r="B4022" s="32">
        <x:v>744.24</x:v>
      </x:c>
      <x:c r="C4022" s="32">
        <x:v>746.48</x:v>
      </x:c>
      <x:c r="D4022" s="32">
        <x:v>740.89</x:v>
      </x:c>
      <x:c r="E4022" s="32">
        <x:v>741.91</x:v>
      </x:c>
      <x:c r="F4022" s="33">
        <x:v>192545970</x:v>
      </x:c>
      <x:c r="G4022" s="32" t="n">
        <x:f t="shared" si="177">AVERAGE(E3823:E4022)</x:f>
        <x:v>689.0975999999999</x:v>
      </x:c>
      <x:c r="H4022" s="37" t="n">
        <x:f t="shared" si="178">IFERROR(E4022/G4022-1,"")</x:f>
        <x:v>0.07663994186019507</x:v>
      </x:c>
      <x:c r="I4022" s="38" t="b">
        <x:f t="shared" si="179">E4022&lt;G4022</x:f>
        <x:v>0</x:v>
      </x:c>
    </x:row>
    <x:row r="4023">
      <x:c r="A4023" s="31">
        <x:v>42881</x:v>
      </x:c>
      <x:c r="B4023" s="32">
        <x:v>741.4</x:v>
      </x:c>
      <x:c r="C4023" s="32">
        <x:v>743.46</x:v>
      </x:c>
      <x:c r="D4023" s="32">
        <x:v>740.6</x:v>
      </x:c>
      <x:c r="E4023" s="32">
        <x:v>743.41</x:v>
      </x:c>
      <x:c r="F4023" s="33">
        <x:v>182563920</x:v>
      </x:c>
      <x:c r="G4023" s="32" t="n">
        <x:f t="shared" si="177">AVERAGE(E3824:E4023)</x:f>
        <x:v>689.6776999999998</x:v>
      </x:c>
      <x:c r="H4023" s="37" t="n">
        <x:f t="shared" si="178">IFERROR(E4023/G4023-1,"")</x:f>
        <x:v>0.07790929009303937</x:v>
      </x:c>
      <x:c r="I4023" s="38" t="b">
        <x:f t="shared" si="179">E4023&lt;G4023</x:f>
        <x:v>0</x:v>
      </x:c>
    </x:row>
    <x:row r="4024">
      <x:c r="A4024" s="31">
        <x:v>42884</x:v>
      </x:c>
      <x:c r="B4024" s="32">
        <x:v>746.08</x:v>
      </x:c>
      <x:c r="C4024" s="32">
        <x:v>748.06</x:v>
      </x:c>
      <x:c r="D4024" s="32">
        <x:v>743.41</x:v>
      </x:c>
      <x:c r="E4024" s="32">
        <x:v>746.25</x:v>
      </x:c>
      <x:c r="F4024" s="33">
        <x:v>238391340</x:v>
      </x:c>
      <x:c r="G4024" s="32" t="n">
        <x:f t="shared" si="177">AVERAGE(E3825:E4024)</x:f>
        <x:v>690.26165</x:v>
      </x:c>
      <x:c r="H4024" s="37" t="n">
        <x:f t="shared" si="178">IFERROR(E4024/G4024-1,"")</x:f>
        <x:v>0.08111177841040429</x:v>
      </x:c>
      <x:c r="I4024" s="38" t="b">
        <x:f t="shared" si="179">E4024&lt;G4024</x:f>
        <x:v>0</x:v>
      </x:c>
    </x:row>
    <x:row r="4025">
      <x:c r="A4025" s="31">
        <x:v>42885</x:v>
      </x:c>
      <x:c r="B4025" s="32">
        <x:v>747.07</x:v>
      </x:c>
      <x:c r="C4025" s="32">
        <x:v>747.43</x:v>
      </x:c>
      <x:c r="D4025" s="32">
        <x:v>738.21</x:v>
      </x:c>
      <x:c r="E4025" s="32">
        <x:v>738.21</x:v>
      </x:c>
      <x:c r="F4025" s="33">
        <x:v>243929050</x:v>
      </x:c>
      <x:c r="G4025" s="32" t="n">
        <x:f t="shared" si="177">AVERAGE(E3826:E4025)</x:f>
        <x:v>690.766</x:v>
      </x:c>
      <x:c r="H4025" s="37" t="n">
        <x:f t="shared" si="178">IFERROR(E4025/G4025-1,"")</x:f>
        <x:v>0.06868317201483576</x:v>
      </x:c>
      <x:c r="I4025" s="38" t="b">
        <x:f t="shared" si="179">E4025&lt;G4025</x:f>
        <x:v>0</x:v>
      </x:c>
    </x:row>
    <x:row r="4026">
      <x:c r="A4026" s="31">
        <x:v>42886</x:v>
      </x:c>
      <x:c r="B4026" s="32">
        <x:v>738.91</x:v>
      </x:c>
      <x:c r="C4026" s="32">
        <x:v>741.93</x:v>
      </x:c>
      <x:c r="D4026" s="32">
        <x:v>735.39</x:v>
      </x:c>
      <x:c r="E4026" s="32">
        <x:v>737.82</x:v>
      </x:c>
      <x:c r="F4026" s="33">
        <x:v>186925620</x:v>
      </x:c>
      <x:c r="G4026" s="32" t="n">
        <x:f t="shared" si="177">AVERAGE(E3827:E4026)</x:f>
        <x:v>691.21345</x:v>
      </x:c>
      <x:c r="H4026" s="37" t="n">
        <x:f t="shared" si="178">IFERROR(E4026/G4026-1,"")</x:f>
        <x:v>0.06742714569573272</x:v>
      </x:c>
      <x:c r="I4026" s="38" t="b">
        <x:f t="shared" si="179">E4026&lt;G4026</x:f>
        <x:v>0</x:v>
      </x:c>
    </x:row>
    <x:row r="4027">
      <x:c r="A4027" s="31">
        <x:v>42887</x:v>
      </x:c>
      <x:c r="B4027" s="32">
        <x:v>739.45</x:v>
      </x:c>
      <x:c r="C4027" s="32">
        <x:v>742.23</x:v>
      </x:c>
      <x:c r="D4027" s="32">
        <x:v>737.82</x:v>
      </x:c>
      <x:c r="E4027" s="32">
        <x:v>741.8</x:v>
      </x:c>
      <x:c r="F4027" s="33">
        <x:v>136773790</x:v>
      </x:c>
      <x:c r="G4027" s="32" t="n">
        <x:f t="shared" si="177">AVERAGE(E3828:E4027)</x:f>
        <x:v>691.6212499999998</x:v>
      </x:c>
      <x:c r="H4027" s="37" t="n">
        <x:f t="shared" si="178">IFERROR(E4027/G4027-1,"")</x:f>
        <x:v>0.07255235434133955</x:v>
      </x:c>
      <x:c r="I4027" s="38" t="b">
        <x:f t="shared" si="179">E4027&lt;G4027</x:f>
        <x:v>0</x:v>
      </x:c>
    </x:row>
    <x:row r="4028">
      <x:c r="A4028" s="31">
        <x:v>42888</x:v>
      </x:c>
      <x:c r="B4028" s="32">
        <x:v>741.48</x:v>
      </x:c>
      <x:c r="C4028" s="32">
        <x:v>742.11</x:v>
      </x:c>
      <x:c r="D4028" s="32">
        <x:v>736.09</x:v>
      </x:c>
      <x:c r="E4028" s="32">
        <x:v>738.81</x:v>
      </x:c>
      <x:c r="F4028" s="33">
        <x:v>158389700</x:v>
      </x:c>
      <x:c r="G4028" s="32" t="n">
        <x:f t="shared" si="177">AVERAGE(E3829:E4028)</x:f>
        <x:v>692.0367499999999</x:v>
      </x:c>
      <x:c r="H4028" s="37" t="n">
        <x:f t="shared" si="178">IFERROR(E4028/G4028-1,"")</x:f>
        <x:v>0.06758781235245115</x:v>
      </x:c>
      <x:c r="I4028" s="38" t="b">
        <x:f t="shared" si="179">E4028&lt;G4028</x:f>
        <x:v>0</x:v>
      </x:c>
    </x:row>
    <x:row r="4029">
      <x:c r="A4029" s="31">
        <x:v>42891</x:v>
      </x:c>
      <x:c r="B4029" s="32">
        <x:v>739.13</x:v>
      </x:c>
      <x:c r="C4029" s="32">
        <x:v>745.14</x:v>
      </x:c>
      <x:c r="D4029" s="32">
        <x:v>738.35</x:v>
      </x:c>
      <x:c r="E4029" s="32">
        <x:v>743.49</x:v>
      </x:c>
      <x:c r="F4029" s="33">
        <x:v>157936290</x:v>
      </x:c>
      <x:c r="G4029" s="32" t="n">
        <x:f t="shared" si="177">AVERAGE(E3830:E4029)</x:f>
        <x:v>692.4568499999998</x:v>
      </x:c>
      <x:c r="H4029" s="37" t="n">
        <x:f t="shared" si="178">IFERROR(E4029/G4029-1,"")</x:f>
        <x:v>0.07369867162119959</x:v>
      </x:c>
      <x:c r="I4029" s="38" t="b">
        <x:f t="shared" si="179">E4029&lt;G4029</x:f>
        <x:v>0</x:v>
      </x:c>
    </x:row>
    <x:row r="4030">
      <x:c r="A4030" s="31">
        <x:v>42892</x:v>
      </x:c>
      <x:c r="B4030" s="32">
        <x:v>743.99</x:v>
      </x:c>
      <x:c r="C4030" s="32">
        <x:v>751.31</x:v>
      </x:c>
      <x:c r="D4030" s="32">
        <x:v>743.49</x:v>
      </x:c>
      <x:c r="E4030" s="32">
        <x:v>751.31</x:v>
      </x:c>
      <x:c r="F4030" s="33">
        <x:v>170947990</x:v>
      </x:c>
      <x:c r="G4030" s="32" t="n">
        <x:f t="shared" si="177">AVERAGE(E3831:E4030)</x:f>
        <x:v>692.92285</x:v>
      </x:c>
      <x:c r="H4030" s="37" t="n">
        <x:f t="shared" si="178">IFERROR(E4030/G4030-1,"")</x:f>
        <x:v>0.0842621223993405</x:v>
      </x:c>
      <x:c r="I4030" s="38" t="b">
        <x:f t="shared" si="179">E4030&lt;G4030</x:f>
        <x:v>0</x:v>
      </x:c>
    </x:row>
    <x:row r="4031">
      <x:c r="A4031" s="31">
        <x:v>42893</x:v>
      </x:c>
      <x:c r="B4031" s="32">
        <x:v>752.75</x:v>
      </x:c>
      <x:c r="C4031" s="32">
        <x:v>754.92</x:v>
      </x:c>
      <x:c r="D4031" s="32">
        <x:v>751.31</x:v>
      </x:c>
      <x:c r="E4031" s="32">
        <x:v>753.46</x:v>
      </x:c>
      <x:c r="F4031" s="33">
        <x:v>192345690</x:v>
      </x:c>
      <x:c r="G4031" s="32" t="n">
        <x:f t="shared" si="177">AVERAGE(E3832:E4031)</x:f>
        <x:v>693.3875999999999</x:v>
      </x:c>
      <x:c r="H4031" s="37" t="n">
        <x:f t="shared" si="178">IFERROR(E4031/G4031-1,"")</x:f>
        <x:v>0.08663610367419339</x:v>
      </x:c>
      <x:c r="I4031" s="38" t="b">
        <x:f t="shared" si="179">E4031&lt;G4031</x:f>
        <x:v>0</x:v>
      </x:c>
    </x:row>
    <x:row r="4032">
      <x:c r="A4032" s="31">
        <x:v>42894</x:v>
      </x:c>
      <x:c r="B4032" s="32">
        <x:v>751.7</x:v>
      </x:c>
      <x:c r="C4032" s="32">
        <x:v>753.46</x:v>
      </x:c>
      <x:c r="D4032" s="32">
        <x:v>748.91</x:v>
      </x:c>
      <x:c r="E4032" s="32">
        <x:v>750.13</x:v>
      </x:c>
      <x:c r="F4032" s="33">
        <x:v>177252320</x:v>
      </x:c>
      <x:c r="G4032" s="32" t="n">
        <x:f t="shared" si="177">AVERAGE(E3833:E4032)</x:f>
        <x:v>693.835</x:v>
      </x:c>
      <x:c r="H4032" s="37" t="n">
        <x:f t="shared" si="178">IFERROR(E4032/G4032-1,"")</x:f>
        <x:v>0.08113600495795104</x:v>
      </x:c>
      <x:c r="I4032" s="38" t="b">
        <x:f t="shared" si="179">E4032&lt;G4032</x:f>
        <x:v>0</x:v>
      </x:c>
    </x:row>
    <x:row r="4033">
      <x:c r="A4033" s="31">
        <x:v>42895</x:v>
      </x:c>
      <x:c r="B4033" s="32">
        <x:v>749.46</x:v>
      </x:c>
      <x:c r="C4033" s="32">
        <x:v>752.01</x:v>
      </x:c>
      <x:c r="D4033" s="32">
        <x:v>749.04</x:v>
      </x:c>
      <x:c r="E4033" s="32">
        <x:v>749.72</x:v>
      </x:c>
      <x:c r="F4033" s="33">
        <x:v>170501090</x:v>
      </x:c>
      <x:c r="G4033" s="32" t="n">
        <x:f t="shared" si="177">AVERAGE(E3834:E4033)</x:f>
        <x:v>694.2722</x:v>
      </x:c>
      <x:c r="H4033" s="37" t="n">
        <x:f t="shared" si="178">IFERROR(E4033/G4033-1,"")</x:f>
        <x:v>0.07986464098663326</x:v>
      </x:c>
      <x:c r="I4033" s="38" t="b">
        <x:f t="shared" si="179">E4033&lt;G4033</x:f>
        <x:v>0</x:v>
      </x:c>
    </x:row>
    <x:row r="4034">
      <x:c r="A4034" s="31">
        <x:v>42898</x:v>
      </x:c>
      <x:c r="B4034" s="32">
        <x:v>751.33</x:v>
      </x:c>
      <x:c r="C4034" s="32">
        <x:v>753.41</x:v>
      </x:c>
      <x:c r="D4034" s="32">
        <x:v>749</x:v>
      </x:c>
      <x:c r="E4034" s="32">
        <x:v>751.09</x:v>
      </x:c>
      <x:c r="F4034" s="33">
        <x:v>168761640</x:v>
      </x:c>
      <x:c r="G4034" s="32" t="n">
        <x:f t="shared" si="177">AVERAGE(E3835:E4034)</x:f>
        <x:v>694.7392500000001</x:v>
      </x:c>
      <x:c r="H4034" s="37" t="n">
        <x:f t="shared" si="178">IFERROR(E4034/G4034-1,"")</x:f>
        <x:v>0.08111064690817438</x:v>
      </x:c>
      <x:c r="I4034" s="38" t="b">
        <x:f t="shared" si="179">E4034&lt;G4034</x:f>
        <x:v>0</x:v>
      </x:c>
    </x:row>
    <x:row r="4035">
      <x:c r="A4035" s="31">
        <x:v>42899</x:v>
      </x:c>
      <x:c r="B4035" s="32">
        <x:v>751.09</x:v>
      </x:c>
      <x:c r="C4035" s="32">
        <x:v>756.89</x:v>
      </x:c>
      <x:c r="D4035" s="32">
        <x:v>750.1</x:v>
      </x:c>
      <x:c r="E4035" s="32">
        <x:v>756.89</x:v>
      </x:c>
      <x:c r="F4035" s="33">
        <x:v>161472560</x:v>
      </x:c>
      <x:c r="G4035" s="32" t="n">
        <x:f t="shared" si="177">AVERAGE(E3836:E4035)</x:f>
        <x:v>695.2279000000001</x:v>
      </x:c>
      <x:c r="H4035" s="37" t="n">
        <x:f t="shared" si="178">IFERROR(E4035/G4035-1,"")</x:f>
        <x:v>0.08869336227731917</x:v>
      </x:c>
      <x:c r="I4035" s="38" t="b">
        <x:f t="shared" si="179">E4035&lt;G4035</x:f>
        <x:v>0</x:v>
      </x:c>
    </x:row>
    <x:row r="4036">
      <x:c r="A4036" s="31">
        <x:v>42900</x:v>
      </x:c>
      <x:c r="B4036" s="32">
        <x:v>758.26</x:v>
      </x:c>
      <x:c r="C4036" s="32">
        <x:v>761.7</x:v>
      </x:c>
      <x:c r="D4036" s="32">
        <x:v>756.82</x:v>
      </x:c>
      <x:c r="E4036" s="32">
        <x:v>760.77</x:v>
      </x:c>
      <x:c r="F4036" s="33">
        <x:v>171867720</x:v>
      </x:c>
      <x:c r="G4036" s="32" t="n">
        <x:f t="shared" si="177">AVERAGE(E3837:E4036)</x:f>
        <x:v>695.7279</x:v>
      </x:c>
      <x:c r="H4036" s="37" t="n">
        <x:f t="shared" si="178">IFERROR(E4036/G4036-1,"")</x:f>
        <x:v>0.09348784201409766</x:v>
      </x:c>
      <x:c r="I4036" s="38" t="b">
        <x:f t="shared" si="179">E4036&lt;G4036</x:f>
        <x:v>0</x:v>
      </x:c>
    </x:row>
    <x:row r="4037">
      <x:c r="A4037" s="31">
        <x:v>42901</x:v>
      </x:c>
      <x:c r="B4037" s="32">
        <x:v>760.38</x:v>
      </x:c>
      <x:c r="C4037" s="32">
        <x:v>762.98</x:v>
      </x:c>
      <x:c r="D4037" s="32">
        <x:v>758.17</x:v>
      </x:c>
      <x:c r="E4037" s="32">
        <x:v>760.57</x:v>
      </x:c>
      <x:c r="F4037" s="33">
        <x:v>167145290</x:v>
      </x:c>
      <x:c r="G4037" s="32" t="n">
        <x:f t="shared" si="177">AVERAGE(E3838:E4037)</x:f>
        <x:v>696.2382500000001</x:v>
      </x:c>
      <x:c r="H4037" s="37" t="n">
        <x:f t="shared" si="178">IFERROR(E4037/G4037-1,"")</x:f>
        <x:v>0.0923990458725874</x:v>
      </x:c>
      <x:c r="I4037" s="38" t="b">
        <x:f t="shared" si="179">E4037&lt;G4037</x:f>
        <x:v>0</x:v>
      </x:c>
    </x:row>
    <x:row r="4038">
      <x:c r="A4038" s="31">
        <x:v>42902</x:v>
      </x:c>
      <x:c r="B4038" s="32">
        <x:v>761.75</x:v>
      </x:c>
      <x:c r="C4038" s="32">
        <x:v>762.43</x:v>
      </x:c>
      <x:c r="D4038" s="32">
        <x:v>759.98</x:v>
      </x:c>
      <x:c r="E4038" s="32">
        <x:v>761.24</x:v>
      </x:c>
      <x:c r="F4038" s="33">
        <x:v>197513460</x:v>
      </x:c>
      <x:c r="G4038" s="32" t="n">
        <x:f t="shared" si="177">AVERAGE(E3839:E4038)</x:f>
        <x:v>696.7057000000001</x:v>
      </x:c>
      <x:c r="H4038" s="37" t="n">
        <x:f t="shared" si="178">IFERROR(E4038/G4038-1,"")</x:f>
        <x:v>0.09262777669251143</x:v>
      </x:c>
      <x:c r="I4038" s="38" t="b">
        <x:f t="shared" si="179">E4038&lt;G4038</x:f>
        <x:v>0</x:v>
      </x:c>
    </x:row>
    <x:row r="4039">
      <x:c r="A4039" s="31">
        <x:v>42905</x:v>
      </x:c>
      <x:c r="B4039" s="32">
        <x:v>763.75</x:v>
      </x:c>
      <x:c r="C4039" s="32">
        <x:v>766.83</x:v>
      </x:c>
      <x:c r="D4039" s="32">
        <x:v>761.24</x:v>
      </x:c>
      <x:c r="E4039" s="32">
        <x:v>766.83</x:v>
      </x:c>
      <x:c r="F4039" s="33">
        <x:v>178804100</x:v>
      </x:c>
      <x:c r="G4039" s="32" t="n">
        <x:f t="shared" si="177">AVERAGE(E3840:E4039)</x:f>
        <x:v>697.19265</x:v>
      </x:c>
      <x:c r="H4039" s="37" t="n">
        <x:f t="shared" si="178">IFERROR(E4039/G4039-1,"")</x:f>
        <x:v>0.09988250736722493</x:v>
      </x:c>
      <x:c r="I4039" s="38" t="b">
        <x:f t="shared" si="179">E4039&lt;G4039</x:f>
        <x:v>0</x:v>
      </x:c>
    </x:row>
    <x:row r="4040">
      <x:c r="A4040" s="31">
        <x:v>42906</x:v>
      </x:c>
      <x:c r="B4040" s="32">
        <x:v>767.59</x:v>
      </x:c>
      <x:c r="C4040" s="32">
        <x:v>768.29</x:v>
      </x:c>
      <x:c r="D4040" s="32">
        <x:v>764.42</x:v>
      </x:c>
      <x:c r="E4040" s="32">
        <x:v>767.99</x:v>
      </x:c>
      <x:c r="F4040" s="33">
        <x:v>174082870</x:v>
      </x:c>
      <x:c r="G4040" s="32" t="n">
        <x:f t="shared" si="177">AVERAGE(E3841:E4040)</x:f>
        <x:v>697.66925</x:v>
      </x:c>
      <x:c r="H4040" s="37" t="n">
        <x:f t="shared" si="178">IFERROR(E4040/G4040-1,"")</x:f>
        <x:v>0.10079382171422924</x:v>
      </x:c>
      <x:c r="I4040" s="38" t="b">
        <x:f t="shared" si="179">E4040&lt;G4040</x:f>
        <x:v>0</x:v>
      </x:c>
    </x:row>
    <x:row r="4041">
      <x:c r="A4041" s="31">
        <x:v>42907</x:v>
      </x:c>
      <x:c r="B4041" s="32">
        <x:v>765.71</x:v>
      </x:c>
      <x:c r="C4041" s="32">
        <x:v>767.99</x:v>
      </x:c>
      <x:c r="D4041" s="32">
        <x:v>758.9</x:v>
      </x:c>
      <x:c r="E4041" s="32">
        <x:v>767.41</x:v>
      </x:c>
      <x:c r="F4041" s="33">
        <x:v>192993090</x:v>
      </x:c>
      <x:c r="G4041" s="32" t="n">
        <x:f t="shared" si="177">AVERAGE(E3842:E4041)</x:f>
        <x:v>698.13315</x:v>
      </x:c>
      <x:c r="H4041" s="37" t="n">
        <x:f t="shared" si="178">IFERROR(E4041/G4041-1,"")</x:f>
        <x:v>0.09923157208621292</x:v>
      </x:c>
      <x:c r="I4041" s="38" t="b">
        <x:f t="shared" si="179">E4041&lt;G4041</x:f>
        <x:v>0</x:v>
      </x:c>
    </x:row>
    <x:row r="4042">
      <x:c r="A4042" s="31">
        <x:v>42908</x:v>
      </x:c>
      <x:c r="B4042" s="32">
        <x:v>768.41</x:v>
      </x:c>
      <x:c r="C4042" s="32">
        <x:v>769.99</x:v>
      </x:c>
      <x:c r="D4042" s="32">
        <x:v>766.3</x:v>
      </x:c>
      <x:c r="E4042" s="32">
        <x:v>766.3</x:v>
      </x:c>
      <x:c r="F4042" s="33">
        <x:v>195187930</x:v>
      </x:c>
      <x:c r="G4042" s="32" t="n">
        <x:f t="shared" si="177">AVERAGE(E3843:E4042)</x:f>
        <x:v>698.6187</x:v>
      </x:c>
      <x:c r="H4042" s="37" t="n">
        <x:f t="shared" si="178">IFERROR(E4042/G4042-1,"")</x:f>
        <x:v>0.09687874086393622</x:v>
      </x:c>
      <x:c r="I4042" s="38" t="b">
        <x:f t="shared" si="179">E4042&lt;G4042</x:f>
        <x:v>0</x:v>
      </x:c>
    </x:row>
    <x:row r="4043">
      <x:c r="A4043" s="31">
        <x:v>42909</x:v>
      </x:c>
      <x:c r="B4043" s="32">
        <x:v>765.66</x:v>
      </x:c>
      <x:c r="C4043" s="32">
        <x:v>769.01</x:v>
      </x:c>
      <x:c r="D4043" s="32">
        <x:v>763.64</x:v>
      </x:c>
      <x:c r="E4043" s="32">
        <x:v>769.01</x:v>
      </x:c>
      <x:c r="F4043" s="33">
        <x:v>212981550</x:v>
      </x:c>
      <x:c r="G4043" s="32" t="n">
        <x:f t="shared" si="177">AVERAGE(E3844:E4043)</x:f>
        <x:v>699.1410000000001</x:v>
      </x:c>
      <x:c r="H4043" s="37" t="n">
        <x:f t="shared" si="178">IFERROR(E4043/G4043-1,"")</x:f>
        <x:v>0.09993549226836929</x:v>
      </x:c>
      <x:c r="I4043" s="38" t="b">
        <x:f t="shared" si="179">E4043&lt;G4043</x:f>
        <x:v>0</x:v>
      </x:c>
    </x:row>
    <x:row r="4044">
      <x:c r="A4044" s="31">
        <x:v>42912</x:v>
      </x:c>
      <x:c r="B4044" s="32">
        <x:v>770.5</x:v>
      </x:c>
      <x:c r="C4044" s="32">
        <x:v>773.14</x:v>
      </x:c>
      <x:c r="D4044" s="32">
        <x:v>769.01</x:v>
      </x:c>
      <x:c r="E4044" s="32">
        <x:v>772.52</x:v>
      </x:c>
      <x:c r="F4044" s="33">
        <x:v>212474720</x:v>
      </x:c>
      <x:c r="G4044" s="32" t="n">
        <x:f t="shared" si="177">AVERAGE(E3845:E4044)</x:f>
        <x:v>699.6841000000001</x:v>
      </x:c>
      <x:c r="H4044" s="37" t="n">
        <x:f t="shared" si="178">IFERROR(E4044/G4044-1,"")</x:f>
        <x:v>0.10409826377360853</x:v>
      </x:c>
      <x:c r="I4044" s="38" t="b">
        <x:f t="shared" si="179">E4044&lt;G4044</x:f>
        <x:v>0</x:v>
      </x:c>
    </x:row>
    <x:row r="4045">
      <x:c r="A4045" s="31">
        <x:v>42913</x:v>
      </x:c>
      <x:c r="B4045" s="32">
        <x:v>773.15</x:v>
      </x:c>
      <x:c r="C4045" s="32">
        <x:v>773.4</x:v>
      </x:c>
      <x:c r="D4045" s="32">
        <x:v>767.19</x:v>
      </x:c>
      <x:c r="E4045" s="32">
        <x:v>767.51</x:v>
      </x:c>
      <x:c r="F4045" s="33">
        <x:v>217431160</x:v>
      </x:c>
      <x:c r="G4045" s="32" t="n">
        <x:f t="shared" ref="G4045:G4108" si="180">AVERAGE(E3846:E4045)</x:f>
        <x:v>700.2152500000001</x:v>
      </x:c>
      <x:c r="H4045" s="37" t="n">
        <x:f t="shared" ref="H4045:H4108" si="181">IFERROR(E4045/G4045-1,"")</x:f>
        <x:v>0.09610580460794016</x:v>
      </x:c>
      <x:c r="I4045" s="38" t="b">
        <x:f t="shared" ref="I4045:I4108" si="182">E4045&lt;G4045</x:f>
        <x:v>0</x:v>
      </x:c>
    </x:row>
    <x:row r="4046">
      <x:c r="A4046" s="31">
        <x:v>42914</x:v>
      </x:c>
      <x:c r="B4046" s="32">
        <x:v>766.82</x:v>
      </x:c>
      <x:c r="C4046" s="32">
        <x:v>769.04</x:v>
      </x:c>
      <x:c r="D4046" s="32">
        <x:v>762.78</x:v>
      </x:c>
      <x:c r="E4046" s="32">
        <x:v>769.04</x:v>
      </x:c>
      <x:c r="F4046" s="33">
        <x:v>183664140</x:v>
      </x:c>
      <x:c r="G4046" s="32" t="n">
        <x:f t="shared" si="180">AVERAGE(E3847:E4046)</x:f>
        <x:v>700.7301000000001</x:v>
      </x:c>
      <x:c r="H4046" s="37" t="n">
        <x:f t="shared" si="181">IFERROR(E4046/G4046-1,"")</x:f>
        <x:v>0.09748389572532967</x:v>
      </x:c>
      <x:c r="I4046" s="38" t="b">
        <x:f t="shared" si="182">E4046&lt;G4046</x:f>
        <x:v>0</x:v>
      </x:c>
    </x:row>
    <x:row r="4047">
      <x:c r="A4047" s="31">
        <x:v>42915</x:v>
      </x:c>
      <x:c r="B4047" s="32">
        <x:v>771.26</x:v>
      </x:c>
      <x:c r="C4047" s="32">
        <x:v>773.08</x:v>
      </x:c>
      <x:c r="D4047" s="32">
        <x:v>769.04</x:v>
      </x:c>
      <x:c r="E4047" s="32">
        <x:v>771.75</x:v>
      </x:c>
      <x:c r="F4047" s="33">
        <x:v>198168950</x:v>
      </x:c>
      <x:c r="G4047" s="32" t="n">
        <x:f t="shared" si="180">AVERAGE(E3848:E4047)</x:f>
        <x:v>701.25445</x:v>
      </x:c>
      <x:c r="H4047" s="37" t="n">
        <x:f t="shared" si="181">IFERROR(E4047/G4047-1,"")</x:f>
        <x:v>0.10052777561696757</x:v>
      </x:c>
      <x:c r="I4047" s="38" t="b">
        <x:f t="shared" si="182">E4047&lt;G4047</x:f>
        <x:v>0</x:v>
      </x:c>
    </x:row>
    <x:row r="4048">
      <x:c r="A4048" s="31">
        <x:v>42916</x:v>
      </x:c>
      <x:c r="B4048" s="32">
        <x:v>773.46</x:v>
      </x:c>
      <x:c r="C4048" s="32">
        <x:v>776.5</x:v>
      </x:c>
      <x:c r="D4048" s="32">
        <x:v>771.75</x:v>
      </x:c>
      <x:c r="E4048" s="32">
        <x:v>776.47</x:v>
      </x:c>
      <x:c r="F4048" s="33">
        <x:v>174259020</x:v>
      </x:c>
      <x:c r="G4048" s="32" t="n">
        <x:f t="shared" si="180">AVERAGE(E3849:E4048)</x:f>
        <x:v>701.8380000000002</x:v>
      </x:c>
      <x:c r="H4048" s="37" t="n">
        <x:f t="shared" si="181">IFERROR(E4048/G4048-1,"")</x:f>
        <x:v>0.1063379298356597</x:v>
      </x:c>
      <x:c r="I4048" s="38" t="b">
        <x:f t="shared" si="182">E4048&lt;G4048</x:f>
        <x:v>0</x:v>
      </x:c>
    </x:row>
    <x:row r="4049">
      <x:c r="A4049" s="31">
        <x:v>42919</x:v>
      </x:c>
      <x:c r="B4049" s="32">
        <x:v>777.2</x:v>
      </x:c>
      <x:c r="C4049" s="32">
        <x:v>780.01</x:v>
      </x:c>
      <x:c r="D4049" s="32">
        <x:v>775.53</x:v>
      </x:c>
      <x:c r="E4049" s="32">
        <x:v>778.88</x:v>
      </x:c>
      <x:c r="F4049" s="33">
        <x:v>184646110</x:v>
      </x:c>
      <x:c r="G4049" s="32" t="n">
        <x:f t="shared" si="180">AVERAGE(E3850:E4049)</x:f>
        <x:v>702.4338000000002</x:v>
      </x:c>
      <x:c r="H4049" s="37" t="n">
        <x:f t="shared" si="181">IFERROR(E4049/G4049-1,"")</x:f>
        <x:v>0.1088304691488362</x:v>
      </x:c>
      <x:c r="I4049" s="38" t="b">
        <x:f t="shared" si="182">E4049&lt;G4049</x:f>
        <x:v>0</x:v>
      </x:c>
    </x:row>
    <x:row r="4050">
      <x:c r="A4050" s="31">
        <x:v>42920</x:v>
      </x:c>
      <x:c r="B4050" s="32">
        <x:v>779.15</x:v>
      </x:c>
      <x:c r="C4050" s="32">
        <x:v>779.15</x:v>
      </x:c>
      <x:c r="D4050" s="32">
        <x:v>772.9</x:v>
      </x:c>
      <x:c r="E4050" s="32">
        <x:v>775.54</x:v>
      </x:c>
      <x:c r="F4050" s="33">
        <x:v>210154270</x:v>
      </x:c>
      <x:c r="G4050" s="32" t="n">
        <x:f t="shared" si="180">AVERAGE(E3851:E4050)</x:f>
        <x:v>703.0283000000003</x:v>
      </x:c>
      <x:c r="H4050" s="37" t="n">
        <x:f t="shared" si="181">IFERROR(E4050/G4050-1,"")</x:f>
        <x:v>0.10314193610698119</x:v>
      </x:c>
      <x:c r="I4050" s="38" t="b">
        <x:f t="shared" si="182">E4050&lt;G4050</x:f>
        <x:v>0</x:v>
      </x:c>
    </x:row>
    <x:row r="4051">
      <x:c r="A4051" s="31">
        <x:v>42921</x:v>
      </x:c>
      <x:c r="B4051" s="32">
        <x:v>775.85</x:v>
      </x:c>
      <x:c r="C4051" s="32">
        <x:v>778.32</x:v>
      </x:c>
      <x:c r="D4051" s="32">
        <x:v>773.81</x:v>
      </x:c>
      <x:c r="E4051" s="32">
        <x:v>778.32</x:v>
      </x:c>
      <x:c r="F4051" s="33">
        <x:v>202611490</x:v>
      </x:c>
      <x:c r="G4051" s="32" t="n">
        <x:f t="shared" si="180">AVERAGE(E3852:E4051)</x:f>
        <x:v>703.6390000000004</x:v>
      </x:c>
      <x:c r="H4051" s="37" t="n">
        <x:f t="shared" si="181">IFERROR(E4051/G4051-1,"")</x:f>
        <x:v>0.10613539044879494</x:v>
      </x:c>
      <x:c r="I4051" s="38" t="b">
        <x:f t="shared" si="182">E4051&lt;G4051</x:f>
        <x:v>0</x:v>
      </x:c>
    </x:row>
    <x:row r="4052">
      <x:c r="A4052" s="31">
        <x:v>42922</x:v>
      </x:c>
      <x:c r="B4052" s="32">
        <x:v>780.5</x:v>
      </x:c>
      <x:c r="C4052" s="32">
        <x:v>782.77</x:v>
      </x:c>
      <x:c r="D4052" s="32">
        <x:v>778.32</x:v>
      </x:c>
      <x:c r="E4052" s="32">
        <x:v>782.65</x:v>
      </x:c>
      <x:c r="F4052" s="33">
        <x:v>217291680</x:v>
      </x:c>
      <x:c r="G4052" s="32" t="n">
        <x:f t="shared" si="180">AVERAGE(E3853:E4052)</x:f>
        <x:v>704.2957000000004</x:v>
      </x:c>
      <x:c r="H4052" s="37" t="n">
        <x:f t="shared" si="181">IFERROR(E4052/G4052-1,"")</x:f>
        <x:v>0.1112519925934512</x:v>
      </x:c>
      <x:c r="I4052" s="38" t="b">
        <x:f t="shared" si="182">E4052&lt;G4052</x:f>
        <x:v>0</x:v>
      </x:c>
    </x:row>
    <x:row r="4053">
      <x:c r="A4053" s="31">
        <x:v>42923</x:v>
      </x:c>
      <x:c r="B4053" s="32">
        <x:v>783.73</x:v>
      </x:c>
      <x:c r="C4053" s="32">
        <x:v>783.81</x:v>
      </x:c>
      <x:c r="D4053" s="32">
        <x:v>775.73</x:v>
      </x:c>
      <x:c r="E4053" s="32">
        <x:v>775.73</x:v>
      </x:c>
      <x:c r="F4053" s="33">
        <x:v>237199480</x:v>
      </x:c>
      <x:c r="G4053" s="32" t="n">
        <x:f t="shared" si="180">AVERAGE(E3854:E4053)</x:f>
        <x:v>704.8849000000005</x:v>
      </x:c>
      <x:c r="H4053" s="37" t="n">
        <x:f t="shared" si="181">IFERROR(E4053/G4053-1,"")</x:f>
        <x:v>0.1005059123837091</x:v>
      </x:c>
      <x:c r="I4053" s="38" t="b">
        <x:f t="shared" si="182">E4053&lt;G4053</x:f>
        <x:v>0</x:v>
      </x:c>
    </x:row>
    <x:row r="4054">
      <x:c r="A4054" s="31">
        <x:v>42926</x:v>
      </x:c>
      <x:c r="B4054" s="32">
        <x:v>775.85</x:v>
      </x:c>
      <x:c r="C4054" s="32">
        <x:v>775.85</x:v>
      </x:c>
      <x:c r="D4054" s="32">
        <x:v>764.43</x:v>
      </x:c>
      <x:c r="E4054" s="32">
        <x:v>766.56</x:v>
      </x:c>
      <x:c r="F4054" s="33">
        <x:v>207350440</x:v>
      </x:c>
      <x:c r="G4054" s="32" t="n">
        <x:f t="shared" si="180">AVERAGE(E3855:E4054)</x:f>
        <x:v>705.4008500000004</x:v>
      </x:c>
      <x:c r="H4054" s="37" t="n">
        <x:f t="shared" si="181">IFERROR(E4054/G4054-1,"")</x:f>
        <x:v>0.08670127063215105</x:v>
      </x:c>
      <x:c r="I4054" s="38" t="b">
        <x:f t="shared" si="182">E4054&lt;G4054</x:f>
        <x:v>0</x:v>
      </x:c>
    </x:row>
    <x:row r="4055">
      <x:c r="A4055" s="31">
        <x:v>42927</x:v>
      </x:c>
      <x:c r="B4055" s="32">
        <x:v>766.56</x:v>
      </x:c>
      <x:c r="C4055" s="32">
        <x:v>769.36</x:v>
      </x:c>
      <x:c r="D4055" s="32">
        <x:v>761.57</x:v>
      </x:c>
      <x:c r="E4055" s="32">
        <x:v>769.36</x:v>
      </x:c>
      <x:c r="F4055" s="33">
        <x:v>198964720</x:v>
      </x:c>
      <x:c r="G4055" s="32" t="n">
        <x:f t="shared" si="180">AVERAGE(E3856:E4055)</x:f>
        <x:v>705.9052500000005</x:v>
      </x:c>
      <x:c r="H4055" s="37" t="n">
        <x:f t="shared" si="181">IFERROR(E4055/G4055-1,"")</x:f>
        <x:v>0.08989131331719014</x:v>
      </x:c>
      <x:c r="I4055" s="38" t="b">
        <x:f t="shared" si="182">E4055&lt;G4055</x:f>
        <x:v>0</x:v>
      </x:c>
    </x:row>
    <x:row r="4056">
      <x:c r="A4056" s="31">
        <x:v>42928</x:v>
      </x:c>
      <x:c r="B4056" s="32">
        <x:v>772.6</x:v>
      </x:c>
      <x:c r="C4056" s="32">
        <x:v>775.08</x:v>
      </x:c>
      <x:c r="D4056" s="32">
        <x:v>769.36</x:v>
      </x:c>
      <x:c r="E4056" s="32">
        <x:v>774.17</x:v>
      </x:c>
      <x:c r="F4056" s="33">
        <x:v>163777890</x:v>
      </x:c>
      <x:c r="G4056" s="32" t="n">
        <x:f t="shared" si="180">AVERAGE(E3857:E4056)</x:f>
        <x:v>706.4192000000006</x:v>
      </x:c>
      <x:c r="H4056" s="37" t="n">
        <x:f t="shared" si="181">IFERROR(E4056/G4056-1,"")</x:f>
        <x:v>0.09590735925637262</x:v>
      </x:c>
      <x:c r="I4056" s="38" t="b">
        <x:f t="shared" si="182">E4056&lt;G4056</x:f>
        <x:v>0</x:v>
      </x:c>
    </x:row>
    <x:row r="4057">
      <x:c r="A4057" s="31">
        <x:v>42929</x:v>
      </x:c>
      <x:c r="B4057" s="32">
        <x:v>777.12</x:v>
      </x:c>
      <x:c r="C4057" s="32">
        <x:v>778.3</x:v>
      </x:c>
      <x:c r="D4057" s="32">
        <x:v>773.85</x:v>
      </x:c>
      <x:c r="E4057" s="32">
        <x:v>778.3</x:v>
      </x:c>
      <x:c r="F4057" s="33">
        <x:v>183216330</x:v>
      </x:c>
      <x:c r="G4057" s="32" t="n">
        <x:f t="shared" si="180">AVERAGE(E3858:E4057)</x:f>
        <x:v>706.9402500000006</x:v>
      </x:c>
      <x:c r="H4057" s="37" t="n">
        <x:f t="shared" si="181">IFERROR(E4057/G4057-1,"")</x:f>
        <x:v>0.10094169910398976</x:v>
      </x:c>
      <x:c r="I4057" s="38" t="b">
        <x:f t="shared" si="182">E4057&lt;G4057</x:f>
        <x:v>0</x:v>
      </x:c>
    </x:row>
    <x:row r="4058">
      <x:c r="A4058" s="31">
        <x:v>42930</x:v>
      </x:c>
      <x:c r="B4058" s="32">
        <x:v>779.72</x:v>
      </x:c>
      <x:c r="C4058" s="32">
        <x:v>780.65</x:v>
      </x:c>
      <x:c r="D4058" s="32">
        <x:v>776.88</x:v>
      </x:c>
      <x:c r="E4058" s="32">
        <x:v>777.6</x:v>
      </x:c>
      <x:c r="F4058" s="33">
        <x:v>189794180</x:v>
      </x:c>
      <x:c r="G4058" s="32" t="n">
        <x:f t="shared" si="180">AVERAGE(E3859:E4058)</x:f>
        <x:v>707.4430500000005</x:v>
      </x:c>
      <x:c r="H4058" s="37" t="n">
        <x:f t="shared" si="181">IFERROR(E4058/G4058-1,"")</x:f>
        <x:v>0.09916974942364543</x:v>
      </x:c>
      <x:c r="I4058" s="38" t="b">
        <x:f t="shared" si="182">E4058&lt;G4058</x:f>
        <x:v>0</x:v>
      </x:c>
    </x:row>
    <x:row r="4059">
      <x:c r="A4059" s="31">
        <x:v>42933</x:v>
      </x:c>
      <x:c r="B4059" s="32">
        <x:v>777.7</x:v>
      </x:c>
      <x:c r="C4059" s="32">
        <x:v>778.3</x:v>
      </x:c>
      <x:c r="D4059" s="32">
        <x:v>766.47</x:v>
      </x:c>
      <x:c r="E4059" s="32">
        <x:v>768.91</x:v>
      </x:c>
      <x:c r="F4059" s="33">
        <x:v>225823120</x:v>
      </x:c>
      <x:c r="G4059" s="32" t="n">
        <x:f t="shared" si="180">AVERAGE(E3860:E4059)</x:f>
        <x:v>707.8631500000005</x:v>
      </x:c>
      <x:c r="H4059" s="37" t="n">
        <x:f t="shared" si="181">IFERROR(E4059/G4059-1,"")</x:f>
        <x:v>0.0862410340190749</x:v>
      </x:c>
      <x:c r="I4059" s="38" t="b">
        <x:f t="shared" si="182">E4059&lt;G4059</x:f>
        <x:v>0</x:v>
      </x:c>
    </x:row>
    <x:row r="4060">
      <x:c r="A4060" s="31">
        <x:v>42934</x:v>
      </x:c>
      <x:c r="B4060" s="32">
        <x:v>766.88</x:v>
      </x:c>
      <x:c r="C4060" s="32">
        <x:v>770.37</x:v>
      </x:c>
      <x:c r="D4060" s="32">
        <x:v>762.68</x:v>
      </x:c>
      <x:c r="E4060" s="32">
        <x:v>767.49</x:v>
      </x:c>
      <x:c r="F4060" s="33">
        <x:v>201070890</x:v>
      </x:c>
      <x:c r="G4060" s="32" t="n">
        <x:f t="shared" si="180">AVERAGE(E3861:E4060)</x:f>
        <x:v>708.2670000000004</x:v>
      </x:c>
      <x:c r="H4060" s="37" t="n">
        <x:f t="shared" si="181">IFERROR(E4060/G4060-1,"")</x:f>
        <x:v>0.08361677164120263</x:v>
      </x:c>
      <x:c r="I4060" s="38" t="b">
        <x:f t="shared" si="182">E4060&lt;G4060</x:f>
        <x:v>0</x:v>
      </x:c>
    </x:row>
    <x:row r="4061">
      <x:c r="A4061" s="31">
        <x:v>42935</x:v>
      </x:c>
      <x:c r="B4061" s="32">
        <x:v>771.33</x:v>
      </x:c>
      <x:c r="C4061" s="32">
        <x:v>774.12</x:v>
      </x:c>
      <x:c r="D4061" s="32">
        <x:v>767.49</x:v>
      </x:c>
      <x:c r="E4061" s="32">
        <x:v>771.3</x:v>
      </x:c>
      <x:c r="F4061" s="33">
        <x:v>205221170</x:v>
      </x:c>
      <x:c r="G4061" s="32" t="n">
        <x:f t="shared" si="180">AVERAGE(E3862:E4061)</x:f>
        <x:v>708.6807500000002</x:v>
      </x:c>
      <x:c r="H4061" s="37" t="n">
        <x:f t="shared" si="181">IFERROR(E4061/G4061-1,"")</x:f>
        <x:v>0.08836030892612756</x:v>
      </x:c>
      <x:c r="I4061" s="38" t="b">
        <x:f t="shared" si="182">E4061&lt;G4061</x:f>
        <x:v>0</x:v>
      </x:c>
    </x:row>
    <x:row r="4062">
      <x:c r="A4062" s="31">
        <x:v>42936</x:v>
      </x:c>
      <x:c r="B4062" s="32">
        <x:v>768.56</x:v>
      </x:c>
      <x:c r="C4062" s="32">
        <x:v>771.3</x:v>
      </x:c>
      <x:c r="D4062" s="32">
        <x:v>763.55</x:v>
      </x:c>
      <x:c r="E4062" s="32">
        <x:v>768.41</x:v>
      </x:c>
      <x:c r="F4062" s="33">
        <x:v>172385410</x:v>
      </x:c>
      <x:c r="G4062" s="32" t="n">
        <x:f t="shared" si="180">AVERAGE(E3863:E4062)</x:f>
        <x:v>709.0941500000002</x:v>
      </x:c>
      <x:c r="H4062" s="37" t="n">
        <x:f t="shared" si="181">IFERROR(E4062/G4062-1,"")</x:f>
        <x:v>0.08365017536810826</x:v>
      </x:c>
      <x:c r="I4062" s="38" t="b">
        <x:f t="shared" si="182">E4062&lt;G4062</x:f>
        <x:v>0</x:v>
      </x:c>
    </x:row>
    <x:row r="4063">
      <x:c r="A4063" s="31">
        <x:v>42937</x:v>
      </x:c>
      <x:c r="B4063" s="32">
        <x:v>768.41</x:v>
      </x:c>
      <x:c r="C4063" s="32">
        <x:v>770.43</x:v>
      </x:c>
      <x:c r="D4063" s="32">
        <x:v>761.86</x:v>
      </x:c>
      <x:c r="E4063" s="32">
        <x:v>761.86</x:v>
      </x:c>
      <x:c r="F4063" s="33">
        <x:v>162474290</x:v>
      </x:c>
      <x:c r="G4063" s="32" t="n">
        <x:f t="shared" si="180">AVERAGE(E3864:E4063)</x:f>
        <x:v>709.4882000000002</x:v>
      </x:c>
      <x:c r="H4063" s="37" t="n">
        <x:f t="shared" si="181">IFERROR(E4063/G4063-1,"")</x:f>
        <x:v>0.07381630871380218</x:v>
      </x:c>
      <x:c r="I4063" s="38" t="b">
        <x:f t="shared" si="182">E4063&lt;G4063</x:f>
        <x:v>0</x:v>
      </x:c>
    </x:row>
    <x:row r="4064">
      <x:c r="A4064" s="31">
        <x:v>42940</x:v>
      </x:c>
      <x:c r="B4064" s="32">
        <x:v>759.97</x:v>
      </x:c>
      <x:c r="C4064" s="32">
        <x:v>761.86</x:v>
      </x:c>
      <x:c r="D4064" s="32">
        <x:v>753.82</x:v>
      </x:c>
      <x:c r="E4064" s="32">
        <x:v>759.74</x:v>
      </x:c>
      <x:c r="F4064" s="33">
        <x:v>146939630</x:v>
      </x:c>
      <x:c r="G4064" s="32" t="n">
        <x:f t="shared" si="180">AVERAGE(E3865:E4064)</x:f>
        <x:v>709.8659000000001</x:v>
      </x:c>
      <x:c r="H4064" s="37" t="n">
        <x:f t="shared" si="181">IFERROR(E4064/G4064-1,"")</x:f>
        <x:v>0.07025848121455036</x:v>
      </x:c>
      <x:c r="I4064" s="38" t="b">
        <x:f t="shared" si="182">E4064&lt;G4064</x:f>
        <x:v>0</x:v>
      </x:c>
    </x:row>
    <x:row r="4065">
      <x:c r="A4065" s="31">
        <x:v>42941</x:v>
      </x:c>
      <x:c r="B4065" s="32">
        <x:v>757.43</x:v>
      </x:c>
      <x:c r="C4065" s="32">
        <x:v>767.27</x:v>
      </x:c>
      <x:c r="D4065" s="32">
        <x:v>757.35</x:v>
      </x:c>
      <x:c r="E4065" s="32">
        <x:v>767.27</x:v>
      </x:c>
      <x:c r="F4065" s="33">
        <x:v>139582860</x:v>
      </x:c>
      <x:c r="G4065" s="32" t="n">
        <x:f t="shared" si="180">AVERAGE(E3866:E4065)</x:f>
        <x:v>710.26705</x:v>
      </x:c>
      <x:c r="H4065" s="37" t="n">
        <x:f t="shared" si="181">IFERROR(E4065/G4065-1,"")</x:f>
        <x:v>0.08025565876947272</x:v>
      </x:c>
      <x:c r="I4065" s="38" t="b">
        <x:f t="shared" si="182">E4065&lt;G4065</x:f>
        <x:v>0</x:v>
      </x:c>
    </x:row>
    <x:row r="4066">
      <x:c r="A4066" s="31">
        <x:v>42942</x:v>
      </x:c>
      <x:c r="B4066" s="32">
        <x:v>769.35</x:v>
      </x:c>
      <x:c r="C4066" s="32">
        <x:v>773.88</x:v>
      </x:c>
      <x:c r="D4066" s="32">
        <x:v>764.92</x:v>
      </x:c>
      <x:c r="E4066" s="32">
        <x:v>773.88</x:v>
      </x:c>
      <x:c r="F4066" s="33">
        <x:v>188632680</x:v>
      </x:c>
      <x:c r="G4066" s="32" t="n">
        <x:f t="shared" si="180">AVERAGE(E3867:E4066)</x:f>
        <x:v>710.6998500000002</x:v>
      </x:c>
      <x:c r="H4066" s="37" t="n">
        <x:f t="shared" si="181">IFERROR(E4066/G4066-1,"")</x:f>
        <x:v>0.08889849913433889</x:v>
      </x:c>
      <x:c r="I4066" s="38" t="b">
        <x:f t="shared" si="182">E4066&lt;G4066</x:f>
        <x:v>0</x:v>
      </x:c>
    </x:row>
    <x:row r="4067">
      <x:c r="A4067" s="31">
        <x:v>42943</x:v>
      </x:c>
      <x:c r="B4067" s="32">
        <x:v>773.21</x:v>
      </x:c>
      <x:c r="C4067" s="32">
        <x:v>774.97</x:v>
      </x:c>
      <x:c r="D4067" s="32">
        <x:v>770.3</x:v>
      </x:c>
      <x:c r="E4067" s="32">
        <x:v>771.5</x:v>
      </x:c>
      <x:c r="F4067" s="33">
        <x:v>191436360</x:v>
      </x:c>
      <x:c r="G4067" s="32" t="n">
        <x:f t="shared" si="180">AVERAGE(E3868:E4067)</x:f>
        <x:v>711.1376000000001</x:v>
      </x:c>
      <x:c r="H4067" s="37" t="n">
        <x:f t="shared" si="181">IFERROR(E4067/G4067-1,"")</x:f>
        <x:v>0.08488146316549683</x:v>
      </x:c>
      <x:c r="I4067" s="38" t="b">
        <x:f t="shared" si="182">E4067&lt;G4067</x:f>
        <x:v>0</x:v>
      </x:c>
    </x:row>
    <x:row r="4068">
      <x:c r="A4068" s="31">
        <x:v>42944</x:v>
      </x:c>
      <x:c r="B4068" s="32">
        <x:v>771.5</x:v>
      </x:c>
      <x:c r="C4068" s="32">
        <x:v>777.09</x:v>
      </x:c>
      <x:c r="D4068" s="32">
        <x:v>770.82</x:v>
      </x:c>
      <x:c r="E4068" s="32">
        <x:v>777.09</x:v>
      </x:c>
      <x:c r="F4068" s="33">
        <x:v>177186920</x:v>
      </x:c>
      <x:c r="G4068" s="32" t="n">
        <x:f t="shared" si="180">AVERAGE(E3869:E4068)</x:f>
        <x:v>711.6521</x:v>
      </x:c>
      <x:c r="H4068" s="37" t="n">
        <x:f t="shared" si="181">IFERROR(E4068/G4068-1,"")</x:f>
        <x:v>0.0919520928835873</x:v>
      </x:c>
      <x:c r="I4068" s="38" t="b">
        <x:f t="shared" si="182">E4068&lt;G4068</x:f>
        <x:v>0</x:v>
      </x:c>
    </x:row>
    <x:row r="4069">
      <x:c r="A4069" s="31">
        <x:v>42947</x:v>
      </x:c>
      <x:c r="B4069" s="32">
        <x:v>777.54</x:v>
      </x:c>
      <x:c r="C4069" s="32">
        <x:v>783.58</x:v>
      </x:c>
      <x:c r="D4069" s="32">
        <x:v>776.72</x:v>
      </x:c>
      <x:c r="E4069" s="32">
        <x:v>783.55</x:v>
      </x:c>
      <x:c r="F4069" s="33">
        <x:v>258874940</x:v>
      </x:c>
      <x:c r="G4069" s="32" t="n">
        <x:f t="shared" si="180">AVERAGE(E3870:E4069)</x:f>
        <x:v>712.1580500000001</x:v>
      </x:c>
      <x:c r="H4069" s="37" t="n">
        <x:f t="shared" si="181">IFERROR(E4069/G4069-1,"")</x:f>
        <x:v>0.10024733975835809</x:v>
      </x:c>
      <x:c r="I4069" s="38" t="b">
        <x:f t="shared" si="182">E4069&lt;G4069</x:f>
        <x:v>0</x:v>
      </x:c>
    </x:row>
    <x:row r="4070">
      <x:c r="A4070" s="31">
        <x:v>42948</x:v>
      </x:c>
      <x:c r="B4070" s="32">
        <x:v>784.44</x:v>
      </x:c>
      <x:c r="C4070" s="32">
        <x:v>787.68</x:v>
      </x:c>
      <x:c r="D4070" s="32">
        <x:v>783.55</x:v>
      </x:c>
      <x:c r="E4070" s="32">
        <x:v>786.81</x:v>
      </x:c>
      <x:c r="F4070" s="33">
        <x:v>201082610</x:v>
      </x:c>
      <x:c r="G4070" s="32" t="n">
        <x:f t="shared" si="180">AVERAGE(E3871:E4070)</x:f>
        <x:v>712.6798500000001</x:v>
      </x:c>
      <x:c r="H4070" s="37" t="n">
        <x:f t="shared" si="181">IFERROR(E4070/G4070-1,"")</x:f>
        <x:v>0.10401605994613128</x:v>
      </x:c>
      <x:c r="I4070" s="38" t="b">
        <x:f t="shared" si="182">E4070&lt;G4070</x:f>
        <x:v>0</x:v>
      </x:c>
    </x:row>
    <x:row r="4071">
      <x:c r="A4071" s="31">
        <x:v>42949</x:v>
      </x:c>
      <x:c r="B4071" s="32">
        <x:v>783.45</x:v>
      </x:c>
      <x:c r="C4071" s="32">
        <x:v>788.97</x:v>
      </x:c>
      <x:c r="D4071" s="32">
        <x:v>779.81</x:v>
      </x:c>
      <x:c r="E4071" s="32">
        <x:v>786.23</x:v>
      </x:c>
      <x:c r="F4071" s="33">
        <x:v>194673150</x:v>
      </x:c>
      <x:c r="G4071" s="32" t="n">
        <x:f t="shared" si="180">AVERAGE(E3872:E4071)</x:f>
        <x:v>713.1848500000001</x:v>
      </x:c>
      <x:c r="H4071" s="37" t="n">
        <x:f t="shared" si="181">IFERROR(E4071/G4071-1,"")</x:f>
        <x:v>0.10242106236552817</x:v>
      </x:c>
      <x:c r="I4071" s="38" t="b">
        <x:f t="shared" si="182">E4071&lt;G4071</x:f>
        <x:v>0</x:v>
      </x:c>
    </x:row>
    <x:row r="4072">
      <x:c r="A4072" s="31">
        <x:v>42950</x:v>
      </x:c>
      <x:c r="B4072" s="32">
        <x:v>786.23</x:v>
      </x:c>
      <x:c r="C4072" s="32">
        <x:v>790.82</x:v>
      </x:c>
      <x:c r="D4072" s="32">
        <x:v>786.19</x:v>
      </x:c>
      <x:c r="E4072" s="32">
        <x:v>788.49</x:v>
      </x:c>
      <x:c r="F4072" s="33">
        <x:v>195378820</x:v>
      </x:c>
      <x:c r="G4072" s="32" t="n">
        <x:f t="shared" si="180">AVERAGE(E3873:E4072)</x:f>
        <x:v>713.6923000000002</x:v>
      </x:c>
      <x:c r="H4072" s="37" t="n">
        <x:f t="shared" si="181">IFERROR(E4072/G4072-1,"")</x:f>
        <x:v>0.10480384894162342</x:v>
      </x:c>
      <x:c r="I4072" s="38" t="b">
        <x:f t="shared" si="182">E4072&lt;G4072</x:f>
        <x:v>0</x:v>
      </x:c>
    </x:row>
    <x:row r="4073">
      <x:c r="A4073" s="31">
        <x:v>42951</x:v>
      </x:c>
      <x:c r="B4073" s="32">
        <x:v>789.46</x:v>
      </x:c>
      <x:c r="C4073" s="32">
        <x:v>790.12</x:v>
      </x:c>
      <x:c r="D4073" s="32">
        <x:v>786.09</x:v>
      </x:c>
      <x:c r="E4073" s="32">
        <x:v>788.68</x:v>
      </x:c>
      <x:c r="F4073" s="33">
        <x:v>189688130</x:v>
      </x:c>
      <x:c r="G4073" s="32" t="n">
        <x:f t="shared" si="180">AVERAGE(E3874:E4073)</x:f>
        <x:v>714.23095</x:v>
      </x:c>
      <x:c r="H4073" s="37" t="n">
        <x:f t="shared" si="181">IFERROR(E4073/G4073-1,"")</x:f>
        <x:v>0.10423666182486202</x:v>
      </x:c>
      <x:c r="I4073" s="38" t="b">
        <x:f t="shared" si="182">E4073&lt;G4073</x:f>
        <x:v>0</x:v>
      </x:c>
    </x:row>
    <x:row r="4074">
      <x:c r="A4074" s="31">
        <x:v>42954</x:v>
      </x:c>
      <x:c r="B4074" s="32">
        <x:v>789.41</x:v>
      </x:c>
      <x:c r="C4074" s="32">
        <x:v>796.09</x:v>
      </x:c>
      <x:c r="D4074" s="32">
        <x:v>788.66</x:v>
      </x:c>
      <x:c r="E4074" s="32">
        <x:v>792.98</x:v>
      </x:c>
      <x:c r="F4074" s="33">
        <x:v>210236060</x:v>
      </x:c>
      <x:c r="G4074" s="32" t="n">
        <x:f t="shared" si="180">AVERAGE(E3875:E4074)</x:f>
        <x:v>714.7857500000001</x:v>
      </x:c>
      <x:c r="H4074" s="37" t="n">
        <x:f t="shared" si="181">IFERROR(E4074/G4074-1,"")</x:f>
        <x:v>0.10939536777279057</x:v>
      </x:c>
      <x:c r="I4074" s="38" t="b">
        <x:f t="shared" si="182">E4074&lt;G4074</x:f>
        <x:v>0</x:v>
      </x:c>
    </x:row>
    <x:row r="4075">
      <x:c r="A4075" s="31">
        <x:v>42955</x:v>
      </x:c>
      <x:c r="B4075" s="32">
        <x:v>795.8</x:v>
      </x:c>
      <x:c r="C4075" s="32">
        <x:v>796.62</x:v>
      </x:c>
      <x:c r="D4075" s="32">
        <x:v>789.84</x:v>
      </x:c>
      <x:c r="E4075" s="32">
        <x:v>791.57</x:v>
      </x:c>
      <x:c r="F4075" s="33">
        <x:v>213526640</x:v>
      </x:c>
      <x:c r="G4075" s="32" t="n">
        <x:f t="shared" si="180">AVERAGE(E3876:E4075)</x:f>
        <x:v>715.2991500000003</x:v>
      </x:c>
      <x:c r="H4075" s="37" t="n">
        <x:f t="shared" si="181">IFERROR(E4075/G4075-1,"")</x:f>
        <x:v>0.10662790526173516</x:v>
      </x:c>
      <x:c r="I4075" s="38" t="b">
        <x:f t="shared" si="182">E4075&lt;G4075</x:f>
        <x:v>0</x:v>
      </x:c>
    </x:row>
    <x:row r="4076">
      <x:c r="A4076" s="31">
        <x:v>42956</x:v>
      </x:c>
      <x:c r="B4076" s="32">
        <x:v>789.15</x:v>
      </x:c>
      <x:c r="C4076" s="32">
        <x:v>791.57</x:v>
      </x:c>
      <x:c r="D4076" s="32">
        <x:v>773.66</x:v>
      </x:c>
      <x:c r="E4076" s="32">
        <x:v>773.66</x:v>
      </x:c>
      <x:c r="F4076" s="33">
        <x:v>292795000</x:v>
      </x:c>
      <x:c r="G4076" s="32" t="n">
        <x:f t="shared" si="180">AVERAGE(E3877:E4076)</x:f>
        <x:v>715.7355000000003</x:v>
      </x:c>
      <x:c r="H4076" s="37" t="n">
        <x:f t="shared" si="181">IFERROR(E4076/G4076-1,"")</x:f>
        <x:v>0.08093003630531048</x:v>
      </x:c>
      <x:c r="I4076" s="38" t="b">
        <x:f t="shared" si="182">E4076&lt;G4076</x:f>
        <x:v>0</x:v>
      </x:c>
    </x:row>
    <x:row r="4077">
      <x:c r="A4077" s="31">
        <x:v>42957</x:v>
      </x:c>
      <x:c r="B4077" s="32">
        <x:v>769.58</x:v>
      </x:c>
      <x:c r="C4077" s="32">
        <x:v>776.77</x:v>
      </x:c>
      <x:c r="D4077" s="32">
        <x:v>769.58</x:v>
      </x:c>
      <x:c r="E4077" s="32">
        <x:v>773.43</x:v>
      </x:c>
      <x:c r="F4077" s="33">
        <x:v>178275390</x:v>
      </x:c>
      <x:c r="G4077" s="32" t="n">
        <x:f t="shared" si="180">AVERAGE(E3878:E4077)</x:f>
        <x:v>716.1785000000002</x:v>
      </x:c>
      <x:c r="H4077" s="37" t="n">
        <x:f t="shared" si="181">IFERROR(E4077/G4077-1,"")</x:f>
        <x:v>0.07994026628836215</x:v>
      </x:c>
      <x:c r="I4077" s="38" t="b">
        <x:f t="shared" si="182">E4077&lt;G4077</x:f>
        <x:v>0</x:v>
      </x:c>
    </x:row>
    <x:row r="4078">
      <x:c r="A4078" s="31">
        <x:v>42958</x:v>
      </x:c>
      <x:c r="B4078" s="32">
        <x:v>773.43</x:v>
      </x:c>
      <x:c r="C4078" s="32">
        <x:v>774.31</x:v>
      </x:c>
      <x:c r="D4078" s="32">
        <x:v>769.14</x:v>
      </x:c>
      <x:c r="E4078" s="32">
        <x:v>772.08</x:v>
      </x:c>
      <x:c r="F4078" s="33">
        <x:v>156752670</x:v>
      </x:c>
      <x:c r="G4078" s="32" t="n">
        <x:f t="shared" si="180">AVERAGE(E3879:E4078)</x:f>
        <x:v>716.6488000000002</x:v>
      </x:c>
      <x:c r="H4078" s="37" t="n">
        <x:f t="shared" si="181">IFERROR(E4078/G4078-1,"")</x:f>
        <x:v>0.07734778876347792</x:v>
      </x:c>
      <x:c r="I4078" s="38" t="b">
        <x:f t="shared" si="182">E4078&lt;G4078</x:f>
        <x:v>0</x:v>
      </x:c>
    </x:row>
    <x:row r="4079">
      <x:c r="A4079" s="31">
        <x:v>42961</x:v>
      </x:c>
      <x:c r="B4079" s="32">
        <x:v>770.65</x:v>
      </x:c>
      <x:c r="C4079" s="32">
        <x:v>776.42</x:v>
      </x:c>
      <x:c r="D4079" s="32">
        <x:v>770.65</x:v>
      </x:c>
      <x:c r="E4079" s="32">
        <x:v>776.17</x:v>
      </x:c>
      <x:c r="F4079" s="33">
        <x:v>159668260</x:v>
      </x:c>
      <x:c r="G4079" s="32" t="n">
        <x:f t="shared" si="180">AVERAGE(E3880:E4079)</x:f>
        <x:v>717.1487500000003</x:v>
      </x:c>
      <x:c r="H4079" s="37" t="n">
        <x:f t="shared" si="181">IFERROR(E4079/G4079-1,"")</x:f>
        <x:v>0.0822998715398997</x:v>
      </x:c>
      <x:c r="I4079" s="38" t="b">
        <x:f t="shared" si="182">E4079&lt;G4079</x:f>
        <x:v>0</x:v>
      </x:c>
    </x:row>
    <x:row r="4080">
      <x:c r="A4080" s="31">
        <x:v>42962</x:v>
      </x:c>
      <x:c r="B4080" s="32">
        <x:v>776.64</x:v>
      </x:c>
      <x:c r="C4080" s="32">
        <x:v>776.83</x:v>
      </x:c>
      <x:c r="D4080" s="32">
        <x:v>770.09</x:v>
      </x:c>
      <x:c r="E4080" s="32">
        <x:v>771.06</x:v>
      </x:c>
      <x:c r="F4080" s="33">
        <x:v>145550720</x:v>
      </x:c>
      <x:c r="G4080" s="32" t="n">
        <x:f t="shared" si="180">AVERAGE(E3881:E4080)</x:f>
        <x:v>717.6360000000003</x:v>
      </x:c>
      <x:c r="H4080" s="37" t="n">
        <x:f t="shared" si="181">IFERROR(E4080/G4080-1,"")</x:f>
        <x:v>0.07444442586492261</x:v>
      </x:c>
      <x:c r="I4080" s="38" t="b">
        <x:f t="shared" si="182">E4080&lt;G4080</x:f>
        <x:v>0</x:v>
      </x:c>
    </x:row>
    <x:row r="4081">
      <x:c r="A4081" s="31">
        <x:v>42963</x:v>
      </x:c>
      <x:c r="B4081" s="32">
        <x:v>771.1</x:v>
      </x:c>
      <x:c r="C4081" s="32">
        <x:v>773.57</x:v>
      </x:c>
      <x:c r="D4081" s="32">
        <x:v>766.8</x:v>
      </x:c>
      <x:c r="E4081" s="32">
        <x:v>773.57</x:v>
      </x:c>
      <x:c r="F4081" s="33">
        <x:v>156131920</x:v>
      </x:c>
      <x:c r="G4081" s="32" t="n">
        <x:f t="shared" si="180">AVERAGE(E3882:E4081)</x:f>
        <x:v>718.1193500000004</x:v>
      </x:c>
      <x:c r="H4081" s="37" t="n">
        <x:f t="shared" si="181">IFERROR(E4081/G4081-1,"")</x:f>
        <x:v>0.07721648219059918</x:v>
      </x:c>
      <x:c r="I4081" s="38" t="b">
        <x:f t="shared" si="182">E4081&lt;G4081</x:f>
        <x:v>0</x:v>
      </x:c>
    </x:row>
    <x:row r="4082">
      <x:c r="A4082" s="31">
        <x:v>42964</x:v>
      </x:c>
      <x:c r="B4082" s="32">
        <x:v>773.48</x:v>
      </x:c>
      <x:c r="C4082" s="32">
        <x:v>774.47</x:v>
      </x:c>
      <x:c r="D4082" s="32">
        <x:v>767.59</x:v>
      </x:c>
      <x:c r="E4082" s="32">
        <x:v>767.59</x:v>
      </x:c>
      <x:c r="F4082" s="33">
        <x:v>220817310</x:v>
      </x:c>
      <x:c r="G4082" s="32" t="n">
        <x:f t="shared" si="180">AVERAGE(E3883:E4082)</x:f>
        <x:v>718.5460500000004</x:v>
      </x:c>
      <x:c r="H4082" s="37" t="n">
        <x:f t="shared" si="181">IFERROR(E4082/G4082-1,"")</x:f>
        <x:v>0.0682544285087916</x:v>
      </x:c>
      <x:c r="I4082" s="38" t="b">
        <x:f t="shared" si="182">E4082&lt;G4082</x:f>
        <x:v>0</x:v>
      </x:c>
    </x:row>
    <x:row r="4083">
      <x:c r="A4083" s="31">
        <x:v>42965</x:v>
      </x:c>
      <x:c r="B4083" s="32">
        <x:v>762.82</x:v>
      </x:c>
      <x:c r="C4083" s="32">
        <x:v>770.79</x:v>
      </x:c>
      <x:c r="D4083" s="32">
        <x:v>762.46</x:v>
      </x:c>
      <x:c r="E4083" s="32">
        <x:v>768.97</x:v>
      </x:c>
      <x:c r="F4083" s="33">
        <x:v>162337400</x:v>
      </x:c>
      <x:c r="G4083" s="32" t="n">
        <x:f t="shared" si="180">AVERAGE(E3884:E4083)</x:f>
        <x:v>719.0119000000004</x:v>
      </x:c>
      <x:c r="H4083" s="37" t="n">
        <x:f t="shared" si="181">IFERROR(E4083/G4083-1,"")</x:f>
        <x:v>0.06948160385106217</x:v>
      </x:c>
      <x:c r="I4083" s="38" t="b">
        <x:f t="shared" si="182">E4083&lt;G4083</x:f>
        <x:v>0</x:v>
      </x:c>
    </x:row>
    <x:row r="4084">
      <x:c r="A4084" s="31">
        <x:v>42968</x:v>
      </x:c>
      <x:c r="B4084" s="32">
        <x:v>767.42</x:v>
      </x:c>
      <x:c r="C4084" s="32">
        <x:v>769.71</x:v>
      </x:c>
      <x:c r="D4084" s="32">
        <x:v>765.95</x:v>
      </x:c>
      <x:c r="E4084" s="32">
        <x:v>768.79</x:v>
      </x:c>
      <x:c r="F4084" s="33">
        <x:v>152284410</x:v>
      </x:c>
      <x:c r="G4084" s="32" t="n">
        <x:f t="shared" si="180">AVERAGE(E3885:E4084)</x:f>
        <x:v>719.4728500000006</x:v>
      </x:c>
      <x:c r="H4084" s="37" t="n">
        <x:f t="shared" si="181">IFERROR(E4084/G4084-1,"")</x:f>
        <x:v>0.0685462279778859</x:v>
      </x:c>
      <x:c r="I4084" s="38" t="b">
        <x:f t="shared" si="182">E4084&lt;G4084</x:f>
        <x:v>0</x:v>
      </x:c>
    </x:row>
    <x:row r="4085">
      <x:c r="A4085" s="31">
        <x:v>42969</x:v>
      </x:c>
      <x:c r="B4085" s="32">
        <x:v>768.2</x:v>
      </x:c>
      <x:c r="C4085" s="32">
        <x:v>768.79</x:v>
      </x:c>
      <x:c r="D4085" s="32">
        <x:v>760.3</x:v>
      </x:c>
      <x:c r="E4085" s="32">
        <x:v>761.26</x:v>
      </x:c>
      <x:c r="F4085" s="33">
        <x:v>145570650</x:v>
      </x:c>
      <x:c r="G4085" s="32" t="n">
        <x:f t="shared" si="180">AVERAGE(E3886:E4085)</x:f>
        <x:v>719.9221500000006</x:v>
      </x:c>
      <x:c r="H4085" s="37" t="n">
        <x:f t="shared" si="181">IFERROR(E4085/G4085-1,"")</x:f>
        <x:v>0.05741988908106155</x:v>
      </x:c>
      <x:c r="I4085" s="38" t="b">
        <x:f t="shared" si="182">E4085&lt;G4085</x:f>
        <x:v>0</x:v>
      </x:c>
    </x:row>
    <x:row r="4086">
      <x:c r="A4086" s="31">
        <x:v>42970</x:v>
      </x:c>
      <x:c r="B4086" s="32">
        <x:v>762.42</x:v>
      </x:c>
      <x:c r="C4086" s="32">
        <x:v>765.98</x:v>
      </x:c>
      <x:c r="D4086" s="32">
        <x:v>759.01</x:v>
      </x:c>
      <x:c r="E4086" s="32">
        <x:v>765.98</x:v>
      </x:c>
      <x:c r="F4086" s="33">
        <x:v>152531930</x:v>
      </x:c>
      <x:c r="G4086" s="32" t="n">
        <x:f t="shared" si="180">AVERAGE(E3887:E4086)</x:f>
        <x:v>720.4139000000007</x:v>
      </x:c>
      <x:c r="H4086" s="37" t="n">
        <x:f t="shared" si="181">IFERROR(E4086/G4086-1,"")</x:f>
        <x:v>0.06324989009789972</x:v>
      </x:c>
      <x:c r="I4086" s="38" t="b">
        <x:f t="shared" si="182">E4086&lt;G4086</x:f>
        <x:v>0</x:v>
      </x:c>
    </x:row>
    <x:row r="4087">
      <x:c r="A4087" s="31">
        <x:v>42971</x:v>
      </x:c>
      <x:c r="B4087" s="32">
        <x:v>766.48</x:v>
      </x:c>
      <x:c r="C4087" s="32">
        <x:v>771.65</x:v>
      </x:c>
      <x:c r="D4087" s="32">
        <x:v>764.64</x:v>
      </x:c>
      <x:c r="E4087" s="32">
        <x:v>769.77</x:v>
      </x:c>
      <x:c r="F4087" s="33">
        <x:v>208905050</x:v>
      </x:c>
      <x:c r="G4087" s="32" t="n">
        <x:f t="shared" si="180">AVERAGE(E3888:E4087)</x:f>
        <x:v>720.9291000000006</x:v>
      </x:c>
      <x:c r="H4087" s="37" t="n">
        <x:f t="shared" si="181">IFERROR(E4087/G4087-1,"")</x:f>
        <x:v>0.06774716126731373</x:v>
      </x:c>
      <x:c r="I4087" s="38" t="b">
        <x:f t="shared" si="182">E4087&lt;G4087</x:f>
        <x:v>0</x:v>
      </x:c>
    </x:row>
    <x:row r="4088">
      <x:c r="A4088" s="31">
        <x:v>42972</x:v>
      </x:c>
      <x:c r="B4088" s="32">
        <x:v>769.07</x:v>
      </x:c>
      <x:c r="C4088" s="32">
        <x:v>771.63</x:v>
      </x:c>
      <x:c r="D4088" s="32">
        <x:v>768.57</x:v>
      </x:c>
      <x:c r="E4088" s="32">
        <x:v>771.63</x:v>
      </x:c>
      <x:c r="F4088" s="33">
        <x:v>218265430</x:v>
      </x:c>
      <x:c r="G4088" s="32" t="n">
        <x:f t="shared" si="180">AVERAGE(E3889:E4088)</x:f>
        <x:v>721.4165500000006</x:v>
      </x:c>
      <x:c r="H4088" s="37" t="n">
        <x:f t="shared" si="181">IFERROR(E4088/G4088-1,"")</x:f>
        <x:v>0.0696039618165114</x:v>
      </x:c>
      <x:c r="I4088" s="38" t="b">
        <x:f t="shared" si="182">E4088&lt;G4088</x:f>
        <x:v>0</x:v>
      </x:c>
    </x:row>
    <x:row r="4089">
      <x:c r="A4089" s="31">
        <x:v>42975</x:v>
      </x:c>
      <x:c r="B4089" s="32">
        <x:v>771.81</x:v>
      </x:c>
      <x:c r="C4089" s="32">
        <x:v>777.26</x:v>
      </x:c>
      <x:c r="D4089" s="32">
        <x:v>770.51</x:v>
      </x:c>
      <x:c r="E4089" s="32">
        <x:v>777.26</x:v>
      </x:c>
      <x:c r="F4089" s="33">
        <x:v>240572610</x:v>
      </x:c>
      <x:c r="G4089" s="32" t="n">
        <x:f t="shared" si="180">AVERAGE(E3890:E4089)</x:f>
        <x:v>721.9205500000006</x:v>
      </x:c>
      <x:c r="H4089" s="37" t="n">
        <x:f t="shared" si="181">IFERROR(E4089/G4089-1,"")</x:f>
        <x:v>0.07665587300430676</x:v>
      </x:c>
      <x:c r="I4089" s="38" t="b">
        <x:f t="shared" si="182">E4089&lt;G4089</x:f>
        <x:v>0</x:v>
      </x:c>
    </x:row>
    <x:row r="4090">
      <x:c r="A4090" s="31">
        <x:v>42976</x:v>
      </x:c>
      <x:c r="B4090" s="32">
        <x:v>773.91</x:v>
      </x:c>
      <x:c r="C4090" s="32">
        <x:v>777.26</x:v>
      </x:c>
      <x:c r="D4090" s="32">
        <x:v>773.87</x:v>
      </x:c>
      <x:c r="E4090" s="32">
        <x:v>774.03</x:v>
      </x:c>
      <x:c r="F4090" s="33">
        <x:v>255981300</x:v>
      </x:c>
      <x:c r="G4090" s="32" t="n">
        <x:f t="shared" si="180">AVERAGE(E3891:E4090)</x:f>
        <x:v>722.4394000000008</x:v>
      </x:c>
      <x:c r="H4090" s="37" t="n">
        <x:f t="shared" si="181">IFERROR(E4090/G4090-1,"")</x:f>
        <x:v>0.07141166442472424</x:v>
      </x:c>
      <x:c r="I4090" s="38" t="b">
        <x:f t="shared" si="182">E4090&lt;G4090</x:f>
        <x:v>0</x:v>
      </x:c>
    </x:row>
    <x:row r="4091">
      <x:c r="A4091" s="31">
        <x:v>42977</x:v>
      </x:c>
      <x:c r="B4091" s="32">
        <x:v>774.31</x:v>
      </x:c>
      <x:c r="C4091" s="32">
        <x:v>778.65</x:v>
      </x:c>
      <x:c r="D4091" s="32">
        <x:v>773.85</x:v>
      </x:c>
      <x:c r="E4091" s="32">
        <x:v>778.65</x:v>
      </x:c>
      <x:c r="F4091" s="33">
        <x:v>193496470</x:v>
      </x:c>
      <x:c r="G4091" s="32" t="n">
        <x:f t="shared" si="180">AVERAGE(E3892:E4091)</x:f>
        <x:v>722.9418000000006</x:v>
      </x:c>
      <x:c r="H4091" s="37" t="n">
        <x:f t="shared" si="181">IFERROR(E4091/G4091-1,"")</x:f>
        <x:v>0.0770576552635347</x:v>
      </x:c>
      <x:c r="I4091" s="38" t="b">
        <x:f t="shared" si="182">E4091&lt;G4091</x:f>
        <x:v>0</x:v>
      </x:c>
    </x:row>
    <x:row r="4092">
      <x:c r="A4092" s="31">
        <x:v>42978</x:v>
      </x:c>
      <x:c r="B4092" s="32">
        <x:v>779.19</x:v>
      </x:c>
      <x:c r="C4092" s="32">
        <x:v>785.78</x:v>
      </x:c>
      <x:c r="D4092" s="32">
        <x:v>778.19</x:v>
      </x:c>
      <x:c r="E4092" s="32">
        <x:v>782.76</x:v>
      </x:c>
      <x:c r="F4092" s="33">
        <x:v>191640520</x:v>
      </x:c>
      <x:c r="G4092" s="32" t="n">
        <x:f t="shared" si="180">AVERAGE(E3893:E4092)</x:f>
        <x:v>723.4596000000006</x:v>
      </x:c>
      <x:c r="H4092" s="37" t="n">
        <x:f t="shared" si="181">IFERROR(E4092/G4092-1,"")</x:f>
        <x:v>0.08196781133320963</x:v>
      </x:c>
      <x:c r="I4092" s="38" t="b">
        <x:f t="shared" si="182">E4092&lt;G4092</x:f>
        <x:v>0</x:v>
      </x:c>
    </x:row>
    <x:row r="4093">
      <x:c r="A4093" s="31">
        <x:v>42979</x:v>
      </x:c>
      <x:c r="B4093" s="32">
        <x:v>784.42</x:v>
      </x:c>
      <x:c r="C4093" s="32">
        <x:v>789.19</x:v>
      </x:c>
      <x:c r="D4093" s="32">
        <x:v>782.76</x:v>
      </x:c>
      <x:c r="E4093" s="32">
        <x:v>788.73</x:v>
      </x:c>
      <x:c r="F4093" s="33">
        <x:v>137914410</x:v>
      </x:c>
      <x:c r="G4093" s="32" t="n">
        <x:f t="shared" si="180">AVERAGE(E3894:E4093)</x:f>
        <x:v>724.0380000000006</x:v>
      </x:c>
      <x:c r="H4093" s="37" t="n">
        <x:f t="shared" si="181">IFERROR(E4093/G4093-1,"")</x:f>
        <x:v>0.08934890157698816</x:v>
      </x:c>
      <x:c r="I4093" s="38" t="b">
        <x:f t="shared" si="182">E4093&lt;G4093</x:f>
        <x:v>0</x:v>
      </x:c>
    </x:row>
    <x:row r="4094">
      <x:c r="A4094" s="31">
        <x:v>42983</x:v>
      </x:c>
      <x:c r="B4094" s="32">
        <x:v>790.26</x:v>
      </x:c>
      <x:c r="C4094" s="32">
        <x:v>794.46</x:v>
      </x:c>
      <x:c r="D4094" s="32">
        <x:v>787.8</x:v>
      </x:c>
      <x:c r="E4094" s="32">
        <x:v>792.31</x:v>
      </x:c>
      <x:c r="F4094" s="33">
        <x:v>153091050</x:v>
      </x:c>
      <x:c r="G4094" s="32" t="n">
        <x:f t="shared" si="180">AVERAGE(E3895:E4094)</x:f>
        <x:v>724.6282500000007</x:v>
      </x:c>
      <x:c r="H4094" s="37" t="n">
        <x:f t="shared" si="181">IFERROR(E4094/G4094-1,"")</x:f>
        <x:v>0.09340203062742747</x:v>
      </x:c>
      <x:c r="I4094" s="38" t="b">
        <x:f t="shared" si="182">E4094&lt;G4094</x:f>
        <x:v>0</x:v>
      </x:c>
    </x:row>
    <x:row r="4095">
      <x:c r="A4095" s="31">
        <x:v>42984</x:v>
      </x:c>
      <x:c r="B4095" s="32">
        <x:v>792.16</x:v>
      </x:c>
      <x:c r="C4095" s="32">
        <x:v>793.82</x:v>
      </x:c>
      <x:c r="D4095" s="32">
        <x:v>788.89</x:v>
      </x:c>
      <x:c r="E4095" s="32">
        <x:v>793.55</x:v>
      </x:c>
      <x:c r="F4095" s="33">
        <x:v>144147770</x:v>
      </x:c>
      <x:c r="G4095" s="32" t="n">
        <x:f t="shared" si="180">AVERAGE(E3896:E4095)</x:f>
        <x:v>725.2230000000006</x:v>
      </x:c>
      <x:c r="H4095" s="37" t="n">
        <x:f t="shared" si="181">IFERROR(E4095/G4095-1,"")</x:f>
        <x:v>0.09421515864775287</x:v>
      </x:c>
      <x:c r="I4095" s="38" t="b">
        <x:f t="shared" si="182">E4095&lt;G4095</x:f>
        <x:v>0</x:v>
      </x:c>
    </x:row>
    <x:row r="4096">
      <x:c r="A4096" s="31">
        <x:v>42985</x:v>
      </x:c>
      <x:c r="B4096" s="32">
        <x:v>793.61</x:v>
      </x:c>
      <x:c r="C4096" s="32">
        <x:v>798.58</x:v>
      </x:c>
      <x:c r="D4096" s="32">
        <x:v>792.77</x:v>
      </x:c>
      <x:c r="E4096" s="32">
        <x:v>796.72</x:v>
      </x:c>
      <x:c r="F4096" s="33">
        <x:v>143540810</x:v>
      </x:c>
      <x:c r="G4096" s="32" t="n">
        <x:f t="shared" si="180">AVERAGE(E3897:E4096)</x:f>
        <x:v>725.8337500000006</x:v>
      </x:c>
      <x:c r="H4096" s="37" t="n">
        <x:f t="shared" si="181">IFERROR(E4096/G4096-1,"")</x:f>
        <x:v>0.09766182683017899</x:v>
      </x:c>
      <x:c r="I4096" s="38" t="b">
        <x:f t="shared" si="182">E4096&lt;G4096</x:f>
        <x:v>0</x:v>
      </x:c>
    </x:row>
    <x:row r="4097">
      <x:c r="A4097" s="31">
        <x:v>42986</x:v>
      </x:c>
      <x:c r="B4097" s="32">
        <x:v>797.98</x:v>
      </x:c>
      <x:c r="C4097" s="32">
        <x:v>802.9</x:v>
      </x:c>
      <x:c r="D4097" s="32">
        <x:v>796.72</x:v>
      </x:c>
      <x:c r="E4097" s="32">
        <x:v>801.2</x:v>
      </x:c>
      <x:c r="F4097" s="33">
        <x:v>122071810</x:v>
      </x:c>
      <x:c r="G4097" s="32" t="n">
        <x:f t="shared" si="180">AVERAGE(E3898:E4097)</x:f>
        <x:v>726.4735000000006</x:v>
      </x:c>
      <x:c r="H4097" s="37" t="n">
        <x:f t="shared" si="181">IFERROR(E4097/G4097-1,"")</x:f>
        <x:v>0.10286197638317063</x:v>
      </x:c>
      <x:c r="I4097" s="38" t="b">
        <x:f t="shared" si="182">E4097&lt;G4097</x:f>
        <x:v>0</x:v>
      </x:c>
    </x:row>
    <x:row r="4098">
      <x:c r="A4098" s="31">
        <x:v>42989</x:v>
      </x:c>
      <x:c r="B4098" s="32">
        <x:v>801.2</x:v>
      </x:c>
      <x:c r="C4098" s="32">
        <x:v>805.44</x:v>
      </x:c>
      <x:c r="D4098" s="32">
        <x:v>797.47</x:v>
      </x:c>
      <x:c r="E4098" s="32">
        <x:v>797.47</x:v>
      </x:c>
      <x:c r="F4098" s="33">
        <x:v>138929970</x:v>
      </x:c>
      <x:c r="G4098" s="32" t="n">
        <x:f t="shared" si="180">AVERAGE(E3899:E4098)</x:f>
        <x:v>727.0894000000008</x:v>
      </x:c>
      <x:c r="H4098" s="37" t="n">
        <x:f t="shared" si="181">IFERROR(E4098/G4098-1,"")</x:f>
        <x:v>0.09679772528660058</x:v>
      </x:c>
      <x:c r="I4098" s="38" t="b">
        <x:f t="shared" si="182">E4098&lt;G4098</x:f>
        <x:v>0</x:v>
      </x:c>
    </x:row>
    <x:row r="4099">
      <x:c r="A4099" s="31">
        <x:v>42990</x:v>
      </x:c>
      <x:c r="B4099" s="32">
        <x:v>795.53</x:v>
      </x:c>
      <x:c r="C4099" s="32">
        <x:v>801.01</x:v>
      </x:c>
      <x:c r="D4099" s="32">
        <x:v>794.88</x:v>
      </x:c>
      <x:c r="E4099" s="32">
        <x:v>799.94</x:v>
      </x:c>
      <x:c r="F4099" s="33">
        <x:v>133449030</x:v>
      </x:c>
      <x:c r="G4099" s="32" t="n">
        <x:f t="shared" si="180">AVERAGE(E3900:E4099)</x:f>
        <x:v>727.6795500000006</x:v>
      </x:c>
      <x:c r="H4099" s="37" t="n">
        <x:f t="shared" si="181">IFERROR(E4099/G4099-1,"")</x:f>
        <x:v>0.09930257075384263</x:v>
      </x:c>
      <x:c r="I4099" s="38" t="b">
        <x:f t="shared" si="182">E4099&lt;G4099</x:f>
        <x:v>0</x:v>
      </x:c>
    </x:row>
    <x:row r="4100">
      <x:c r="A4100" s="31">
        <x:v>42991</x:v>
      </x:c>
      <x:c r="B4100" s="32">
        <x:v>802.85</x:v>
      </x:c>
      <x:c r="C4100" s="32">
        <x:v>804.38</x:v>
      </x:c>
      <x:c r="D4100" s="32">
        <x:v>799.94</x:v>
      </x:c>
      <x:c r="E4100" s="32">
        <x:v>802.78</x:v>
      </x:c>
      <x:c r="F4100" s="33">
        <x:v>139692830</x:v>
      </x:c>
      <x:c r="G4100" s="32" t="n">
        <x:f t="shared" si="180">AVERAGE(E3901:E4100)</x:f>
        <x:v>728.2776500000007</x:v>
      </x:c>
      <x:c r="H4100" s="37" t="n">
        <x:f t="shared" si="181">IFERROR(E4100/G4100-1,"")</x:f>
        <x:v>0.1022993771674845</x:v>
      </x:c>
      <x:c r="I4100" s="38" t="b">
        <x:f t="shared" si="182">E4100&lt;G4100</x:f>
        <x:v>0</x:v>
      </x:c>
    </x:row>
    <x:row r="4101">
      <x:c r="A4101" s="31">
        <x:v>42992</x:v>
      </x:c>
      <x:c r="B4101" s="32">
        <x:v>803.34</x:v>
      </x:c>
      <x:c r="C4101" s="32">
        <x:v>807.29</x:v>
      </x:c>
      <x:c r="D4101" s="32">
        <x:v>802.78</x:v>
      </x:c>
      <x:c r="E4101" s="32">
        <x:v>806.32</x:v>
      </x:c>
      <x:c r="F4101" s="33">
        <x:v>139352800</x:v>
      </x:c>
      <x:c r="G4101" s="32" t="n">
        <x:f t="shared" si="180">AVERAGE(E3902:E4101)</x:f>
        <x:v>728.9183500000006</x:v>
      </x:c>
      <x:c r="H4101" s="37" t="n">
        <x:f t="shared" si="181">IFERROR(E4101/G4101-1,"")</x:f>
        <x:v>0.10618699611554483</x:v>
      </x:c>
      <x:c r="I4101" s="38" t="b">
        <x:f t="shared" si="182">E4101&lt;G4101</x:f>
        <x:v>0</x:v>
      </x:c>
    </x:row>
    <x:row r="4102">
      <x:c r="A4102" s="31">
        <x:v>42993</x:v>
      </x:c>
      <x:c r="B4102" s="32">
        <x:v>803.35</x:v>
      </x:c>
      <x:c r="C4102" s="32">
        <x:v>806.32</x:v>
      </x:c>
      <x:c r="D4102" s="32">
        <x:v>802.08</x:v>
      </x:c>
      <x:c r="E4102" s="32">
        <x:v>805.82</x:v>
      </x:c>
      <x:c r="F4102" s="33">
        <x:v>142760690</x:v>
      </x:c>
      <x:c r="G4102" s="32" t="n">
        <x:f t="shared" si="180">AVERAGE(E3903:E4102)</x:f>
        <x:v>729.5681000000008</x:v>
      </x:c>
      <x:c r="H4102" s="37" t="n">
        <x:f t="shared" si="181">IFERROR(E4102/G4102-1,"")</x:f>
        <x:v>0.10451649407368446</x:v>
      </x:c>
      <x:c r="I4102" s="38" t="b">
        <x:f t="shared" si="182">E4102&lt;G4102</x:f>
        <x:v>0</x:v>
      </x:c>
    </x:row>
    <x:row r="4103">
      <x:c r="A4103" s="31">
        <x:v>42996</x:v>
      </x:c>
      <x:c r="B4103" s="32">
        <x:v>808.51</x:v>
      </x:c>
      <x:c r="C4103" s="32">
        <x:v>809.39</x:v>
      </x:c>
      <x:c r="D4103" s="32">
        <x:v>805.37</x:v>
      </x:c>
      <x:c r="E4103" s="32">
        <x:v>807.87</x:v>
      </x:c>
      <x:c r="F4103" s="33">
        <x:v>167579320</x:v>
      </x:c>
      <x:c r="G4103" s="32" t="n">
        <x:f t="shared" si="180">AVERAGE(E3904:E4103)</x:f>
        <x:v>730.2810000000006</x:v>
      </x:c>
      <x:c r="H4103" s="37" t="n">
        <x:f t="shared" si="181">IFERROR(E4103/G4103-1,"")</x:f>
        <x:v>0.10624540416634054</x:v>
      </x:c>
      <x:c r="I4103" s="38" t="b">
        <x:f t="shared" si="182">E4103&lt;G4103</x:f>
        <x:v>0</x:v>
      </x:c>
    </x:row>
    <x:row r="4104">
      <x:c r="A4104" s="31">
        <x:v>42997</x:v>
      </x:c>
      <x:c r="B4104" s="32">
        <x:v>807.87</x:v>
      </x:c>
      <x:c r="C4104" s="32">
        <x:v>810.13</x:v>
      </x:c>
      <x:c r="D4104" s="32">
        <x:v>805.87</x:v>
      </x:c>
      <x:c r="E4104" s="32">
        <x:v>805.93</x:v>
      </x:c>
      <x:c r="F4104" s="33">
        <x:v>160487610</x:v>
      </x:c>
      <x:c r="G4104" s="32" t="n">
        <x:f t="shared" si="180">AVERAGE(E3905:E4104)</x:f>
        <x:v>731.0193500000006</x:v>
      </x:c>
      <x:c r="H4104" s="37" t="n">
        <x:f t="shared" si="181">IFERROR(E4104/G4104-1,"")</x:f>
        <x:v>0.10247423683107604</x:v>
      </x:c>
      <x:c r="I4104" s="38" t="b">
        <x:f t="shared" si="182">E4104&lt;G4104</x:f>
        <x:v>0</x:v>
      </x:c>
    </x:row>
    <x:row r="4105">
      <x:c r="A4105" s="31">
        <x:v>42998</x:v>
      </x:c>
      <x:c r="B4105" s="32">
        <x:v>806.88</x:v>
      </x:c>
      <x:c r="C4105" s="32">
        <x:v>807.51</x:v>
      </x:c>
      <x:c r="D4105" s="32">
        <x:v>803.33</x:v>
      </x:c>
      <x:c r="E4105" s="32">
        <x:v>805.86</x:v>
      </x:c>
      <x:c r="F4105" s="33">
        <x:v>137443940</x:v>
      </x:c>
      <x:c r="G4105" s="32" t="n">
        <x:f t="shared" si="180">AVERAGE(E3906:E4105)</x:f>
        <x:v>731.7233000000004</x:v>
      </x:c>
      <x:c r="H4105" s="37" t="n">
        <x:f t="shared" si="181">IFERROR(E4105/G4105-1,"")</x:f>
        <x:v>0.10131794354505241</x:v>
      </x:c>
      <x:c r="I4105" s="38" t="b">
        <x:f t="shared" si="182">E4105&lt;G4105</x:f>
        <x:v>0</x:v>
      </x:c>
    </x:row>
    <x:row r="4106">
      <x:c r="A4106" s="31">
        <x:v>42999</x:v>
      </x:c>
      <x:c r="B4106" s="32">
        <x:v>805.29</x:v>
      </x:c>
      <x:c r="C4106" s="32">
        <x:v>806.52</x:v>
      </x:c>
      <x:c r="D4106" s="32">
        <x:v>802.6</x:v>
      </x:c>
      <x:c r="E4106" s="32">
        <x:v>803.93</x:v>
      </x:c>
      <x:c r="F4106" s="33">
        <x:v>130767410</x:v>
      </x:c>
      <x:c r="G4106" s="32" t="n">
        <x:f t="shared" si="180">AVERAGE(E3907:E4106)</x:f>
        <x:v>732.4102500000004</x:v>
      </x:c>
      <x:c r="H4106" s="37" t="n">
        <x:f t="shared" si="181">IFERROR(E4106/G4106-1,"")</x:f>
        <x:v>0.09764984856506254</x:v>
      </x:c>
      <x:c r="I4106" s="38" t="b">
        <x:f t="shared" si="182">E4106&lt;G4106</x:f>
        <x:v>0</x:v>
      </x:c>
    </x:row>
    <x:row r="4107">
      <x:c r="A4107" s="31">
        <x:v>43000</x:v>
      </x:c>
      <x:c r="B4107" s="32">
        <x:v>805.15</x:v>
      </x:c>
      <x:c r="C4107" s="32">
        <x:v>808.16</x:v>
      </x:c>
      <x:c r="D4107" s="32">
        <x:v>803.93</x:v>
      </x:c>
      <x:c r="E4107" s="32">
        <x:v>807.13</x:v>
      </x:c>
      <x:c r="F4107" s="33">
        <x:v>150381610</x:v>
      </x:c>
      <x:c r="G4107" s="32" t="n">
        <x:f t="shared" si="180">AVERAGE(E3908:E4107)</x:f>
        <x:v>733.1202000000003</x:v>
      </x:c>
      <x:c r="H4107" s="37" t="n">
        <x:f t="shared" si="181">IFERROR(E4107/G4107-1,"")</x:f>
        <x:v>0.10095179480799965</x:v>
      </x:c>
      <x:c r="I4107" s="38" t="b">
        <x:f t="shared" si="182">E4107&lt;G4107</x:f>
        <x:v>0</x:v>
      </x:c>
    </x:row>
    <x:row r="4108">
      <x:c r="A4108" s="31">
        <x:v>43003</x:v>
      </x:c>
      <x:c r="B4108" s="32">
        <x:v>806.9</x:v>
      </x:c>
      <x:c r="C4108" s="32">
        <x:v>807.64</x:v>
      </x:c>
      <x:c r="D4108" s="32">
        <x:v>802.23</x:v>
      </x:c>
      <x:c r="E4108" s="32">
        <x:v>805.58</x:v>
      </x:c>
      <x:c r="F4108" s="33">
        <x:v>126085700</x:v>
      </x:c>
      <x:c r="G4108" s="32" t="n">
        <x:f t="shared" si="180">AVERAGE(E3909:E4108)</x:f>
        <x:v>733.8470500000003</x:v>
      </x:c>
      <x:c r="H4108" s="37" t="n">
        <x:f t="shared" si="181">IFERROR(E4108/G4108-1,"")</x:f>
        <x:v>0.09774918356624807</x:v>
      </x:c>
      <x:c r="I4108" s="38" t="b">
        <x:f t="shared" si="182">E4108&lt;G4108</x:f>
        <x:v>0</x:v>
      </x:c>
    </x:row>
    <x:row r="4109">
      <x:c r="A4109" s="31">
        <x:v>43004</x:v>
      </x:c>
      <x:c r="B4109" s="32">
        <x:v>806.4</x:v>
      </x:c>
      <x:c r="C4109" s="32">
        <x:v>806.84</x:v>
      </x:c>
      <x:c r="D4109" s="32">
        <x:v>801.66</x:v>
      </x:c>
      <x:c r="E4109" s="32">
        <x:v>805.35</x:v>
      </x:c>
      <x:c r="F4109" s="33">
        <x:v>155559280</x:v>
      </x:c>
      <x:c r="G4109" s="32" t="n">
        <x:f t="shared" ref="G4109:G4172" si="183">AVERAGE(E3910:E4109)</x:f>
        <x:v>734.6163500000004</x:v>
      </x:c>
      <x:c r="H4109" s="37" t="n">
        <x:f t="shared" ref="H4109:H4172" si="184">IFERROR(E4109/G4109-1,"")</x:f>
        <x:v>0.09628651744546612</x:v>
      </x:c>
      <x:c r="I4109" s="38" t="b">
        <x:f t="shared" ref="I4109:I4172" si="185">E4109&lt;G4109</x:f>
        <x:v>0</x:v>
      </x:c>
    </x:row>
    <x:row r="4110">
      <x:c r="A4110" s="31">
        <x:v>43005</x:v>
      </x:c>
      <x:c r="B4110" s="32">
        <x:v>803.32</x:v>
      </x:c>
      <x:c r="C4110" s="32">
        <x:v>805.35</x:v>
      </x:c>
      <x:c r="D4110" s="32">
        <x:v>801.74</x:v>
      </x:c>
      <x:c r="E4110" s="32">
        <x:v>803.77</x:v>
      </x:c>
      <x:c r="F4110" s="33">
        <x:v>142029330</x:v>
      </x:c>
      <x:c r="G4110" s="32" t="n">
        <x:f t="shared" si="183">AVERAGE(E3911:E4110)</x:f>
        <x:v>735.3675500000004</x:v>
      </x:c>
      <x:c r="H4110" s="37" t="n">
        <x:f t="shared" si="184">IFERROR(E4110/G4110-1,"")</x:f>
        <x:v>0.09301804247413359</x:v>
      </x:c>
      <x:c r="I4110" s="38" t="b">
        <x:f t="shared" si="185">E4110&lt;G4110</x:f>
        <x:v>0</x:v>
      </x:c>
    </x:row>
    <x:row r="4111">
      <x:c r="A4111" s="31">
        <x:v>43006</x:v>
      </x:c>
      <x:c r="B4111" s="32">
        <x:v>803.1</x:v>
      </x:c>
      <x:c r="C4111" s="32">
        <x:v>810.35</x:v>
      </x:c>
      <x:c r="D4111" s="32">
        <x:v>803.1</x:v>
      </x:c>
      <x:c r="E4111" s="32">
        <x:v>804.82</x:v>
      </x:c>
      <x:c r="F4111" s="33">
        <x:v>161949260</x:v>
      </x:c>
      <x:c r="G4111" s="32" t="n">
        <x:f t="shared" si="183">AVERAGE(E3912:E4111)</x:f>
        <x:v>736.0972000000005</x:v>
      </x:c>
      <x:c r="H4111" s="37" t="n">
        <x:f t="shared" si="184">IFERROR(E4111/G4111-1,"")</x:f>
        <x:v>0.09336103981919708</x:v>
      </x:c>
      <x:c r="I4111" s="38" t="b">
        <x:f t="shared" si="185">E4111&lt;G4111</x:f>
        <x:v>0</x:v>
      </x:c>
    </x:row>
    <x:row r="4112">
      <x:c r="A4112" s="31">
        <x:v>43007</x:v>
      </x:c>
      <x:c r="B4112" s="32">
        <x:v>805.07</x:v>
      </x:c>
      <x:c r="C4112" s="32">
        <x:v>808.77</x:v>
      </x:c>
      <x:c r="D4112" s="32">
        <x:v>804.42</x:v>
      </x:c>
      <x:c r="E4112" s="32">
        <x:v>804.42</x:v>
      </x:c>
      <x:c r="F4112" s="33">
        <x:v>124224690</x:v>
      </x:c>
      <x:c r="G4112" s="32" t="n">
        <x:f t="shared" si="183">AVERAGE(E3913:E4112)</x:f>
        <x:v>736.8039500000004</x:v>
      </x:c>
      <x:c r="H4112" s="37" t="n">
        <x:f t="shared" si="184">IFERROR(E4112/G4112-1,"")</x:f>
        <x:v>0.0917693913014439</x:v>
      </x:c>
      <x:c r="I4112" s="38" t="b">
        <x:f t="shared" si="185">E4112&lt;G4112</x:f>
        <x:v>0</x:v>
      </x:c>
    </x:row>
    <x:row r="4113">
      <x:c r="A4113" s="31">
        <x:v>43010</x:v>
      </x:c>
      <x:c r="B4113" s="32">
        <x:v>805.29</x:v>
      </x:c>
      <x:c r="C4113" s="32">
        <x:v>808.09</x:v>
      </x:c>
      <x:c r="D4113" s="32">
        <x:v>801.7</x:v>
      </x:c>
      <x:c r="E4113" s="32">
        <x:v>802.23</x:v>
      </x:c>
      <x:c r="F4113" s="33">
        <x:v>101196300</x:v>
      </x:c>
      <x:c r="G4113" s="32" t="n">
        <x:f t="shared" si="183">AVERAGE(E3914:E4113)</x:f>
        <x:v>737.5166000000004</x:v>
      </x:c>
      <x:c r="H4113" s="37" t="n">
        <x:f t="shared" si="184">IFERROR(E4113/G4113-1,"")</x:f>
        <x:v>0.08774500804456409</x:v>
      </x:c>
      <x:c r="I4113" s="38" t="b">
        <x:f t="shared" si="185">E4113&lt;G4113</x:f>
        <x:v>0</x:v>
      </x:c>
    </x:row>
    <x:row r="4114">
      <x:c r="A4114" s="31">
        <x:v>43011</x:v>
      </x:c>
      <x:c r="B4114" s="32">
        <x:v>803.98</x:v>
      </x:c>
      <x:c r="C4114" s="32">
        <x:v>804.39</x:v>
      </x:c>
      <x:c r="D4114" s="32">
        <x:v>795.05</x:v>
      </x:c>
      <x:c r="E4114" s="32">
        <x:v>798</x:v>
      </x:c>
      <x:c r="F4114" s="33">
        <x:v>148218410</x:v>
      </x:c>
      <x:c r="G4114" s="32" t="n">
        <x:f t="shared" si="183">AVERAGE(E3915:E4114)</x:f>
        <x:v>738.2333000000003</x:v>
      </x:c>
      <x:c r="H4114" s="37" t="n">
        <x:f t="shared" si="184">IFERROR(E4114/G4114-1,"")</x:f>
        <x:v>0.08095909518034428</x:v>
      </x:c>
      <x:c r="I4114" s="38" t="b">
        <x:f t="shared" si="185">E4114&lt;G4114</x:f>
        <x:v>0</x:v>
      </x:c>
    </x:row>
    <x:row r="4115">
      <x:c r="A4115" s="31">
        <x:v>43012</x:v>
      </x:c>
      <x:c r="B4115" s="32">
        <x:v>797.39</x:v>
      </x:c>
      <x:c r="C4115" s="32">
        <x:v>805.66</x:v>
      </x:c>
      <x:c r="D4115" s="32">
        <x:v>797</x:v>
      </x:c>
      <x:c r="E4115" s="32">
        <x:v>805.66</x:v>
      </x:c>
      <x:c r="F4115" s="33">
        <x:v>109372380</x:v>
      </x:c>
      <x:c r="G4115" s="32" t="n">
        <x:f t="shared" si="183">AVERAGE(E3916:E4115)</x:f>
        <x:v>738.9359000000004</x:v>
      </x:c>
      <x:c r="H4115" s="37" t="n">
        <x:f t="shared" si="184">IFERROR(E4115/G4115-1,"")</x:f>
        <x:v>0.09029754813644808</x:v>
      </x:c>
      <x:c r="I4115" s="38" t="b">
        <x:f t="shared" si="185">E4115&lt;G4115</x:f>
        <x:v>0</x:v>
      </x:c>
    </x:row>
    <x:row r="4116">
      <x:c r="A4116" s="31">
        <x:v>43013</x:v>
      </x:c>
      <x:c r="B4116" s="32">
        <x:v>806.56</x:v>
      </x:c>
      <x:c r="C4116" s="32">
        <x:v>810.54</x:v>
      </x:c>
      <x:c r="D4116" s="32">
        <x:v>805.22</x:v>
      </x:c>
      <x:c r="E4116" s="32">
        <x:v>805.23</x:v>
      </x:c>
      <x:c r="F4116" s="33">
        <x:v>139251920</x:v>
      </x:c>
      <x:c r="G4116" s="32" t="n">
        <x:f t="shared" si="183">AVERAGE(E3917:E4116)</x:f>
        <x:v>739.6324500000004</x:v>
      </x:c>
      <x:c r="H4116" s="37" t="n">
        <x:f t="shared" si="184">IFERROR(E4116/G4116-1,"")</x:f>
        <x:v>0.08868938889849898</x:v>
      </x:c>
      <x:c r="I4116" s="38" t="b">
        <x:f t="shared" si="185">E4116&lt;G4116</x:f>
        <x:v>0</x:v>
      </x:c>
    </x:row>
    <x:row r="4117">
      <x:c r="A4117" s="31">
        <x:v>43014</x:v>
      </x:c>
      <x:c r="B4117" s="32">
        <x:v>805.7</x:v>
      </x:c>
      <x:c r="C4117" s="32">
        <x:v>808.13</x:v>
      </x:c>
      <x:c r="D4117" s="32">
        <x:v>803.81</x:v>
      </x:c>
      <x:c r="E4117" s="32">
        <x:v>807.8</x:v>
      </x:c>
      <x:c r="F4117" s="33">
        <x:v>119935950</x:v>
      </x:c>
      <x:c r="G4117" s="32" t="n">
        <x:f t="shared" si="183">AVERAGE(E3918:E4117)</x:f>
        <x:v>740.2956500000004</x:v>
      </x:c>
      <x:c r="H4117" s="37" t="n">
        <x:f t="shared" si="184">IFERROR(E4117/G4117-1,"")</x:f>
        <x:v>0.0911856634575654</x:v>
      </x:c>
      <x:c r="I4117" s="38" t="b">
        <x:f t="shared" si="185">E4117&lt;G4117</x:f>
        <x:v>0</x:v>
      </x:c>
    </x:row>
    <x:row r="4118">
      <x:c r="A4118" s="31">
        <x:v>43017</x:v>
      </x:c>
      <x:c r="B4118" s="32">
        <x:v>809.61</x:v>
      </x:c>
      <x:c r="C4118" s="32">
        <x:v>810.75</x:v>
      </x:c>
      <x:c r="D4118" s="32">
        <x:v>806.78</x:v>
      </x:c>
      <x:c r="E4118" s="32">
        <x:v>808.96</x:v>
      </x:c>
      <x:c r="F4118" s="33">
        <x:v>129146140</x:v>
      </x:c>
      <x:c r="G4118" s="32" t="n">
        <x:f t="shared" si="183">AVERAGE(E3919:E4118)</x:f>
        <x:v>740.9688000000003</x:v>
      </x:c>
      <x:c r="H4118" s="37" t="n">
        <x:f t="shared" si="184">IFERROR(E4118/G4118-1,"")</x:f>
        <x:v>0.09175986897154065</x:v>
      </x:c>
      <x:c r="I4118" s="38" t="b">
        <x:f t="shared" si="185">E4118&lt;G4118</x:f>
        <x:v>0</x:v>
      </x:c>
    </x:row>
    <x:row r="4119">
      <x:c r="A4119" s="31">
        <x:v>43018</x:v>
      </x:c>
      <x:c r="B4119" s="32">
        <x:v>808.43</x:v>
      </x:c>
      <x:c r="C4119" s="32">
        <x:v>810.65</x:v>
      </x:c>
      <x:c r="D4119" s="32">
        <x:v>806.3</x:v>
      </x:c>
      <x:c r="E4119" s="32">
        <x:v>810.65</x:v>
      </x:c>
      <x:c r="F4119" s="33">
        <x:v>138184800</x:v>
      </x:c>
      <x:c r="G4119" s="32" t="n">
        <x:f t="shared" si="183">AVERAGE(E3920:E4119)</x:f>
        <x:v>741.7087500000001</x:v>
      </x:c>
      <x:c r="H4119" s="37" t="n">
        <x:f t="shared" si="184">IFERROR(E4119/G4119-1,"")</x:f>
        <x:v>0.09294922029705033</x:v>
      </x:c>
      <x:c r="I4119" s="38" t="b">
        <x:f t="shared" si="185">E4119&lt;G4119</x:f>
        <x:v>0</x:v>
      </x:c>
    </x:row>
    <x:row r="4120">
      <x:c r="A4120" s="31">
        <x:v>43019</x:v>
      </x:c>
      <x:c r="B4120" s="32">
        <x:v>811.2</x:v>
      </x:c>
      <x:c r="C4120" s="32">
        <x:v>815.11</x:v>
      </x:c>
      <x:c r="D4120" s="32">
        <x:v>810.65</x:v>
      </x:c>
      <x:c r="E4120" s="32">
        <x:v>813.95</x:v>
      </x:c>
      <x:c r="F4120" s="33">
        <x:v>162513710</x:v>
      </x:c>
      <x:c r="G4120" s="32" t="n">
        <x:f t="shared" si="183">AVERAGE(E3921:E4120)</x:f>
        <x:v>742.4438000000002</x:v>
      </x:c>
      <x:c r="H4120" s="37" t="n">
        <x:f t="shared" si="184">IFERROR(E4120/G4120-1,"")</x:f>
        <x:v>0.09631193633780732</x:v>
      </x:c>
      <x:c r="I4120" s="38" t="b">
        <x:f t="shared" si="185">E4120&lt;G4120</x:f>
        <x:v>0</x:v>
      </x:c>
    </x:row>
    <x:row r="4121">
      <x:c r="A4121" s="31">
        <x:v>43020</x:v>
      </x:c>
      <x:c r="B4121" s="32">
        <x:v>814.43</x:v>
      </x:c>
      <x:c r="C4121" s="32">
        <x:v>818.44</x:v>
      </x:c>
      <x:c r="D4121" s="32">
        <x:v>813.72</x:v>
      </x:c>
      <x:c r="E4121" s="32">
        <x:v>815.87</x:v>
      </x:c>
      <x:c r="F4121" s="33">
        <x:v>136859420</x:v>
      </x:c>
      <x:c r="G4121" s="32" t="n">
        <x:f t="shared" si="183">AVERAGE(E3922:E4121)</x:f>
        <x:v>743.2024000000004</x:v>
      </x:c>
      <x:c r="H4121" s="37" t="n">
        <x:f t="shared" si="184">IFERROR(E4121/G4121-1,"")</x:f>
        <x:v>0.09777632580303774</x:v>
      </x:c>
      <x:c r="I4121" s="38" t="b">
        <x:f t="shared" si="185">E4121&lt;G4121</x:f>
        <x:v>0</x:v>
      </x:c>
    </x:row>
    <x:row r="4122">
      <x:c r="A4122" s="31">
        <x:v>43021</x:v>
      </x:c>
      <x:c r="B4122" s="32">
        <x:v>814.6</x:v>
      </x:c>
      <x:c r="C4122" s="32">
        <x:v>820.95</x:v>
      </x:c>
      <x:c r="D4122" s="32">
        <x:v>814.2</x:v>
      </x:c>
      <x:c r="E4122" s="32">
        <x:v>820.95</x:v>
      </x:c>
      <x:c r="F4122" s="33">
        <x:v>141204400</x:v>
      </x:c>
      <x:c r="G4122" s="32" t="n">
        <x:f t="shared" si="183">AVERAGE(E3923:E4122)</x:f>
        <x:v>743.9853000000003</x:v>
      </x:c>
      <x:c r="H4122" s="37" t="n">
        <x:f t="shared" si="184">IFERROR(E4122/G4122-1,"")</x:f>
        <x:v>0.10344922137574453</x:v>
      </x:c>
      <x:c r="I4122" s="38" t="b">
        <x:f t="shared" si="185">E4122&lt;G4122</x:f>
        <x:v>0</x:v>
      </x:c>
    </x:row>
    <x:row r="4123">
      <x:c r="A4123" s="31">
        <x:v>43024</x:v>
      </x:c>
      <x:c r="B4123" s="32">
        <x:v>821.54</x:v>
      </x:c>
      <x:c r="C4123" s="32">
        <x:v>823.85</x:v>
      </x:c>
      <x:c r="D4123" s="32">
        <x:v>819.43</x:v>
      </x:c>
      <x:c r="E4123" s="32">
        <x:v>819.43</x:v>
      </x:c>
      <x:c r="F4123" s="33">
        <x:v>149580780</x:v>
      </x:c>
      <x:c r="G4123" s="32" t="n">
        <x:f t="shared" si="183">AVERAGE(E3924:E4123)</x:f>
        <x:v>744.7702000000002</x:v>
      </x:c>
      <x:c r="H4123" s="37" t="n">
        <x:f t="shared" si="184">IFERROR(E4123/G4123-1,"")</x:f>
        <x:v>0.10024541798262043</x:v>
      </x:c>
      <x:c r="I4123" s="38" t="b">
        <x:f t="shared" si="185">E4123&lt;G4123</x:f>
        <x:v>0</x:v>
      </x:c>
    </x:row>
    <x:row r="4124">
      <x:c r="A4124" s="31">
        <x:v>43025</x:v>
      </x:c>
      <x:c r="B4124" s="32">
        <x:v>819.51</x:v>
      </x:c>
      <x:c r="C4124" s="32">
        <x:v>828.29</x:v>
      </x:c>
      <x:c r="D4124" s="32">
        <x:v>819.43</x:v>
      </x:c>
      <x:c r="E4124" s="32">
        <x:v>828.29</x:v>
      </x:c>
      <x:c r="F4124" s="33">
        <x:v>162264680</x:v>
      </x:c>
      <x:c r="G4124" s="32" t="n">
        <x:f t="shared" si="183">AVERAGE(E3925:E4124)</x:f>
        <x:v>745.5923500000004</x:v>
      </x:c>
      <x:c r="H4124" s="37" t="n">
        <x:f t="shared" si="184">IFERROR(E4124/G4124-1,"")</x:f>
        <x:v>0.11091536816331282</x:v>
      </x:c>
      <x:c r="I4124" s="38" t="b">
        <x:f t="shared" si="185">E4124&lt;G4124</x:f>
        <x:v>0</x:v>
      </x:c>
    </x:row>
    <x:row r="4125">
      <x:c r="A4125" s="31">
        <x:v>43026</x:v>
      </x:c>
      <x:c r="B4125" s="32">
        <x:v>829.43</x:v>
      </x:c>
      <x:c r="C4125" s="32">
        <x:v>831.15</x:v>
      </x:c>
      <x:c r="D4125" s="32">
        <x:v>826.72</x:v>
      </x:c>
      <x:c r="E4125" s="32">
        <x:v>827.72</x:v>
      </x:c>
      <x:c r="F4125" s="33">
        <x:v>183072810</x:v>
      </x:c>
      <x:c r="G4125" s="32" t="n">
        <x:f t="shared" si="183">AVERAGE(E3926:E4125)</x:f>
        <x:v>746.4134500000004</x:v>
      </x:c>
      <x:c r="H4125" s="37" t="n">
        <x:f t="shared" si="184">IFERROR(E4125/G4125-1,"")</x:f>
        <x:v>0.10892964214404177</x:v>
      </x:c>
      <x:c r="I4125" s="38" t="b">
        <x:f t="shared" si="185">E4125&lt;G4125</x:f>
        <x:v>0</x:v>
      </x:c>
    </x:row>
    <x:row r="4126">
      <x:c r="A4126" s="31">
        <x:v>43027</x:v>
      </x:c>
      <x:c r="B4126" s="32">
        <x:v>828.89</x:v>
      </x:c>
      <x:c r="C4126" s="32">
        <x:v>831.61</x:v>
      </x:c>
      <x:c r="D4126" s="32">
        <x:v>825.5</x:v>
      </x:c>
      <x:c r="E4126" s="32">
        <x:v>828.93</x:v>
      </x:c>
      <x:c r="F4126" s="33">
        <x:v>143640120</x:v>
      </x:c>
      <x:c r="G4126" s="32" t="n">
        <x:f t="shared" si="183">AVERAGE(E3927:E4126)</x:f>
        <x:v>747.2345000000003</x:v>
      </x:c>
      <x:c r="H4126" s="37" t="n">
        <x:f t="shared" si="184">IFERROR(E4126/G4126-1,"")</x:f>
        <x:v>0.10933047122422712</x:v>
      </x:c>
      <x:c r="I4126" s="38" t="b">
        <x:f t="shared" si="185">E4126&lt;G4126</x:f>
        <x:v>0</x:v>
      </x:c>
    </x:row>
    <x:row r="4127">
      <x:c r="A4127" s="31">
        <x:v>43028</x:v>
      </x:c>
      <x:c r="B4127" s="32">
        <x:v>827.93</x:v>
      </x:c>
      <x:c r="C4127" s="32">
        <x:v>833.57</x:v>
      </x:c>
      <x:c r="D4127" s="32">
        <x:v>826.84</x:v>
      </x:c>
      <x:c r="E4127" s="32">
        <x:v>826.84</x:v>
      </x:c>
      <x:c r="F4127" s="33">
        <x:v>175594060</x:v>
      </x:c>
      <x:c r="G4127" s="32" t="n">
        <x:f t="shared" si="183">AVERAGE(E3928:E4127)</x:f>
        <x:v>748.0443500000002</x:v>
      </x:c>
      <x:c r="H4127" s="37" t="n">
        <x:f t="shared" si="184">IFERROR(E4127/G4127-1,"")</x:f>
        <x:v>0.1053355325790506</x:v>
      </x:c>
      <x:c r="I4127" s="38" t="b">
        <x:f t="shared" si="185">E4127&lt;G4127</x:f>
        <x:v>0</x:v>
      </x:c>
    </x:row>
    <x:row r="4128">
      <x:c r="A4128" s="31">
        <x:v>43031</x:v>
      </x:c>
      <x:c r="B4128" s="32">
        <x:v>826.25</x:v>
      </x:c>
      <x:c r="C4128" s="32">
        <x:v>827.24</x:v>
      </x:c>
      <x:c r="D4128" s="32">
        <x:v>818.81</x:v>
      </x:c>
      <x:c r="E4128" s="32">
        <x:v>820.04</x:v>
      </x:c>
      <x:c r="F4128" s="33">
        <x:v>194440930</x:v>
      </x:c>
      <x:c r="G4128" s="32" t="n">
        <x:f t="shared" si="183">AVERAGE(E3929:E4128)</x:f>
        <x:v>748.7845000000002</x:v>
      </x:c>
      <x:c r="H4128" s="37" t="n">
        <x:f t="shared" si="184">IFERROR(E4128/G4128-1,"")</x:f>
        <x:v>0.09516155849914054</x:v>
      </x:c>
      <x:c r="I4128" s="38" t="b">
        <x:f t="shared" si="185">E4128&lt;G4128</x:f>
        <x:v>0</x:v>
      </x:c>
    </x:row>
    <x:row r="4129">
      <x:c r="A4129" s="31">
        <x:v>43032</x:v>
      </x:c>
      <x:c r="B4129" s="32">
        <x:v>818.08</x:v>
      </x:c>
      <x:c r="C4129" s="32">
        <x:v>825.24</x:v>
      </x:c>
      <x:c r="D4129" s="32">
        <x:v>814.92</x:v>
      </x:c>
      <x:c r="E4129" s="32">
        <x:v>825.24</x:v>
      </x:c>
      <x:c r="F4129" s="33">
        <x:v>141570200</x:v>
      </x:c>
      <x:c r="G4129" s="32" t="n">
        <x:f t="shared" si="183">AVERAGE(E3930:E4129)</x:f>
        <x:v>749.5372000000002</x:v>
      </x:c>
      <x:c r="H4129" s="37" t="n">
        <x:f t="shared" si="184">IFERROR(E4129/G4129-1,"")</x:f>
        <x:v>0.1009993900236037</x:v>
      </x:c>
      <x:c r="I4129" s="38" t="b">
        <x:f t="shared" si="185">E4129&lt;G4129</x:f>
        <x:v>0</x:v>
      </x:c>
    </x:row>
    <x:row r="4130">
      <x:c r="A4130" s="31">
        <x:v>43033</x:v>
      </x:c>
      <x:c r="B4130" s="32">
        <x:v>826.08</x:v>
      </x:c>
      <x:c r="C4130" s="32">
        <x:v>830.69</x:v>
      </x:c>
      <x:c r="D4130" s="32">
        <x:v>822.83</x:v>
      </x:c>
      <x:c r="E4130" s="32">
        <x:v>830.69</x:v>
      </x:c>
      <x:c r="F4130" s="33">
        <x:v>120610410</x:v>
      </x:c>
      <x:c r="G4130" s="32" t="n">
        <x:f t="shared" si="183">AVERAGE(E3931:E4130)</x:f>
        <x:v>750.3116000000002</x:v>
      </x:c>
      <x:c r="H4130" s="37" t="n">
        <x:f t="shared" si="184">IFERROR(E4130/G4130-1,"")</x:f>
        <x:v>0.1071266924301848</x:v>
      </x:c>
      <x:c r="I4130" s="38" t="b">
        <x:f t="shared" si="185">E4130&lt;G4130</x:f>
        <x:v>0</x:v>
      </x:c>
    </x:row>
    <x:row r="4131">
      <x:c r="A4131" s="31">
        <x:v>43034</x:v>
      </x:c>
      <x:c r="B4131" s="32">
        <x:v>829.94</x:v>
      </x:c>
      <x:c r="C4131" s="32">
        <x:v>834.67</x:v>
      </x:c>
      <x:c r="D4131" s="32">
        <x:v>823.92</x:v>
      </x:c>
      <x:c r="E4131" s="32">
        <x:v>830.11</x:v>
      </x:c>
      <x:c r="F4131" s="33">
        <x:v>166974910</x:v>
      </x:c>
      <x:c r="G4131" s="32" t="n">
        <x:f t="shared" si="183">AVERAGE(E3932:E4131)</x:f>
        <x:v>751.0631500000002</x:v>
      </x:c>
      <x:c r="H4131" s="37" t="n">
        <x:f t="shared" si="184">IFERROR(E4131/G4131-1,"")</x:f>
        <x:v>0.10524660942292252</x:v>
      </x:c>
      <x:c r="I4131" s="38" t="b">
        <x:f t="shared" si="185">E4131&lt;G4131</x:f>
        <x:v>0</x:v>
      </x:c>
    </x:row>
    <x:row r="4132">
      <x:c r="A4132" s="31">
        <x:v>43035</x:v>
      </x:c>
      <x:c r="B4132" s="32">
        <x:v>829.15</x:v>
      </x:c>
      <x:c r="C4132" s="32">
        <x:v>840.37</x:v>
      </x:c>
      <x:c r="D4132" s="32">
        <x:v>828.45</x:v>
      </x:c>
      <x:c r="E4132" s="32">
        <x:v>840.37</x:v>
      </x:c>
      <x:c r="F4132" s="33">
        <x:v>125941130</x:v>
      </x:c>
      <x:c r="G4132" s="32" t="n">
        <x:f t="shared" si="183">AVERAGE(E3933:E4132)</x:f>
        <x:v>751.8521500000002</x:v>
      </x:c>
      <x:c r="H4132" s="37" t="n">
        <x:f t="shared" si="184">IFERROR(E4132/G4132-1,"")</x:f>
        <x:v>0.11773305429797576</x:v>
      </x:c>
      <x:c r="I4132" s="38" t="b">
        <x:f t="shared" si="185">E4132&lt;G4132</x:f>
        <x:v>0</x:v>
      </x:c>
    </x:row>
    <x:row r="4133">
      <x:c r="A4133" s="31">
        <x:v>43038</x:v>
      </x:c>
      <x:c r="B4133" s="32">
        <x:v>842.92</x:v>
      </x:c>
      <x:c r="C4133" s="32">
        <x:v>849.3</x:v>
      </x:c>
      <x:c r="D4133" s="32">
        <x:v>840.37</x:v>
      </x:c>
      <x:c r="E4133" s="32">
        <x:v>845.2</x:v>
      </x:c>
      <x:c r="F4133" s="33">
        <x:v>162129150</x:v>
      </x:c>
      <x:c r="G4133" s="32" t="n">
        <x:f t="shared" si="183">AVERAGE(E3934:E4133)</x:f>
        <x:v>752.6728000000003</x:v>
      </x:c>
      <x:c r="H4133" s="37" t="n">
        <x:f t="shared" si="184">IFERROR(E4133/G4133-1,"")</x:f>
        <x:v>0.12293150489827687</x:v>
      </x:c>
      <x:c r="I4133" s="38" t="b">
        <x:f t="shared" si="185">E4133&lt;G4133</x:f>
        <x:v>0</x:v>
      </x:c>
    </x:row>
    <x:row r="4134">
      <x:c r="A4134" s="31">
        <x:v>43039</x:v>
      </x:c>
      <x:c r="B4134" s="32">
        <x:v>844.27</x:v>
      </x:c>
      <x:c r="C4134" s="32">
        <x:v>845.93</x:v>
      </x:c>
      <x:c r="D4134" s="32">
        <x:v>837.28</x:v>
      </x:c>
      <x:c r="E4134" s="32">
        <x:v>837.28</x:v>
      </x:c>
      <x:c r="F4134" s="33">
        <x:v>159926430</x:v>
      </x:c>
      <x:c r="G4134" s="32" t="n">
        <x:f t="shared" si="183">AVERAGE(E3935:E4134)</x:f>
        <x:v>753.4234000000002</x:v>
      </x:c>
      <x:c r="H4134" s="37" t="n">
        <x:f t="shared" si="184">IFERROR(E4134/G4134-1,"")</x:f>
        <x:v>0.11130076395291111</x:v>
      </x:c>
      <x:c r="I4134" s="38" t="b">
        <x:f t="shared" si="185">E4134&lt;G4134</x:f>
        <x:v>0</x:v>
      </x:c>
    </x:row>
    <x:row r="4135">
      <x:c r="A4135" s="31">
        <x:v>43040</x:v>
      </x:c>
      <x:c r="B4135" s="32">
        <x:v>838.75</x:v>
      </x:c>
      <x:c r="C4135" s="32">
        <x:v>842.88</x:v>
      </x:c>
      <x:c r="D4135" s="32">
        <x:v>837.28</x:v>
      </x:c>
      <x:c r="E4135" s="32">
        <x:v>842.71</x:v>
      </x:c>
      <x:c r="F4135" s="33">
        <x:v>154993610</x:v>
      </x:c>
      <x:c r="G4135" s="32" t="n">
        <x:f t="shared" si="183">AVERAGE(E3936:E4135)</x:f>
        <x:v>754.2021500000001</x:v>
      </x:c>
      <x:c r="H4135" s="37" t="n">
        <x:f t="shared" si="184">IFERROR(E4135/G4135-1,"")</x:f>
        <x:v>0.11735295371406718</x:v>
      </x:c>
      <x:c r="I4135" s="38" t="b">
        <x:f t="shared" si="185">E4135&lt;G4135</x:f>
        <x:v>0</x:v>
      </x:c>
    </x:row>
    <x:row r="4136">
      <x:c r="A4136" s="31">
        <x:v>43041</x:v>
      </x:c>
      <x:c r="B4136" s="32">
        <x:v>842.19</x:v>
      </x:c>
      <x:c r="C4136" s="32">
        <x:v>849.53</x:v>
      </x:c>
      <x:c r="D4136" s="32">
        <x:v>833.09</x:v>
      </x:c>
      <x:c r="E4136" s="32">
        <x:v>833.09</x:v>
      </x:c>
      <x:c r="F4136" s="33">
        <x:v>174440020</x:v>
      </x:c>
      <x:c r="G4136" s="32" t="n">
        <x:f t="shared" si="183">AVERAGE(E3937:E4136)</x:f>
        <x:v>754.9423000000003</x:v>
      </x:c>
      <x:c r="H4136" s="37" t="n">
        <x:f t="shared" si="184">IFERROR(E4136/G4136-1,"")</x:f>
        <x:v>0.10351479841571964</x:v>
      </x:c>
      <x:c r="I4136" s="38" t="b">
        <x:f t="shared" si="185">E4136&lt;G4136</x:f>
        <x:v>0</x:v>
      </x:c>
    </x:row>
    <x:row r="4137">
      <x:c r="A4137" s="31">
        <x:v>43042</x:v>
      </x:c>
      <x:c r="B4137" s="32">
        <x:v>833.16</x:v>
      </x:c>
      <x:c r="C4137" s="32">
        <x:v>843.73</x:v>
      </x:c>
      <x:c r="D4137" s="32">
        <x:v>831.58</x:v>
      </x:c>
      <x:c r="E4137" s="32">
        <x:v>843.73</x:v>
      </x:c>
      <x:c r="F4137" s="33">
        <x:v>149701990</x:v>
      </x:c>
      <x:c r="G4137" s="32" t="n">
        <x:f t="shared" si="183">AVERAGE(E3938:E4137)</x:f>
        <x:v>755.7712500000001</x:v>
      </x:c>
      <x:c r="H4137" s="37" t="n">
        <x:f t="shared" si="184">IFERROR(E4137/G4137-1,"")</x:f>
        <x:v>0.11638276793408053</x:v>
      </x:c>
      <x:c r="I4137" s="38" t="b">
        <x:f t="shared" si="185">E4137&lt;G4137</x:f>
        <x:v>0</x:v>
      </x:c>
    </x:row>
    <x:row r="4138">
      <x:c r="A4138" s="31">
        <x:v>43045</x:v>
      </x:c>
      <x:c r="B4138" s="32">
        <x:v>846.12</x:v>
      </x:c>
      <x:c r="C4138" s="32">
        <x:v>849.09</x:v>
      </x:c>
      <x:c r="D4138" s="32">
        <x:v>843.73</x:v>
      </x:c>
      <x:c r="E4138" s="32">
        <x:v>849.09</x:v>
      </x:c>
      <x:c r="F4138" s="33">
        <x:v>128405430</x:v>
      </x:c>
      <x:c r="G4138" s="32" t="n">
        <x:f t="shared" si="183">AVERAGE(E3939:E4138)</x:f>
        <x:v>756.59315</x:v>
      </x:c>
      <x:c r="H4138" s="37" t="n">
        <x:f t="shared" si="184">IFERROR(E4138/G4138-1,"")</x:f>
        <x:v>0.12225441110588964</x:v>
      </x:c>
      <x:c r="I4138" s="38" t="b">
        <x:f t="shared" si="185">E4138&lt;G4138</x:f>
        <x:v>0</x:v>
      </x:c>
    </x:row>
    <x:row r="4139">
      <x:c r="A4139" s="31">
        <x:v>43046</x:v>
      </x:c>
      <x:c r="B4139" s="32">
        <x:v>850.2</x:v>
      </x:c>
      <x:c r="C4139" s="32">
        <x:v>854.6</x:v>
      </x:c>
      <x:c r="D4139" s="32">
        <x:v>847.88</x:v>
      </x:c>
      <x:c r="E4139" s="32">
        <x:v>850.33</x:v>
      </x:c>
      <x:c r="F4139" s="33">
        <x:v>150836950</x:v>
      </x:c>
      <x:c r="G4139" s="32" t="n">
        <x:f t="shared" si="183">AVERAGE(E3940:E4139)</x:f>
        <x:v>757.4284</x:v>
      </x:c>
      <x:c r="H4139" s="37" t="n">
        <x:f t="shared" si="184">IFERROR(E4139/G4139-1,"")</x:f>
        <x:v>0.12265396966894837</x:v>
      </x:c>
      <x:c r="I4139" s="38" t="b">
        <x:f t="shared" si="185">E4139&lt;G4139</x:f>
        <x:v>0</x:v>
      </x:c>
    </x:row>
    <x:row r="4140">
      <x:c r="A4140" s="31">
        <x:v>43047</x:v>
      </x:c>
      <x:c r="B4140" s="32">
        <x:v>853.15</x:v>
      </x:c>
      <x:c r="C4140" s="32">
        <x:v>863.07</x:v>
      </x:c>
      <x:c r="D4140" s="32">
        <x:v>850.33</x:v>
      </x:c>
      <x:c r="E4140" s="32">
        <x:v>859.7</x:v>
      </x:c>
      <x:c r="F4140" s="33">
        <x:v>147296730</x:v>
      </x:c>
      <x:c r="G4140" s="32" t="n">
        <x:f t="shared" si="183">AVERAGE(E3941:E4140)</x:f>
        <x:v>758.3153500000001</x:v>
      </x:c>
      <x:c r="H4140" s="37" t="n">
        <x:f t="shared" si="184">IFERROR(E4140/G4140-1,"")</x:f>
        <x:v>0.1336972144899875</x:v>
      </x:c>
      <x:c r="I4140" s="38" t="b">
        <x:f t="shared" si="185">E4140&lt;G4140</x:f>
        <x:v>0</x:v>
      </x:c>
    </x:row>
    <x:row r="4141">
      <x:c r="A4141" s="31">
        <x:v>43048</x:v>
      </x:c>
      <x:c r="B4141" s="32">
        <x:v>862.38</x:v>
      </x:c>
      <x:c r="C4141" s="32">
        <x:v>864.2</x:v>
      </x:c>
      <x:c r="D4141" s="32">
        <x:v>858.16</x:v>
      </x:c>
      <x:c r="E4141" s="32">
        <x:v>860.4</x:v>
      </x:c>
      <x:c r="F4141" s="33">
        <x:v>142874820</x:v>
      </x:c>
      <x:c r="G4141" s="32" t="n">
        <x:f t="shared" si="183">AVERAGE(E3942:E4141)</x:f>
        <x:v>759.1860499999999</x:v>
      </x:c>
      <x:c r="H4141" s="37" t="n">
        <x:f t="shared" si="184">IFERROR(E4141/G4141-1,"")</x:f>
        <x:v>0.1333190329300704</x:v>
      </x:c>
      <x:c r="I4141" s="38" t="b">
        <x:f t="shared" si="185">E4141&lt;G4141</x:f>
        <x:v>0</x:v>
      </x:c>
    </x:row>
    <x:row r="4142">
      <x:c r="A4142" s="31">
        <x:v>43049</x:v>
      </x:c>
      <x:c r="B4142" s="32">
        <x:v>859.91</x:v>
      </x:c>
      <x:c r="C4142" s="32">
        <x:v>869.37</x:v>
      </x:c>
      <x:c r="D4142" s="32">
        <x:v>859.24</x:v>
      </x:c>
      <x:c r="E4142" s="32">
        <x:v>868.21</x:v>
      </x:c>
      <x:c r="F4142" s="33">
        <x:v>150463680</x:v>
      </x:c>
      <x:c r="G4142" s="32" t="n">
        <x:f t="shared" si="183">AVERAGE(E3943:E4142)</x:f>
        <x:v>760.0913499999999</x:v>
      </x:c>
      <x:c r="H4142" s="37" t="n">
        <x:f t="shared" si="184">IFERROR(E4142/G4142-1,"")</x:f>
        <x:v>0.14224428419031487</x:v>
      </x:c>
      <x:c r="I4142" s="38" t="b">
        <x:f t="shared" si="185">E4142&lt;G4142</x:f>
        <x:v>0</x:v>
      </x:c>
    </x:row>
    <x:row r="4143">
      <x:c r="A4143" s="31">
        <x:v>43052</x:v>
      </x:c>
      <x:c r="B4143" s="32">
        <x:v>871.7</x:v>
      </x:c>
      <x:c r="C4143" s="32">
        <x:v>879.34</x:v>
      </x:c>
      <x:c r="D4143" s="32">
        <x:v>868.21</x:v>
      </x:c>
      <x:c r="E4143" s="32">
        <x:v>879.34</x:v>
      </x:c>
      <x:c r="F4143" s="33">
        <x:v>189223330</x:v>
      </x:c>
      <x:c r="G4143" s="32" t="n">
        <x:f t="shared" si="183">AVERAGE(E3944:E4143)</x:f>
        <x:v>761.03125</x:v>
      </x:c>
      <x:c r="H4143" s="37" t="n">
        <x:f t="shared" si="184">IFERROR(E4143/G4143-1,"")</x:f>
        <x:v>0.15545846507617145</x:v>
      </x:c>
      <x:c r="I4143" s="38" t="b">
        <x:f t="shared" si="185">E4143&lt;G4143</x:f>
        <x:v>0</x:v>
      </x:c>
    </x:row>
    <x:row r="4144">
      <x:c r="A4144" s="31">
        <x:v>43053</x:v>
      </x:c>
      <x:c r="B4144" s="32">
        <x:v>881.15</x:v>
      </x:c>
      <x:c r="C4144" s="32">
        <x:v>884.14</x:v>
      </x:c>
      <x:c r="D4144" s="32">
        <x:v>874.74</x:v>
      </x:c>
      <x:c r="E4144" s="32">
        <x:v>880.9</x:v>
      </x:c>
      <x:c r="F4144" s="33">
        <x:v>168957930</x:v>
      </x:c>
      <x:c r="G4144" s="32" t="n">
        <x:f t="shared" si="183">AVERAGE(E3945:E4144)</x:f>
        <x:v>761.94935</x:v>
      </x:c>
      <x:c r="H4144" s="37" t="n">
        <x:f t="shared" si="184">IFERROR(E4144/G4144-1,"")</x:f>
        <x:v>0.1561135920648793</x:v>
      </x:c>
      <x:c r="I4144" s="38" t="b">
        <x:f t="shared" si="185">E4144&lt;G4144</x:f>
        <x:v>0</x:v>
      </x:c>
    </x:row>
    <x:row r="4145">
      <x:c r="A4145" s="31">
        <x:v>43054</x:v>
      </x:c>
      <x:c r="B4145" s="32">
        <x:v>877.65</x:v>
      </x:c>
      <x:c r="C4145" s="32">
        <x:v>884.83</x:v>
      </x:c>
      <x:c r="D4145" s="32">
        <x:v>876.6</x:v>
      </x:c>
      <x:c r="E4145" s="32">
        <x:v>882.59</x:v>
      </x:c>
      <x:c r="F4145" s="33">
        <x:v>162193450</x:v>
      </x:c>
      <x:c r="G4145" s="32" t="n">
        <x:f t="shared" si="183">AVERAGE(E3946:E4145)</x:f>
        <x:v>762.8463999999999</x:v>
      </x:c>
      <x:c r="H4145" s="37" t="n">
        <x:f t="shared" si="184">IFERROR(E4145/G4145-1,"")</x:f>
        <x:v>0.15696947642408765</x:v>
      </x:c>
      <x:c r="I4145" s="38" t="b">
        <x:f t="shared" si="185">E4145&lt;G4145</x:f>
        <x:v>0</x:v>
      </x:c>
    </x:row>
    <x:row r="4146">
      <x:c r="A4146" s="31">
        <x:v>43055</x:v>
      </x:c>
      <x:c r="B4146" s="32">
        <x:v>880.17</x:v>
      </x:c>
      <x:c r="C4146" s="32">
        <x:v>892.8</x:v>
      </x:c>
      <x:c r="D4146" s="32">
        <x:v>880.17</x:v>
      </x:c>
      <x:c r="E4146" s="32">
        <x:v>892.8</x:v>
      </x:c>
      <x:c r="F4146" s="33">
        <x:v>169624640</x:v>
      </x:c>
      <x:c r="G4146" s="32" t="n">
        <x:f t="shared" si="183">AVERAGE(E3947:E4146)</x:f>
        <x:v>763.8086499999997</x:v>
      </x:c>
      <x:c r="H4146" s="37" t="n">
        <x:f t="shared" si="184">IFERROR(E4146/G4146-1,"")</x:f>
        <x:v>0.16887914270151327</x:v>
      </x:c>
      <x:c r="I4146" s="38" t="b">
        <x:f t="shared" si="185">E4146&lt;G4146</x:f>
        <x:v>0</x:v>
      </x:c>
    </x:row>
    <x:row r="4147">
      <x:c r="A4147" s="31">
        <x:v>43056</x:v>
      </x:c>
      <x:c r="B4147" s="32">
        <x:v>893.99</x:v>
      </x:c>
      <x:c r="C4147" s="32">
        <x:v>898.11</x:v>
      </x:c>
      <x:c r="D4147" s="32">
        <x:v>886.86</x:v>
      </x:c>
      <x:c r="E4147" s="32">
        <x:v>890.69</x:v>
      </x:c>
      <x:c r="F4147" s="33">
        <x:v>168088500</x:v>
      </x:c>
      <x:c r="G4147" s="32" t="n">
        <x:f t="shared" si="183">AVERAGE(E3948:E4147)</x:f>
        <x:v>764.7618999999997</x:v>
      </x:c>
      <x:c r="H4147" s="37" t="n">
        <x:f t="shared" si="184">IFERROR(E4147/G4147-1,"")</x:f>
        <x:v>0.16466314548358163</x:v>
      </x:c>
      <x:c r="I4147" s="38" t="b">
        <x:f t="shared" si="185">E4147&lt;G4147</x:f>
        <x:v>0</x:v>
      </x:c>
    </x:row>
    <x:row r="4148">
      <x:c r="A4148" s="31">
        <x:v>43059</x:v>
      </x:c>
      <x:c r="B4148" s="32">
        <x:v>890.34</x:v>
      </x:c>
      <x:c r="C4148" s="32">
        <x:v>903.55</x:v>
      </x:c>
      <x:c r="D4148" s="32">
        <x:v>889.55</x:v>
      </x:c>
      <x:c r="E4148" s="32">
        <x:v>903.55</x:v>
      </x:c>
      <x:c r="F4148" s="33">
        <x:v>145015010</x:v>
      </x:c>
      <x:c r="G4148" s="32" t="n">
        <x:f t="shared" si="183">AVERAGE(E3949:E4148)</x:f>
        <x:v>765.7700999999996</x:v>
      </x:c>
      <x:c r="H4148" s="37" t="n">
        <x:f t="shared" si="184">IFERROR(E4148/G4148-1,"")</x:f>
        <x:v>0.17992332163400016</x:v>
      </x:c>
      <x:c r="I4148" s="38" t="b">
        <x:f t="shared" si="185">E4148&lt;G4148</x:f>
        <x:v>0</x:v>
      </x:c>
    </x:row>
    <x:row r="4149">
      <x:c r="A4149" s="31">
        <x:v>43060</x:v>
      </x:c>
      <x:c r="B4149" s="32">
        <x:v>907.51</x:v>
      </x:c>
      <x:c r="C4149" s="32">
        <x:v>929.89</x:v>
      </x:c>
      <x:c r="D4149" s="32">
        <x:v>903.55</x:v>
      </x:c>
      <x:c r="E4149" s="32">
        <x:v>918.3</x:v>
      </x:c>
      <x:c r="F4149" s="33">
        <x:v>207576000</x:v>
      </x:c>
      <x:c r="G4149" s="32" t="n">
        <x:f t="shared" si="183">AVERAGE(E3950:E4149)</x:f>
        <x:v>766.8513999999996</x:v>
      </x:c>
      <x:c r="H4149" s="37" t="n">
        <x:f t="shared" si="184">IFERROR(E4149/G4149-1,"")</x:f>
        <x:v>0.1974940646910217</x:v>
      </x:c>
      <x:c r="I4149" s="38" t="b">
        <x:f t="shared" si="185">E4149&lt;G4149</x:f>
        <x:v>0</x:v>
      </x:c>
    </x:row>
    <x:row r="4150">
      <x:c r="A4150" s="31">
        <x:v>43061</x:v>
      </x:c>
      <x:c r="B4150" s="32">
        <x:v>921.13</x:v>
      </x:c>
      <x:c r="C4150" s="32">
        <x:v>932.66</x:v>
      </x:c>
      <x:c r="D4150" s="32">
        <x:v>918.3</x:v>
      </x:c>
      <x:c r="E4150" s="32">
        <x:v>932.66</x:v>
      </x:c>
      <x:c r="F4150" s="33">
        <x:v>181455380</x:v>
      </x:c>
      <x:c r="G4150" s="32" t="n">
        <x:f t="shared" si="183">AVERAGE(E3951:E4150)</x:f>
        <x:v>768.0114499999995</x:v>
      </x:c>
      <x:c r="H4150" s="37" t="n">
        <x:f t="shared" si="184">IFERROR(E4150/G4150-1,"")</x:f>
        <x:v>0.214382936608563</x:v>
      </x:c>
      <x:c r="I4150" s="38" t="b">
        <x:f t="shared" si="185">E4150&lt;G4150</x:f>
        <x:v>0</x:v>
      </x:c>
    </x:row>
    <x:row r="4151">
      <x:c r="A4151" s="31">
        <x:v>43062</x:v>
      </x:c>
      <x:c r="B4151" s="32">
        <x:v>938.31</x:v>
      </x:c>
      <x:c r="C4151" s="32">
        <x:v>943.15</x:v>
      </x:c>
      <x:c r="D4151" s="32">
        <x:v>927</x:v>
      </x:c>
      <x:c r="E4151" s="32">
        <x:v>933.7</x:v>
      </x:c>
      <x:c r="F4151" s="33">
        <x:v>205435150</x:v>
      </x:c>
      <x:c r="G4151" s="32" t="n">
        <x:f t="shared" si="183">AVERAGE(E3952:E4151)</x:f>
        <x:v>769.1610499999995</x:v>
      </x:c>
      <x:c r="H4151" s="37" t="n">
        <x:f t="shared" si="184">IFERROR(E4151/G4151-1,"")</x:f>
        <x:v>0.21392002364134366</x:v>
      </x:c>
      <x:c r="I4151" s="38" t="b">
        <x:f t="shared" si="185">E4151&lt;G4151</x:f>
        <x:v>0</x:v>
      </x:c>
    </x:row>
    <x:row r="4152">
      <x:c r="A4152" s="31">
        <x:v>43063</x:v>
      </x:c>
      <x:c r="B4152" s="32">
        <x:v>930.52</x:v>
      </x:c>
      <x:c r="C4152" s="32">
        <x:v>937.54</x:v>
      </x:c>
      <x:c r="D4152" s="32">
        <x:v>924.65</x:v>
      </x:c>
      <x:c r="E4152" s="32">
        <x:v>935.57</x:v>
      </x:c>
      <x:c r="F4152" s="33">
        <x:v>199758010</x:v>
      </x:c>
      <x:c r="G4152" s="32" t="n">
        <x:f t="shared" si="183">AVERAGE(E3953:E4152)</x:f>
        <x:v>770.3093999999996</x:v>
      </x:c>
      <x:c r="H4152" s="37" t="n">
        <x:f t="shared" si="184">IFERROR(E4152/G4152-1,"")</x:f>
        <x:v>0.21453795059491743</x:v>
      </x:c>
      <x:c r="I4152" s="38" t="b">
        <x:f t="shared" si="185">E4152&lt;G4152</x:f>
        <x:v>0</x:v>
      </x:c>
    </x:row>
    <x:row r="4153">
      <x:c r="A4153" s="31">
        <x:v>43066</x:v>
      </x:c>
      <x:c r="B4153" s="32">
        <x:v>933.38</x:v>
      </x:c>
      <x:c r="C4153" s="32">
        <x:v>947.06</x:v>
      </x:c>
      <x:c r="D4153" s="32">
        <x:v>931.29</x:v>
      </x:c>
      <x:c r="E4153" s="32">
        <x:v>938.61</x:v>
      </x:c>
      <x:c r="F4153" s="33">
        <x:v>225989050</x:v>
      </x:c>
      <x:c r="G4153" s="32" t="n">
        <x:f t="shared" si="183">AVERAGE(E3954:E4153)</x:f>
        <x:v>771.4711499999996</x:v>
      </x:c>
      <x:c r="H4153" s="37" t="n">
        <x:f t="shared" si="184">IFERROR(E4153/G4153-1,"")</x:f>
        <x:v>0.2166495143726379</x:v>
      </x:c>
      <x:c r="I4153" s="38" t="b">
        <x:f t="shared" si="185">E4153&lt;G4153</x:f>
        <x:v>0</x:v>
      </x:c>
    </x:row>
    <x:row r="4154">
      <x:c r="A4154" s="31">
        <x:v>43067</x:v>
      </x:c>
      <x:c r="B4154" s="32">
        <x:v>939.1</x:v>
      </x:c>
      <x:c r="C4154" s="32">
        <x:v>943.45</x:v>
      </x:c>
      <x:c r="D4154" s="32">
        <x:v>933.59</x:v>
      </x:c>
      <x:c r="E4154" s="32">
        <x:v>941.21</x:v>
      </x:c>
      <x:c r="F4154" s="33">
        <x:v>323706840</x:v>
      </x:c>
      <x:c r="G4154" s="32" t="n">
        <x:f t="shared" si="183">AVERAGE(E3955:E4154)</x:f>
        <x:v>772.6193499999994</x:v>
      </x:c>
      <x:c r="H4154" s="37" t="n">
        <x:f t="shared" si="184">IFERROR(E4154/G4154-1,"")</x:f>
        <x:v>0.21820661105627348</x:v>
      </x:c>
      <x:c r="I4154" s="38" t="b">
        <x:f t="shared" si="185">E4154&lt;G4154</x:f>
        <x:v>0</x:v>
      </x:c>
    </x:row>
    <x:row r="4155">
      <x:c r="A4155" s="31">
        <x:v>43068</x:v>
      </x:c>
      <x:c r="B4155" s="32">
        <x:v>943.46</x:v>
      </x:c>
      <x:c r="C4155" s="32">
        <x:v>952.14</x:v>
      </x:c>
      <x:c r="D4155" s="32">
        <x:v>940.4</x:v>
      </x:c>
      <x:c r="E4155" s="32">
        <x:v>952.14</x:v>
      </x:c>
      <x:c r="F4155" s="33">
        <x:v>206121930</x:v>
      </x:c>
      <x:c r="G4155" s="32" t="n">
        <x:f t="shared" si="183">AVERAGE(E3956:E4155)</x:f>
        <x:v>773.8332999999994</x:v>
      </x:c>
      <x:c r="H4155" s="37" t="n">
        <x:f t="shared" si="184">IFERROR(E4155/G4155-1,"")</x:f>
        <x:v>0.23042004007840022</x:v>
      </x:c>
      <x:c r="I4155" s="38" t="b">
        <x:f t="shared" si="185">E4155&lt;G4155</x:f>
        <x:v>0</x:v>
      </x:c>
    </x:row>
    <x:row r="4156">
      <x:c r="A4156" s="31">
        <x:v>43069</x:v>
      </x:c>
      <x:c r="B4156" s="32">
        <x:v>956.17</x:v>
      </x:c>
      <x:c r="C4156" s="32">
        <x:v>960.11</x:v>
      </x:c>
      <x:c r="D4156" s="32">
        <x:v>949.93</x:v>
      </x:c>
      <x:c r="E4156" s="32">
        <x:v>949.93</x:v>
      </x:c>
      <x:c r="F4156" s="33">
        <x:v>225052010</x:v>
      </x:c>
      <x:c r="G4156" s="32" t="n">
        <x:f t="shared" si="183">AVERAGE(E3957:E4156)</x:f>
        <x:v>775.0437999999995</x:v>
      </x:c>
      <x:c r="H4156" s="37" t="n">
        <x:f t="shared" si="184">IFERROR(E4156/G4156-1,"")</x:f>
        <x:v>0.22564686021615898</x:v>
      </x:c>
      <x:c r="I4156" s="38" t="b">
        <x:f t="shared" si="185">E4156&lt;G4156</x:f>
        <x:v>0</x:v>
      </x:c>
    </x:row>
    <x:row r="4157">
      <x:c r="A4157" s="31">
        <x:v>43070</x:v>
      </x:c>
      <x:c r="B4157" s="32">
        <x:v>952.76</x:v>
      </x:c>
      <x:c r="C4157" s="32">
        <x:v>960.33</x:v>
      </x:c>
      <x:c r="D4157" s="32">
        <x:v>949.93</x:v>
      </x:c>
      <x:c r="E4157" s="32">
        <x:v>960.33</x:v>
      </x:c>
      <x:c r="F4157" s="33">
        <x:v>204845390</x:v>
      </x:c>
      <x:c r="G4157" s="32" t="n">
        <x:f t="shared" si="183">AVERAGE(E3958:E4157)</x:f>
        <x:v>776.2924999999994</x:v>
      </x:c>
      <x:c r="H4157" s="37" t="n">
        <x:f t="shared" si="184">IFERROR(E4157/G4157-1,"")</x:f>
        <x:v>0.23707236640828122</x:v>
      </x:c>
      <x:c r="I4157" s="38" t="b">
        <x:f t="shared" si="185">E4157&lt;G4157</x:f>
        <x:v>0</x:v>
      </x:c>
    </x:row>
    <x:row r="4158">
      <x:c r="A4158" s="31">
        <x:v>43073</x:v>
      </x:c>
      <x:c r="B4158" s="32">
        <x:v>962.47</x:v>
      </x:c>
      <x:c r="C4158" s="32">
        <x:v>972.53</x:v>
      </x:c>
      <x:c r="D4158" s="32">
        <x:v>960.33</x:v>
      </x:c>
      <x:c r="E4158" s="32">
        <x:v>970.02</x:v>
      </x:c>
      <x:c r="F4158" s="33">
        <x:v>253286410</x:v>
      </x:c>
      <x:c r="G4158" s="32" t="n">
        <x:f t="shared" si="183">AVERAGE(E3959:E4158)</x:f>
        <x:v>777.5598499999994</x:v>
      </x:c>
      <x:c r="H4158" s="37" t="n">
        <x:f t="shared" si="184">IFERROR(E4158/G4158-1,"")</x:f>
        <x:v>0.2475181170941385</x:v>
      </x:c>
      <x:c r="I4158" s="38" t="b">
        <x:f t="shared" si="185">E4158&lt;G4158</x:f>
        <x:v>0</x:v>
      </x:c>
    </x:row>
    <x:row r="4159">
      <x:c r="A4159" s="31">
        <x:v>43074</x:v>
      </x:c>
      <x:c r="B4159" s="32">
        <x:v>972.28</x:v>
      </x:c>
      <x:c r="C4159" s="32">
        <x:v>974.8</x:v>
      </x:c>
      <x:c r="D4159" s="32">
        <x:v>953.3</x:v>
      </x:c>
      <x:c r="E4159" s="32">
        <x:v>953.3</x:v>
      </x:c>
      <x:c r="F4159" s="33">
        <x:v>237663970</x:v>
      </x:c>
      <x:c r="G4159" s="32" t="n">
        <x:f t="shared" si="183">AVERAGE(E3960:E4159)</x:f>
        <x:v>778.7401499999994</x:v>
      </x:c>
      <x:c r="H4159" s="37" t="n">
        <x:f t="shared" si="184">IFERROR(E4159/G4159-1,"")</x:f>
        <x:v>0.22415673572243677</x:v>
      </x:c>
      <x:c r="I4159" s="38" t="b">
        <x:f t="shared" si="185">E4159&lt;G4159</x:f>
        <x:v>0</x:v>
      </x:c>
    </x:row>
    <x:row r="4160">
      <x:c r="A4160" s="31">
        <x:v>43075</x:v>
      </x:c>
      <x:c r="B4160" s="32">
        <x:v>950.21</x:v>
      </x:c>
      <x:c r="C4160" s="32">
        <x:v>953.3</x:v>
      </x:c>
      <x:c r="D4160" s="32">
        <x:v>932.64</x:v>
      </x:c>
      <x:c r="E4160" s="32">
        <x:v>947.64</x:v>
      </x:c>
      <x:c r="F4160" s="33">
        <x:v>225172150</x:v>
      </x:c>
      <x:c r="G4160" s="32" t="n">
        <x:f t="shared" si="183">AVERAGE(E3961:E4160)</x:f>
        <x:v>779.8939999999993</x:v>
      </x:c>
      <x:c r="H4160" s="37" t="n">
        <x:f t="shared" si="184">IFERROR(E4160/G4160-1,"")</x:f>
        <x:v>0.21508820429443087</x:v>
      </x:c>
      <x:c r="I4160" s="38" t="b">
        <x:f t="shared" si="185">E4160&lt;G4160</x:f>
        <x:v>0</x:v>
      </x:c>
    </x:row>
    <x:row r="4161">
      <x:c r="A4161" s="31">
        <x:v>43076</x:v>
      </x:c>
      <x:c r="B4161" s="32">
        <x:v>950.23</x:v>
      </x:c>
      <x:c r="C4161" s="32">
        <x:v>954.24</x:v>
      </x:c>
      <x:c r="D4161" s="32">
        <x:v>932.68</x:v>
      </x:c>
      <x:c r="E4161" s="32">
        <x:v>938.65</x:v>
      </x:c>
      <x:c r="F4161" s="33">
        <x:v>162853390</x:v>
      </x:c>
      <x:c r="G4161" s="32" t="n">
        <x:f t="shared" si="183">AVERAGE(E3962:E4161)</x:f>
        <x:v>781.0148999999994</x:v>
      </x:c>
      <x:c r="H4161" s="37" t="n">
        <x:f t="shared" si="184">IFERROR(E4161/G4161-1,"")</x:f>
        <x:v>0.20183366540126269</x:v>
      </x:c>
      <x:c r="I4161" s="38" t="b">
        <x:f t="shared" si="185">E4161&lt;G4161</x:f>
        <x:v>0</x:v>
      </x:c>
    </x:row>
    <x:row r="4162">
      <x:c r="A4162" s="31">
        <x:v>43077</x:v>
      </x:c>
      <x:c r="B4162" s="32">
        <x:v>938.41</x:v>
      </x:c>
      <x:c r="C4162" s="32">
        <x:v>944.75</x:v>
      </x:c>
      <x:c r="D4162" s="32">
        <x:v>930.29</x:v>
      </x:c>
      <x:c r="E4162" s="32">
        <x:v>940.16</x:v>
      </x:c>
      <x:c r="F4162" s="33">
        <x:v>153106250</x:v>
      </x:c>
      <x:c r="G4162" s="32" t="n">
        <x:f t="shared" si="183">AVERAGE(E3963:E4162)</x:f>
        <x:v>782.1284999999995</x:v>
      </x:c>
      <x:c r="H4162" s="37" t="n">
        <x:f t="shared" si="184">IFERROR(E4162/G4162-1,"")</x:f>
        <x:v>0.20205311531289372</x:v>
      </x:c>
      <x:c r="I4162" s="38" t="b">
        <x:f t="shared" si="185">E4162&lt;G4162</x:f>
        <x:v>0</x:v>
      </x:c>
    </x:row>
    <x:row r="4163">
      <x:c r="A4163" s="31">
        <x:v>43080</x:v>
      </x:c>
      <x:c r="B4163" s="32">
        <x:v>930.17</x:v>
      </x:c>
      <x:c r="C4163" s="32">
        <x:v>940.16</x:v>
      </x:c>
      <x:c r="D4163" s="32">
        <x:v>917.45</x:v>
      </x:c>
      <x:c r="E4163" s="32">
        <x:v>917.45</x:v>
      </x:c>
      <x:c r="F4163" s="33">
        <x:v>170105480</x:v>
      </x:c>
      <x:c r="G4163" s="32" t="n">
        <x:f t="shared" si="183">AVERAGE(E3964:E4163)</x:f>
        <x:v>783.1617999999995</x:v>
      </x:c>
      <x:c r="H4163" s="37" t="n">
        <x:f t="shared" si="184">IFERROR(E4163/G4163-1,"")</x:f>
        <x:v>0.17146929280769396</x:v>
      </x:c>
      <x:c r="I4163" s="38" t="b">
        <x:f t="shared" si="185">E4163&lt;G4163</x:f>
        <x:v>0</x:v>
      </x:c>
    </x:row>
    <x:row r="4164">
      <x:c r="A4164" s="31">
        <x:v>43081</x:v>
      </x:c>
      <x:c r="B4164" s="32">
        <x:v>927.67</x:v>
      </x:c>
      <x:c r="C4164" s="32">
        <x:v>931.12</x:v>
      </x:c>
      <x:c r="D4164" s="32">
        <x:v>895.73</x:v>
      </x:c>
      <x:c r="E4164" s="32">
        <x:v>927.25</x:v>
      </x:c>
      <x:c r="F4164" s="33">
        <x:v>225246300</x:v>
      </x:c>
      <x:c r="G4164" s="32" t="n">
        <x:f t="shared" si="183">AVERAGE(E3965:E4164)</x:f>
        <x:v>784.2504499999997</x:v>
      </x:c>
      <x:c r="H4164" s="37" t="n">
        <x:f t="shared" si="184">IFERROR(E4164/G4164-1,"")</x:f>
        <x:v>0.18233913668777668</x:v>
      </x:c>
      <x:c r="I4164" s="38" t="b">
        <x:f t="shared" si="185">E4164&lt;G4164</x:f>
        <x:v>0</x:v>
      </x:c>
    </x:row>
    <x:row r="4165">
      <x:c r="A4165" s="31">
        <x:v>43082</x:v>
      </x:c>
      <x:c r="B4165" s="32">
        <x:v>932.05</x:v>
      </x:c>
      <x:c r="C4165" s="32">
        <x:v>932.48</x:v>
      </x:c>
      <x:c r="D4165" s="32">
        <x:v>922.97</x:v>
      </x:c>
      <x:c r="E4165" s="32">
        <x:v>924.4</x:v>
      </x:c>
      <x:c r="F4165" s="33">
        <x:v>127047580</x:v>
      </x:c>
      <x:c r="G4165" s="32" t="n">
        <x:f t="shared" si="183">AVERAGE(E3966:E4165)</x:f>
        <x:v>785.3348999999995</x:v>
      </x:c>
      <x:c r="H4165" s="37" t="n">
        <x:f t="shared" si="184">IFERROR(E4165/G4165-1,"")</x:f>
        <x:v>0.17707744810526127</x:v>
      </x:c>
      <x:c r="I4165" s="38" t="b">
        <x:f t="shared" si="185">E4165&lt;G4165</x:f>
        <x:v>0</x:v>
      </x:c>
    </x:row>
    <x:row r="4166">
      <x:c r="A4166" s="31">
        <x:v>43083</x:v>
      </x:c>
      <x:c r="B4166" s="32">
        <x:v>925.51</x:v>
      </x:c>
      <x:c r="C4166" s="32">
        <x:v>936.29</x:v>
      </x:c>
      <x:c r="D4166" s="32">
        <x:v>923.99</x:v>
      </x:c>
      <x:c r="E4166" s="32">
        <x:v>935.85</x:v>
      </x:c>
      <x:c r="F4166" s="33">
        <x:v>154262610</x:v>
      </x:c>
      <x:c r="G4166" s="32" t="n">
        <x:f t="shared" si="183">AVERAGE(E3967:E4166)</x:f>
        <x:v>786.4510499999996</x:v>
      </x:c>
      <x:c r="H4166" s="37" t="n">
        <x:f t="shared" si="184">IFERROR(E4166/G4166-1,"")</x:f>
        <x:v>0.18996598707573797</x:v>
      </x:c>
      <x:c r="I4166" s="38" t="b">
        <x:f t="shared" si="185">E4166&lt;G4166</x:f>
        <x:v>0</x:v>
      </x:c>
    </x:row>
    <x:row r="4167">
      <x:c r="A4167" s="31">
        <x:v>43084</x:v>
      </x:c>
      <x:c r="B4167" s="32">
        <x:v>933.63</x:v>
      </x:c>
      <x:c r="C4167" s="32">
        <x:v>939.57</x:v>
      </x:c>
      <x:c r="D4167" s="32">
        <x:v>932.96</x:v>
      </x:c>
      <x:c r="E4167" s="32">
        <x:v>935.16</x:v>
      </x:c>
      <x:c r="F4167" s="33">
        <x:v>229584110</x:v>
      </x:c>
      <x:c r="G4167" s="32" t="n">
        <x:f t="shared" si="183">AVERAGE(E3968:E4167)</x:f>
        <x:v>787.5453999999996</x:v>
      </x:c>
      <x:c r="H4167" s="37" t="n">
        <x:f t="shared" si="184">IFERROR(E4167/G4167-1,"")</x:f>
        <x:v>0.1874363052593544</x:v>
      </x:c>
      <x:c r="I4167" s="38" t="b">
        <x:f t="shared" si="185">E4167&lt;G4167</x:f>
        <x:v>0</x:v>
      </x:c>
    </x:row>
    <x:row r="4168">
      <x:c r="A4168" s="31">
        <x:v>43087</x:v>
      </x:c>
      <x:c r="B4168" s="32">
        <x:v>945.9</x:v>
      </x:c>
      <x:c r="C4168" s="32">
        <x:v>958.06</x:v>
      </x:c>
      <x:c r="D4168" s="32">
        <x:v>935.16</x:v>
      </x:c>
      <x:c r="E4168" s="32">
        <x:v>958.06</x:v>
      </x:c>
      <x:c r="F4168" s="33">
        <x:v>226365940</x:v>
      </x:c>
      <x:c r="G4168" s="32" t="n">
        <x:f t="shared" si="183">AVERAGE(E3969:E4168)</x:f>
        <x:v>788.7529999999996</x:v>
      </x:c>
      <x:c r="H4168" s="37" t="n">
        <x:f t="shared" si="184">IFERROR(E4168/G4168-1,"")</x:f>
        <x:v>0.2146514815157603</x:v>
      </x:c>
      <x:c r="I4168" s="38" t="b">
        <x:f t="shared" si="185">E4168&lt;G4168</x:f>
        <x:v>0</x:v>
      </x:c>
    </x:row>
    <x:row r="4169">
      <x:c r="A4169" s="31">
        <x:v>43088</x:v>
      </x:c>
      <x:c r="B4169" s="32">
        <x:v>961.03</x:v>
      </x:c>
      <x:c r="C4169" s="32">
        <x:v>963.01</x:v>
      </x:c>
      <x:c r="D4169" s="32">
        <x:v>951.25</x:v>
      </x:c>
      <x:c r="E4169" s="32">
        <x:v>951.42</x:v>
      </x:c>
      <x:c r="F4169" s="33">
        <x:v>206933350</x:v>
      </x:c>
      <x:c r="G4169" s="32" t="n">
        <x:f t="shared" si="183">AVERAGE(E3970:E4169)</x:f>
        <x:v>789.9270999999997</x:v>
      </x:c>
      <x:c r="H4169" s="37" t="n">
        <x:f t="shared" si="184">IFERROR(E4169/G4169-1,"")</x:f>
        <x:v>0.2044402578415152</x:v>
      </x:c>
      <x:c r="I4169" s="38" t="b">
        <x:f t="shared" si="185">E4169&lt;G4169</x:f>
        <x:v>0</x:v>
      </x:c>
    </x:row>
    <x:row r="4170">
      <x:c r="A4170" s="31">
        <x:v>43089</x:v>
      </x:c>
      <x:c r="B4170" s="32">
        <x:v>945.12</x:v>
      </x:c>
      <x:c r="C4170" s="32">
        <x:v>958.82</x:v>
      </x:c>
      <x:c r="D4170" s="32">
        <x:v>945.12</x:v>
      </x:c>
      <x:c r="E4170" s="32">
        <x:v>953.51</x:v>
      </x:c>
      <x:c r="F4170" s="33">
        <x:v>174376230</x:v>
      </x:c>
      <x:c r="G4170" s="32" t="n">
        <x:f t="shared" si="183">AVERAGE(E3971:E4170)</x:f>
        <x:v>791.1156499999996</x:v>
      </x:c>
      <x:c r="H4170" s="37" t="n">
        <x:f t="shared" si="184">IFERROR(E4170/G4170-1,"")</x:f>
        <x:v>0.20527257929987908</x:v>
      </x:c>
      <x:c r="I4170" s="38" t="b">
        <x:f t="shared" si="185">E4170&lt;G4170</x:f>
        <x:v>0</x:v>
      </x:c>
    </x:row>
    <x:row r="4171">
      <x:c r="A4171" s="31">
        <x:v>43090</x:v>
      </x:c>
      <x:c r="B4171" s="32">
        <x:v>949.45</x:v>
      </x:c>
      <x:c r="C4171" s="32">
        <x:v>957.56</x:v>
      </x:c>
      <x:c r="D4171" s="32">
        <x:v>946.06</x:v>
      </x:c>
      <x:c r="E4171" s="32">
        <x:v>946.06</x:v>
      </x:c>
      <x:c r="F4171" s="33">
        <x:v>146788730</x:v>
      </x:c>
      <x:c r="G4171" s="32" t="n">
        <x:f t="shared" si="183">AVERAGE(E3972:E4171)</x:f>
        <x:v>792.2848999999997</x:v>
      </x:c>
      <x:c r="H4171" s="37" t="n">
        <x:f t="shared" si="184">IFERROR(E4171/G4171-1,"")</x:f>
        <x:v>0.19409066107406603</x:v>
      </x:c>
      <x:c r="I4171" s="38" t="b">
        <x:f t="shared" si="185">E4171&lt;G4171</x:f>
        <x:v>0</x:v>
      </x:c>
    </x:row>
    <x:row r="4172">
      <x:c r="A4172" s="31">
        <x:v>43091</x:v>
      </x:c>
      <x:c r="B4172" s="32">
        <x:v>947.54</x:v>
      </x:c>
      <x:c r="C4172" s="32">
        <x:v>952.7</x:v>
      </x:c>
      <x:c r="D4172" s="32">
        <x:v>945.18</x:v>
      </x:c>
      <x:c r="E4172" s="32">
        <x:v>952.32</x:v>
      </x:c>
      <x:c r="F4172" s="33">
        <x:v>146008550</x:v>
      </x:c>
      <x:c r="G4172" s="32" t="n">
        <x:f t="shared" si="183">AVERAGE(E3973:E4172)</x:f>
        <x:v>793.4956499999997</x:v>
      </x:c>
      <x:c r="H4172" s="37" t="n">
        <x:f t="shared" si="184">IFERROR(E4172/G4172-1,"")</x:f>
        <x:v>0.2001578080484756</x:v>
      </x:c>
      <x:c r="I4172" s="38" t="b">
        <x:f t="shared" si="185">E4172&lt;G4172</x:f>
        <x:v>0</x:v>
      </x:c>
    </x:row>
    <x:row r="4173">
      <x:c r="A4173" s="31">
        <x:v>43094</x:v>
      </x:c>
      <x:c r="B4173" s="32">
        <x:v>954.28</x:v>
      </x:c>
      <x:c r="C4173" s="32">
        <x:v>958.57</x:v>
      </x:c>
      <x:c r="D4173" s="32">
        <x:v>952.32</x:v>
      </x:c>
      <x:c r="E4173" s="32">
        <x:v>958.31</x:v>
      </x:c>
      <x:c r="F4173" s="33">
        <x:v>116082960</x:v>
      </x:c>
      <x:c r="G4173" s="32" t="n">
        <x:f t="shared" ref="G4173:G4236" si="186">AVERAGE(E3974:E4173)</x:f>
        <x:v>794.7136499999998</x:v>
      </x:c>
      <x:c r="H4173" s="37" t="n">
        <x:f t="shared" ref="H4173:H4236" si="187">IFERROR(E4173/G4173-1,"")</x:f>
        <x:v>0.20585571922666768</x:v>
      </x:c>
      <x:c r="I4173" s="38" t="b">
        <x:f t="shared" ref="I4173:I4236" si="188">E4173&lt;G4173</x:f>
        <x:v>0</x:v>
      </x:c>
    </x:row>
    <x:row r="4174">
      <x:c r="A4174" s="31">
        <x:v>43095</x:v>
      </x:c>
      <x:c r="B4174" s="32">
        <x:v>960.32</x:v>
      </x:c>
      <x:c r="C4174" s="32">
        <x:v>965.93</x:v>
      </x:c>
      <x:c r="D4174" s="32">
        <x:v>957.24</x:v>
      </x:c>
      <x:c r="E4174" s="32">
        <x:v>965.93</x:v>
      </x:c>
      <x:c r="F4174" s="33">
        <x:v>134417650</x:v>
      </x:c>
      <x:c r="G4174" s="32" t="n">
        <x:f t="shared" si="186">AVERAGE(E3975:E4174)</x:f>
        <x:v>795.9775999999997</x:v>
      </x:c>
      <x:c r="H4174" s="37" t="n">
        <x:f t="shared" si="187">IFERROR(E4174/G4174-1,"")</x:f>
        <x:v>0.213514048636545</x:v>
      </x:c>
      <x:c r="I4174" s="38" t="b">
        <x:f t="shared" si="188">E4174&lt;G4174</x:f>
        <x:v>0</x:v>
      </x:c>
    </x:row>
    <x:row r="4175">
      <x:c r="A4175" s="31">
        <x:v>43096</x:v>
      </x:c>
      <x:c r="B4175" s="32">
        <x:v>969.72</x:v>
      </x:c>
      <x:c r="C4175" s="32">
        <x:v>972.6</x:v>
      </x:c>
      <x:c r="D4175" s="32">
        <x:v>965.18</x:v>
      </x:c>
      <x:c r="E4175" s="32">
        <x:v>968.46</x:v>
      </x:c>
      <x:c r="F4175" s="33">
        <x:v>177748110</x:v>
      </x:c>
      <x:c r="G4175" s="32" t="n">
        <x:f t="shared" si="186">AVERAGE(E3976:E4175)</x:f>
        <x:v>797.2452999999997</x:v>
      </x:c>
      <x:c r="H4175" s="37" t="n">
        <x:f t="shared" si="187">IFERROR(E4175/G4175-1,"")</x:f>
        <x:v>0.21475786686983334</x:v>
      </x:c>
      <x:c r="I4175" s="38" t="b">
        <x:f t="shared" si="188">E4175&lt;G4175</x:f>
        <x:v>0</x:v>
      </x:c>
    </x:row>
    <x:row r="4176">
      <x:c r="A4176" s="31">
        <x:v>43097</x:v>
      </x:c>
      <x:c r="B4176" s="32">
        <x:v>970.63</x:v>
      </x:c>
      <x:c r="C4176" s="32">
        <x:v>978.65</x:v>
      </x:c>
      <x:c r="D4176" s="32">
        <x:v>967.73</x:v>
      </x:c>
      <x:c r="E4176" s="32">
        <x:v>976.72</x:v>
      </x:c>
      <x:c r="F4176" s="33">
        <x:v>143944680</x:v>
      </x:c>
      <x:c r="G4176" s="32" t="n">
        <x:f t="shared" si="186">AVERAGE(E3977:E4176)</x:f>
        <x:v>798.5761999999996</x:v>
      </x:c>
      <x:c r="H4176" s="37" t="n">
        <x:f t="shared" si="187">IFERROR(E4176/G4176-1,"")</x:f>
        <x:v>0.2230767708829795</x:v>
      </x:c>
      <x:c r="I4176" s="38" t="b">
        <x:f t="shared" si="188">E4176&lt;G4176</x:f>
        <x:v>0</x:v>
      </x:c>
    </x:row>
    <x:row r="4177">
      <x:c r="A4177" s="31">
        <x:v>43098</x:v>
      </x:c>
      <x:c r="B4177" s="32">
        <x:v>978.39</x:v>
      </x:c>
      <x:c r="C4177" s="32">
        <x:v>990.1</x:v>
      </x:c>
      <x:c r="D4177" s="32">
        <x:v>976.33</x:v>
      </x:c>
      <x:c r="E4177" s="32">
        <x:v>984.24</x:v>
      </x:c>
      <x:c r="F4177" s="33">
        <x:v>180964800</x:v>
      </x:c>
      <x:c r="G4177" s="32" t="n">
        <x:f t="shared" si="186">AVERAGE(E3978:E4177)</x:f>
        <x:v>799.9220499999996</x:v>
      </x:c>
      <x:c r="H4177" s="37" t="n">
        <x:f t="shared" si="187">IFERROR(E4177/G4177-1,"")</x:f>
        <x:v>0.23041988903793875</x:v>
      </x:c>
      <x:c r="I4177" s="38" t="b">
        <x:f t="shared" si="188">E4177&lt;G4177</x:f>
        <x:v>0</x:v>
      </x:c>
    </x:row>
    <x:row r="4178">
      <x:c r="A4178" s="31">
        <x:v>43102</x:v>
      </x:c>
      <x:c r="B4178" s="32">
        <x:v>986.05</x:v>
      </x:c>
      <x:c r="C4178" s="32">
        <x:v>996.18</x:v>
      </x:c>
      <x:c r="D4178" s="32">
        <x:v>984.24</x:v>
      </x:c>
      <x:c r="E4178" s="32">
        <x:v>995.77</x:v>
      </x:c>
      <x:c r="F4178" s="33">
        <x:v>173125210</x:v>
      </x:c>
      <x:c r="G4178" s="32" t="n">
        <x:f t="shared" si="186">AVERAGE(E3979:E4178)</x:f>
        <x:v>801.3199999999994</x:v>
      </x:c>
      <x:c r="H4178" s="37" t="n">
        <x:f t="shared" si="187">IFERROR(E4178/G4178-1,"")</x:f>
        <x:v>0.24266210752258877</x:v>
      </x:c>
      <x:c r="I4178" s="38" t="b">
        <x:f t="shared" si="188">E4178&lt;G4178</x:f>
        <x:v>0</x:v>
      </x:c>
    </x:row>
    <x:row r="4179">
      <x:c r="A4179" s="31">
        <x:v>43103</x:v>
      </x:c>
      <x:c r="B4179" s="32">
        <x:v>999.86</x:v>
      </x:c>
      <x:c r="C4179" s="32">
        <x:v>1010.21</x:v>
      </x:c>
      <x:c r="D4179" s="32">
        <x:v>995.77</x:v>
      </x:c>
      <x:c r="E4179" s="32">
        <x:v>1005.67</x:v>
      </x:c>
      <x:c r="F4179" s="33">
        <x:v>212755670</x:v>
      </x:c>
      <x:c r="G4179" s="32" t="n">
        <x:f t="shared" si="186">AVERAGE(E3980:E4179)</x:f>
        <x:v>802.7836499999996</x:v>
      </x:c>
      <x:c r="H4179" s="37" t="n">
        <x:f t="shared" si="187">IFERROR(E4179/G4179-1,"")</x:f>
        <x:v>0.2527285527053278</x:v>
      </x:c>
      <x:c r="I4179" s="38" t="b">
        <x:f t="shared" si="188">E4179&lt;G4179</x:f>
        <x:v>0</x:v>
      </x:c>
    </x:row>
    <x:row r="4180">
      <x:c r="A4180" s="31">
        <x:v>43104</x:v>
      </x:c>
      <x:c r="B4180" s="32">
        <x:v>1009.37</x:v>
      </x:c>
      <x:c r="C4180" s="32">
        <x:v>1019.75</x:v>
      </x:c>
      <x:c r="D4180" s="32">
        <x:v>1005.67</x:v>
      </x:c>
      <x:c r="E4180" s="32">
        <x:v>1019.75</x:v>
      </x:c>
      <x:c r="F4180" s="33">
        <x:v>235427380</x:v>
      </x:c>
      <x:c r="G4180" s="32" t="n">
        <x:f t="shared" si="186">AVERAGE(E3981:E4180)</x:f>
        <x:v>804.2845999999996</x:v>
      </x:c>
      <x:c r="H4180" s="37" t="n">
        <x:f t="shared" si="187">IFERROR(E4180/G4180-1,"")</x:f>
        <x:v>0.26789696085191794</x:v>
      </x:c>
      <x:c r="I4180" s="38" t="b">
        <x:f t="shared" si="188">E4180&lt;G4180</x:f>
        <x:v>0</x:v>
      </x:c>
    </x:row>
    <x:row r="4181">
      <x:c r="A4181" s="31">
        <x:v>43105</x:v>
      </x:c>
      <x:c r="B4181" s="32">
        <x:v>1020.34</x:v>
      </x:c>
      <x:c r="C4181" s="32">
        <x:v>1020.6</x:v>
      </x:c>
      <x:c r="D4181" s="32">
        <x:v>1010.65</x:v>
      </x:c>
      <x:c r="E4181" s="32">
        <x:v>1012.65</x:v>
      </x:c>
      <x:c r="F4181" s="33">
        <x:v>267882440</x:v>
      </x:c>
      <x:c r="G4181" s="32" t="n">
        <x:f t="shared" si="186">AVERAGE(E3982:E4181)</x:f>
        <x:v>805.7371499999995</x:v>
      </x:c>
      <x:c r="H4181" s="37" t="n">
        <x:f t="shared" si="187">IFERROR(E4181/G4181-1,"")</x:f>
        <x:v>0.2567994413562793</x:v>
      </x:c>
      <x:c r="I4181" s="38" t="b">
        <x:f t="shared" si="188">E4181&lt;G4181</x:f>
        <x:v>0</x:v>
      </x:c>
    </x:row>
    <x:row r="4182">
      <x:c r="A4182" s="31">
        <x:v>43108</x:v>
      </x:c>
      <x:c r="B4182" s="32">
        <x:v>1011.36</x:v>
      </x:c>
      <x:c r="C4182" s="32">
        <x:v>1022.9</x:v>
      </x:c>
      <x:c r="D4182" s="32">
        <x:v>1004.89</x:v>
      </x:c>
      <x:c r="E4182" s="32">
        <x:v>1022.9</x:v>
      </x:c>
      <x:c r="F4182" s="33">
        <x:v>236387900</x:v>
      </x:c>
      <x:c r="G4182" s="32" t="n">
        <x:f t="shared" si="186">AVERAGE(E3983:E4182)</x:f>
        <x:v>807.2340499999996</x:v>
      </x:c>
      <x:c r="H4182" s="37" t="n">
        <x:f t="shared" si="187">IFERROR(E4182/G4182-1,"")</x:f>
        <x:v>0.2671665671189174</x:v>
      </x:c>
      <x:c r="I4182" s="38" t="b">
        <x:f t="shared" si="188">E4182&lt;G4182</x:f>
        <x:v>0</x:v>
      </x:c>
    </x:row>
    <x:row r="4183">
      <x:c r="A4183" s="31">
        <x:v>43109</x:v>
      </x:c>
      <x:c r="B4183" s="32">
        <x:v>1027.1400000000001</x:v>
      </x:c>
      <x:c r="C4183" s="32">
        <x:v>1033.56</x:v>
      </x:c>
      <x:c r="D4183" s="32">
        <x:v>1017.86</x:v>
      </x:c>
      <x:c r="E4183" s="32">
        <x:v>1033.56</x:v>
      </x:c>
      <x:c r="F4183" s="33">
        <x:v>290482980</x:v>
      </x:c>
      <x:c r="G4183" s="32" t="n">
        <x:f t="shared" si="186">AVERAGE(E3984:E4183)</x:f>
        <x:v>808.8055499999995</x:v>
      </x:c>
      <x:c r="H4183" s="37" t="n">
        <x:f t="shared" si="187">IFERROR(E4183/G4183-1,"")</x:f>
        <x:v>0.27788440620863764</x:v>
      </x:c>
      <x:c r="I4183" s="38" t="b">
        <x:f t="shared" si="188">E4183&lt;G4183</x:f>
        <x:v>0</x:v>
      </x:c>
    </x:row>
    <x:row r="4184">
      <x:c r="A4184" s="31">
        <x:v>43110</x:v>
      </x:c>
      <x:c r="B4184" s="32">
        <x:v>1034.6400000000001</x:v>
      </x:c>
      <x:c r="C4184" s="32">
        <x:v>1045.6300000000001</x:v>
      </x:c>
      <x:c r="D4184" s="32">
        <x:v>1033.01</x:v>
      </x:c>
      <x:c r="E4184" s="32">
        <x:v>1038.1099999999999</x:v>
      </x:c>
      <x:c r="F4184" s="33">
        <x:v>341600970</x:v>
      </x:c>
      <x:c r="G4184" s="32" t="n">
        <x:f t="shared" si="186">AVERAGE(E3985:E4184)</x:f>
        <x:v>810.3937499999994</x:v>
      </x:c>
      <x:c r="H4184" s="37" t="n">
        <x:f t="shared" si="187">IFERROR(E4184/G4184-1,"")</x:f>
        <x:v>0.28099457825285623</x:v>
      </x:c>
      <x:c r="I4184" s="38" t="b">
        <x:f t="shared" si="188">E4184&lt;G4184</x:f>
        <x:v>0</x:v>
      </x:c>
    </x:row>
    <x:row r="4185">
      <x:c r="A4185" s="31">
        <x:v>43111</x:v>
      </x:c>
      <x:c r="B4185" s="32">
        <x:v>1037.03</x:v>
      </x:c>
      <x:c r="C4185" s="32">
        <x:v>1049.73</x:v>
      </x:c>
      <x:c r="D4185" s="32">
        <x:v>1031.1300000000001</x:v>
      </x:c>
      <x:c r="E4185" s="32">
        <x:v>1048.17</x:v>
      </x:c>
      <x:c r="F4185" s="33">
        <x:v>288550670</x:v>
      </x:c>
      <x:c r="G4185" s="32" t="n">
        <x:f t="shared" si="186">AVERAGE(E3986:E4185)</x:f>
        <x:v>812.0152999999996</x:v>
      </x:c>
      <x:c r="H4185" s="37" t="n">
        <x:f t="shared" si="187">IFERROR(E4185/G4185-1,"")</x:f>
        <x:v>0.2908254314912546</x:v>
      </x:c>
      <x:c r="I4185" s="38" t="b">
        <x:f t="shared" si="188">E4185&lt;G4185</x:f>
        <x:v>0</x:v>
      </x:c>
    </x:row>
    <x:row r="4186">
      <x:c r="A4186" s="31">
        <x:v>43112</x:v>
      </x:c>
      <x:c r="B4186" s="32">
        <x:v>1050.17</x:v>
      </x:c>
      <x:c r="C4186" s="32">
        <x:v>1057.8800000000001</x:v>
      </x:c>
      <x:c r="D4186" s="32">
        <x:v>1046.3800000000001</x:v>
      </x:c>
      <x:c r="E4186" s="32">
        <x:v>1050.1099999999999</x:v>
      </x:c>
      <x:c r="F4186" s="33">
        <x:v>320836070</x:v>
      </x:c>
      <x:c r="G4186" s="32" t="n">
        <x:f t="shared" si="186">AVERAGE(E3987:E4186)</x:f>
        <x:v>813.6542999999997</x:v>
      </x:c>
      <x:c r="H4186" s="37" t="n">
        <x:f t="shared" si="187">IFERROR(E4186/G4186-1,"")</x:f>
        <x:v>0.29060953773611264</x:v>
      </x:c>
      <x:c r="I4186" s="38" t="b">
        <x:f t="shared" si="188">E4186&lt;G4186</x:f>
        <x:v>0</x:v>
      </x:c>
    </x:row>
    <x:row r="4187">
      <x:c r="A4187" s="31">
        <x:v>43115</x:v>
      </x:c>
      <x:c r="B4187" s="32">
        <x:v>1049.9100000000001</x:v>
      </x:c>
      <x:c r="C4187" s="32">
        <x:v>1063.47</x:v>
      </x:c>
      <x:c r="D4187" s="32">
        <x:v>1043.1500000000001</x:v>
      </x:c>
      <x:c r="E4187" s="32">
        <x:v>1063.47</x:v>
      </x:c>
      <x:c r="F4187" s="33">
        <x:v>256567310</x:v>
      </x:c>
      <x:c r="G4187" s="32" t="n">
        <x:f t="shared" si="186">AVERAGE(E3988:E4187)</x:f>
        <x:v>815.3597499999996</x:v>
      </x:c>
      <x:c r="H4187" s="37" t="n">
        <x:f t="shared" si="187">IFERROR(E4187/G4187-1,"")</x:f>
        <x:v>0.30429543523579694</x:v>
      </x:c>
      <x:c r="I4187" s="38" t="b">
        <x:f t="shared" si="188">E4187&lt;G4187</x:f>
        <x:v>0</x:v>
      </x:c>
    </x:row>
    <x:row r="4188">
      <x:c r="A4188" s="31">
        <x:v>43116</x:v>
      </x:c>
      <x:c r="B4188" s="32">
        <x:v>1059.3599999999999</x:v>
      </x:c>
      <x:c r="C4188" s="32">
        <x:v>1065.3900000000001</x:v>
      </x:c>
      <x:c r="D4188" s="32">
        <x:v>1052.43</x:v>
      </x:c>
      <x:c r="E4188" s="32">
        <x:v>1062.96</x:v>
      </x:c>
      <x:c r="F4188" s="33">
        <x:v>294792490</x:v>
      </x:c>
      <x:c r="G4188" s="32" t="n">
        <x:f t="shared" si="186">AVERAGE(E3989:E4188)</x:f>
        <x:v>817.0538499999996</x:v>
      </x:c>
      <x:c r="H4188" s="37" t="n">
        <x:f t="shared" si="187">IFERROR(E4188/G4188-1,"")</x:f>
        <x:v>0.3009668824154008</x:v>
      </x:c>
      <x:c r="I4188" s="38" t="b">
        <x:f t="shared" si="188">E4188&lt;G4188</x:f>
        <x:v>0</x:v>
      </x:c>
    </x:row>
    <x:row r="4189">
      <x:c r="A4189" s="31">
        <x:v>43117</x:v>
      </x:c>
      <x:c r="B4189" s="32">
        <x:v>1061.98</x:v>
      </x:c>
      <x:c r="C4189" s="32">
        <x:v>1064.77</x:v>
      </x:c>
      <x:c r="D4189" s="32">
        <x:v>1034.69</x:v>
      </x:c>
      <x:c r="E4189" s="32">
        <x:v>1034.69</x:v>
      </x:c>
      <x:c r="F4189" s="33">
        <x:v>294301610</x:v>
      </x:c>
      <x:c r="G4189" s="32" t="n">
        <x:f t="shared" si="186">AVERAGE(E3990:E4189)</x:f>
        <x:v>818.6111999999997</x:v>
      </x:c>
      <x:c r="H4189" s="37" t="n">
        <x:f t="shared" si="187">IFERROR(E4189/G4189-1,"")</x:f>
        <x:v>0.26395778606498466</x:v>
      </x:c>
      <x:c r="I4189" s="38" t="b">
        <x:f t="shared" si="188">E4189&lt;G4189</x:f>
        <x:v>0</x:v>
      </x:c>
    </x:row>
    <x:row r="4190">
      <x:c r="A4190" s="31">
        <x:v>43118</x:v>
      </x:c>
      <x:c r="B4190" s="32">
        <x:v>1028.76</x:v>
      </x:c>
      <x:c r="C4190" s="32">
        <x:v>1050.25</x:v>
      </x:c>
      <x:c r="D4190" s="32">
        <x:v>1020.01</x:v>
      </x:c>
      <x:c r="E4190" s="32">
        <x:v>1050.25</x:v>
      </x:c>
      <x:c r="F4190" s="33">
        <x:v>256859550</x:v>
      </x:c>
      <x:c r="G4190" s="32" t="n">
        <x:f t="shared" si="186">AVERAGE(E3991:E4190)</x:f>
        <x:v>820.2226999999996</x:v>
      </x:c>
      <x:c r="H4190" s="37" t="n">
        <x:f t="shared" si="187">IFERROR(E4190/G4190-1,"")</x:f>
        <x:v>0.2804449328212941</x:v>
      </x:c>
      <x:c r="I4190" s="38" t="b">
        <x:f t="shared" si="188">E4190&lt;G4190</x:f>
        <x:v>0</x:v>
      </x:c>
    </x:row>
    <x:row r="4191">
      <x:c r="A4191" s="31">
        <x:v>43119</x:v>
      </x:c>
      <x:c r="B4191" s="32">
        <x:v>1054.33</x:v>
      </x:c>
      <x:c r="C4191" s="32">
        <x:v>1067.21</x:v>
      </x:c>
      <x:c r="D4191" s="32">
        <x:v>1050.25</x:v>
      </x:c>
      <x:c r="E4191" s="32">
        <x:v>1062.07</x:v>
      </x:c>
      <x:c r="F4191" s="33">
        <x:v>279706010</x:v>
      </x:c>
      <x:c r="G4191" s="32" t="n">
        <x:f t="shared" si="186">AVERAGE(E3992:E4191)</x:f>
        <x:v>821.8836999999999</x:v>
      </x:c>
      <x:c r="H4191" s="37" t="n">
        <x:f t="shared" si="187">IFERROR(E4191/G4191-1,"")</x:f>
        <x:v>0.29223879242282114</x:v>
      </x:c>
      <x:c r="I4191" s="38" t="b">
        <x:f t="shared" si="188">E4191&lt;G4191</x:f>
        <x:v>0</x:v>
      </x:c>
    </x:row>
    <x:row r="4192">
      <x:c r="A4192" s="31">
        <x:v>43122</x:v>
      </x:c>
      <x:c r="B4192" s="32">
        <x:v>1066.8599999999999</x:v>
      </x:c>
      <x:c r="C4192" s="32">
        <x:v>1088.05</x:v>
      </x:c>
      <x:c r="D4192" s="32">
        <x:v>1062.07</x:v>
      </x:c>
      <x:c r="E4192" s="32">
        <x:v>1087.42</x:v>
      </x:c>
      <x:c r="F4192" s="33">
        <x:v>246215500</x:v>
      </x:c>
      <x:c r="G4192" s="32" t="n">
        <x:f t="shared" si="186">AVERAGE(E3993:E4192)</x:f>
        <x:v>823.66415</x:v>
      </x:c>
      <x:c r="H4192" s="37" t="n">
        <x:f t="shared" si="187">IFERROR(E4192/G4192-1,"")</x:f>
        <x:v>0.3202225688710625</x:v>
      </x:c>
      <x:c r="I4192" s="38" t="b">
        <x:f t="shared" si="188">E4192&lt;G4192</x:f>
        <x:v>0</x:v>
      </x:c>
    </x:row>
    <x:row r="4193">
      <x:c r="A4193" s="31">
        <x:v>43125</x:v>
      </x:c>
      <x:c r="B4193" s="32">
        <x:v>1098.44</x:v>
      </x:c>
      <x:c r="C4193" s="32">
        <x:v>1117.08</x:v>
      </x:c>
      <x:c r="D4193" s="32">
        <x:v>1087.42</x:v>
      </x:c>
      <x:c r="E4193" s="32">
        <x:v>1104.57</x:v>
      </x:c>
      <x:c r="F4193" s="33">
        <x:v>445940510</x:v>
      </x:c>
      <x:c r="G4193" s="32" t="n">
        <x:f t="shared" si="186">AVERAGE(E3994:E4193)</x:f>
        <x:v>825.5591</x:v>
      </x:c>
      <x:c r="H4193" s="37" t="n">
        <x:f t="shared" si="187">IFERROR(E4193/G4193-1,"")</x:f>
        <x:v>0.3379659917745441</x:v>
      </x:c>
      <x:c r="I4193" s="38" t="b">
        <x:f t="shared" si="188">E4193&lt;G4193</x:f>
        <x:v>0</x:v>
      </x:c>
    </x:row>
    <x:row r="4194">
      <x:c r="A4194" s="31">
        <x:v>43126</x:v>
      </x:c>
      <x:c r="B4194" s="32">
        <x:v>1119.78</x:v>
      </x:c>
      <x:c r="C4194" s="32">
        <x:v>1123.83</x:v>
      </x:c>
      <x:c r="D4194" s="32">
        <x:v>1103.06</x:v>
      </x:c>
      <x:c r="E4194" s="32">
        <x:v>1115.6400000000001</x:v>
      </x:c>
      <x:c r="F4194" s="33">
        <x:v>261062660</x:v>
      </x:c>
      <x:c r="G4194" s="32" t="n">
        <x:f t="shared" si="186">AVERAGE(E3995:E4194)</x:f>
        <x:v>827.5155500000001</x:v>
      </x:c>
      <x:c r="H4194" s="37" t="n">
        <x:f t="shared" si="187">IFERROR(E4194/G4194-1,"")</x:f>
        <x:v>0.3481801036850607</x:v>
      </x:c>
      <x:c r="I4194" s="38" t="b">
        <x:f t="shared" si="188">E4194&lt;G4194</x:f>
        <x:v>0</x:v>
      </x:c>
    </x:row>
    <x:row r="4195">
      <x:c r="A4195" s="31">
        <x:v>43129</x:v>
      </x:c>
      <x:c r="B4195" s="32">
        <x:v>1121.78</x:v>
      </x:c>
      <x:c r="C4195" s="32">
        <x:v>1130.0999999999999</x:v>
      </x:c>
      <x:c r="D4195" s="32">
        <x:v>1109.8</x:v>
      </x:c>
      <x:c r="E4195" s="32">
        <x:v>1109.8</x:v>
      </x:c>
      <x:c r="F4195" s="33">
        <x:v>263321700</x:v>
      </x:c>
      <x:c r="G4195" s="32" t="n">
        <x:f t="shared" si="186">AVERAGE(E3996:E4195)</x:f>
        <x:v>829.4722999999999</x:v>
      </x:c>
      <x:c r="H4195" s="37" t="n">
        <x:f t="shared" si="187">IFERROR(E4195/G4195-1,"")</x:f>
        <x:v>0.33795908555355014</x:v>
      </x:c>
      <x:c r="I4195" s="38" t="b">
        <x:f t="shared" si="188">E4195&lt;G4195</x:f>
        <x:v>0</x:v>
      </x:c>
    </x:row>
    <x:row r="4196">
      <x:c r="A4196" s="31">
        <x:v>43130</x:v>
      </x:c>
      <x:c r="B4196" s="32">
        <x:v>1099.98</x:v>
      </x:c>
      <x:c r="C4196" s="32">
        <x:v>1110.56</x:v>
      </x:c>
      <x:c r="D4196" s="32">
        <x:v>1092.44</x:v>
      </x:c>
      <x:c r="E4196" s="32">
        <x:v>1110.56</x:v>
      </x:c>
      <x:c r="F4196" s="33">
        <x:v>287489730</x:v>
      </x:c>
      <x:c r="G4196" s="32" t="n">
        <x:f t="shared" si="186">AVERAGE(E3997:E4196)</x:f>
        <x:v>831.4709499999999</x:v>
      </x:c>
      <x:c r="H4196" s="37" t="n">
        <x:f t="shared" si="187">IFERROR(E4196/G4196-1,"")</x:f>
        <x:v>0.33565700641736207</x:v>
      </x:c>
      <x:c r="I4196" s="38" t="b">
        <x:f t="shared" si="188">E4196&lt;G4196</x:f>
        <x:v>0</x:v>
      </x:c>
    </x:row>
    <x:row r="4197">
      <x:c r="A4197" s="31">
        <x:v>43131</x:v>
      </x:c>
      <x:c r="B4197" s="32">
        <x:v>1112.23</x:v>
      </x:c>
      <x:c r="C4197" s="32">
        <x:v>1128.0999999999999</x:v>
      </x:c>
      <x:c r="D4197" s="32">
        <x:v>1104.98</x:v>
      </x:c>
      <x:c r="E4197" s="32">
        <x:v>1110.3599999999999</x:v>
      </x:c>
      <x:c r="F4197" s="33">
        <x:v>312880930</x:v>
      </x:c>
      <x:c r="G4197" s="32" t="n">
        <x:f t="shared" si="186">AVERAGE(E3998:E4197)</x:f>
        <x:v>833.4480999999998</x:v>
      </x:c>
      <x:c r="H4197" s="37" t="n">
        <x:f t="shared" si="187">IFERROR(E4197/G4197-1,"")</x:f>
        <x:v>0.3322485227334493</x:v>
      </x:c>
      <x:c r="I4197" s="38" t="b">
        <x:f t="shared" si="188">E4197&lt;G4197</x:f>
        <x:v>0</x:v>
      </x:c>
    </x:row>
    <x:row r="4198">
      <x:c r="A4198" s="31">
        <x:v>43132</x:v>
      </x:c>
      <x:c r="B4198" s="32">
        <x:v>1111.74</x:v>
      </x:c>
      <x:c r="C4198" s="32">
        <x:v>1111.74</x:v>
      </x:c>
      <x:c r="D4198" s="32">
        <x:v>1090.25</x:v>
      </x:c>
      <x:c r="E4198" s="32">
        <x:v>1099.67</x:v>
      </x:c>
      <x:c r="F4198" s="33">
        <x:v>233072190</x:v>
      </x:c>
      <x:c r="G4198" s="32" t="n">
        <x:f t="shared" si="186">AVERAGE(E3999:E4198)</x:f>
        <x:v>835.3625999999999</x:v>
      </x:c>
      <x:c r="H4198" s="37" t="n">
        <x:f t="shared" si="187">IFERROR(E4198/G4198-1,"")</x:f>
        <x:v>0.31639841189921625</x:v>
      </x:c>
      <x:c r="I4198" s="38" t="b">
        <x:f t="shared" si="188">E4198&lt;G4198</x:f>
        <x:v>0</x:v>
      </x:c>
    </x:row>
    <x:row r="4199">
      <x:c r="A4199" s="31">
        <x:v>43133</x:v>
      </x:c>
      <x:c r="B4199" s="32">
        <x:v>1098.6600000000001</x:v>
      </x:c>
      <x:c r="C4199" s="32">
        <x:v>1105.04</x:v>
      </x:c>
      <x:c r="D4199" s="32">
        <x:v>1091.06</x:v>
      </x:c>
      <x:c r="E4199" s="32">
        <x:v>1105.04</x:v>
      </x:c>
      <x:c r="F4199" s="33">
        <x:v>172601930</x:v>
      </x:c>
      <x:c r="G4199" s="32" t="n">
        <x:f t="shared" si="186">AVERAGE(E4000:E4199)</x:f>
        <x:v>837.3244999999998</x:v>
      </x:c>
      <x:c r="H4199" s="37" t="n">
        <x:f t="shared" si="187">IFERROR(E4199/G4199-1,"")</x:f>
        <x:v>0.3197272980785826</x:v>
      </x:c>
      <x:c r="I4199" s="38" t="b">
        <x:f t="shared" si="188">E4199&lt;G4199</x:f>
        <x:v>0</x:v>
      </x:c>
    </x:row>
    <x:row r="4200">
      <x:c r="A4200" s="31">
        <x:v>43136</x:v>
      </x:c>
      <x:c r="B4200" s="32">
        <x:v>1089.6199999999999</x:v>
      </x:c>
      <x:c r="C4200" s="32">
        <x:v>1105.04</x:v>
      </x:c>
      <x:c r="D4200" s="32">
        <x:v>1048.71</x:v>
      </x:c>
      <x:c r="E4200" s="32">
        <x:v>1048.71</x:v>
      </x:c>
      <x:c r="F4200" s="33">
        <x:v>248154720</x:v>
      </x:c>
      <x:c r="G4200" s="32" t="n">
        <x:f t="shared" si="186">AVERAGE(E4001:E4200)</x:f>
        <x:v>839.0059999999999</x:v>
      </x:c>
      <x:c r="H4200" s="37" t="n">
        <x:f t="shared" si="187">IFERROR(E4200/G4200-1,"")</x:f>
        <x:v>0.2499433853869939</x:v>
      </x:c>
      <x:c r="I4200" s="38" t="b">
        <x:f t="shared" si="188">E4200&lt;G4200</x:f>
        <x:v>0</x:v>
      </x:c>
    </x:row>
    <x:row r="4201">
      <x:c r="A4201" s="31">
        <x:v>43137</x:v>
      </x:c>
      <x:c r="B4201" s="32">
        <x:v>1026.08</x:v>
      </x:c>
      <x:c r="C4201" s="32">
        <x:v>1048.71</x:v>
      </x:c>
      <x:c r="D4201" s="32">
        <x:v>983.06</x:v>
      </x:c>
      <x:c r="E4201" s="32">
        <x:v>1011.6</x:v>
      </x:c>
      <x:c r="F4201" s="33">
        <x:v>364437550</x:v>
      </x:c>
      <x:c r="G4201" s="32" t="n">
        <x:f t="shared" si="186">AVERAGE(E4002:E4201)</x:f>
        <x:v>840.5170499999999</x:v>
      </x:c>
      <x:c r="H4201" s="37" t="n">
        <x:f t="shared" si="187">IFERROR(E4201/G4201-1,"")</x:f>
        <x:v>0.2035448894225289</x:v>
      </x:c>
      <x:c r="I4201" s="38" t="b">
        <x:f t="shared" si="188">E4201&lt;G4201</x:f>
        <x:v>0</x:v>
      </x:c>
    </x:row>
    <x:row r="4202">
      <x:c r="A4202" s="31">
        <x:v>43138</x:v>
      </x:c>
      <x:c r="B4202" s="32">
        <x:v>1040.53</x:v>
      </x:c>
      <x:c r="C4202" s="32">
        <x:v>1048.54</x:v>
      </x:c>
      <x:c r="D4202" s="32">
        <x:v>1011.6</x:v>
      </x:c>
      <x:c r="E4202" s="32">
        <x:v>1040.55</x:v>
      </x:c>
      <x:c r="F4202" s="33">
        <x:v>208749250</x:v>
      </x:c>
      <x:c r="G4202" s="32" t="n">
        <x:f t="shared" si="186">AVERAGE(E4003:E4202)</x:f>
        <x:v>842.1818999999997</x:v>
      </x:c>
      <x:c r="H4202" s="37" t="n">
        <x:f t="shared" si="187">IFERROR(E4202/G4202-1,"")</x:f>
        <x:v>0.2355406830757112</x:v>
      </x:c>
      <x:c r="I4202" s="38" t="b">
        <x:f t="shared" si="188">E4202&lt;G4202</x:f>
        <x:v>0</x:v>
      </x:c>
    </x:row>
    <x:row r="4203">
      <x:c r="A4203" s="31">
        <x:v>43139</x:v>
      </x:c>
      <x:c r="B4203" s="32">
        <x:v>1031.46</x:v>
      </x:c>
      <x:c r="C4203" s="32">
        <x:v>1040.55</x:v>
      </x:c>
      <x:c r="D4203" s="32">
        <x:v>1023.25</x:v>
      </x:c>
      <x:c r="E4203" s="32">
        <x:v>1023.25</x:v>
      </x:c>
      <x:c r="F4203" s="33">
        <x:v>161025060</x:v>
      </x:c>
      <x:c r="G4203" s="32" t="n">
        <x:f t="shared" si="186">AVERAGE(E4004:E4203)</x:f>
        <x:v>843.7479499999998</x:v>
      </x:c>
      <x:c r="H4203" s="37" t="n">
        <x:f t="shared" si="187">IFERROR(E4203/G4203-1,"")</x:f>
        <x:v>0.2127436872587367</x:v>
      </x:c>
      <x:c r="I4203" s="38" t="b">
        <x:f t="shared" si="188">E4203&lt;G4203</x:f>
        <x:v>0</x:v>
      </x:c>
    </x:row>
    <x:row r="4204">
      <x:c r="A4204" s="31">
        <x:v>43140</x:v>
      </x:c>
      <x:c r="B4204" s="32">
        <x:v>991.09</x:v>
      </x:c>
      <x:c r="C4204" s="32">
        <x:v>1023.25</x:v>
      </x:c>
      <x:c r="D4204" s="32">
        <x:v>973.78</x:v>
      </x:c>
      <x:c r="E4204" s="32">
        <x:v>1003.94</x:v>
      </x:c>
      <x:c r="F4204" s="33">
        <x:v>199516810</x:v>
      </x:c>
      <x:c r="G4204" s="32" t="n">
        <x:f t="shared" si="186">AVERAGE(E4005:E4204)</x:f>
        <x:v>845.1849999999998</x:v>
      </x:c>
      <x:c r="H4204" s="37" t="n">
        <x:f t="shared" si="187">IFERROR(E4204/G4204-1,"")</x:f>
        <x:v>0.18783461608996888</x:v>
      </x:c>
      <x:c r="I4204" s="38" t="b">
        <x:f t="shared" si="188">E4204&lt;G4204</x:f>
        <x:v>0</x:v>
      </x:c>
    </x:row>
    <x:row r="4205">
      <x:c r="A4205" s="31">
        <x:v>43143</x:v>
      </x:c>
      <x:c r="B4205" s="32">
        <x:v>1011.64</x:v>
      </x:c>
      <x:c r="C4205" s="32">
        <x:v>1041.79</x:v>
      </x:c>
      <x:c r="D4205" s="32">
        <x:v>1003.94</x:v>
      </x:c>
      <x:c r="E4205" s="32">
        <x:v>1041.79</x:v>
      </x:c>
      <x:c r="F4205" s="33">
        <x:v>162098570</x:v>
      </x:c>
      <x:c r="G4205" s="32" t="n">
        <x:f t="shared" si="186">AVERAGE(E4006:E4205)</x:f>
        <x:v>846.8053</x:v>
      </x:c>
      <x:c r="H4205" s="37" t="n">
        <x:f t="shared" si="187">IFERROR(E4205/G4205-1,"")</x:f>
        <x:v>0.23025918708822446</x:v>
      </x:c>
      <x:c r="I4205" s="38" t="b">
        <x:f t="shared" si="188">E4205&lt;G4205</x:f>
        <x:v>0</x:v>
      </x:c>
    </x:row>
    <x:row r="4206">
      <x:c r="A4206" s="31">
        <x:v>43144</x:v>
      </x:c>
      <x:c r="B4206" s="32">
        <x:v>1053.31</x:v>
      </x:c>
      <x:c r="C4206" s="32">
        <x:v>1060.48</x:v>
      </x:c>
      <x:c r="D4206" s="32">
        <x:v>1041.79</x:v>
      </x:c>
      <x:c r="E4206" s="32">
        <x:v>1059.73</x:v>
      </x:c>
      <x:c r="F4206" s="33">
        <x:v>157958690</x:v>
      </x:c>
      <x:c r="G4206" s="32" t="n">
        <x:f t="shared" si="186">AVERAGE(E4007:E4206)</x:f>
        <x:v>848.50625</x:v>
      </x:c>
      <x:c r="H4206" s="37" t="n">
        <x:f t="shared" si="187">IFERROR(E4206/G4206-1,"")</x:f>
        <x:v>0.24893599781969789</x:v>
      </x:c>
      <x:c r="I4206" s="38" t="b">
        <x:f t="shared" si="188">E4206&lt;G4206</x:f>
        <x:v>0</x:v>
      </x:c>
    </x:row>
    <x:row r="4207">
      <x:c r="A4207" s="31">
        <x:v>43152</x:v>
      </x:c>
      <x:c r="B4207" s="32">
        <x:v>1073.33</x:v>
      </x:c>
      <x:c r="C4207" s="32">
        <x:v>1092.6500000000001</x:v>
      </x:c>
      <x:c r="D4207" s="32">
        <x:v>1059.73</x:v>
      </x:c>
      <x:c r="E4207" s="32">
        <x:v>1087.1500000000001</x:v>
      </x:c>
      <x:c r="F4207" s="33">
        <x:v>165043220</x:v>
      </x:c>
      <x:c r="G4207" s="32" t="n">
        <x:f t="shared" si="186">AVERAGE(E4008:E4207)</x:f>
        <x:v>850.3318999999999</x:v>
      </x:c>
      <x:c r="H4207" s="37" t="n">
        <x:f t="shared" si="187">IFERROR(E4207/G4207-1,"")</x:f>
        <x:v>0.2785007830471846</x:v>
      </x:c>
      <x:c r="I4207" s="38" t="b">
        <x:f t="shared" si="188">E4207&lt;G4207</x:f>
        <x:v>0</x:v>
      </x:c>
    </x:row>
    <x:row r="4208">
      <x:c r="A4208" s="31">
        <x:v>43153</x:v>
      </x:c>
      <x:c r="B4208" s="32">
        <x:v>1087.1500000000001</x:v>
      </x:c>
      <x:c r="C4208" s="32">
        <x:v>1091.6199999999999</x:v>
      </x:c>
      <x:c r="D4208" s="32">
        <x:v>1074.27</x:v>
      </x:c>
      <x:c r="E4208" s="32">
        <x:v>1076.03</x:v>
      </x:c>
      <x:c r="F4208" s="33">
        <x:v>185011630</x:v>
      </x:c>
      <x:c r="G4208" s="32" t="n">
        <x:f t="shared" si="186">AVERAGE(E4009:E4208)</x:f>
        <x:v>852.1120499999998</x:v>
      </x:c>
      <x:c r="H4208" s="37" t="n">
        <x:f t="shared" si="187">IFERROR(E4208/G4208-1,"")</x:f>
        <x:v>0.262779936042449</x:v>
      </x:c>
      <x:c r="I4208" s="38" t="b">
        <x:f t="shared" si="188">E4208&lt;G4208</x:f>
        <x:v>0</x:v>
      </x:c>
    </x:row>
    <x:row r="4209">
      <x:c r="A4209" s="31">
        <x:v>43154</x:v>
      </x:c>
      <x:c r="B4209" s="32">
        <x:v>1086.81</x:v>
      </x:c>
      <x:c r="C4209" s="32">
        <x:v>1102.8499999999999</x:v>
      </x:c>
      <x:c r="D4209" s="32">
        <x:v>1076.03</x:v>
      </x:c>
      <x:c r="E4209" s="32">
        <x:v>1102.8499999999999</x:v>
      </x:c>
      <x:c r="F4209" s="33">
        <x:v>177049320</x:v>
      </x:c>
      <x:c r="G4209" s="32" t="n">
        <x:f t="shared" si="186">AVERAGE(E4010:E4209)</x:f>
        <x:v>854.0319999999999</x:v>
      </x:c>
      <x:c r="H4209" s="37" t="n">
        <x:f t="shared" si="187">IFERROR(E4209/G4209-1,"")</x:f>
        <x:v>0.29134505498623</x:v>
      </x:c>
      <x:c r="I4209" s="38" t="b">
        <x:f t="shared" si="188">E4209&lt;G4209</x:f>
        <x:v>0</x:v>
      </x:c>
    </x:row>
    <x:row r="4210">
      <x:c r="A4210" s="31">
        <x:v>43157</x:v>
      </x:c>
      <x:c r="B4210" s="32">
        <x:v>1115.9000000000001</x:v>
      </x:c>
      <x:c r="C4210" s="32">
        <x:v>1127.57</x:v>
      </x:c>
      <x:c r="D4210" s="32">
        <x:v>1102.8499999999999</x:v>
      </x:c>
      <x:c r="E4210" s="32">
        <x:v>1114.53</x:v>
      </x:c>
      <x:c r="F4210" s="33">
        <x:v>221574620</x:v>
      </x:c>
      <x:c r="G4210" s="32" t="n">
        <x:f t="shared" si="186">AVERAGE(E4011:E4210)</x:f>
        <x:v>855.9940999999998</x:v>
      </x:c>
      <x:c r="H4210" s="37" t="n">
        <x:f t="shared" si="187">IFERROR(E4210/G4210-1,"")</x:f>
        <x:v>0.30203000230959565</x:v>
      </x:c>
      <x:c r="I4210" s="38" t="b">
        <x:f t="shared" si="188">E4210&lt;G4210</x:f>
        <x:v>0</x:v>
      </x:c>
    </x:row>
    <x:row r="4211">
      <x:c r="A4211" s="31">
        <x:v>43158</x:v>
      </x:c>
      <x:c r="B4211" s="32">
        <x:v>1124.03</x:v>
      </x:c>
      <x:c r="C4211" s="32">
        <x:v>1124.03</x:v>
      </x:c>
      <x:c r="D4211" s="32">
        <x:v>1106.77</x:v>
      </x:c>
      <x:c r="E4211" s="32">
        <x:v>1119.6099999999999</x:v>
      </x:c>
      <x:c r="F4211" s="33">
        <x:v>175305260</x:v>
      </x:c>
      <x:c r="G4211" s="32" t="n">
        <x:f t="shared" si="186">AVERAGE(E4012:E4211)</x:f>
        <x:v>857.9705999999999</x:v>
      </x:c>
      <x:c r="H4211" s="37" t="n">
        <x:f t="shared" si="187">IFERROR(E4211/G4211-1,"")</x:f>
        <x:v>0.30495147502723285</x:v>
      </x:c>
      <x:c r="I4211" s="38" t="b">
        <x:f t="shared" si="188">E4211&lt;G4211</x:f>
        <x:v>0</x:v>
      </x:c>
    </x:row>
    <x:row r="4212">
      <x:c r="A4212" s="31">
        <x:v>43159</x:v>
      </x:c>
      <x:c r="B4212" s="32">
        <x:v>1110.3</x:v>
      </x:c>
      <x:c r="C4212" s="32">
        <x:v>1129.8900000000001</x:v>
      </x:c>
      <x:c r="D4212" s="32">
        <x:v>1109.8900000000001</x:v>
      </x:c>
      <x:c r="E4212" s="32">
        <x:v>1121.54</x:v>
      </x:c>
      <x:c r="F4212" s="33">
        <x:v>213347390</x:v>
      </x:c>
      <x:c r="G4212" s="32" t="n">
        <x:f t="shared" si="186">AVERAGE(E4013:E4212)</x:f>
        <x:v>859.9533499999999</x:v>
      </x:c>
      <x:c r="H4212" s="37" t="n">
        <x:f t="shared" si="187">IFERROR(E4212/G4212-1,"")</x:f>
        <x:v>0.30418702363331707</x:v>
      </x:c>
      <x:c r="I4212" s="38" t="b">
        <x:f t="shared" si="188">E4212&lt;G4212</x:f>
        <x:v>0</x:v>
      </x:c>
    </x:row>
    <x:row r="4213">
      <x:c r="A4213" s="31">
        <x:v>43160</x:v>
      </x:c>
      <x:c r="B4213" s="32">
        <x:v>1121.54</x:v>
      </x:c>
      <x:c r="C4213" s="32">
        <x:v>1129.3</x:v>
      </x:c>
      <x:c r="D4213" s="32">
        <x:v>1110.92</x:v>
      </x:c>
      <x:c r="E4213" s="32">
        <x:v>1115.79</x:v>
      </x:c>
      <x:c r="F4213" s="33">
        <x:v>207156270</x:v>
      </x:c>
      <x:c r="G4213" s="32" t="n">
        <x:f t="shared" si="186">AVERAGE(E4014:E4213)</x:f>
        <x:v>861.9054499999999</x:v>
      </x:c>
      <x:c r="H4213" s="37" t="n">
        <x:f t="shared" si="187">IFERROR(E4213/G4213-1,"")</x:f>
        <x:v>0.2945619499215373</x:v>
      </x:c>
      <x:c r="I4213" s="38" t="b">
        <x:f t="shared" si="188">E4213&lt;G4213</x:f>
        <x:v>0</x:v>
      </x:c>
    </x:row>
    <x:row r="4214">
      <x:c r="A4214" s="31">
        <x:v>43161</x:v>
      </x:c>
      <x:c r="B4214" s="32">
        <x:v>1103.1600000000001</x:v>
      </x:c>
      <x:c r="C4214" s="32">
        <x:v>1121.9100000000001</x:v>
      </x:c>
      <x:c r="D4214" s="32">
        <x:v>1103.1600000000001</x:v>
      </x:c>
      <x:c r="E4214" s="32">
        <x:v>1121.21</x:v>
      </x:c>
      <x:c r="F4214" s="33">
        <x:v>188043270</x:v>
      </x:c>
      <x:c r="G4214" s="32" t="n">
        <x:f t="shared" si="186">AVERAGE(E4015:E4214)</x:f>
        <x:v>863.8847499999999</x:v>
      </x:c>
      <x:c r="H4214" s="37" t="n">
        <x:f t="shared" si="187">IFERROR(E4214/G4214-1,"")</x:f>
        <x:v>0.2978698836852949</x:v>
      </x:c>
      <x:c r="I4214" s="38" t="b">
        <x:f t="shared" si="188">E4214&lt;G4214</x:f>
        <x:v>0</x:v>
      </x:c>
    </x:row>
    <x:row r="4215">
      <x:c r="A4215" s="31">
        <x:v>43164</x:v>
      </x:c>
      <x:c r="B4215" s="32">
        <x:v>1129.92</x:v>
      </x:c>
      <x:c r="C4215" s="32">
        <x:v>1132.69</x:v>
      </x:c>
      <x:c r="D4215" s="32">
        <x:v>1093.48</x:v>
      </x:c>
      <x:c r="E4215" s="32">
        <x:v>1093.48</x:v>
      </x:c>
      <x:c r="F4215" s="33">
        <x:v>252795970</x:v>
      </x:c>
      <x:c r="G4215" s="32" t="n">
        <x:f t="shared" si="186">AVERAGE(E4016:E4215)</x:f>
        <x:v>865.7269999999999</x:v>
      </x:c>
      <x:c r="H4215" s="37" t="n">
        <x:f t="shared" si="187">IFERROR(E4215/G4215-1,"")</x:f>
        <x:v>0.2630771594278567</x:v>
      </x:c>
      <x:c r="I4215" s="38" t="b">
        <x:f t="shared" si="188">E4215&lt;G4215</x:f>
        <x:v>0</x:v>
      </x:c>
    </x:row>
    <x:row r="4216">
      <x:c r="A4216" s="31">
        <x:v>43165</x:v>
      </x:c>
      <x:c r="B4216" s="32">
        <x:v>1106.28</x:v>
      </x:c>
      <x:c r="C4216" s="32">
        <x:v>1120.29</x:v>
      </x:c>
      <x:c r="D4216" s="32">
        <x:v>1091.67</x:v>
      </x:c>
      <x:c r="E4216" s="32">
        <x:v>1120.29</x:v>
      </x:c>
      <x:c r="F4216" s="33">
        <x:v>210241820</x:v>
      </x:c>
      <x:c r="G4216" s="32" t="n">
        <x:f t="shared" si="186">AVERAGE(E4017:E4216)</x:f>
        <x:v>867.69245</x:v>
      </x:c>
      <x:c r="H4216" s="37" t="n">
        <x:f t="shared" si="187">IFERROR(E4216/G4216-1,"")</x:f>
        <x:v>0.2911141499502501</x:v>
      </x:c>
      <x:c r="I4216" s="38" t="b">
        <x:f t="shared" si="188">E4216&lt;G4216</x:f>
        <x:v>0</x:v>
      </x:c>
    </x:row>
    <x:row r="4217">
      <x:c r="A4217" s="31">
        <x:v>43166</x:v>
      </x:c>
      <x:c r="B4217" s="32">
        <x:v>1121.99</x:v>
      </x:c>
      <x:c r="C4217" s="32">
        <x:v>1126.67</x:v>
      </x:c>
      <x:c r="D4217" s="32">
        <x:v>1103.29</x:v>
      </x:c>
      <x:c r="E4217" s="32">
        <x:v>1112.26</x:v>
      </x:c>
      <x:c r="F4217" s="33">
        <x:v>239942030</x:v>
      </x:c>
      <x:c r="G4217" s="32" t="n">
        <x:f t="shared" si="186">AVERAGE(E4018:E4217)</x:f>
        <x:v>869.6188000000001</x:v>
      </x:c>
      <x:c r="H4217" s="37" t="n">
        <x:f t="shared" si="187">IFERROR(E4217/G4217-1,"")</x:f>
        <x:v>0.27902018677609064</x:v>
      </x:c>
      <x:c r="I4217" s="38" t="b">
        <x:f t="shared" si="188">E4217&lt;G4217</x:f>
        <x:v>0</x:v>
      </x:c>
    </x:row>
    <x:row r="4218">
      <x:c r="A4218" s="31">
        <x:v>43167</x:v>
      </x:c>
      <x:c r="B4218" s="32">
        <x:v>1112.24</x:v>
      </x:c>
      <x:c r="C4218" s="32">
        <x:v>1126.3499999999999</x:v>
      </x:c>
      <x:c r="D4218" s="32">
        <x:v>1111.76</x:v>
      </x:c>
      <x:c r="E4218" s="32">
        <x:v>1124.1500000000001</x:v>
      </x:c>
      <x:c r="F4218" s="33">
        <x:v>186579760</x:v>
      </x:c>
      <x:c r="G4218" s="32" t="n">
        <x:f t="shared" si="186">AVERAGE(E4019:E4218)</x:f>
        <x:v>871.5704499999999</x:v>
      </x:c>
      <x:c r="H4218" s="37" t="n">
        <x:f t="shared" si="187">IFERROR(E4218/G4218-1,"")</x:f>
        <x:v>0.28979820277293733</x:v>
      </x:c>
      <x:c r="I4218" s="38" t="b">
        <x:f t="shared" si="188">E4218&lt;G4218</x:f>
        <x:v>0</x:v>
      </x:c>
    </x:row>
    <x:row r="4219">
      <x:c r="A4219" s="31">
        <x:v>43168</x:v>
      </x:c>
      <x:c r="B4219" s="32">
        <x:v>1128.73</x:v>
      </x:c>
      <x:c r="C4219" s="32">
        <x:v>1135.02</x:v>
      </x:c>
      <x:c r="D4219" s="32">
        <x:v>1119.18</x:v>
      </x:c>
      <x:c r="E4219" s="32">
        <x:v>1123.4100000000001</x:v>
      </x:c>
      <x:c r="F4219" s="33">
        <x:v>205512360</x:v>
      </x:c>
      <x:c r="G4219" s="32" t="n">
        <x:f t="shared" si="186">AVERAGE(E4020:E4219)</x:f>
        <x:v>873.4670000000001</x:v>
      </x:c>
      <x:c r="H4219" s="37" t="n">
        <x:f t="shared" si="187">IFERROR(E4219/G4219-1,"")</x:f>
        <x:v>0.28615047849546693</x:v>
      </x:c>
      <x:c r="I4219" s="38" t="b">
        <x:f t="shared" si="188">E4219&lt;G4219</x:f>
        <x:v>0</x:v>
      </x:c>
    </x:row>
    <x:row r="4220">
      <x:c r="A4220" s="31">
        <x:v>43171</x:v>
      </x:c>
      <x:c r="B4220" s="32">
        <x:v>1135.3699999999999</x:v>
      </x:c>
      <x:c r="C4220" s="32">
        <x:v>1135.48</x:v>
      </x:c>
      <x:c r="D4220" s="32">
        <x:v>1123.4100000000001</x:v>
      </x:c>
      <x:c r="E4220" s="32">
        <x:v>1126.29</x:v>
      </x:c>
      <x:c r="F4220" s="33">
        <x:v>197146780</x:v>
      </x:c>
      <x:c r="G4220" s="32" t="n">
        <x:f t="shared" si="186">AVERAGE(E4021:E4220)</x:f>
        <x:v>875.3938</x:v>
      </x:c>
      <x:c r="H4220" s="37" t="n">
        <x:f t="shared" si="187">IFERROR(E4220/G4220-1,"")</x:f>
        <x:v>0.2866095236223971</x:v>
      </x:c>
      <x:c r="I4220" s="38" t="b">
        <x:f t="shared" si="188">E4220&lt;G4220</x:f>
        <x:v>0</x:v>
      </x:c>
    </x:row>
    <x:row r="4221">
      <x:c r="A4221" s="31">
        <x:v>43172</x:v>
      </x:c>
      <x:c r="B4221" s="32">
        <x:v>1126.53</x:v>
      </x:c>
      <x:c r="C4221" s="32">
        <x:v>1133.31</x:v>
      </x:c>
      <x:c r="D4221" s="32">
        <x:v>1118.49</x:v>
      </x:c>
      <x:c r="E4221" s="32">
        <x:v>1133.31</x:v>
      </x:c>
      <x:c r="F4221" s="33">
        <x:v>208112910</x:v>
      </x:c>
      <x:c r="G4221" s="32" t="n">
        <x:f t="shared" si="186">AVERAGE(E4022:E4221)</x:f>
        <x:v>877.3466500000001</x:v>
      </x:c>
      <x:c r="H4221" s="37" t="n">
        <x:f t="shared" si="187">IFERROR(E4221/G4221-1,"")</x:f>
        <x:v>0.29174711044944424</x:v>
      </x:c>
      <x:c r="I4221" s="38" t="b">
        <x:f t="shared" si="188">E4221&lt;G4221</x:f>
        <x:v>0</x:v>
      </x:c>
    </x:row>
    <x:row r="4222">
      <x:c r="A4222" s="31">
        <x:v>43173</x:v>
      </x:c>
      <x:c r="B4222" s="32">
        <x:v>1135.99</x:v>
      </x:c>
      <x:c r="C4222" s="32">
        <x:v>1142.8800000000001</x:v>
      </x:c>
      <x:c r="D4222" s="32">
        <x:v>1133.31</x:v>
      </x:c>
      <x:c r="E4222" s="32">
        <x:v>1138.0899999999999</x:v>
      </x:c>
      <x:c r="F4222" s="33">
        <x:v>222436340</x:v>
      </x:c>
      <x:c r="G4222" s="32" t="n">
        <x:f t="shared" si="186">AVERAGE(E4023:E4222)</x:f>
        <x:v>879.3275500000002</x:v>
      </x:c>
      <x:c r="H4222" s="37" t="n">
        <x:f t="shared" si="187">IFERROR(E4222/G4222-1,"")</x:f>
        <x:v>0.29427310676209295</x:v>
      </x:c>
      <x:c r="I4222" s="38" t="b">
        <x:f t="shared" si="188">E4222&lt;G4222</x:f>
        <x:v>0</x:v>
      </x:c>
    </x:row>
    <x:row r="4223">
      <x:c r="A4223" s="31">
        <x:v>43174</x:v>
      </x:c>
      <x:c r="B4223" s="32">
        <x:v>1134.51</x:v>
      </x:c>
      <x:c r="C4223" s="32">
        <x:v>1140.74</x:v>
      </x:c>
      <x:c r="D4223" s="32">
        <x:v>1129.6600000000001</x:v>
      </x:c>
      <x:c r="E4223" s="32">
        <x:v>1138.76</x:v>
      </x:c>
      <x:c r="F4223" s="33">
        <x:v>207105860</x:v>
      </x:c>
      <x:c r="G4223" s="32" t="n">
        <x:f t="shared" si="186">AVERAGE(E4024:E4223)</x:f>
        <x:v>881.3043000000002</x:v>
      </x:c>
      <x:c r="H4223" s="37" t="n">
        <x:f t="shared" si="187">IFERROR(E4223/G4223-1,"")</x:f>
        <x:v>0.2921303118570959</x:v>
      </x:c>
      <x:c r="I4223" s="38" t="b">
        <x:f t="shared" si="188">E4223&lt;G4223</x:f>
        <x:v>0</x:v>
      </x:c>
    </x:row>
    <x:row r="4224">
      <x:c r="A4224" s="31">
        <x:v>43175</x:v>
      </x:c>
      <x:c r="B4224" s="32">
        <x:v>1144.54</x:v>
      </x:c>
      <x:c r="C4224" s="32">
        <x:v>1152.52</x:v>
      </x:c>
      <x:c r="D4224" s="32">
        <x:v>1138.76</x:v>
      </x:c>
      <x:c r="E4224" s="32">
        <x:v>1150.19</x:v>
      </x:c>
      <x:c r="F4224" s="33">
        <x:v>260196900</x:v>
      </x:c>
      <x:c r="G4224" s="32" t="n">
        <x:f t="shared" si="186">AVERAGE(E4025:E4224)</x:f>
        <x:v>883.3240000000002</x:v>
      </x:c>
      <x:c r="H4224" s="37" t="n">
        <x:f t="shared" si="187">IFERROR(E4224/G4224-1,"")</x:f>
        <x:v>0.30211564499549404</x:v>
      </x:c>
      <x:c r="I4224" s="38" t="b">
        <x:f t="shared" si="188">E4224&lt;G4224</x:f>
        <x:v>0</x:v>
      </x:c>
    </x:row>
    <x:row r="4225">
      <x:c r="A4225" s="31">
        <x:v>43178</x:v>
      </x:c>
      <x:c r="B4225" s="32">
        <x:v>1158.1600000000001</x:v>
      </x:c>
      <x:c r="C4225" s="32">
        <x:v>1165.6300000000001</x:v>
      </x:c>
      <x:c r="D4225" s="32">
        <x:v>1150.19</x:v>
      </x:c>
      <x:c r="E4225" s="32">
        <x:v>1159.22</x:v>
      </x:c>
      <x:c r="F4225" s="33">
        <x:v>221555290</x:v>
      </x:c>
      <x:c r="G4225" s="32" t="n">
        <x:f t="shared" si="186">AVERAGE(E4026:E4225)</x:f>
        <x:v>885.4290500000002</x:v>
      </x:c>
      <x:c r="H4225" s="37" t="n">
        <x:f t="shared" si="187">IFERROR(E4225/G4225-1,"")</x:f>
        <x:v>0.3092183953079015</x:v>
      </x:c>
      <x:c r="I4225" s="38" t="b">
        <x:f t="shared" si="188">E4225&lt;G4225</x:f>
        <x:v>0</x:v>
      </x:c>
    </x:row>
    <x:row r="4226">
      <x:c r="A4226" s="31">
        <x:v>43179</x:v>
      </x:c>
      <x:c r="B4226" s="32">
        <x:v>1154.48</x:v>
      </x:c>
      <x:c r="C4226" s="32">
        <x:v>1166.33</x:v>
      </x:c>
      <x:c r="D4226" s="32">
        <x:v>1154.48</x:v>
      </x:c>
      <x:c r="E4226" s="32">
        <x:v>1159.3900000000001</x:v>
      </x:c>
      <x:c r="F4226" s="33">
        <x:v>189756080</x:v>
      </x:c>
      <x:c r="G4226" s="32" t="n">
        <x:f t="shared" si="186">AVERAGE(E4027:E4226)</x:f>
        <x:v>887.5369000000002</x:v>
      </x:c>
      <x:c r="H4226" s="37" t="n">
        <x:f t="shared" si="187">IFERROR(E4226/G4226-1,"")</x:f>
        <x:v>0.3063006169095617</x:v>
      </x:c>
      <x:c r="I4226" s="38" t="b">
        <x:f t="shared" si="188">E4226&lt;G4226</x:f>
        <x:v>0</x:v>
      </x:c>
    </x:row>
    <x:row r="4227">
      <x:c r="A4227" s="31">
        <x:v>43180</x:v>
      </x:c>
      <x:c r="B4227" s="32">
        <x:v>1166.51</x:v>
      </x:c>
      <x:c r="C4227" s="32">
        <x:v>1172.31</x:v>
      </x:c>
      <x:c r="D4227" s="32">
        <x:v>1159.3900000000001</x:v>
      </x:c>
      <x:c r="E4227" s="32">
        <x:v>1169.3599999999999</x:v>
      </x:c>
      <x:c r="F4227" s="33">
        <x:v>212812970</x:v>
      </x:c>
      <x:c r="G4227" s="32" t="n">
        <x:f t="shared" si="186">AVERAGE(E4028:E4227)</x:f>
        <x:v>889.6747000000001</x:v>
      </x:c>
      <x:c r="H4227" s="37" t="n">
        <x:f t="shared" si="187">IFERROR(E4227/G4227-1,"")</x:f>
        <x:v>0.3143680493555676</x:v>
      </x:c>
      <x:c r="I4227" s="38" t="b">
        <x:f t="shared" si="188">E4227&lt;G4227</x:f>
        <x:v>0</x:v>
      </x:c>
    </x:row>
    <x:row r="4228">
      <x:c r="A4228" s="31">
        <x:v>43181</x:v>
      </x:c>
      <x:c r="B4228" s="32">
        <x:v>1175.22</x:v>
      </x:c>
      <x:c r="C4228" s="32">
        <x:v>1180.44</x:v>
      </x:c>
      <x:c r="D4228" s="32">
        <x:v>1169.3599999999999</x:v>
      </x:c>
      <x:c r="E4228" s="32">
        <x:v>1172.3599999999999</x:v>
      </x:c>
      <x:c r="F4228" s="33">
        <x:v>215497530</x:v>
      </x:c>
      <x:c r="G4228" s="32" t="n">
        <x:f t="shared" si="186">AVERAGE(E4029:E4228)</x:f>
        <x:v>891.8424500000001</x:v>
      </x:c>
      <x:c r="H4228" s="37" t="n">
        <x:f t="shared" si="187">IFERROR(E4228/G4228-1,"")</x:f>
        <x:v>0.3145371135899617</x:v>
      </x:c>
      <x:c r="I4228" s="38" t="b">
        <x:f t="shared" si="188">E4228&lt;G4228</x:f>
        <x:v>0</x:v>
      </x:c>
    </x:row>
    <x:row r="4229">
      <x:c r="A4229" s="31">
        <x:v>43182</x:v>
      </x:c>
      <x:c r="B4229" s="32">
        <x:v>1154.25</x:v>
      </x:c>
      <x:c r="C4229" s="32">
        <x:v>1172.3599999999999</x:v>
      </x:c>
      <x:c r="D4229" s="32">
        <x:v>1138.53</x:v>
      </x:c>
      <x:c r="E4229" s="32">
        <x:v>1153.5899999999999</x:v>
      </x:c>
      <x:c r="F4229" s="33">
        <x:v>237107530</x:v>
      </x:c>
      <x:c r="G4229" s="32" t="n">
        <x:f t="shared" si="186">AVERAGE(E4030:E4229)</x:f>
        <x:v>893.8929500000002</x:v>
      </x:c>
      <x:c r="H4229" s="37" t="n">
        <x:f t="shared" si="187">IFERROR(E4229/G4229-1,"")</x:f>
        <x:v>0.29052365834186267</x:v>
      </x:c>
      <x:c r="I4229" s="38" t="b">
        <x:f t="shared" si="188">E4229&lt;G4229</x:f>
        <x:v>0</x:v>
      </x:c>
    </x:row>
    <x:row r="4230">
      <x:c r="A4230" s="31">
        <x:v>43185</x:v>
      </x:c>
      <x:c r="B4230" s="32">
        <x:v>1150.51</x:v>
      </x:c>
      <x:c r="C4230" s="32">
        <x:v>1176.95</x:v>
      </x:c>
      <x:c r="D4230" s="32">
        <x:v>1150.51</x:v>
      </x:c>
      <x:c r="E4230" s="32">
        <x:v>1171.22</x:v>
      </x:c>
      <x:c r="F4230" s="33">
        <x:v>175879690</x:v>
      </x:c>
      <x:c r="G4230" s="32" t="n">
        <x:f t="shared" si="186">AVERAGE(E4031:E4230)</x:f>
        <x:v>895.9925</x:v>
      </x:c>
      <x:c r="H4230" s="37" t="n">
        <x:f t="shared" si="187">IFERROR(E4230/G4230-1,"")</x:f>
        <x:v>0.30717612033582875</x:v>
      </x:c>
      <x:c r="I4230" s="38" t="b">
        <x:f t="shared" si="188">E4230&lt;G4230</x:f>
        <x:v>0</x:v>
      </x:c>
    </x:row>
    <x:row r="4231">
      <x:c r="A4231" s="31">
        <x:v>43186</x:v>
      </x:c>
      <x:c r="B4231" s="32">
        <x:v>1187.42</x:v>
      </x:c>
      <x:c r="C4231" s="32">
        <x:v>1187.42</x:v>
      </x:c>
      <x:c r="D4231" s="32">
        <x:v>1169.58</x:v>
      </x:c>
      <x:c r="E4231" s="32">
        <x:v>1171.73</x:v>
      </x:c>
      <x:c r="F4231" s="33">
        <x:v>201305790</x:v>
      </x:c>
      <x:c r="G4231" s="32" t="n">
        <x:f t="shared" si="186">AVERAGE(E4032:E4231)</x:f>
        <x:v>898.0838500000002</x:v>
      </x:c>
      <x:c r="H4231" s="37" t="n">
        <x:f t="shared" si="187">IFERROR(E4231/G4231-1,"")</x:f>
        <x:v>0.3047000010077008</x:v>
      </x:c>
      <x:c r="I4231" s="38" t="b">
        <x:f t="shared" si="188">E4231&lt;G4231</x:f>
        <x:v>0</x:v>
      </x:c>
    </x:row>
    <x:row r="4232">
      <x:c r="A4232" s="31">
        <x:v>43187</x:v>
      </x:c>
      <x:c r="B4232" s="32">
        <x:v>1168.8699999999999</x:v>
      </x:c>
      <x:c r="C4232" s="32">
        <x:v>1179.18</x:v>
      </x:c>
      <x:c r="D4232" s="32">
        <x:v>1165.71</x:v>
      </x:c>
      <x:c r="E4232" s="32">
        <x:v>1172.24</x:v>
      </x:c>
      <x:c r="F4232" s="33">
        <x:v>165131520</x:v>
      </x:c>
      <x:c r="G4232" s="32" t="n">
        <x:f t="shared" si="186">AVERAGE(E4033:E4232)</x:f>
        <x:v>900.1944000000002</x:v>
      </x:c>
      <x:c r="H4232" s="37" t="n">
        <x:f t="shared" si="187">IFERROR(E4232/G4232-1,"")</x:f>
        <x:v>0.30220761204468705</x:v>
      </x:c>
      <x:c r="I4232" s="38" t="b">
        <x:f t="shared" si="188">E4232&lt;G4232</x:f>
        <x:v>0</x:v>
      </x:c>
    </x:row>
    <x:row r="4233">
      <x:c r="A4233" s="31">
        <x:v>43188</x:v>
      </x:c>
      <x:c r="B4233" s="32">
        <x:v>1174.73</x:v>
      </x:c>
      <x:c r="C4233" s="32">
        <x:v>1176.45</x:v>
      </x:c>
      <x:c r="D4233" s="32">
        <x:v>1164.1199999999999</x:v>
      </x:c>
      <x:c r="E4233" s="32">
        <x:v>1167.03</x:v>
      </x:c>
      <x:c r="F4233" s="33">
        <x:v>150321430</x:v>
      </x:c>
      <x:c r="G4233" s="32" t="n">
        <x:f t="shared" si="186">AVERAGE(E4034:E4233)</x:f>
        <x:v>902.2809500000002</x:v>
      </x:c>
      <x:c r="H4233" s="37" t="n">
        <x:f t="shared" si="187">IFERROR(E4233/G4233-1,"")</x:f>
        <x:v>0.2934219657413799</x:v>
      </x:c>
      <x:c r="I4233" s="38" t="b">
        <x:f t="shared" si="188">E4233&lt;G4233</x:f>
        <x:v>0</x:v>
      </x:c>
    </x:row>
    <x:row r="4234">
      <x:c r="A4234" s="31">
        <x:v>43189</x:v>
      </x:c>
      <x:c r="B4234" s="32">
        <x:v>1167.03</x:v>
      </x:c>
      <x:c r="C4234" s="32">
        <x:v>1175.3599999999999</x:v>
      </x:c>
      <x:c r="D4234" s="32">
        <x:v>1158.49</x:v>
      </x:c>
      <x:c r="E4234" s="32">
        <x:v>1174.46</x:v>
      </x:c>
      <x:c r="F4234" s="33">
        <x:v>150318960</x:v>
      </x:c>
      <x:c r="G4234" s="32" t="n">
        <x:f t="shared" si="186">AVERAGE(E4035:E4234)</x:f>
        <x:v>904.3978000000002</x:v>
      </x:c>
      <x:c r="H4234" s="37" t="n">
        <x:f t="shared" si="187">IFERROR(E4234/G4234-1,"")</x:f>
        <x:v>0.2986099700817493</x:v>
      </x:c>
      <x:c r="I4234" s="38" t="b">
        <x:f t="shared" si="188">E4234&lt;G4234</x:f>
        <x:v>0</x:v>
      </x:c>
    </x:row>
    <x:row r="4235">
      <x:c r="A4235" s="31">
        <x:v>43192</x:v>
      </x:c>
      <x:c r="B4235" s="32">
        <x:v>1180.26</x:v>
      </x:c>
      <x:c r="C4235" s="32">
        <x:v>1196.6099999999999</x:v>
      </x:c>
      <x:c r="D4235" s="32">
        <x:v>1174.46</x:v>
      </x:c>
      <x:c r="E4235" s="32">
        <x:v>1196.6099999999999</x:v>
      </x:c>
      <x:c r="F4235" s="33">
        <x:v>221037550</x:v>
      </x:c>
      <x:c r="G4235" s="32" t="n">
        <x:f t="shared" si="186">AVERAGE(E4036:E4235)</x:f>
        <x:v>906.5964000000001</x:v>
      </x:c>
      <x:c r="H4235" s="37" t="n">
        <x:f t="shared" si="187">IFERROR(E4235/G4235-1,"")</x:f>
        <x:v>0.31989273286326725</x:v>
      </x:c>
      <x:c r="I4235" s="38" t="b">
        <x:f t="shared" si="188">E4235&lt;G4235</x:f>
        <x:v>0</x:v>
      </x:c>
    </x:row>
    <x:row r="4236">
      <x:c r="A4236" s="31">
        <x:v>43193</x:v>
      </x:c>
      <x:c r="B4236" s="32">
        <x:v>1197</x:v>
      </x:c>
      <x:c r="C4236" s="32">
        <x:v>1199.93</x:v>
      </x:c>
      <x:c r="D4236" s="32">
        <x:v>1185.83</x:v>
      </x:c>
      <x:c r="E4236" s="32">
        <x:v>1188.29</x:v>
      </x:c>
      <x:c r="F4236" s="33">
        <x:v>217626820</x:v>
      </x:c>
      <x:c r="G4236" s="32" t="n">
        <x:f t="shared" si="186">AVERAGE(E4037:E4236)</x:f>
        <x:v>908.734</x:v>
      </x:c>
      <x:c r="H4236" s="37" t="n">
        <x:f t="shared" si="187">IFERROR(E4236/G4236-1,"")</x:f>
        <x:v>0.3076323764710025</x:v>
      </x:c>
      <x:c r="I4236" s="38" t="b">
        <x:f t="shared" si="188">E4236&lt;G4236</x:f>
        <x:v>0</x:v>
      </x:c>
    </x:row>
    <x:row r="4237">
      <x:c r="A4237" s="31">
        <x:v>43194</x:v>
      </x:c>
      <x:c r="B4237" s="32">
        <x:v>1194.26</x:v>
      </x:c>
      <x:c r="C4237" s="32">
        <x:v>1200.71</x:v>
      </x:c>
      <x:c r="D4237" s="32">
        <x:v>1188.29</x:v>
      </x:c>
      <x:c r="E4237" s="32">
        <x:v>1191.54</x:v>
      </x:c>
      <x:c r="F4237" s="33">
        <x:v>194006930</x:v>
      </x:c>
      <x:c r="G4237" s="32" t="n">
        <x:f t="shared" ref="G4237:G4300" si="189">AVERAGE(E4038:E4237)</x:f>
        <x:v>910.88885</x:v>
      </x:c>
      <x:c r="H4237" s="37" t="n">
        <x:f t="shared" ref="H4237:H4300" si="190">IFERROR(E4237/G4237-1,"")</x:f>
        <x:v>0.30810691117802125</x:v>
      </x:c>
      <x:c r="I4237" s="38" t="b">
        <x:f t="shared" ref="I4237:I4300" si="191">E4237&lt;G4237</x:f>
        <x:v>0</x:v>
      </x:c>
    </x:row>
    <x:row r="4238">
      <x:c r="A4238" s="31">
        <x:v>43195</x:v>
      </x:c>
      <x:c r="B4238" s="32">
        <x:v>1197.76</x:v>
      </x:c>
      <x:c r="C4238" s="32">
        <x:v>1199.1500000000001</x:v>
      </x:c>
      <x:c r="D4238" s="32">
        <x:v>1186.75</x:v>
      </x:c>
      <x:c r="E4238" s="32">
        <x:v>1193.17</x:v>
      </x:c>
      <x:c r="F4238" s="33">
        <x:v>186567260</x:v>
      </x:c>
      <x:c r="G4238" s="32" t="n">
        <x:f t="shared" si="189">AVERAGE(E4039:E4238)</x:f>
        <x:v>913.0485000000002</x:v>
      </x:c>
      <x:c r="H4238" s="37" t="n">
        <x:f t="shared" si="190">IFERROR(E4238/G4238-1,"")</x:f>
        <x:v>0.3067980507059589</x:v>
      </x:c>
      <x:c r="I4238" s="38" t="b">
        <x:f t="shared" si="191">E4238&lt;G4238</x:f>
        <x:v>0</x:v>
      </x:c>
    </x:row>
    <x:row r="4239">
      <x:c r="A4239" s="31">
        <x:v>43196</x:v>
      </x:c>
      <x:c r="B4239" s="32">
        <x:v>1194.1500000000001</x:v>
      </x:c>
      <x:c r="C4239" s="32">
        <x:v>1202.5899999999999</x:v>
      </x:c>
      <x:c r="D4239" s="32">
        <x:v>1193.17</x:v>
      </x:c>
      <x:c r="E4239" s="32">
        <x:v>1199.96</x:v>
      </x:c>
      <x:c r="F4239" s="33">
        <x:v>217719530</x:v>
      </x:c>
      <x:c r="G4239" s="32" t="n">
        <x:f t="shared" si="189">AVERAGE(E4040:E4239)</x:f>
        <x:v>915.2141500000001</x:v>
      </x:c>
      <x:c r="H4239" s="37" t="n">
        <x:f t="shared" si="190">IFERROR(E4239/G4239-1,"")</x:f>
        <x:v>0.3111248334611083</x:v>
      </x:c>
      <x:c r="I4239" s="38" t="b">
        <x:f t="shared" si="191">E4239&lt;G4239</x:f>
        <x:v>0</x:v>
      </x:c>
    </x:row>
    <x:row r="4240">
      <x:c r="A4240" s="31">
        <x:v>43199</x:v>
      </x:c>
      <x:c r="B4240" s="32">
        <x:v>1202.44</x:v>
      </x:c>
      <x:c r="C4240" s="32">
        <x:v>1207.45</x:v>
      </x:c>
      <x:c r="D4240" s="32">
        <x:v>1197.44</x:v>
      </x:c>
      <x:c r="E4240" s="32">
        <x:v>1204.33</x:v>
      </x:c>
      <x:c r="F4240" s="33">
        <x:v>222920660</x:v>
      </x:c>
      <x:c r="G4240" s="32" t="n">
        <x:f t="shared" si="189">AVERAGE(E4041:E4240)</x:f>
        <x:v>917.3958500000001</x:v>
      </x:c>
      <x:c r="H4240" s="37" t="n">
        <x:f t="shared" si="190">IFERROR(E4240/G4240-1,"")</x:f>
        <x:v>0.31277027250559253</x:v>
      </x:c>
      <x:c r="I4240" s="38" t="b">
        <x:f t="shared" si="191">E4240&lt;G4240</x:f>
        <x:v>0</x:v>
      </x:c>
    </x:row>
    <x:row r="4241">
      <x:c r="A4241" s="31">
        <x:v>43200</x:v>
      </x:c>
      <x:c r="B4241" s="32">
        <x:v>1207.6199999999999</x:v>
      </x:c>
      <x:c r="C4241" s="32">
        <x:v>1211.3399999999999</x:v>
      </x:c>
      <x:c r="D4241" s="32">
        <x:v>1192.22</x:v>
      </x:c>
      <x:c r="E4241" s="32">
        <x:v>1198.1199999999999</x:v>
      </x:c>
      <x:c r="F4241" s="33">
        <x:v>246566650</x:v>
      </x:c>
      <x:c r="G4241" s="32" t="n">
        <x:f t="shared" si="189">AVERAGE(E4042:E4241)</x:f>
        <x:v>919.5494</x:v>
      </x:c>
      <x:c r="H4241" s="37" t="n">
        <x:f t="shared" si="190">IFERROR(E4241/G4241-1,"")</x:f>
        <x:v>0.30294250640585485</x:v>
      </x:c>
      <x:c r="I4241" s="38" t="b">
        <x:f t="shared" si="191">E4241&lt;G4241</x:f>
        <x:v>0</x:v>
      </x:c>
    </x:row>
    <x:row r="4242">
      <x:c r="A4242" s="31">
        <x:v>43201</x:v>
      </x:c>
      <x:c r="B4242" s="32">
        <x:v>1201.51</x:v>
      </x:c>
      <x:c r="C4242" s="32">
        <x:v>1202.46</x:v>
      </x:c>
      <x:c r="D4242" s="32">
        <x:v>1167.1099999999999</x:v>
      </x:c>
      <x:c r="E4242" s="32">
        <x:v>1167.1099999999999</x:v>
      </x:c>
      <x:c r="F4242" s="33">
        <x:v>245785470</x:v>
      </x:c>
      <x:c r="G4242" s="32" t="n">
        <x:f t="shared" si="189">AVERAGE(E4043:E4242)</x:f>
        <x:v>921.55345</x:v>
      </x:c>
      <x:c r="H4242" s="37" t="n">
        <x:f t="shared" si="190">IFERROR(E4242/G4242-1,"")</x:f>
        <x:v>0.2664593681462535</x:v>
      </x:c>
      <x:c r="I4242" s="38" t="b">
        <x:f t="shared" si="191">E4242&lt;G4242</x:f>
        <x:v>0</x:v>
      </x:c>
    </x:row>
    <x:row r="4243">
      <x:c r="A4243" s="31">
        <x:v>43202</x:v>
      </x:c>
      <x:c r="B4243" s="32">
        <x:v>1162.48</x:v>
      </x:c>
      <x:c r="C4243" s="32">
        <x:v>1173.02</x:v>
      </x:c>
      <x:c r="D4243" s="32">
        <x:v>1153.6400000000001</x:v>
      </x:c>
      <x:c r="E4243" s="32">
        <x:v>1173.02</x:v>
      </x:c>
      <x:c r="F4243" s="33">
        <x:v>168958120</x:v>
      </x:c>
      <x:c r="G4243" s="32" t="n">
        <x:f t="shared" si="189">AVERAGE(E4044:E4243)</x:f>
        <x:v>923.5735000000001</x:v>
      </x:c>
      <x:c r="H4243" s="37" t="n">
        <x:f t="shared" si="190">IFERROR(E4243/G4243-1,"")</x:f>
        <x:v>0.2700884120213496</x:v>
      </x:c>
      <x:c r="I4243" s="38" t="b">
        <x:f t="shared" si="191">E4243&lt;G4243</x:f>
        <x:v>0</x:v>
      </x:c>
    </x:row>
    <x:row r="4244">
      <x:c r="A4244" s="31">
        <x:v>43203</x:v>
      </x:c>
      <x:c r="B4244" s="32">
        <x:v>1178.57</x:v>
      </x:c>
      <x:c r="C4244" s="32">
        <x:v>1181.52</x:v>
      </x:c>
      <x:c r="D4244" s="32">
        <x:v>1153.93</x:v>
      </x:c>
      <x:c r="E4244" s="32">
        <x:v>1157.1400000000001</x:v>
      </x:c>
      <x:c r="F4244" s="33">
        <x:v>156898440</x:v>
      </x:c>
      <x:c r="G4244" s="32" t="n">
        <x:f t="shared" si="189">AVERAGE(E4045:E4244)</x:f>
        <x:v>925.4966000000002</x:v>
      </x:c>
      <x:c r="H4244" s="37" t="n">
        <x:f t="shared" si="190">IFERROR(E4244/G4244-1,"")</x:f>
        <x:v>0.2502909248937273</x:v>
      </x:c>
      <x:c r="I4244" s="38" t="b">
        <x:f t="shared" si="191">E4244&lt;G4244</x:f>
        <x:v>0</x:v>
      </x:c>
    </x:row>
    <x:row r="4245">
      <x:c r="A4245" s="31">
        <x:v>43206</x:v>
      </x:c>
      <x:c r="B4245" s="32">
        <x:v>1156.54</x:v>
      </x:c>
      <x:c r="C4245" s="32">
        <x:v>1159.45</x:v>
      </x:c>
      <x:c r="D4245" s="32">
        <x:v>1141.81</x:v>
      </x:c>
      <x:c r="E4245" s="32">
        <x:v>1148.49</x:v>
      </x:c>
      <x:c r="F4245" s="33">
        <x:v>138666630</x:v>
      </x:c>
      <x:c r="G4245" s="32" t="n">
        <x:f t="shared" si="189">AVERAGE(E4046:E4245)</x:f>
        <x:v>927.4015</x:v>
      </x:c>
      <x:c r="H4245" s="37" t="n">
        <x:f t="shared" si="190">IFERROR(E4245/G4245-1,"")</x:f>
        <x:v>0.23839566789572797</x:v>
      </x:c>
      <x:c r="I4245" s="38" t="b">
        <x:f t="shared" si="191">E4245&lt;G4245</x:f>
        <x:v>0</x:v>
      </x:c>
    </x:row>
    <x:row r="4246">
      <x:c r="A4246" s="31">
        <x:v>43207</x:v>
      </x:c>
      <x:c r="B4246" s="32">
        <x:v>1149.02</x:v>
      </x:c>
      <x:c r="C4246" s="32">
        <x:v>1156.7</x:v>
      </x:c>
      <x:c r="D4246" s="32">
        <x:v>1139.33</x:v>
      </x:c>
      <x:c r="E4246" s="32">
        <x:v>1153.28</x:v>
      </x:c>
      <x:c r="F4246" s="33">
        <x:v>139854490</x:v>
      </x:c>
      <x:c r="G4246" s="32" t="n">
        <x:f t="shared" si="189">AVERAGE(E4047:E4246)</x:f>
        <x:v>929.3227000000002</x:v>
      </x:c>
      <x:c r="H4246" s="37" t="n">
        <x:f t="shared" si="190">IFERROR(E4246/G4246-1,"")</x:f>
        <x:v>0.2409898090297371</x:v>
      </x:c>
      <x:c r="I4246" s="38" t="b">
        <x:f t="shared" si="191">E4246&lt;G4246</x:f>
        <x:v>0</x:v>
      </x:c>
    </x:row>
    <x:row r="4247">
      <x:c r="A4247" s="31">
        <x:v>43208</x:v>
      </x:c>
      <x:c r="B4247" s="32">
        <x:v>1153.28</x:v>
      </x:c>
      <x:c r="C4247" s="32">
        <x:v>1160.32</x:v>
      </x:c>
      <x:c r="D4247" s="32">
        <x:v>1138.42</x:v>
      </x:c>
      <x:c r="E4247" s="32">
        <x:v>1138.53</x:v>
      </x:c>
      <x:c r="F4247" s="33">
        <x:v>152174130</x:v>
      </x:c>
      <x:c r="G4247" s="32" t="n">
        <x:f t="shared" si="189">AVERAGE(E4048:E4247)</x:f>
        <x:v>931.1566</x:v>
      </x:c>
      <x:c r="H4247" s="37" t="n">
        <x:f t="shared" si="190">IFERROR(E4247/G4247-1,"")</x:f>
        <x:v>0.2227051819210646</x:v>
      </x:c>
      <x:c r="I4247" s="38" t="b">
        <x:f t="shared" si="191">E4247&lt;G4247</x:f>
        <x:v>0</x:v>
      </x:c>
    </x:row>
    <x:row r="4248">
      <x:c r="A4248" s="31">
        <x:v>43209</x:v>
      </x:c>
      <x:c r="B4248" s="32">
        <x:v>1137.99</x:v>
      </x:c>
      <x:c r="C4248" s="32">
        <x:v>1138.53</x:v>
      </x:c>
      <x:c r="D4248" s="32">
        <x:v>1094.6300000000001</x:v>
      </x:c>
      <x:c r="E4248" s="32">
        <x:v>1094.6300000000001</x:v>
      </x:c>
      <x:c r="F4248" s="33">
        <x:v>183841740</x:v>
      </x:c>
      <x:c r="G4248" s="32" t="n">
        <x:f t="shared" si="189">AVERAGE(E4049:E4248)</x:f>
        <x:v>932.7474000000001</x:v>
      </x:c>
      <x:c r="H4248" s="37" t="n">
        <x:f t="shared" si="190">IFERROR(E4248/G4248-1,"")</x:f>
        <x:v>0.17355459795438732</x:v>
      </x:c>
      <x:c r="I4248" s="38" t="b">
        <x:f t="shared" si="191">E4248&lt;G4248</x:f>
        <x:v>0</x:v>
      </x:c>
    </x:row>
    <x:row r="4249">
      <x:c r="A4249" s="31">
        <x:v>43210</x:v>
      </x:c>
      <x:c r="B4249" s="32">
        <x:v>1095.8399999999999</x:v>
      </x:c>
      <x:c r="C4249" s="32">
        <x:v>1119.8599999999999</x:v>
      </x:c>
      <x:c r="D4249" s="32">
        <x:v>1078.01</x:v>
      </x:c>
      <x:c r="E4249" s="32">
        <x:v>1119.8599999999999</x:v>
      </x:c>
      <x:c r="F4249" s="33">
        <x:v>142780270</x:v>
      </x:c>
      <x:c r="G4249" s="32" t="n">
        <x:f t="shared" si="189">AVERAGE(E4050:E4249)</x:f>
        <x:v>934.4522999999999</x:v>
      </x:c>
      <x:c r="H4249" s="37" t="n">
        <x:f t="shared" si="190">IFERROR(E4249/G4249-1,"")</x:f>
        <x:v>0.1984132309375235</x:v>
      </x:c>
      <x:c r="I4249" s="38" t="b">
        <x:f t="shared" si="191">E4249&lt;G4249</x:f>
        <x:v>0</x:v>
      </x:c>
    </x:row>
    <x:row r="4250">
      <x:c r="A4250" s="31">
        <x:v>43213</x:v>
      </x:c>
      <x:c r="B4250" s="32">
        <x:v>1124.33</x:v>
      </x:c>
      <x:c r="C4250" s="32">
        <x:v>1127.24</x:v>
      </x:c>
      <x:c r="D4250" s="32">
        <x:v>1076.78</x:v>
      </x:c>
      <x:c r="E4250" s="32">
        <x:v>1076.78</x:v>
      </x:c>
      <x:c r="F4250" s="33">
        <x:v>194901680</x:v>
      </x:c>
      <x:c r="G4250" s="32" t="n">
        <x:f t="shared" si="189">AVERAGE(E4051:E4250)</x:f>
        <x:v>935.9585</x:v>
      </x:c>
      <x:c r="H4250" s="37" t="n">
        <x:f t="shared" si="190">IFERROR(E4250/G4250-1,"")</x:f>
        <x:v>0.15045699141575186</x:v>
      </x:c>
      <x:c r="I4250" s="38" t="b">
        <x:f t="shared" si="191">E4250&lt;G4250</x:f>
        <x:v>0</x:v>
      </x:c>
    </x:row>
    <x:row r="4251">
      <x:c r="A4251" s="31">
        <x:v>43214</x:v>
      </x:c>
      <x:c r="B4251" s="32">
        <x:v>1064.8599999999999</x:v>
      </x:c>
      <x:c r="C4251" s="32">
        <x:v>1084.8900000000001</x:v>
      </x:c>
      <x:c r="D4251" s="32">
        <x:v>1048.68</x:v>
      </x:c>
      <x:c r="E4251" s="32">
        <x:v>1080.74</x:v>
      </x:c>
      <x:c r="F4251" s="33">
        <x:v>166004870</x:v>
      </x:c>
      <x:c r="G4251" s="32" t="n">
        <x:f t="shared" si="189">AVERAGE(E4052:E4251)</x:f>
        <x:v>937.4706</x:v>
      </x:c>
      <x:c r="H4251" s="37" t="n">
        <x:f t="shared" si="190">IFERROR(E4251/G4251-1,"")</x:f>
        <x:v>0.15282548594057244</x:v>
      </x:c>
      <x:c r="I4251" s="38" t="b">
        <x:f t="shared" si="191">E4251&lt;G4251</x:f>
        <x:v>0</x:v>
      </x:c>
    </x:row>
    <x:row r="4252">
      <x:c r="A4252" s="31">
        <x:v>43216</x:v>
      </x:c>
      <x:c r="B4252" s="32">
        <x:v>1082.52</x:v>
      </x:c>
      <x:c r="C4252" s="32">
        <x:v>1082.52</x:v>
      </x:c>
      <x:c r="D4252" s="32">
        <x:v>1039.3499999999999</x:v>
      </x:c>
      <x:c r="E4252" s="32">
        <x:v>1044.8599999999999</x:v>
      </x:c>
      <x:c r="F4252" s="33">
        <x:v>184919930</x:v>
      </x:c>
      <x:c r="G4252" s="32" t="n">
        <x:f t="shared" si="189">AVERAGE(E4053:E4252)</x:f>
        <x:v>938.7816499999999</x:v>
      </x:c>
      <x:c r="H4252" s="37" t="n">
        <x:f t="shared" si="190">IFERROR(E4252/G4252-1,"")</x:f>
        <x:v>0.11299576424400715</x:v>
      </x:c>
      <x:c r="I4252" s="38" t="b">
        <x:f t="shared" si="191">E4252&lt;G4252</x:f>
        <x:v>0</x:v>
      </x:c>
    </x:row>
    <x:row r="4253">
      <x:c r="A4253" s="31">
        <x:v>43217</x:v>
      </x:c>
      <x:c r="B4253" s="32">
        <x:v>1037.3599999999999</x:v>
      </x:c>
      <x:c r="C4253" s="32">
        <x:v>1054.94</x:v>
      </x:c>
      <x:c r="D4253" s="32">
        <x:v>1031.8900000000001</x:v>
      </x:c>
      <x:c r="E4253" s="32">
        <x:v>1050.26</x:v>
      </x:c>
      <x:c r="F4253" s="33">
        <x:v>152853910</x:v>
      </x:c>
      <x:c r="G4253" s="32" t="n">
        <x:f t="shared" si="189">AVERAGE(E4054:E4253)</x:f>
        <x:v>940.1542999999999</x:v>
      </x:c>
      <x:c r="H4253" s="37" t="n">
        <x:f t="shared" si="190">IFERROR(E4253/G4253-1,"")</x:f>
        <x:v>0.11711449918380423</x:v>
      </x:c>
      <x:c r="I4253" s="38" t="b">
        <x:f t="shared" si="191">E4253&lt;G4253</x:f>
        <x:v>0</x:v>
      </x:c>
    </x:row>
    <x:row r="4254">
      <x:c r="A4254" s="31">
        <x:v>43222</x:v>
      </x:c>
      <x:c r="B4254" s="32">
        <x:v>1053.26</x:v>
      </x:c>
      <x:c r="C4254" s="32">
        <x:v>1053.52</x:v>
      </x:c>
      <x:c r="D4254" s="32">
        <x:v>1024.75</x:v>
      </x:c>
      <x:c r="E4254" s="32">
        <x:v>1029.08</x:v>
      </x:c>
      <x:c r="F4254" s="33">
        <x:v>151711850</x:v>
      </x:c>
      <x:c r="G4254" s="32" t="n">
        <x:f t="shared" si="189">AVERAGE(E4055:E4254)</x:f>
        <x:v>941.4668999999999</x:v>
      </x:c>
      <x:c r="H4254" s="37" t="n">
        <x:f t="shared" si="190">IFERROR(E4254/G4254-1,"")</x:f>
        <x:v>0.09306020211650567</x:v>
      </x:c>
      <x:c r="I4254" s="38" t="b">
        <x:f t="shared" si="191">E4254&lt;G4254</x:f>
        <x:v>0</x:v>
      </x:c>
    </x:row>
    <x:row r="4255">
      <x:c r="A4255" s="31">
        <x:v>43223</x:v>
      </x:c>
      <x:c r="B4255" s="32">
        <x:v>1018.47</x:v>
      </x:c>
      <x:c r="C4255" s="32">
        <x:v>1029.08</x:v>
      </x:c>
      <x:c r="D4255" s="32">
        <x:v>1003.79</x:v>
      </x:c>
      <x:c r="E4255" s="32">
        <x:v>1026.46</x:v>
      </x:c>
      <x:c r="F4255" s="33">
        <x:v>170959320</x:v>
      </x:c>
      <x:c r="G4255" s="32" t="n">
        <x:f t="shared" si="189">AVERAGE(E4056:E4255)</x:f>
        <x:v>942.7523999999999</x:v>
      </x:c>
      <x:c r="H4255" s="37" t="n">
        <x:f t="shared" si="190">IFERROR(E4255/G4255-1,"")</x:f>
        <x:v>0.08879065171300571</x:v>
      </x:c>
      <x:c r="I4255" s="38" t="b">
        <x:f t="shared" si="191">E4255&lt;G4255</x:f>
        <x:v>0</x:v>
      </x:c>
    </x:row>
    <x:row r="4256">
      <x:c r="A4256" s="31">
        <x:v>43224</x:v>
      </x:c>
      <x:c r="B4256" s="32">
        <x:v>1032.1199999999999</x:v>
      </x:c>
      <x:c r="C4256" s="32">
        <x:v>1037.02</x:v>
      </x:c>
      <x:c r="D4256" s="32">
        <x:v>1022.1</x:v>
      </x:c>
      <x:c r="E4256" s="32">
        <x:v>1026.8</x:v>
      </x:c>
      <x:c r="F4256" s="33">
        <x:v>125862200</x:v>
      </x:c>
      <x:c r="G4256" s="32" t="n">
        <x:f t="shared" si="189">AVERAGE(E4057:E4256)</x:f>
        <x:v>944.0155499999997</x:v>
      </x:c>
      <x:c r="H4256" s="37" t="n">
        <x:f t="shared" si="190">IFERROR(E4256/G4256-1,"")</x:f>
        <x:v>0.0876939474143199</x:v>
      </x:c>
      <x:c r="I4256" s="38" t="b">
        <x:f t="shared" si="191">E4256&lt;G4256</x:f>
        <x:v>0</x:v>
      </x:c>
    </x:row>
    <x:row r="4257">
      <x:c r="A4257" s="31">
        <x:v>43227</x:v>
      </x:c>
      <x:c r="B4257" s="32">
        <x:v>1034.6400000000001</x:v>
      </x:c>
      <x:c r="C4257" s="32">
        <x:v>1062.26</x:v>
      </x:c>
      <x:c r="D4257" s="32">
        <x:v>1026.8</x:v>
      </x:c>
      <x:c r="E4257" s="32">
        <x:v>1062.26</x:v>
      </x:c>
      <x:c r="F4257" s="33">
        <x:v>122128310</x:v>
      </x:c>
      <x:c r="G4257" s="32" t="n">
        <x:f t="shared" si="189">AVERAGE(E4058:E4257)</x:f>
        <x:v>945.4353499999997</x:v>
      </x:c>
      <x:c r="H4257" s="37" t="n">
        <x:f t="shared" si="190">IFERROR(E4257/G4257-1,"")</x:f>
        <x:v>0.12356704242125094</x:v>
      </x:c>
      <x:c r="I4257" s="38" t="b">
        <x:f t="shared" si="191">E4257&lt;G4257</x:f>
        <x:v>0</x:v>
      </x:c>
    </x:row>
    <x:row r="4258">
      <x:c r="A4258" s="31">
        <x:v>43228</x:v>
      </x:c>
      <x:c r="B4258" s="32">
        <x:v>1061.1199999999999</x:v>
      </x:c>
      <x:c r="C4258" s="32">
        <x:v>1072.28</x:v>
      </x:c>
      <x:c r="D4258" s="32">
        <x:v>1057.24</x:v>
      </x:c>
      <x:c r="E4258" s="32">
        <x:v>1060.45</x:v>
      </x:c>
      <x:c r="F4258" s="33">
        <x:v>131146470</x:v>
      </x:c>
      <x:c r="G4258" s="32" t="n">
        <x:f t="shared" si="189">AVERAGE(E4059:E4258)</x:f>
        <x:v>946.8495999999999</x:v>
      </x:c>
      <x:c r="H4258" s="37" t="n">
        <x:f t="shared" si="190">IFERROR(E4258/G4258-1,"")</x:f>
        <x:v>0.11997723820129425</x:v>
      </x:c>
      <x:c r="I4258" s="38" t="b">
        <x:f t="shared" si="191">E4258&lt;G4258</x:f>
        <x:v>0</x:v>
      </x:c>
    </x:row>
    <x:row r="4259">
      <x:c r="A4259" s="31">
        <x:v>43229</x:v>
      </x:c>
      <x:c r="B4259" s="32">
        <x:v>1058.33</x:v>
      </x:c>
      <x:c r="C4259" s="32">
        <x:v>1069.8</x:v>
      </x:c>
      <x:c r="D4259" s="32">
        <x:v>1051.79</x:v>
      </x:c>
      <x:c r="E4259" s="32">
        <x:v>1056.97</x:v>
      </x:c>
      <x:c r="F4259" s="33">
        <x:v>125896530</x:v>
      </x:c>
      <x:c r="G4259" s="32" t="n">
        <x:f t="shared" si="189">AVERAGE(E4060:E4259)</x:f>
        <x:v>948.2898999999999</x:v>
      </x:c>
      <x:c r="H4259" s="37" t="n">
        <x:f t="shared" si="190">IFERROR(E4259/G4259-1,"")</x:f>
        <x:v>0.11460640886294393</x:v>
      </x:c>
      <x:c r="I4259" s="38" t="b">
        <x:f t="shared" si="191">E4259&lt;G4259</x:f>
        <x:v>0</x:v>
      </x:c>
    </x:row>
    <x:row r="4260">
      <x:c r="A4260" s="31">
        <x:v>43230</x:v>
      </x:c>
      <x:c r="B4260" s="32">
        <x:v>1058.22</x:v>
      </x:c>
      <x:c r="C4260" s="32">
        <x:v>1059.3399999999999</x:v>
      </x:c>
      <x:c r="D4260" s="32">
        <x:v>1025.75</x:v>
      </x:c>
      <x:c r="E4260" s="32">
        <x:v>1028.8699999999999</x:v>
      </x:c>
      <x:c r="F4260" s="33">
        <x:v>143626080</x:v>
      </x:c>
      <x:c r="G4260" s="32" t="n">
        <x:f t="shared" si="189">AVERAGE(E4061:E4260)</x:f>
        <x:v>949.5967999999998</x:v>
      </x:c>
      <x:c r="H4260" s="37" t="n">
        <x:f t="shared" si="190">IFERROR(E4260/G4260-1,"")</x:f>
        <x:v>0.08348090473767411</x:v>
      </x:c>
      <x:c r="I4260" s="38" t="b">
        <x:f t="shared" si="191">E4260&lt;G4260</x:f>
        <x:v>0</x:v>
      </x:c>
    </x:row>
    <x:row r="4261">
      <x:c r="A4261" s="31">
        <x:v>43231</x:v>
      </x:c>
      <x:c r="B4261" s="32">
        <x:v>1026.3399999999999</x:v>
      </x:c>
      <x:c r="C4261" s="32">
        <x:v>1044.8499999999999</x:v>
      </x:c>
      <x:c r="D4261" s="32">
        <x:v>1014.3</x:v>
      </x:c>
      <x:c r="E4261" s="32">
        <x:v>1044.8499999999999</x:v>
      </x:c>
      <x:c r="F4261" s="33">
        <x:v>122737900</x:v>
      </x:c>
      <x:c r="G4261" s="32" t="n">
        <x:f t="shared" si="189">AVERAGE(E4062:E4261)</x:f>
        <x:v>950.9645499999997</x:v>
      </x:c>
      <x:c r="H4261" s="37" t="n">
        <x:f t="shared" si="190">IFERROR(E4261/G4261-1,"")</x:f>
        <x:v>0.09872655084776838</x:v>
      </x:c>
      <x:c r="I4261" s="38" t="b">
        <x:f t="shared" si="191">E4261&lt;G4261</x:f>
        <x:v>0</x:v>
      </x:c>
    </x:row>
    <x:row r="4262">
      <x:c r="A4262" s="31">
        <x:v>43234</x:v>
      </x:c>
      <x:c r="B4262" s="32">
        <x:v>1051.69</x:v>
      </x:c>
      <x:c r="C4262" s="32">
        <x:v>1066.98</x:v>
      </x:c>
      <x:c r="D4262" s="32">
        <x:v>1042.31</x:v>
      </x:c>
      <x:c r="E4262" s="32">
        <x:v>1066.98</x:v>
      </x:c>
      <x:c r="F4262" s="33">
        <x:v>112785900</x:v>
      </x:c>
      <x:c r="G4262" s="32" t="n">
        <x:f t="shared" si="189">AVERAGE(E4063:E4262)</x:f>
        <x:v>952.4573999999999</x:v>
      </x:c>
      <x:c r="H4262" s="37" t="n">
        <x:f t="shared" si="190">IFERROR(E4262/G4262-1,"")</x:f>
        <x:v>0.12023907840917625</x:v>
      </x:c>
      <x:c r="I4262" s="38" t="b">
        <x:f t="shared" si="191">E4262&lt;G4262</x:f>
        <x:v>0</x:v>
      </x:c>
    </x:row>
    <x:row r="4263">
      <x:c r="A4263" s="31">
        <x:v>43235</x:v>
      </x:c>
      <x:c r="B4263" s="32">
        <x:v>1072.25</x:v>
      </x:c>
      <x:c r="C4263" s="32">
        <x:v>1084.2</x:v>
      </x:c>
      <x:c r="D4263" s="32">
        <x:v>1066.98</x:v>
      </x:c>
      <x:c r="E4263" s="32">
        <x:v>1073.5</x:v>
      </x:c>
      <x:c r="F4263" s="33">
        <x:v>125232780</x:v>
      </x:c>
      <x:c r="G4263" s="32" t="n">
        <x:f t="shared" si="189">AVERAGE(E4064:E4263)</x:f>
        <x:v>954.0155999999998</x:v>
      </x:c>
      <x:c r="H4263" s="37" t="n">
        <x:f t="shared" si="190">IFERROR(E4263/G4263-1,"")</x:f>
        <x:v>0.12524365429663864</x:v>
      </x:c>
      <x:c r="I4263" s="38" t="b">
        <x:f t="shared" si="191">E4263&lt;G4263</x:f>
        <x:v>0</x:v>
      </x:c>
    </x:row>
    <x:row r="4264">
      <x:c r="A4264" s="31">
        <x:v>43236</x:v>
      </x:c>
      <x:c r="B4264" s="32">
        <x:v>1070.3399999999999</x:v>
      </x:c>
      <x:c r="C4264" s="32">
        <x:v>1073.5</x:v>
      </x:c>
      <x:c r="D4264" s="32">
        <x:v>1052.18</x:v>
      </x:c>
      <x:c r="E4264" s="32">
        <x:v>1054.6199999999999</x:v>
      </x:c>
      <x:c r="F4264" s="33">
        <x:v>121268150</x:v>
      </x:c>
      <x:c r="G4264" s="32" t="n">
        <x:f t="shared" si="189">AVERAGE(E4065:E4264)</x:f>
        <x:v>955.4899999999999</x:v>
      </x:c>
      <x:c r="H4264" s="37" t="n">
        <x:f t="shared" si="190">IFERROR(E4264/G4264-1,"")</x:f>
        <x:v>0.1037478152570932</x:v>
      </x:c>
      <x:c r="I4264" s="38" t="b">
        <x:f t="shared" si="191">E4264&lt;G4264</x:f>
        <x:v>0</x:v>
      </x:c>
    </x:row>
    <x:row r="4265">
      <x:c r="A4265" s="31">
        <x:v>43237</x:v>
      </x:c>
      <x:c r="B4265" s="32">
        <x:v>1055.21</x:v>
      </x:c>
      <x:c r="C4265" s="32">
        <x:v>1057.8399999999999</x:v>
      </x:c>
      <x:c r="D4265" s="32">
        <x:v>1030.6400000000001</x:v>
      </x:c>
      <x:c r="E4265" s="32">
        <x:v>1030.6400000000001</x:v>
      </x:c>
      <x:c r="F4265" s="33">
        <x:v>107387050</x:v>
      </x:c>
      <x:c r="G4265" s="32" t="n">
        <x:f t="shared" si="189">AVERAGE(E4066:E4265)</x:f>
        <x:v>956.8068499999999</x:v>
      </x:c>
      <x:c r="H4265" s="37" t="n">
        <x:f t="shared" si="190">IFERROR(E4265/G4265-1,"")</x:f>
        <x:v>0.07716620130802809</x:v>
      </x:c>
      <x:c r="I4265" s="38" t="b">
        <x:f t="shared" si="191">E4265&lt;G4265</x:f>
        <x:v>0</x:v>
      </x:c>
    </x:row>
    <x:row r="4266">
      <x:c r="A4266" s="31">
        <x:v>43238</x:v>
      </x:c>
      <x:c r="B4266" s="32">
        <x:v>1033.33</x:v>
      </x:c>
      <x:c r="C4266" s="32">
        <x:v>1040.8399999999999</x:v>
      </x:c>
      <x:c r="D4266" s="32">
        <x:v>1013.57</x:v>
      </x:c>
      <x:c r="E4266" s="32">
        <x:v>1040.54</x:v>
      </x:c>
      <x:c r="F4266" s="33">
        <x:v>118092350</x:v>
      </x:c>
      <x:c r="G4266" s="32" t="n">
        <x:f t="shared" si="189">AVERAGE(E4067:E4266)</x:f>
        <x:v>958.14015</x:v>
      </x:c>
      <x:c r="H4266" s="37" t="n">
        <x:f t="shared" si="190">IFERROR(E4266/G4266-1,"")</x:f>
        <x:v>0.08599978823557297</x:v>
      </x:c>
      <x:c r="I4266" s="38" t="b">
        <x:f t="shared" si="191">E4266&lt;G4266</x:f>
        <x:v>0</x:v>
      </x:c>
    </x:row>
    <x:row r="4267">
      <x:c r="A4267" s="31">
        <x:v>43241</x:v>
      </x:c>
      <x:c r="B4267" s="32">
        <x:v>1043.82</x:v>
      </x:c>
      <x:c r="C4267" s="32">
        <x:v>1043.82</x:v>
      </x:c>
      <x:c r="D4267" s="32">
        <x:v>1014.98</x:v>
      </x:c>
      <x:c r="E4267" s="32">
        <x:v>1014.98</x:v>
      </x:c>
      <x:c r="F4267" s="33">
        <x:v>104031010</x:v>
      </x:c>
      <x:c r="G4267" s="32" t="n">
        <x:f t="shared" si="189">AVERAGE(E4068:E4267)</x:f>
        <x:v>959.35755</x:v>
      </x:c>
      <x:c r="H4267" s="37" t="n">
        <x:f t="shared" si="190">IFERROR(E4267/G4267-1,"")</x:f>
        <x:v>0.057978852618609356</x:v>
      </x:c>
      <x:c r="I4267" s="38" t="b">
        <x:f t="shared" si="191">E4267&lt;G4267</x:f>
        <x:v>0</x:v>
      </x:c>
    </x:row>
    <x:row r="4268">
      <x:c r="A4268" s="31">
        <x:v>43242</x:v>
      </x:c>
      <x:c r="B4268" s="32">
        <x:v>1006.18</x:v>
      </x:c>
      <x:c r="C4268" s="32">
        <x:v>1015.97</x:v>
      </x:c>
      <x:c r="D4268" s="32">
        <x:v>976.73</x:v>
      </x:c>
      <x:c r="E4268" s="32">
        <x:v>985.91</x:v>
      </x:c>
      <x:c r="F4268" s="33">
        <x:v>158542820</x:v>
      </x:c>
      <x:c r="G4268" s="32" t="n">
        <x:f t="shared" si="189">AVERAGE(E4069:E4268)</x:f>
        <x:v>960.4016499999999</x:v>
      </x:c>
      <x:c r="H4268" s="37" t="n">
        <x:f t="shared" si="190">IFERROR(E4268/G4268-1,"")</x:f>
        <x:v>0.026560085564201197</x:v>
      </x:c>
      <x:c r="I4268" s="38" t="b">
        <x:f t="shared" si="191">E4268&lt;G4268</x:f>
        <x:v>0</x:v>
      </x:c>
    </x:row>
    <x:row r="4269">
      <x:c r="A4269" s="31">
        <x:v>43243</x:v>
      </x:c>
      <x:c r="B4269" s="32">
        <x:v>974.8</x:v>
      </x:c>
      <x:c r="C4269" s="32">
        <x:v>995.25</x:v>
      </x:c>
      <x:c r="D4269" s="32">
        <x:v>965.92</x:v>
      </x:c>
      <x:c r="E4269" s="32">
        <x:v>988.94</x:v>
      </x:c>
      <x:c r="F4269" s="33">
        <x:v>126755700</x:v>
      </x:c>
      <x:c r="G4269" s="32" t="n">
        <x:f t="shared" si="189">AVERAGE(E4070:E4269)</x:f>
        <x:v>961.4286</x:v>
      </x:c>
      <x:c r="H4269" s="37" t="n">
        <x:f t="shared" si="190">IFERROR(E4269/G4269-1,"")</x:f>
        <x:v>0.028615125449773515</x:v>
      </x:c>
      <x:c r="I4269" s="38" t="b">
        <x:f t="shared" si="191">E4269&lt;G4269</x:f>
        <x:v>0</x:v>
      </x:c>
    </x:row>
    <x:row r="4270">
      <x:c r="A4270" s="31">
        <x:v>43244</x:v>
      </x:c>
      <x:c r="B4270" s="32">
        <x:v>992.24</x:v>
      </x:c>
      <x:c r="C4270" s="32">
        <x:v>995.82</x:v>
      </x:c>
      <x:c r="D4270" s="32">
        <x:v>974.14</x:v>
      </x:c>
      <x:c r="E4270" s="32">
        <x:v>985.92</x:v>
      </x:c>
      <x:c r="F4270" s="33">
        <x:v>104772830</x:v>
      </x:c>
      <x:c r="G4270" s="32" t="n">
        <x:f t="shared" si="189">AVERAGE(E4071:E4270)</x:f>
        <x:v>962.42415</x:v>
      </x:c>
      <x:c r="H4270" s="37" t="n">
        <x:f t="shared" si="190">IFERROR(E4270/G4270-1,"")</x:f>
        <x:v>0.024413196613987553</x:v>
      </x:c>
      <x:c r="I4270" s="38" t="b">
        <x:f t="shared" si="191">E4270&lt;G4270</x:f>
        <x:v>0</x:v>
      </x:c>
    </x:row>
    <x:row r="4271">
      <x:c r="A4271" s="31">
        <x:v>43245</x:v>
      </x:c>
      <x:c r="B4271" s="32">
        <x:v>981.47</x:v>
      </x:c>
      <x:c r="C4271" s="32">
        <x:v>987.56</x:v>
      </x:c>
      <x:c r="D4271" s="32">
        <x:v>963.9</x:v>
      </x:c>
      <x:c r="E4271" s="32">
        <x:v>963.9</x:v>
      </x:c>
      <x:c r="F4271" s="33">
        <x:v>122933860</x:v>
      </x:c>
      <x:c r="G4271" s="32" t="n">
        <x:f t="shared" si="189">AVERAGE(E4072:E4271)</x:f>
        <x:v>963.3125</x:v>
      </x:c>
      <x:c r="H4271" s="37" t="n">
        <x:f t="shared" si="190">IFERROR(E4271/G4271-1,"")</x:f>
        <x:v>0.0006098747810290295</x:v>
      </x:c>
      <x:c r="I4271" s="38" t="b">
        <x:f t="shared" si="191">E4271&lt;G4271</x:f>
        <x:v>0</x:v>
      </x:c>
    </x:row>
    <x:row r="4272">
      <x:c r="A4272" s="31">
        <x:v>43248</x:v>
      </x:c>
      <x:c r="B4272" s="32">
        <x:v>938.86</x:v>
      </x:c>
      <x:c r="C4272" s="32">
        <x:v>963.9</x:v>
      </x:c>
      <x:c r="D4272" s="32">
        <x:v>927.47</x:v>
      </x:c>
      <x:c r="E4272" s="32">
        <x:v>931.75</x:v>
      </x:c>
      <x:c r="F4272" s="33">
        <x:v>191197120</x:v>
      </x:c>
      <x:c r="G4272" s="32" t="n">
        <x:f t="shared" si="189">AVERAGE(E4073:E4272)</x:f>
        <x:v>964.0287999999999</x:v>
      </x:c>
      <x:c r="H4272" s="37" t="n">
        <x:f t="shared" si="190">IFERROR(E4272/G4272-1,"")</x:f>
        <x:v>-0.03348323203622128</x:v>
      </x:c>
      <x:c r="I4272" s="38" t="b">
        <x:f t="shared" si="191">E4272&lt;G4272</x:f>
        <x:v>1</x:v>
      </x:c>
    </x:row>
    <x:row r="4273">
      <x:c r="A4273" s="31">
        <x:v>43249</x:v>
      </x:c>
      <x:c r="B4273" s="32">
        <x:v>925.89</x:v>
      </x:c>
      <x:c r="C4273" s="32">
        <x:v>958.96</x:v>
      </x:c>
      <x:c r="D4273" s="32">
        <x:v>916</x:v>
      </x:c>
      <x:c r="E4273" s="32">
        <x:v>952.18</x:v>
      </x:c>
      <x:c r="F4273" s="33">
        <x:v>155301290</x:v>
      </x:c>
      <x:c r="G4273" s="32" t="n">
        <x:f t="shared" si="189">AVERAGE(E4074:E4273)</x:f>
        <x:v>964.8462999999997</x:v>
      </x:c>
      <x:c r="H4273" s="37" t="n">
        <x:f t="shared" si="190">IFERROR(E4273/G4273-1,"")</x:f>
        <x:v>-0.01312779040558043</x:v>
      </x:c>
      <x:c r="I4273" s="38" t="b">
        <x:f t="shared" si="191">E4273&lt;G4273</x:f>
        <x:v>1</x:v>
      </x:c>
    </x:row>
    <x:row r="4274">
      <x:c r="A4274" s="31">
        <x:v>43250</x:v>
      </x:c>
      <x:c r="B4274" s="32">
        <x:v>953.41</x:v>
      </x:c>
      <x:c r="C4274" s="32">
        <x:v>953.41</x:v>
      </x:c>
      <x:c r="D4274" s="32">
        <x:v>932.26</x:v>
      </x:c>
      <x:c r="E4274" s="32">
        <x:v>948.5</x:v>
      </x:c>
      <x:c r="F4274" s="33">
        <x:v>117512290</x:v>
      </x:c>
      <x:c r="G4274" s="32" t="n">
        <x:f t="shared" si="189">AVERAGE(E4075:E4274)</x:f>
        <x:v>965.6238999999998</x:v>
      </x:c>
      <x:c r="H4274" s="37" t="n">
        <x:f t="shared" si="190">IFERROR(E4274/G4274-1,"")</x:f>
        <x:v>-0.017733508874417714</x:v>
      </x:c>
      <x:c r="I4274" s="38" t="b">
        <x:f t="shared" si="191">E4274&lt;G4274</x:f>
        <x:v>1</x:v>
      </x:c>
    </x:row>
    <x:row r="4275">
      <x:c r="A4275" s="31">
        <x:v>43251</x:v>
      </x:c>
      <x:c r="B4275" s="32">
        <x:v>947.96</x:v>
      </x:c>
      <x:c r="C4275" s="32">
        <x:v>975.51</x:v>
      </x:c>
      <x:c r="D4275" s="32">
        <x:v>945.29</x:v>
      </x:c>
      <x:c r="E4275" s="32">
        <x:v>971.25</x:v>
      </x:c>
      <x:c r="F4275" s="33">
        <x:v>140721200</x:v>
      </x:c>
      <x:c r="G4275" s="32" t="n">
        <x:f t="shared" si="189">AVERAGE(E4076:E4275)</x:f>
        <x:v>966.5222999999996</x:v>
      </x:c>
      <x:c r="H4275" s="37" t="n">
        <x:f t="shared" si="190">IFERROR(E4275/G4275-1,"")</x:f>
        <x:v>0.004891454651382965</x:v>
      </x:c>
      <x:c r="I4275" s="38" t="b">
        <x:f t="shared" si="191">E4275&lt;G4275</x:f>
        <x:v>0</x:v>
      </x:c>
    </x:row>
    <x:row r="4276">
      <x:c r="A4276" s="31">
        <x:v>43252</x:v>
      </x:c>
      <x:c r="B4276" s="32">
        <x:v>973.67</x:v>
      </x:c>
      <x:c r="C4276" s="32">
        <x:v>995.06</x:v>
      </x:c>
      <x:c r="D4276" s="32">
        <x:v>971.25</x:v>
      </x:c>
      <x:c r="E4276" s="32">
        <x:v>992.87</x:v>
      </x:c>
      <x:c r="F4276" s="33">
        <x:v>160913600</x:v>
      </x:c>
      <x:c r="G4276" s="32" t="n">
        <x:f t="shared" si="189">AVERAGE(E4077:E4276)</x:f>
        <x:v>967.6183499999996</x:v>
      </x:c>
      <x:c r="H4276" s="37" t="n">
        <x:f t="shared" si="190">IFERROR(E4276/G4276-1,"")</x:f>
        <x:v>0.02609670434629563</x:v>
      </x:c>
      <x:c r="I4276" s="38" t="b">
        <x:f t="shared" si="191">E4276&lt;G4276</x:f>
        <x:v>0</x:v>
      </x:c>
    </x:row>
    <x:row r="4277">
      <x:c r="A4277" s="31">
        <x:v>43255</x:v>
      </x:c>
      <x:c r="B4277" s="32">
        <x:v>994.48</x:v>
      </x:c>
      <x:c r="C4277" s="32">
        <x:v>1013.78</x:v>
      </x:c>
      <x:c r="D4277" s="32">
        <x:v>992.01</x:v>
      </x:c>
      <x:c r="E4277" s="32">
        <x:v>1013.78</x:v>
      </x:c>
      <x:c r="F4277" s="33">
        <x:v>146895440</x:v>
      </x:c>
      <x:c r="G4277" s="32" t="n">
        <x:f t="shared" si="189">AVERAGE(E4078:E4277)</x:f>
        <x:v>968.8200999999997</x:v>
      </x:c>
      <x:c r="H4277" s="37" t="n">
        <x:f t="shared" si="190">IFERROR(E4277/G4277-1,"")</x:f>
        <x:v>0.04640686129447591</x:v>
      </x:c>
      <x:c r="I4277" s="38" t="b">
        <x:f t="shared" si="191">E4277&lt;G4277</x:f>
        <x:v>0</x:v>
      </x:c>
    </x:row>
    <x:row r="4278">
      <x:c r="A4278" s="31">
        <x:v>43256</x:v>
      </x:c>
      <x:c r="B4278" s="32">
        <x:v>1013.59</x:v>
      </x:c>
      <x:c r="C4278" s="32">
        <x:v>1025.26</x:v>
      </x:c>
      <x:c r="D4278" s="32">
        <x:v>1011.59</x:v>
      </x:c>
      <x:c r="E4278" s="32">
        <x:v>1022.74</x:v>
      </x:c>
      <x:c r="F4278" s="33">
        <x:v>173096680</x:v>
      </x:c>
      <x:c r="G4278" s="32" t="n">
        <x:f t="shared" si="189">AVERAGE(E4079:E4278)</x:f>
        <x:v>970.0733999999997</x:v>
      </x:c>
      <x:c r="H4278" s="37" t="n">
        <x:f t="shared" si="190">IFERROR(E4278/G4278-1,"")</x:f>
        <x:v>0.054291355685044396</x:v>
      </x:c>
      <x:c r="I4278" s="38" t="b">
        <x:f t="shared" si="191">E4278&lt;G4278</x:f>
        <x:v>0</x:v>
      </x:c>
    </x:row>
    <x:row r="4279">
      <x:c r="A4279" s="31">
        <x:v>43257</x:v>
      </x:c>
      <x:c r="B4279" s="32">
        <x:v>1020.97</x:v>
      </x:c>
      <x:c r="C4279" s="32">
        <x:v>1034.5</x:v>
      </x:c>
      <x:c r="D4279" s="32">
        <x:v>1012.98</x:v>
      </x:c>
      <x:c r="E4279" s="32">
        <x:v>1034.5</x:v>
      </x:c>
      <x:c r="F4279" s="33">
        <x:v>147456500</x:v>
      </x:c>
      <x:c r="G4279" s="32" t="n">
        <x:f t="shared" si="189">AVERAGE(E4080:E4279)</x:f>
        <x:v>971.3650499999997</x:v>
      </x:c>
      <x:c r="H4279" s="37" t="n">
        <x:f t="shared" si="190">IFERROR(E4279/G4279-1,"")</x:f>
        <x:v>0.06499611037065867</x:v>
      </x:c>
      <x:c r="I4279" s="38" t="b">
        <x:f t="shared" si="191">E4279&lt;G4279</x:f>
        <x:v>0</x:v>
      </x:c>
    </x:row>
    <x:row r="4280">
      <x:c r="A4280" s="31">
        <x:v>43258</x:v>
      </x:c>
      <x:c r="B4280" s="32">
        <x:v>1038.93</x:v>
      </x:c>
      <x:c r="C4280" s="32">
        <x:v>1043.71</x:v>
      </x:c>
      <x:c r="D4280" s="32">
        <x:v>1030.79</x:v>
      </x:c>
      <x:c r="E4280" s="32">
        <x:v>1036.69</x:v>
      </x:c>
      <x:c r="F4280" s="33">
        <x:v>151829230</x:v>
      </x:c>
      <x:c r="G4280" s="32" t="n">
        <x:f t="shared" si="189">AVERAGE(E4081:E4280)</x:f>
        <x:v>972.6931999999996</x:v>
      </x:c>
      <x:c r="H4280" s="37" t="n">
        <x:f t="shared" si="190">IFERROR(E4280/G4280-1,"")</x:f>
        <x:v>0.06579340741767337</x:v>
      </x:c>
      <x:c r="I4280" s="38" t="b">
        <x:f t="shared" si="191">E4280&lt;G4280</x:f>
        <x:v>0</x:v>
      </x:c>
    </x:row>
    <x:row r="4281">
      <x:c r="A4281" s="31">
        <x:v>43259</x:v>
      </x:c>
      <x:c r="B4281" s="32">
        <x:v>1032.5899999999999</x:v>
      </x:c>
      <x:c r="C4281" s="32">
        <x:v>1039.07</x:v>
      </x:c>
      <x:c r="D4281" s="32">
        <x:v>1026.94</x:v>
      </x:c>
      <x:c r="E4281" s="32">
        <x:v>1039.01</x:v>
      </x:c>
      <x:c r="F4281" s="33">
        <x:v>124180340</x:v>
      </x:c>
      <x:c r="G4281" s="32" t="n">
        <x:f t="shared" si="189">AVERAGE(E4082:E4281)</x:f>
        <x:v>974.0203999999997</x:v>
      </x:c>
      <x:c r="H4281" s="37" t="n">
        <x:f t="shared" si="190">IFERROR(E4281/G4281-1,"")</x:f>
        <x:v>0.06672303783370492</x:v>
      </x:c>
      <x:c r="I4281" s="38" t="b">
        <x:f t="shared" si="191">E4281&lt;G4281</x:f>
        <x:v>0</x:v>
      </x:c>
    </x:row>
    <x:row r="4282">
      <x:c r="A4282" s="31">
        <x:v>43262</x:v>
      </x:c>
      <x:c r="B4282" s="32">
        <x:v>1033.55</x:v>
      </x:c>
      <x:c r="C4282" s="32">
        <x:v>1045.5999999999999</x:v>
      </x:c>
      <x:c r="D4282" s="32">
        <x:v>1029.19</x:v>
      </x:c>
      <x:c r="E4282" s="32">
        <x:v>1039.02</x:v>
      </x:c>
      <x:c r="F4282" s="33">
        <x:v>133836660</x:v>
      </x:c>
      <x:c r="G4282" s="32" t="n">
        <x:f t="shared" si="189">AVERAGE(E4083:E4282)</x:f>
        <x:v>975.3775499999995</x:v>
      </x:c>
      <x:c r="H4282" s="37" t="n">
        <x:f t="shared" si="190">IFERROR(E4282/G4282-1,"")</x:f>
        <x:v>0.06524904125587128</x:v>
      </x:c>
      <x:c r="I4282" s="38" t="b">
        <x:f t="shared" si="191">E4282&lt;G4282</x:f>
        <x:v>0</x:v>
      </x:c>
    </x:row>
    <x:row r="4283">
      <x:c r="A4283" s="31">
        <x:v>43263</x:v>
      </x:c>
      <x:c r="B4283" s="32">
        <x:v>1033.55</x:v>
      </x:c>
      <x:c r="C4283" s="32">
        <x:v>1039.02</x:v>
      </x:c>
      <x:c r="D4283" s="32">
        <x:v>1005.1</x:v>
      </x:c>
      <x:c r="E4283" s="32">
        <x:v>1020.76</x:v>
      </x:c>
      <x:c r="F4283" s="33">
        <x:v>169945710</x:v>
      </x:c>
      <x:c r="G4283" s="32" t="n">
        <x:f t="shared" si="189">AVERAGE(E4084:E4283)</x:f>
        <x:v>976.6364999999995</x:v>
      </x:c>
      <x:c r="H4283" s="37" t="n">
        <x:f t="shared" si="190">IFERROR(E4283/G4283-1,"")</x:f>
        <x:v>0.04517904051302657</x:v>
      </x:c>
      <x:c r="I4283" s="38" t="b">
        <x:f t="shared" si="191">E4283&lt;G4283</x:f>
        <x:v>0</x:v>
      </x:c>
    </x:row>
    <x:row r="4284">
      <x:c r="A4284" s="31">
        <x:v>43264</x:v>
      </x:c>
      <x:c r="B4284" s="32">
        <x:v>1017.93</x:v>
      </x:c>
      <x:c r="C4284" s="32">
        <x:v>1030.53</x:v>
      </x:c>
      <x:c r="D4284" s="32">
        <x:v>1017.93</x:v>
      </x:c>
      <x:c r="E4284" s="32">
        <x:v>1030.53</x:v>
      </x:c>
      <x:c r="F4284" s="33">
        <x:v>94519770</x:v>
      </x:c>
      <x:c r="G4284" s="32" t="n">
        <x:f t="shared" si="189">AVERAGE(E4085:E4284)</x:f>
        <x:v>977.9451999999997</x:v>
      </x:c>
      <x:c r="H4284" s="37" t="n">
        <x:f t="shared" si="190">IFERROR(E4284/G4284-1,"")</x:f>
        <x:v>0.053770702080239596</x:v>
      </x:c>
      <x:c r="I4284" s="38" t="b">
        <x:f t="shared" si="191">E4284&lt;G4284</x:f>
        <x:v>0</x:v>
      </x:c>
    </x:row>
    <x:row r="4285">
      <x:c r="A4285" s="31">
        <x:v>43265</x:v>
      </x:c>
      <x:c r="B4285" s="32">
        <x:v>1030.53</x:v>
      </x:c>
      <x:c r="C4285" s="32">
        <x:v>1033.46</x:v>
      </x:c>
      <x:c r="D4285" s="32">
        <x:v>1015.72</x:v>
      </x:c>
      <x:c r="E4285" s="32">
        <x:v>1015.72</x:v>
      </x:c>
      <x:c r="F4285" s="33">
        <x:v>135233070</x:v>
      </x:c>
      <x:c r="G4285" s="32" t="n">
        <x:f t="shared" si="189">AVERAGE(E4086:E4285)</x:f>
        <x:v>979.2174999999995</x:v>
      </x:c>
      <x:c r="H4285" s="37" t="n">
        <x:f t="shared" si="190">IFERROR(E4285/G4285-1,"")</x:f>
        <x:v>0.037277213693587496</x:v>
      </x:c>
      <x:c r="I4285" s="38" t="b">
        <x:f t="shared" si="191">E4285&lt;G4285</x:f>
        <x:v>0</x:v>
      </x:c>
    </x:row>
    <x:row r="4286">
      <x:c r="A4286" s="31">
        <x:v>43266</x:v>
      </x:c>
      <x:c r="B4286" s="32">
        <x:v>1012.71</x:v>
      </x:c>
      <x:c r="C4286" s="32">
        <x:v>1018.95</x:v>
      </x:c>
      <x:c r="D4286" s="32">
        <x:v>1006.75</x:v>
      </x:c>
      <x:c r="E4286" s="32">
        <x:v>1016.51</x:v>
      </x:c>
      <x:c r="F4286" s="33">
        <x:v>144865820</x:v>
      </x:c>
      <x:c r="G4286" s="32" t="n">
        <x:f t="shared" si="189">AVERAGE(E4087:E4286)</x:f>
        <x:v>980.4701499999995</x:v>
      </x:c>
      <x:c r="H4286" s="37" t="n">
        <x:f t="shared" si="190">IFERROR(E4286/G4286-1,"")</x:f>
        <x:v>0.03675772281287748</x:v>
      </x:c>
      <x:c r="I4286" s="38" t="b">
        <x:f t="shared" si="191">E4286&lt;G4286</x:f>
        <x:v>0</x:v>
      </x:c>
    </x:row>
    <x:row r="4287">
      <x:c r="A4287" s="31">
        <x:v>43269</x:v>
      </x:c>
      <x:c r="B4287" s="32">
        <x:v>1015.56</x:v>
      </x:c>
      <x:c r="C4287" s="32">
        <x:v>1018.98</x:v>
      </x:c>
      <x:c r="D4287" s="32">
        <x:v>986.88</x:v>
      </x:c>
      <x:c r="E4287" s="32">
        <x:v>987.34</x:v>
      </x:c>
      <x:c r="F4287" s="33">
        <x:v>145591940</x:v>
      </x:c>
      <x:c r="G4287" s="32" t="n">
        <x:f t="shared" si="189">AVERAGE(E4088:E4287)</x:f>
        <x:v>981.5579999999995</x:v>
      </x:c>
      <x:c r="H4287" s="37" t="n">
        <x:f t="shared" si="190">IFERROR(E4287/G4287-1,"")</x:f>
        <x:v>0.005890635092373975</x:v>
      </x:c>
      <x:c r="I4287" s="38" t="b">
        <x:f t="shared" si="191">E4287&lt;G4287</x:f>
        <x:v>0</x:v>
      </x:c>
    </x:row>
    <x:row r="4288">
      <x:c r="A4288" s="31">
        <x:v>43270</x:v>
      </x:c>
      <x:c r="B4288" s="32">
        <x:v>972.38</x:v>
      </x:c>
      <x:c r="C4288" s="32">
        <x:v>987.34</x:v>
      </x:c>
      <x:c r="D4288" s="32">
        <x:v>941.57</x:v>
      </x:c>
      <x:c r="E4288" s="32">
        <x:v>962.16</x:v>
      </x:c>
      <x:c r="F4288" s="33">
        <x:v>203659510</x:v>
      </x:c>
      <x:c r="G4288" s="32" t="n">
        <x:f t="shared" si="189">AVERAGE(E4089:E4288)</x:f>
        <x:v>982.5106499999997</x:v>
      </x:c>
      <x:c r="H4288" s="37" t="n">
        <x:f t="shared" si="190">IFERROR(E4288/G4288-1,"")</x:f>
        <x:v>-0.020712905249423708</x:v>
      </x:c>
      <x:c r="I4288" s="38" t="b">
        <x:f t="shared" si="191">E4288&lt;G4288</x:f>
        <x:v>1</x:v>
      </x:c>
    </x:row>
    <x:row r="4289">
      <x:c r="A4289" s="31">
        <x:v>43271</x:v>
      </x:c>
      <x:c r="B4289" s="32">
        <x:v>957.37</x:v>
      </x:c>
      <x:c r="C4289" s="32">
        <x:v>980.95</x:v>
      </x:c>
      <x:c r="D4289" s="32">
        <x:v>955.61</x:v>
      </x:c>
      <x:c r="E4289" s="32">
        <x:v>980.95</x:v>
      </x:c>
      <x:c r="F4289" s="33">
        <x:v>119730870</x:v>
      </x:c>
      <x:c r="G4289" s="32" t="n">
        <x:f t="shared" si="189">AVERAGE(E4090:E4289)</x:f>
        <x:v>983.5290999999997</x:v>
      </x:c>
      <x:c r="H4289" s="37" t="n">
        <x:f t="shared" si="190">IFERROR(E4289/G4289-1,"")</x:f>
        <x:v>-0.00262229150108495</x:v>
      </x:c>
      <x:c r="I4289" s="38" t="b">
        <x:f t="shared" si="191">E4289&lt;G4289</x:f>
        <x:v>1</x:v>
      </x:c>
    </x:row>
    <x:row r="4290">
      <x:c r="A4290" s="31">
        <x:v>43272</x:v>
      </x:c>
      <x:c r="B4290" s="32">
        <x:v>979.57</x:v>
      </x:c>
      <x:c r="C4290" s="32">
        <x:v>980.95</x:v>
      </x:c>
      <x:c r="D4290" s="32">
        <x:v>966.28</x:v>
      </x:c>
      <x:c r="E4290" s="32">
        <x:v>969.4</x:v>
      </x:c>
      <x:c r="F4290" s="33">
        <x:v>94237830</x:v>
      </x:c>
      <x:c r="G4290" s="32" t="n">
        <x:f t="shared" si="189">AVERAGE(E4091:E4290)</x:f>
        <x:v>984.5059499999998</x:v>
      </x:c>
      <x:c r="H4290" s="37" t="n">
        <x:f t="shared" si="190">IFERROR(E4290/G4290-1,"")</x:f>
        <x:v>-0.015343685835519594</x:v>
      </x:c>
      <x:c r="I4290" s="38" t="b">
        <x:f t="shared" si="191">E4290&lt;G4290</x:f>
        <x:v>1</x:v>
      </x:c>
    </x:row>
    <x:row r="4291">
      <x:c r="A4291" s="31">
        <x:v>43273</x:v>
      </x:c>
      <x:c r="B4291" s="32">
        <x:v>963.89</x:v>
      </x:c>
      <x:c r="C4291" s="32">
        <x:v>983.57</x:v>
      </x:c>
      <x:c r="D4291" s="32">
        <x:v>959.91</x:v>
      </x:c>
      <x:c r="E4291" s="32">
        <x:v>983.17</x:v>
      </x:c>
      <x:c r="F4291" s="33">
        <x:v>102746580</x:v>
      </x:c>
      <x:c r="G4291" s="32" t="n">
        <x:f t="shared" si="189">AVERAGE(E4092:E4291)</x:f>
        <x:v>985.5285499999998</x:v>
      </x:c>
      <x:c r="H4291" s="37" t="n">
        <x:f t="shared" si="190">IFERROR(E4291/G4291-1,"")</x:f>
        <x:v>-0.0023931828256013032</x:v>
      </x:c>
      <x:c r="I4291" s="38" t="b">
        <x:f t="shared" si="191">E4291&lt;G4291</x:f>
        <x:v>1</x:v>
      </x:c>
    </x:row>
    <x:row r="4292">
      <x:c r="A4292" s="31">
        <x:v>43276</x:v>
      </x:c>
      <x:c r="B4292" s="32">
        <x:v>997.34</x:v>
      </x:c>
      <x:c r="C4292" s="32">
        <x:v>997.34</x:v>
      </x:c>
      <x:c r="D4292" s="32">
        <x:v>983.17</x:v>
      </x:c>
      <x:c r="E4292" s="32">
        <x:v>990.52</x:v>
      </x:c>
      <x:c r="F4292" s="33">
        <x:v>118181310</x:v>
      </x:c>
      <x:c r="G4292" s="32" t="n">
        <x:f t="shared" si="189">AVERAGE(E4093:E4292)</x:f>
        <x:v>986.5673499999997</x:v>
      </x:c>
      <x:c r="H4292" s="37" t="n">
        <x:f t="shared" si="190">IFERROR(E4292/G4292-1,"")</x:f>
        <x:v>0.004006467475332842</x:v>
      </x:c>
      <x:c r="I4292" s="38" t="b">
        <x:f t="shared" si="191">E4292&lt;G4292</x:f>
        <x:v>0</x:v>
      </x:c>
    </x:row>
    <x:row r="4293">
      <x:c r="A4293" s="31">
        <x:v>43277</x:v>
      </x:c>
      <x:c r="B4293" s="32">
        <x:v>977.78</x:v>
      </x:c>
      <x:c r="C4293" s="32">
        <x:v>990.52</x:v>
      </x:c>
      <x:c r="D4293" s="32">
        <x:v>970.75</x:v>
      </x:c>
      <x:c r="E4293" s="32">
        <x:v>983.02</x:v>
      </x:c>
      <x:c r="F4293" s="33">
        <x:v>114881010</x:v>
      </x:c>
      <x:c r="G4293" s="32" t="n">
        <x:f t="shared" si="189">AVERAGE(E4094:E4293)</x:f>
        <x:v>987.5387999999998</x:v>
      </x:c>
      <x:c r="H4293" s="37" t="n">
        <x:f t="shared" si="190">IFERROR(E4293/G4293-1,"")</x:f>
        <x:v>-0.0045758202108108215</x:v>
      </x:c>
      <x:c r="I4293" s="38" t="b">
        <x:f t="shared" si="191">E4293&lt;G4293</x:f>
        <x:v>1</x:v>
      </x:c>
    </x:row>
    <x:row r="4294">
      <x:c r="A4294" s="31">
        <x:v>43278</x:v>
      </x:c>
      <x:c r="B4294" s="32">
        <x:v>981.44</x:v>
      </x:c>
      <x:c r="C4294" s="32">
        <x:v>984.46</x:v>
      </x:c>
      <x:c r="D4294" s="32">
        <x:v>968.91</x:v>
      </x:c>
      <x:c r="E4294" s="32">
        <x:v>968.91</x:v>
      </x:c>
      <x:c r="F4294" s="33">
        <x:v>126510710</x:v>
      </x:c>
      <x:c r="G4294" s="32" t="n">
        <x:f t="shared" si="189">AVERAGE(E4095:E4294)</x:f>
        <x:v>988.4217999999997</x:v>
      </x:c>
      <x:c r="H4294" s="37" t="n">
        <x:f t="shared" si="190">IFERROR(E4294/G4294-1,"")</x:f>
        <x:v>-0.019740357810804854</x:v>
      </x:c>
      <x:c r="I4294" s="38" t="b">
        <x:f t="shared" si="191">E4294&lt;G4294</x:f>
        <x:v>1</x:v>
      </x:c>
    </x:row>
    <x:row r="4295">
      <x:c r="A4295" s="31">
        <x:v>43279</x:v>
      </x:c>
      <x:c r="B4295" s="32">
        <x:v>964.76</x:v>
      </x:c>
      <x:c r="C4295" s="32">
        <x:v>976.12</x:v>
      </x:c>
      <x:c r="D4295" s="32">
        <x:v>954.46</x:v>
      </x:c>
      <x:c r="E4295" s="32">
        <x:v>957.35</x:v>
      </x:c>
      <x:c r="F4295" s="33">
        <x:v>130318210</x:v>
      </x:c>
      <x:c r="G4295" s="32" t="n">
        <x:f t="shared" si="189">AVERAGE(E4096:E4295)</x:f>
        <x:v>989.2407999999997</x:v>
      </x:c>
      <x:c r="H4295" s="37" t="n">
        <x:f t="shared" si="190">IFERROR(E4295/G4295-1,"")</x:f>
        <x:v>-0.032237651338278495</x:v>
      </x:c>
      <x:c r="I4295" s="38" t="b">
        <x:f t="shared" si="191">E4295&lt;G4295</x:f>
        <x:v>1</x:v>
      </x:c>
    </x:row>
    <x:row r="4296">
      <x:c r="A4296" s="31">
        <x:v>43280</x:v>
      </x:c>
      <x:c r="B4296" s="32">
        <x:v>955.64</x:v>
      </x:c>
      <x:c r="C4296" s="32">
        <x:v>962.93</x:v>
      </x:c>
      <x:c r="D4296" s="32">
        <x:v>950.48</x:v>
      </x:c>
      <x:c r="E4296" s="32">
        <x:v>960.78</x:v>
      </x:c>
      <x:c r="F4296" s="33">
        <x:v>110043130</x:v>
      </x:c>
      <x:c r="G4296" s="32" t="n">
        <x:f t="shared" si="189">AVERAGE(E4097:E4296)</x:f>
        <x:v>990.0610999999999</x:v>
      </x:c>
      <x:c r="H4296" s="37" t="n">
        <x:f t="shared" si="190">IFERROR(E4296/G4296-1,"")</x:f>
        <x:v>-0.029575043398836653</x:v>
      </x:c>
      <x:c r="I4296" s="38" t="b">
        <x:f t="shared" si="191">E4296&lt;G4296</x:f>
        <x:v>1</x:v>
      </x:c>
    </x:row>
    <x:row r="4297">
      <x:c r="A4297" s="31">
        <x:v>43283</x:v>
      </x:c>
      <x:c r="B4297" s="32">
        <x:v>955.18</x:v>
      </x:c>
      <x:c r="C4297" s="32">
        <x:v>960.78</x:v>
      </x:c>
      <x:c r="D4297" s="32">
        <x:v>932.66</x:v>
      </x:c>
      <x:c r="E4297" s="32">
        <x:v>947.15</x:v>
      </x:c>
      <x:c r="F4297" s="33">
        <x:v>142222740</x:v>
      </x:c>
      <x:c r="G4297" s="32" t="n">
        <x:f t="shared" si="189">AVERAGE(E4098:E4297)</x:f>
        <x:v>990.7908499999998</x:v>
      </x:c>
      <x:c r="H4297" s="37" t="n">
        <x:f t="shared" si="190">IFERROR(E4297/G4297-1,"")</x:f>
        <x:v>-0.04404648064725247</x:v>
      </x:c>
      <x:c r="I4297" s="38" t="b">
        <x:f t="shared" si="191">E4297&lt;G4297</x:f>
        <x:v>1</x:v>
      </x:c>
    </x:row>
    <x:row r="4298">
      <x:c r="A4298" s="31">
        <x:v>43284</x:v>
      </x:c>
      <x:c r="B4298" s="32">
        <x:v>945.87</x:v>
      </x:c>
      <x:c r="C4298" s="32">
        <x:v>947.15</x:v>
      </x:c>
      <x:c r="D4298" s="32">
        <x:v>906.01</x:v>
      </x:c>
      <x:c r="E4298" s="32">
        <x:v>906.01</x:v>
      </x:c>
      <x:c r="F4298" s="33">
        <x:v>161389340</x:v>
      </x:c>
      <x:c r="G4298" s="32" t="n">
        <x:f t="shared" si="189">AVERAGE(E4099:E4298)</x:f>
        <x:v>991.3335499999998</x:v>
      </x:c>
      <x:c r="H4298" s="37" t="n">
        <x:f t="shared" si="190">IFERROR(E4298/G4298-1,"")</x:f>
        <x:v>-0.08606946672994154</x:v>
      </x:c>
      <x:c r="I4298" s="38" t="b">
        <x:f t="shared" si="191">E4298&lt;G4298</x:f>
        <x:v>1</x:v>
      </x:c>
    </x:row>
    <x:row r="4299">
      <x:c r="A4299" s="31">
        <x:v>43285</x:v>
      </x:c>
      <x:c r="B4299" s="32">
        <x:v>904.34</x:v>
      </x:c>
      <x:c r="C4299" s="32">
        <x:v>914.99</x:v>
      </x:c>
      <x:c r="D4299" s="32">
        <x:v>890.83</x:v>
      </x:c>
      <x:c r="E4299" s="32">
        <x:v>914.99</x:v>
      </x:c>
      <x:c r="F4299" s="33">
        <x:v>115604640</x:v>
      </x:c>
      <x:c r="G4299" s="32" t="n">
        <x:f t="shared" si="189">AVERAGE(E4100:E4299)</x:f>
        <x:v>991.9087999999999</x:v>
      </x:c>
      <x:c r="H4299" s="37" t="n">
        <x:f t="shared" si="190">IFERROR(E4299/G4299-1,"")</x:f>
        <x:v>-0.07754624215452055</x:v>
      </x:c>
      <x:c r="I4299" s="38" t="b">
        <x:f t="shared" si="191">E4299&lt;G4299</x:f>
        <x:v>1</x:v>
      </x:c>
    </x:row>
    <x:row r="4300">
      <x:c r="A4300" s="31">
        <x:v>43286</x:v>
      </x:c>
      <x:c r="B4300" s="32">
        <x:v>914.48</x:v>
      </x:c>
      <x:c r="C4300" s="32">
        <x:v>921.85</x:v>
      </x:c>
      <x:c r="D4300" s="32">
        <x:v>892.67</x:v>
      </x:c>
      <x:c r="E4300" s="32">
        <x:v>899.4</x:v>
      </x:c>
      <x:c r="F4300" s="33">
        <x:v>127434590</x:v>
      </x:c>
      <x:c r="G4300" s="32" t="n">
        <x:f t="shared" si="189">AVERAGE(E4101:E4300)</x:f>
        <x:v>992.3918999999999</x:v>
      </x:c>
      <x:c r="H4300" s="37" t="n">
        <x:f t="shared" si="190">IFERROR(E4300/G4300-1,"")</x:f>
        <x:v>-0.09370481560762423</x:v>
      </x:c>
      <x:c r="I4300" s="38" t="b">
        <x:f t="shared" si="191">E4300&lt;G4300</x:f>
        <x:v>1</x:v>
      </x:c>
    </x:row>
    <x:row r="4301">
      <x:c r="A4301" s="31">
        <x:v>43287</x:v>
      </x:c>
      <x:c r="B4301" s="32">
        <x:v>891.16</x:v>
      </x:c>
      <x:c r="C4301" s="32">
        <x:v>921.75</x:v>
      </x:c>
      <x:c r="D4301" s="32">
        <x:v>884.99</x:v>
      </x:c>
      <x:c r="E4301" s="32">
        <x:v>917.51</x:v>
      </x:c>
      <x:c r="F4301" s="33">
        <x:v>141624520</x:v>
      </x:c>
      <x:c r="G4301" s="32" t="n">
        <x:f t="shared" ref="G4301:G4364" si="192">AVERAGE(E4102:E4301)</x:f>
        <x:v>992.9478499999999</x:v>
      </x:c>
      <x:c r="H4301" s="37" t="n">
        <x:f t="shared" ref="H4301:H4364" si="193">IFERROR(E4301/G4301-1,"")</x:f>
        <x:v>-0.07597362741658575</x:v>
      </x:c>
      <x:c r="I4301" s="38" t="b">
        <x:f t="shared" ref="I4301:I4364" si="194">E4301&lt;G4301</x:f>
        <x:v>1</x:v>
      </x:c>
    </x:row>
    <x:row r="4302">
      <x:c r="A4302" s="31">
        <x:v>43290</x:v>
      </x:c>
      <x:c r="B4302" s="32">
        <x:v>922.72</x:v>
      </x:c>
      <x:c r="C4302" s="32">
        <x:v>929.5</x:v>
      </x:c>
      <x:c r="D4302" s="32">
        <x:v>915.12</x:v>
      </x:c>
      <x:c r="E4302" s="32">
        <x:v>915.12</x:v>
      </x:c>
      <x:c r="F4302" s="33">
        <x:v>106167080</x:v>
      </x:c>
      <x:c r="G4302" s="32" t="n">
        <x:f t="shared" si="192">AVERAGE(E4103:E4302)</x:f>
        <x:v>993.4943499999998</x:v>
      </x:c>
      <x:c r="H4302" s="37" t="n">
        <x:f t="shared" si="193">IFERROR(E4302/G4302-1,"")</x:f>
        <x:v>-0.07888756488650372</x:v>
      </x:c>
      <x:c r="I4302" s="38" t="b">
        <x:f t="shared" si="194">E4302&lt;G4302</x:f>
        <x:v>1</x:v>
      </x:c>
    </x:row>
    <x:row r="4303">
      <x:c r="A4303" s="31">
        <x:v>43291</x:v>
      </x:c>
      <x:c r="B4303" s="32">
        <x:v>919.44</x:v>
      </x:c>
      <x:c r="C4303" s="32">
        <x:v>921.96</x:v>
      </x:c>
      <x:c r="D4303" s="32">
        <x:v>911.12</x:v>
      </x:c>
      <x:c r="E4303" s="32">
        <x:v>911.12</x:v>
      </x:c>
      <x:c r="F4303" s="33">
        <x:v>93102100</x:v>
      </x:c>
      <x:c r="G4303" s="32" t="n">
        <x:f t="shared" si="192">AVERAGE(E4104:E4303)</x:f>
        <x:v>994.0105999999997</x:v>
      </x:c>
      <x:c r="H4303" s="37" t="n">
        <x:f t="shared" si="193">IFERROR(E4303/G4303-1,"")</x:f>
        <x:v>-0.0833900564038248</x:v>
      </x:c>
      <x:c r="I4303" s="38" t="b">
        <x:f t="shared" si="194">E4303&lt;G4303</x:f>
        <x:v>1</x:v>
      </x:c>
    </x:row>
    <x:row r="4304">
      <x:c r="A4304" s="31">
        <x:v>43292</x:v>
      </x:c>
      <x:c r="B4304" s="32">
        <x:v>898.08</x:v>
      </x:c>
      <x:c r="C4304" s="32">
        <x:v>911.12</x:v>
      </x:c>
      <x:c r="D4304" s="32">
        <x:v>885.09</x:v>
      </x:c>
      <x:c r="E4304" s="32">
        <x:v>893.16</x:v>
      </x:c>
      <x:c r="F4304" s="33">
        <x:v>138119530</x:v>
      </x:c>
      <x:c r="G4304" s="32" t="n">
        <x:f t="shared" si="192">AVERAGE(E4105:E4304)</x:f>
        <x:v>994.4467499999997</x:v>
      </x:c>
      <x:c r="H4304" s="37" t="n">
        <x:f t="shared" si="193">IFERROR(E4304/G4304-1,"")</x:f>
        <x:v>-0.10185236162720601</x:v>
      </x:c>
      <x:c r="I4304" s="38" t="b">
        <x:f t="shared" si="194">E4304&lt;G4304</x:f>
        <x:v>1</x:v>
      </x:c>
    </x:row>
    <x:row r="4305">
      <x:c r="A4305" s="31">
        <x:v>43293</x:v>
      </x:c>
      <x:c r="B4305" s="32">
        <x:v>891.21</x:v>
      </x:c>
      <x:c r="C4305" s="32">
        <x:v>905.72</x:v>
      </x:c>
      <x:c r="D4305" s="32">
        <x:v>884.75</x:v>
      </x:c>
      <x:c r="E4305" s="32">
        <x:v>898.51</x:v>
      </x:c>
      <x:c r="F4305" s="33">
        <x:v>90464330</x:v>
      </x:c>
      <x:c r="G4305" s="32" t="n">
        <x:f t="shared" si="192">AVERAGE(E4106:E4305)</x:f>
        <x:v>994.9099999999997</x:v>
      </x:c>
      <x:c r="H4305" s="37" t="n">
        <x:f t="shared" si="193">IFERROR(E4305/G4305-1,"")</x:f>
        <x:v>-0.09689318631836019</x:v>
      </x:c>
      <x:c r="I4305" s="38" t="b">
        <x:f t="shared" si="194">E4305&lt;G4305</x:f>
        <x:v>1</x:v>
      </x:c>
    </x:row>
    <x:row r="4306">
      <x:c r="A4306" s="31">
        <x:v>43294</x:v>
      </x:c>
      <x:c r="B4306" s="32">
        <x:v>904.8</x:v>
      </x:c>
      <x:c r="C4306" s="32">
        <x:v>912.53</x:v>
      </x:c>
      <x:c r="D4306" s="32">
        <x:v>898.51</x:v>
      </x:c>
      <x:c r="E4306" s="32">
        <x:v>909.72</x:v>
      </x:c>
      <x:c r="F4306" s="33">
        <x:v>121978590</x:v>
      </x:c>
      <x:c r="G4306" s="32" t="n">
        <x:f t="shared" si="192">AVERAGE(E4107:E4306)</x:f>
        <x:v>995.4389499999997</x:v>
      </x:c>
      <x:c r="H4306" s="37" t="n">
        <x:f t="shared" si="193">IFERROR(E4306/G4306-1,"")</x:f>
        <x:v>-0.08611170981404714</x:v>
      </x:c>
      <x:c r="I4306" s="38" t="b">
        <x:f t="shared" si="194">E4306&lt;G4306</x:f>
        <x:v>1</x:v>
      </x:c>
    </x:row>
    <x:row r="4307">
      <x:c r="A4307" s="31">
        <x:v>43297</x:v>
      </x:c>
      <x:c r="B4307" s="32">
        <x:v>914.22</x:v>
      </x:c>
      <x:c r="C4307" s="32">
        <x:v>917.63</x:v>
      </x:c>
      <x:c r="D4307" s="32">
        <x:v>905.27</x:v>
      </x:c>
      <x:c r="E4307" s="32">
        <x:v>911.11</x:v>
      </x:c>
      <x:c r="F4307" s="33">
        <x:v>110882460</x:v>
      </x:c>
      <x:c r="G4307" s="32" t="n">
        <x:f t="shared" si="192">AVERAGE(E4108:E4307)</x:f>
        <x:v>995.9588499999998</x:v>
      </x:c>
      <x:c r="H4307" s="37" t="n">
        <x:f t="shared" si="193">IFERROR(E4307/G4307-1,"")</x:f>
        <x:v>-0.08519312821006586</x:v>
      </x:c>
      <x:c r="I4307" s="38" t="b">
        <x:f t="shared" si="194">E4307&lt;G4307</x:f>
        <x:v>1</x:v>
      </x:c>
    </x:row>
    <x:row r="4308">
      <x:c r="A4308" s="31">
        <x:v>43298</x:v>
      </x:c>
      <x:c r="B4308" s="32">
        <x:v>905.32</x:v>
      </x:c>
      <x:c r="C4308" s="32">
        <x:v>921.27</x:v>
      </x:c>
      <x:c r="D4308" s="32">
        <x:v>902.02</x:v>
      </x:c>
      <x:c r="E4308" s="32">
        <x:v>921.27</x:v>
      </x:c>
      <x:c r="F4308" s="33">
        <x:v>136304660</x:v>
      </x:c>
      <x:c r="G4308" s="32" t="n">
        <x:f t="shared" si="192">AVERAGE(E4109:E4308)</x:f>
        <x:v>996.5372999999998</x:v>
      </x:c>
      <x:c r="H4308" s="37" t="n">
        <x:f t="shared" si="193">IFERROR(E4308/G4308-1,"")</x:f>
        <x:v>-0.07552883369242669</x:v>
      </x:c>
      <x:c r="I4308" s="38" t="b">
        <x:f t="shared" si="194">E4308&lt;G4308</x:f>
        <x:v>1</x:v>
      </x:c>
    </x:row>
    <x:row r="4309">
      <x:c r="A4309" s="31">
        <x:v>43299</x:v>
      </x:c>
      <x:c r="B4309" s="32">
        <x:v>926.14</x:v>
      </x:c>
      <x:c r="C4309" s="32">
        <x:v>942.39</x:v>
      </x:c>
      <x:c r="D4309" s="32">
        <x:v>921.27</x:v>
      </x:c>
      <x:c r="E4309" s="32">
        <x:v>942.39</x:v>
      </x:c>
      <x:c r="F4309" s="33">
        <x:v>184648680</x:v>
      </x:c>
      <x:c r="G4309" s="32" t="n">
        <x:f t="shared" si="192">AVERAGE(E4110:E4309)</x:f>
        <x:v>997.2224999999999</x:v>
      </x:c>
      <x:c r="H4309" s="37" t="n">
        <x:f t="shared" si="193">IFERROR(E4309/G4309-1,"")</x:f>
        <x:v>-0.05498522145258444</x:v>
      </x:c>
      <x:c r="I4309" s="38" t="b">
        <x:f t="shared" si="194">E4309&lt;G4309</x:f>
        <x:v>1</x:v>
      </x:c>
    </x:row>
    <x:row r="4310">
      <x:c r="A4310" s="31">
        <x:v>43300</x:v>
      </x:c>
      <x:c r="B4310" s="32">
        <x:v>942.39</x:v>
      </x:c>
      <x:c r="C4310" s="32">
        <x:v>947.07</x:v>
      </x:c>
      <x:c r="D4310" s="32">
        <x:v>939.58</x:v>
      </x:c>
      <x:c r="E4310" s="32">
        <x:v>943.97</x:v>
      </x:c>
      <x:c r="F4310" s="33">
        <x:v>166922920</x:v>
      </x:c>
      <x:c r="G4310" s="32" t="n">
        <x:f t="shared" si="192">AVERAGE(E4111:E4310)</x:f>
        <x:v>997.9234999999998</x:v>
      </x:c>
      <x:c r="H4310" s="37" t="n">
        <x:f t="shared" si="193">IFERROR(E4310/G4310-1,"")</x:f>
        <x:v>-0.054065767566351286</x:v>
      </x:c>
      <x:c r="I4310" s="38" t="b">
        <x:f t="shared" si="194">E4310&lt;G4310</x:f>
        <x:v>1</x:v>
      </x:c>
    </x:row>
    <x:row r="4311">
      <x:c r="A4311" s="31">
        <x:v>43301</x:v>
      </x:c>
      <x:c r="B4311" s="32">
        <x:v>938.83</x:v>
      </x:c>
      <x:c r="C4311" s="32">
        <x:v>943.97</x:v>
      </x:c>
      <x:c r="D4311" s="32">
        <x:v>930.26</x:v>
      </x:c>
      <x:c r="E4311" s="32">
        <x:v>933.39</x:v>
      </x:c>
      <x:c r="F4311" s="33">
        <x:v>178891900</x:v>
      </x:c>
      <x:c r="G4311" s="32" t="n">
        <x:f t="shared" si="192">AVERAGE(E4112:E4311)</x:f>
        <x:v>998.5663499999999</x:v>
      </x:c>
      <x:c r="H4311" s="37" t="n">
        <x:f t="shared" si="193">IFERROR(E4311/G4311-1,"")</x:f>
        <x:v>-0.06526992422686784</x:v>
      </x:c>
      <x:c r="I4311" s="38" t="b">
        <x:f t="shared" si="194">E4311&lt;G4311</x:f>
        <x:v>1</x:v>
      </x:c>
    </x:row>
    <x:row r="4312">
      <x:c r="A4312" s="31">
        <x:v>43304</x:v>
      </x:c>
      <x:c r="B4312" s="32">
        <x:v>931.52</x:v>
      </x:c>
      <x:c r="C4312" s="32">
        <x:v>949.14</x:v>
      </x:c>
      <x:c r="D4312" s="32">
        <x:v>930.25</x:v>
      </x:c>
      <x:c r="E4312" s="32">
        <x:v>936.74</x:v>
      </x:c>
      <x:c r="F4312" s="33">
        <x:v>190030610</x:v>
      </x:c>
      <x:c r="G4312" s="32" t="n">
        <x:f t="shared" si="192">AVERAGE(E4113:E4312)</x:f>
        <x:v>999.22795</x:v>
      </x:c>
      <x:c r="H4312" s="37" t="n">
        <x:f t="shared" si="193">IFERROR(E4312/G4312-1,"")</x:f>
        <x:v>-0.06253623109721862</x:v>
      </x:c>
      <x:c r="I4312" s="38" t="b">
        <x:f t="shared" si="194">E4312&lt;G4312</x:f>
        <x:v>1</x:v>
      </x:c>
    </x:row>
    <x:row r="4313">
      <x:c r="A4313" s="31">
        <x:v>43305</x:v>
      </x:c>
      <x:c r="B4313" s="32">
        <x:v>933.22</x:v>
      </x:c>
      <x:c r="C4313" s="32">
        <x:v>939.07</x:v>
      </x:c>
      <x:c r="D4313" s="32">
        <x:v>926.3</x:v>
      </x:c>
      <x:c r="E4313" s="32">
        <x:v>934.08</x:v>
      </x:c>
      <x:c r="F4313" s="33">
        <x:v>169638570</x:v>
      </x:c>
      <x:c r="G4313" s="32" t="n">
        <x:f t="shared" si="192">AVERAGE(E4114:E4313)</x:f>
        <x:v>999.8871999999999</x:v>
      </x:c>
      <x:c r="H4313" s="37" t="n">
        <x:f t="shared" si="193">IFERROR(E4313/G4313-1,"")</x:f>
        <x:v>-0.0658146238895746</x:v>
      </x:c>
      <x:c r="I4313" s="38" t="b">
        <x:f t="shared" si="194">E4313&lt;G4313</x:f>
        <x:v>1</x:v>
      </x:c>
    </x:row>
    <x:row r="4314">
      <x:c r="A4314" s="31">
        <x:v>43306</x:v>
      </x:c>
      <x:c r="B4314" s="32">
        <x:v>936.57</x:v>
      </x:c>
      <x:c r="C4314" s="32">
        <x:v>938.33</x:v>
      </x:c>
      <x:c r="D4314" s="32">
        <x:v>927.58</x:v>
      </x:c>
      <x:c r="E4314" s="32">
        <x:v>927.58</x:v>
      </x:c>
      <x:c r="F4314" s="33">
        <x:v>201884580</x:v>
      </x:c>
      <x:c r="G4314" s="32" t="n">
        <x:f t="shared" si="192">AVERAGE(E4115:E4314)</x:f>
        <x:v>1000.5350999999998</x:v>
      </x:c>
      <x:c r="H4314" s="37" t="n">
        <x:f t="shared" si="193">IFERROR(E4314/G4314-1,"")</x:f>
        <x:v>-0.07291608260419824</x:v>
      </x:c>
      <x:c r="I4314" s="38" t="b">
        <x:f t="shared" si="194">E4314&lt;G4314</x:f>
        <x:v>1</x:v>
      </x:c>
    </x:row>
    <x:row r="4315">
      <x:c r="A4315" s="31">
        <x:v>43307</x:v>
      </x:c>
      <x:c r="B4315" s="32">
        <x:v>928.96</x:v>
      </x:c>
      <x:c r="C4315" s="32">
        <x:v>930.32</x:v>
      </x:c>
      <x:c r="D4315" s="32">
        <x:v>920.99</x:v>
      </x:c>
      <x:c r="E4315" s="32">
        <x:v>930.16</x:v>
      </x:c>
      <x:c r="F4315" s="33">
        <x:v>175235210</x:v>
      </x:c>
      <x:c r="G4315" s="32" t="n">
        <x:f t="shared" si="192">AVERAGE(E4116:E4315)</x:f>
        <x:v>1001.1576</x:v>
      </x:c>
      <x:c r="H4315" s="37" t="n">
        <x:f t="shared" si="193">IFERROR(E4315/G4315-1,"")</x:f>
        <x:v>-0.07091550820769876</x:v>
      </x:c>
      <x:c r="I4315" s="38" t="b">
        <x:f t="shared" si="194">E4315&lt;G4315</x:f>
        <x:v>1</x:v>
      </x:c>
    </x:row>
    <x:row r="4316">
      <x:c r="A4316" s="31">
        <x:v>43308</x:v>
      </x:c>
      <x:c r="B4316" s="32">
        <x:v>931.9</x:v>
      </x:c>
      <x:c r="C4316" s="32">
        <x:v>937.23</x:v>
      </x:c>
      <x:c r="D4316" s="32">
        <x:v>928.82</x:v>
      </x:c>
      <x:c r="E4316" s="32">
        <x:v>935.52</x:v>
      </x:c>
      <x:c r="F4316" s="33">
        <x:v>163302090</x:v>
      </x:c>
      <x:c r="G4316" s="32" t="n">
        <x:f t="shared" si="192">AVERAGE(E4117:E4316)</x:f>
        <x:v>1001.8090499999998</x:v>
      </x:c>
      <x:c r="H4316" s="37" t="n">
        <x:f t="shared" si="193">IFERROR(E4316/G4316-1,"")</x:f>
        <x:v>-0.0661693463439963</x:v>
      </x:c>
      <x:c r="I4316" s="38" t="b">
        <x:f t="shared" si="194">E4316&lt;G4316</x:f>
        <x:v>1</x:v>
      </x:c>
    </x:row>
    <x:row r="4317">
      <x:c r="A4317" s="31">
        <x:v>43311</x:v>
      </x:c>
      <x:c r="B4317" s="32">
        <x:v>935.52</x:v>
      </x:c>
      <x:c r="C4317" s="32">
        <x:v>949.73</x:v>
      </x:c>
      <x:c r="D4317" s="32">
        <x:v>935.52</x:v>
      </x:c>
      <x:c r="E4317" s="32">
        <x:v>949.73</x:v>
      </x:c>
      <x:c r="F4317" s="33">
        <x:v>184174690</x:v>
      </x:c>
      <x:c r="G4317" s="32" t="n">
        <x:f t="shared" si="192">AVERAGE(E4118:E4317)</x:f>
        <x:v>1002.5186999999999</x:v>
      </x:c>
      <x:c r="H4317" s="37" t="n">
        <x:f t="shared" si="193">IFERROR(E4317/G4317-1,"")</x:f>
        <x:v>-0.052656075143535874</x:v>
      </x:c>
      <x:c r="I4317" s="38" t="b">
        <x:f t="shared" si="194">E4317&lt;G4317</x:f>
        <x:v>1</x:v>
      </x:c>
    </x:row>
    <x:row r="4318">
      <x:c r="A4318" s="31">
        <x:v>43312</x:v>
      </x:c>
      <x:c r="B4318" s="32">
        <x:v>948.56</x:v>
      </x:c>
      <x:c r="C4318" s="32">
        <x:v>959.07</x:v>
      </x:c>
      <x:c r="D4318" s="32">
        <x:v>947.32</x:v>
      </x:c>
      <x:c r="E4318" s="32">
        <x:v>956.39</x:v>
      </x:c>
      <x:c r="F4318" s="33">
        <x:v>229774470</x:v>
      </x:c>
      <x:c r="G4318" s="32" t="n">
        <x:f t="shared" si="192">AVERAGE(E4119:E4318)</x:f>
        <x:v>1003.2558499999999</x:v>
      </x:c>
      <x:c r="H4318" s="37" t="n">
        <x:f t="shared" si="193">IFERROR(E4318/G4318-1,"")</x:f>
        <x:v>-0.0467137570142252</x:v>
      </x:c>
      <x:c r="I4318" s="38" t="b">
        <x:f t="shared" si="194">E4318&lt;G4318</x:f>
        <x:v>1</x:v>
      </x:c>
    </x:row>
    <x:row r="4319">
      <x:c r="A4319" s="31">
        <x:v>43313</x:v>
      </x:c>
      <x:c r="B4319" s="32">
        <x:v>957.35</x:v>
      </x:c>
      <x:c r="C4319" s="32">
        <x:v>960.05</x:v>
      </x:c>
      <x:c r="D4319" s="32">
        <x:v>949.89</x:v>
      </x:c>
      <x:c r="E4319" s="32">
        <x:v>952.77</x:v>
      </x:c>
      <x:c r="F4319" s="33">
        <x:v>180793930</x:v>
      </x:c>
      <x:c r="G4319" s="32" t="n">
        <x:f t="shared" si="192">AVERAGE(E4120:E4319)</x:f>
        <x:v>1003.9664499999999</x:v>
      </x:c>
      <x:c r="H4319" s="37" t="n">
        <x:f t="shared" si="193">IFERROR(E4319/G4319-1,"")</x:f>
        <x:v>-0.05099418411840351</x:v>
      </x:c>
      <x:c r="I4319" s="38" t="b">
        <x:f t="shared" si="194">E4319&lt;G4319</x:f>
        <x:v>1</x:v>
      </x:c>
    </x:row>
    <x:row r="4320">
      <x:c r="A4320" s="31">
        <x:v>43314</x:v>
      </x:c>
      <x:c r="B4320" s="32">
        <x:v>952.75</x:v>
      </x:c>
      <x:c r="C4320" s="32">
        <x:v>953.55</x:v>
      </x:c>
      <x:c r="D4320" s="32">
        <x:v>942.39</x:v>
      </x:c>
      <x:c r="E4320" s="32">
        <x:v>953.55</x:v>
      </x:c>
      <x:c r="F4320" s="33">
        <x:v>197722680</x:v>
      </x:c>
      <x:c r="G4320" s="32" t="n">
        <x:f t="shared" si="192">AVERAGE(E4121:E4320)</x:f>
        <x:v>1004.6644499999998</x:v>
      </x:c>
      <x:c r="H4320" s="37" t="n">
        <x:f t="shared" si="193">IFERROR(E4320/G4320-1,"")</x:f>
        <x:v>-0.05087713614232081</x:v>
      </x:c>
      <x:c r="I4320" s="38" t="b">
        <x:f t="shared" si="194">E4320&lt;G4320</x:f>
        <x:v>1</x:v>
      </x:c>
    </x:row>
    <x:row r="4321">
      <x:c r="A4321" s="31">
        <x:v>43315</x:v>
      </x:c>
      <x:c r="B4321" s="32">
        <x:v>957.92</x:v>
      </x:c>
      <x:c r="C4321" s="32">
        <x:v>966.1</x:v>
      </x:c>
      <x:c r="D4321" s="32">
        <x:v>953.55</x:v>
      </x:c>
      <x:c r="E4321" s="32">
        <x:v>959.6</x:v>
      </x:c>
      <x:c r="F4321" s="33">
        <x:v>166126830</x:v>
      </x:c>
      <x:c r="G4321" s="32" t="n">
        <x:f t="shared" si="192">AVERAGE(E4122:E4321)</x:f>
        <x:v>1005.3831</x:v>
      </x:c>
      <x:c r="H4321" s="37" t="n">
        <x:f t="shared" si="193">IFERROR(E4321/G4321-1,"")</x:f>
        <x:v>-0.045537964582853974</x:v>
      </x:c>
      <x:c r="I4321" s="38" t="b">
        <x:f t="shared" si="194">E4321&lt;G4321</x:f>
        <x:v>1</x:v>
      </x:c>
    </x:row>
    <x:row r="4322">
      <x:c r="A4322" s="31">
        <x:v>43318</x:v>
      </x:c>
      <x:c r="B4322" s="32">
        <x:v>960.12</x:v>
      </x:c>
      <x:c r="C4322" s="32">
        <x:v>962.99</x:v>
      </x:c>
      <x:c r="D4322" s="32">
        <x:v>955.42</x:v>
      </x:c>
      <x:c r="E4322" s="32">
        <x:v>960.23</x:v>
      </x:c>
      <x:c r="F4322" s="33">
        <x:v>153665970</x:v>
      </x:c>
      <x:c r="G4322" s="32" t="n">
        <x:f t="shared" si="192">AVERAGE(E4123:E4322)</x:f>
        <x:v>1006.0794999999999</x:v>
      </x:c>
      <x:c r="H4322" s="37" t="n">
        <x:f t="shared" si="193">IFERROR(E4322/G4322-1,"")</x:f>
        <x:v>-0.045572442336813235</x:v>
      </x:c>
      <x:c r="I4322" s="38" t="b">
        <x:f t="shared" si="194">E4322&lt;G4322</x:f>
        <x:v>1</x:v>
      </x:c>
    </x:row>
    <x:row r="4323">
      <x:c r="A4323" s="31">
        <x:v>43319</x:v>
      </x:c>
      <x:c r="B4323" s="32">
        <x:v>957.7</x:v>
      </x:c>
      <x:c r="C4323" s="32">
        <x:v>962.02</x:v>
      </x:c>
      <x:c r="D4323" s="32">
        <x:v>953.71</x:v>
      </x:c>
      <x:c r="E4323" s="32">
        <x:v>956.79</x:v>
      </x:c>
      <x:c r="F4323" s="33">
        <x:v>138303880</x:v>
      </x:c>
      <x:c r="G4323" s="32" t="n">
        <x:f t="shared" si="192">AVERAGE(E4124:E4323)</x:f>
        <x:v>1006.7663</x:v>
      </x:c>
      <x:c r="H4323" s="37" t="n">
        <x:f t="shared" si="193">IFERROR(E4323/G4323-1,"")</x:f>
        <x:v>-0.049640418039419876</x:v>
      </x:c>
      <x:c r="I4323" s="38" t="b">
        <x:f t="shared" si="194">E4323&lt;G4323</x:f>
        <x:v>1</x:v>
      </x:c>
    </x:row>
    <x:row r="4324">
      <x:c r="A4324" s="31">
        <x:v>43320</x:v>
      </x:c>
      <x:c r="B4324" s="32">
        <x:v>958.31</x:v>
      </x:c>
      <x:c r="C4324" s="32">
        <x:v>966.27</x:v>
      </x:c>
      <x:c r="D4324" s="32">
        <x:v>956.79</x:v>
      </x:c>
      <x:c r="E4324" s="32">
        <x:v>966.27</x:v>
      </x:c>
      <x:c r="F4324" s="33">
        <x:v>140667750</x:v>
      </x:c>
      <x:c r="G4324" s="32" t="n">
        <x:f t="shared" si="192">AVERAGE(E4125:E4324)</x:f>
        <x:v>1007.4562</x:v>
      </x:c>
      <x:c r="H4324" s="37" t="n">
        <x:f t="shared" si="193">IFERROR(E4324/G4324-1,"")</x:f>
        <x:v>-0.04088138025256083</x:v>
      </x:c>
      <x:c r="I4324" s="38" t="b">
        <x:f t="shared" si="194">E4324&lt;G4324</x:f>
        <x:v>1</x:v>
      </x:c>
    </x:row>
    <x:row r="4325">
      <x:c r="A4325" s="31">
        <x:v>43321</x:v>
      </x:c>
      <x:c r="B4325" s="32">
        <x:v>968.57</x:v>
      </x:c>
      <x:c r="C4325" s="32">
        <x:v>972.52</x:v>
      </x:c>
      <x:c r="D4325" s="32">
        <x:v>963.5</x:v>
      </x:c>
      <x:c r="E4325" s="32">
        <x:v>963.5</x:v>
      </x:c>
      <x:c r="F4325" s="33">
        <x:v>156257390</x:v>
      </x:c>
      <x:c r="G4325" s="32" t="n">
        <x:f t="shared" si="192">AVERAGE(E4126:E4325)</x:f>
        <x:v>1008.1351</x:v>
      </x:c>
      <x:c r="H4325" s="37" t="n">
        <x:f t="shared" si="193">IFERROR(E4325/G4325-1,"")</x:f>
        <x:v>-0.04427491910558412</x:v>
      </x:c>
      <x:c r="I4325" s="38" t="b">
        <x:f t="shared" si="194">E4325&lt;G4325</x:f>
        <x:v>1</x:v>
      </x:c>
    </x:row>
    <x:row r="4326">
      <x:c r="A4326" s="31">
        <x:v>43322</x:v>
      </x:c>
      <x:c r="B4326" s="32">
        <x:v>962.03</x:v>
      </x:c>
      <x:c r="C4326" s="32">
        <x:v>968.47</x:v>
      </x:c>
      <x:c r="D4326" s="32">
        <x:v>955.04</x:v>
      </x:c>
      <x:c r="E4326" s="32">
        <x:v>968.47</x:v>
      </x:c>
      <x:c r="F4326" s="33">
        <x:v>171440130</x:v>
      </x:c>
      <x:c r="G4326" s="32" t="n">
        <x:f t="shared" si="192">AVERAGE(E4127:E4326)</x:f>
        <x:v>1008.8328</x:v>
      </x:c>
      <x:c r="H4326" s="37" t="n">
        <x:f t="shared" si="193">IFERROR(E4326/G4326-1,"")</x:f>
        <x:v>-0.04000940492815064</x:v>
      </x:c>
      <x:c r="I4326" s="38" t="b">
        <x:f t="shared" si="194">E4326&lt;G4326</x:f>
        <x:v>1</x:v>
      </x:c>
    </x:row>
    <x:row r="4327">
      <x:c r="A4327" s="31">
        <x:v>43325</x:v>
      </x:c>
      <x:c r="B4327" s="32">
        <x:v>966.46</x:v>
      </x:c>
      <x:c r="C4327" s="32">
        <x:v>978.04</x:v>
      </x:c>
      <x:c r="D4327" s="32">
        <x:v>963.41</x:v>
      </x:c>
      <x:c r="E4327" s="32">
        <x:v>978.04</x:v>
      </x:c>
      <x:c r="F4327" s="33">
        <x:v>178091820</x:v>
      </x:c>
      <x:c r="G4327" s="32" t="n">
        <x:f t="shared" si="192">AVERAGE(E4128:E4327)</x:f>
        <x:v>1009.5888</x:v>
      </x:c>
      <x:c r="H4327" s="37" t="n">
        <x:f t="shared" si="193">IFERROR(E4327/G4327-1,"")</x:f>
        <x:v>-0.03124915807306894</x:v>
      </x:c>
      <x:c r="I4327" s="38" t="b">
        <x:f t="shared" si="194">E4327&lt;G4327</x:f>
        <x:v>1</x:v>
      </x:c>
    </x:row>
    <x:row r="4328">
      <x:c r="A4328" s="31">
        <x:v>43326</x:v>
      </x:c>
      <x:c r="B4328" s="32">
        <x:v>979.66</x:v>
      </x:c>
      <x:c r="C4328" s="32">
        <x:v>981.42</x:v>
      </x:c>
      <x:c r="D4328" s="32">
        <x:v>974.47</x:v>
      </x:c>
      <x:c r="E4328" s="32">
        <x:v>978.27</x:v>
      </x:c>
      <x:c r="F4328" s="33">
        <x:v>149752820</x:v>
      </x:c>
      <x:c r="G4328" s="32" t="n">
        <x:f t="shared" si="192">AVERAGE(E4129:E4328)</x:f>
        <x:v>1010.3799500000001</x:v>
      </x:c>
      <x:c r="H4328" s="37" t="n">
        <x:f t="shared" si="193">IFERROR(E4328/G4328-1,"")</x:f>
        <x:v>-0.031780074416559945</x:v>
      </x:c>
      <x:c r="I4328" s="38" t="b">
        <x:f t="shared" si="194">E4328&lt;G4328</x:f>
        <x:v>1</x:v>
      </x:c>
    </x:row>
    <x:row r="4329">
      <x:c r="A4329" s="31">
        <x:v>43327</x:v>
      </x:c>
      <x:c r="B4329" s="32">
        <x:v>980.45</x:v>
      </x:c>
      <x:c r="C4329" s="32">
        <x:v>982</x:v>
      </x:c>
      <x:c r="D4329" s="32">
        <x:v>961.37</x:v>
      </x:c>
      <x:c r="E4329" s="32">
        <x:v>961.37</x:v>
      </x:c>
      <x:c r="F4329" s="33">
        <x:v>171025160</x:v>
      </x:c>
      <x:c r="G4329" s="32" t="n">
        <x:f t="shared" si="192">AVERAGE(E4130:E4329)</x:f>
        <x:v>1011.0606000000001</x:v>
      </x:c>
      <x:c r="H4329" s="37" t="n">
        <x:f t="shared" si="193">IFERROR(E4329/G4329-1,"")</x:f>
        <x:v>-0.049147004640473724</x:v>
      </x:c>
      <x:c r="I4329" s="38" t="b">
        <x:f t="shared" si="194">E4329&lt;G4329</x:f>
        <x:v>1</x:v>
      </x:c>
    </x:row>
    <x:row r="4330">
      <x:c r="A4330" s="31">
        <x:v>43328</x:v>
      </x:c>
      <x:c r="B4330" s="32">
        <x:v>952.83</x:v>
      </x:c>
      <x:c r="C4330" s="32">
        <x:v>964.28</x:v>
      </x:c>
      <x:c r="D4330" s="32">
        <x:v>947.09</x:v>
      </x:c>
      <x:c r="E4330" s="32">
        <x:v>964.28</x:v>
      </x:c>
      <x:c r="F4330" s="33">
        <x:v>155986290</x:v>
      </x:c>
      <x:c r="G4330" s="32" t="n">
        <x:f t="shared" si="192">AVERAGE(E4131:E4330)</x:f>
        <x:v>1011.7285500000002</x:v>
      </x:c>
      <x:c r="H4330" s="37" t="n">
        <x:f t="shared" si="193">IFERROR(E4330/G4330-1,"")</x:f>
        <x:v>-0.04689849861408002</x:v>
      </x:c>
      <x:c r="I4330" s="38" t="b">
        <x:f t="shared" si="194">E4330&lt;G4330</x:f>
        <x:v>1</x:v>
      </x:c>
    </x:row>
    <x:row r="4331">
      <x:c r="A4331" s="31">
        <x:v>43329</x:v>
      </x:c>
      <x:c r="B4331" s="32">
        <x:v>971.4</x:v>
      </x:c>
      <x:c r="C4331" s="32">
        <x:v>975.52</x:v>
      </x:c>
      <x:c r="D4331" s="32">
        <x:v>964.28</x:v>
      </x:c>
      <x:c r="E4331" s="32">
        <x:v>968.88</x:v>
      </x:c>
      <x:c r="F4331" s="33">
        <x:v>136124710</x:v>
      </x:c>
      <x:c r="G4331" s="32" t="n">
        <x:f t="shared" si="192">AVERAGE(E4132:E4331)</x:f>
        <x:v>1012.4224</x:v>
      </x:c>
      <x:c r="H4331" s="37" t="n">
        <x:f t="shared" si="193">IFERROR(E4331/G4331-1,"")</x:f>
        <x:v>-0.0430081357346499</x:v>
      </x:c>
      <x:c r="I4331" s="38" t="b">
        <x:f t="shared" si="194">E4331&lt;G4331</x:f>
        <x:v>1</x:v>
      </x:c>
    </x:row>
    <x:row r="4332">
      <x:c r="A4332" s="31">
        <x:v>43332</x:v>
      </x:c>
      <x:c r="B4332" s="32">
        <x:v>970.81</x:v>
      </x:c>
      <x:c r="C4332" s="32">
        <x:v>973.57</x:v>
      </x:c>
      <x:c r="D4332" s="32">
        <x:v>966.46</x:v>
      </x:c>
      <x:c r="E4332" s="32">
        <x:v>969.62</x:v>
      </x:c>
      <x:c r="F4332" s="33">
        <x:v>159945460</x:v>
      </x:c>
      <x:c r="G4332" s="32" t="n">
        <x:f t="shared" si="192">AVERAGE(E4133:E4332)</x:f>
        <x:v>1013.0686499999999</x:v>
      </x:c>
      <x:c r="H4332" s="37" t="n">
        <x:f t="shared" si="193">IFERROR(E4332/G4332-1,"")</x:f>
        <x:v>-0.04288815965235915</x:v>
      </x:c>
      <x:c r="I4332" s="38" t="b">
        <x:f t="shared" si="194">E4332&lt;G4332</x:f>
        <x:v>1</x:v>
      </x:c>
    </x:row>
    <x:row r="4333">
      <x:c r="A4333" s="31">
        <x:v>43333</x:v>
      </x:c>
      <x:c r="B4333" s="32">
        <x:v>968.46</x:v>
      </x:c>
      <x:c r="C4333" s="32">
        <x:v>979.21</x:v>
      </x:c>
      <x:c r="D4333" s="32">
        <x:v>968.45</x:v>
      </x:c>
      <x:c r="E4333" s="32">
        <x:v>979.21</x:v>
      </x:c>
      <x:c r="F4333" s="33">
        <x:v>166417760</x:v>
      </x:c>
      <x:c r="G4333" s="32" t="n">
        <x:f t="shared" si="192">AVERAGE(E4134:E4333)</x:f>
        <x:v>1013.7387</x:v>
      </x:c>
      <x:c r="H4333" s="37" t="n">
        <x:f t="shared" si="193">IFERROR(E4333/G4333-1,"")</x:f>
        <x:v>-0.034060749579748695</x:v>
      </x:c>
      <x:c r="I4333" s="38" t="b">
        <x:f t="shared" si="194">E4333&lt;G4333</x:f>
        <x:v>1</x:v>
      </x:c>
    </x:row>
    <x:row r="4334">
      <x:c r="A4334" s="31">
        <x:v>43334</x:v>
      </x:c>
      <x:c r="B4334" s="32">
        <x:v>979.21</x:v>
      </x:c>
      <x:c r="C4334" s="32">
        <x:v>986.36</x:v>
      </x:c>
      <x:c r="D4334" s="32">
        <x:v>979.21</x:v>
      </x:c>
      <x:c r="E4334" s="32">
        <x:v>982.15</x:v>
      </x:c>
      <x:c r="F4334" s="33">
        <x:v>165152300</x:v>
      </x:c>
      <x:c r="G4334" s="32" t="n">
        <x:f t="shared" si="192">AVERAGE(E4135:E4334)</x:f>
        <x:v>1014.4630499999998</x:v>
      </x:c>
      <x:c r="H4334" s="37" t="n">
        <x:f t="shared" si="193">IFERROR(E4334/G4334-1,"")</x:f>
        <x:v>-0.031852367614571886</x:v>
      </x:c>
      <x:c r="I4334" s="38" t="b">
        <x:f t="shared" si="194">E4334&lt;G4334</x:f>
        <x:v>1</x:v>
      </x:c>
    </x:row>
    <x:row r="4335">
      <x:c r="A4335" s="31">
        <x:v>43335</x:v>
      </x:c>
      <x:c r="B4335" s="32">
        <x:v>984.12</x:v>
      </x:c>
      <x:c r="C4335" s="32">
        <x:v>989.45</x:v>
      </x:c>
      <x:c r="D4335" s="32">
        <x:v>982.15</x:v>
      </x:c>
      <x:c r="E4335" s="32">
        <x:v>987.36</x:v>
      </x:c>
      <x:c r="F4335" s="33">
        <x:v>136864890</x:v>
      </x:c>
      <x:c r="G4335" s="32" t="n">
        <x:f t="shared" si="192">AVERAGE(E4136:E4335)</x:f>
        <x:v>1015.1862999999997</x:v>
      </x:c>
      <x:c r="H4335" s="37" t="n">
        <x:f t="shared" si="193">IFERROR(E4335/G4335-1,"")</x:f>
        <x:v>-0.027410042866023443</x:v>
      </x:c>
      <x:c r="I4335" s="38" t="b">
        <x:f t="shared" si="194">E4335&lt;G4335</x:f>
        <x:v>1</x:v>
      </x:c>
    </x:row>
    <x:row r="4336">
      <x:c r="A4336" s="31">
        <x:v>43336</x:v>
      </x:c>
      <x:c r="B4336" s="32">
        <x:v>985.49</x:v>
      </x:c>
      <x:c r="C4336" s="32">
        <x:v>989.21</x:v>
      </x:c>
      <x:c r="D4336" s="32">
        <x:v>982.88</x:v>
      </x:c>
      <x:c r="E4336" s="32">
        <x:v>987.05</x:v>
      </x:c>
      <x:c r="F4336" s="33">
        <x:v>154534730</x:v>
      </x:c>
      <x:c r="G4336" s="32" t="n">
        <x:f t="shared" si="192">AVERAGE(E4137:E4336)</x:f>
        <x:v>1015.9560999999998</x:v>
      </x:c>
      <x:c r="H4336" s="37" t="n">
        <x:f t="shared" si="193">IFERROR(E4336/G4336-1,"")</x:f>
        <x:v>-0.028452115204583905</x:v>
      </x:c>
      <x:c r="I4336" s="38" t="b">
        <x:f t="shared" si="194">E4336&lt;G4336</x:f>
        <x:v>1</x:v>
      </x:c>
    </x:row>
    <x:row r="4337">
      <x:c r="A4337" s="31">
        <x:v>43339</x:v>
      </x:c>
      <x:c r="B4337" s="32">
        <x:v>990.19</x:v>
      </x:c>
      <x:c r="C4337" s="32">
        <x:v>994.54</x:v>
      </x:c>
      <x:c r="D4337" s="32">
        <x:v>987.05</x:v>
      </x:c>
      <x:c r="E4337" s="32">
        <x:v>991.92</x:v>
      </x:c>
      <x:c r="F4337" s="33">
        <x:v>172686090</x:v>
      </x:c>
      <x:c r="G4337" s="32" t="n">
        <x:f t="shared" si="192">AVERAGE(E4138:E4337)</x:f>
        <x:v>1016.6970499999998</x:v>
      </x:c>
      <x:c r="H4337" s="37" t="n">
        <x:f t="shared" si="193">IFERROR(E4337/G4337-1,"")</x:f>
        <x:v>-0.02437014054481601</x:v>
      </x:c>
      <x:c r="I4337" s="38" t="b">
        <x:f t="shared" si="194">E4337&lt;G4337</x:f>
        <x:v>1</x:v>
      </x:c>
    </x:row>
    <x:row r="4338">
      <x:c r="A4338" s="31">
        <x:v>43340</x:v>
      </x:c>
      <x:c r="B4338" s="32">
        <x:v>991.92</x:v>
      </x:c>
      <x:c r="C4338" s="32">
        <x:v>995.29</x:v>
      </x:c>
      <x:c r="D4338" s="32">
        <x:v>989.81</x:v>
      </x:c>
      <x:c r="E4338" s="32">
        <x:v>995.19</x:v>
      </x:c>
      <x:c r="F4338" s="33">
        <x:v>160331540</x:v>
      </x:c>
      <x:c r="G4338" s="32" t="n">
        <x:f t="shared" si="192">AVERAGE(E4139:E4338)</x:f>
        <x:v>1017.4275499999998</x:v>
      </x:c>
      <x:c r="H4338" s="37" t="n">
        <x:f t="shared" si="193">IFERROR(E4338/G4338-1,"")</x:f>
        <x:v>-0.021856642273938576</x:v>
      </x:c>
      <x:c r="I4338" s="38" t="b">
        <x:f t="shared" si="194">E4338&lt;G4338</x:f>
        <x:v>1</x:v>
      </x:c>
    </x:row>
    <x:row r="4339">
      <x:c r="A4339" s="31">
        <x:v>43341</x:v>
      </x:c>
      <x:c r="B4339" s="32">
        <x:v>995.05</x:v>
      </x:c>
      <x:c r="C4339" s="32">
        <x:v>995.19</x:v>
      </x:c>
      <x:c r="D4339" s="32">
        <x:v>987.47</x:v>
      </x:c>
      <x:c r="E4339" s="32">
        <x:v>988.17</x:v>
      </x:c>
      <x:c r="F4339" s="33">
        <x:v>147774090</x:v>
      </x:c>
      <x:c r="G4339" s="32" t="n">
        <x:f t="shared" si="192">AVERAGE(E4140:E4339)</x:f>
        <x:v>1018.1167499999999</x:v>
      </x:c>
      <x:c r="H4339" s="37" t="n">
        <x:f t="shared" si="193">IFERROR(E4339/G4339-1,"")</x:f>
        <x:v>-0.029413866337038463</x:v>
      </x:c>
      <x:c r="I4339" s="38" t="b">
        <x:f t="shared" si="194">E4339&lt;G4339</x:f>
        <x:v>1</x:v>
      </x:c>
    </x:row>
    <x:row r="4340">
      <x:c r="A4340" s="31">
        <x:v>43342</x:v>
      </x:c>
      <x:c r="B4340" s="32">
        <x:v>987.62</x:v>
      </x:c>
      <x:c r="C4340" s="32">
        <x:v>998.07</x:v>
      </x:c>
      <x:c r="D4340" s="32">
        <x:v>983.43</x:v>
      </x:c>
      <x:c r="E4340" s="32">
        <x:v>998.07</x:v>
      </x:c>
      <x:c r="F4340" s="33">
        <x:v>156100950</x:v>
      </x:c>
      <x:c r="G4340" s="32" t="n">
        <x:f t="shared" si="192">AVERAGE(E4141:E4340)</x:f>
        <x:v>1018.8085999999998</x:v>
      </x:c>
      <x:c r="H4340" s="37" t="n">
        <x:f t="shared" si="193">IFERROR(E4340/G4340-1,"")</x:f>
        <x:v>-0.020355737083491254</x:v>
      </x:c>
      <x:c r="I4340" s="38" t="b">
        <x:f t="shared" si="194">E4340&lt;G4340</x:f>
        <x:v>1</x:v>
      </x:c>
    </x:row>
    <x:row r="4341">
      <x:c r="A4341" s="31">
        <x:v>43343</x:v>
      </x:c>
      <x:c r="B4341" s="32">
        <x:v>998.55</x:v>
      </x:c>
      <x:c r="C4341" s="32">
        <x:v>1003.06</x:v>
      </x:c>
      <x:c r="D4341" s="32">
        <x:v>989.54</x:v>
      </x:c>
      <x:c r="E4341" s="32">
        <x:v>989.54</x:v>
      </x:c>
      <x:c r="F4341" s="33">
        <x:v>163243740</x:v>
      </x:c>
      <x:c r="G4341" s="32" t="n">
        <x:f t="shared" si="192">AVERAGE(E4142:E4341)</x:f>
        <x:v>1019.4542999999999</x:v>
      </x:c>
      <x:c r="H4341" s="37" t="n">
        <x:f t="shared" si="193">IFERROR(E4341/G4341-1,"")</x:f>
        <x:v>-0.02934344384049381</x:v>
      </x:c>
      <x:c r="I4341" s="38" t="b">
        <x:f t="shared" si="194">E4341&lt;G4341</x:f>
        <x:v>1</x:v>
      </x:c>
    </x:row>
    <x:row r="4342">
      <x:c r="A4342" s="31">
        <x:v>43347</x:v>
      </x:c>
      <x:c r="B4342" s="32">
        <x:v>990.79</x:v>
      </x:c>
      <x:c r="C4342" s="32">
        <x:v>992.18</x:v>
      </x:c>
      <x:c r="D4342" s="32">
        <x:v>975.94</x:v>
      </x:c>
      <x:c r="E4342" s="32">
        <x:v>975.94</x:v>
      </x:c>
      <x:c r="F4342" s="33">
        <x:v>172128470</x:v>
      </x:c>
      <x:c r="G4342" s="32" t="n">
        <x:f t="shared" si="192">AVERAGE(E4143:E4342)</x:f>
        <x:v>1019.9929499999998</x:v>
      </x:c>
      <x:c r="H4342" s="37" t="n">
        <x:f t="shared" si="193">IFERROR(E4342/G4342-1,"")</x:f>
        <x:v>-0.04318946518208755</x:v>
      </x:c>
      <x:c r="I4342" s="38" t="b">
        <x:f t="shared" si="194">E4342&lt;G4342</x:f>
        <x:v>1</x:v>
      </x:c>
    </x:row>
    <x:row r="4343">
      <x:c r="A4343" s="31">
        <x:v>43348</x:v>
      </x:c>
      <x:c r="B4343" s="32">
        <x:v>975.05</x:v>
      </x:c>
      <x:c r="C4343" s="32">
        <x:v>978.78</x:v>
      </x:c>
      <x:c r="D4343" s="32">
        <x:v>964.8</x:v>
      </x:c>
      <x:c r="E4343" s="32">
        <x:v>968.44</x:v>
      </x:c>
      <x:c r="F4343" s="33">
        <x:v>161390790</x:v>
      </x:c>
      <x:c r="G4343" s="32" t="n">
        <x:f t="shared" si="192">AVERAGE(E4144:E4343)</x:f>
        <x:v>1020.4384499999998</x:v>
      </x:c>
      <x:c r="H4343" s="37" t="n">
        <x:f t="shared" si="193">IFERROR(E4343/G4343-1,"")</x:f>
        <x:v>-0.05095696854621634</x:v>
      </x:c>
      <x:c r="I4343" s="38" t="b">
        <x:f t="shared" si="194">E4343&lt;G4343</x:f>
        <x:v>1</x:v>
      </x:c>
    </x:row>
    <x:row r="4344">
      <x:c r="A4344" s="31">
        <x:v>43349</x:v>
      </x:c>
      <x:c r="B4344" s="32">
        <x:v>968.37</x:v>
      </x:c>
      <x:c r="C4344" s="32">
        <x:v>970.84</x:v>
      </x:c>
      <x:c r="D4344" s="32">
        <x:v>957.99</x:v>
      </x:c>
      <x:c r="E4344" s="32">
        <x:v>958.19</x:v>
      </x:c>
      <x:c r="F4344" s="33">
        <x:v>142238280</x:v>
      </x:c>
      <x:c r="G4344" s="32" t="n">
        <x:f t="shared" si="192">AVERAGE(E4145:E4344)</x:f>
        <x:v>1020.8248999999997</x:v>
      </x:c>
      <x:c r="H4344" s="37" t="n">
        <x:f t="shared" si="193">IFERROR(E4344/G4344-1,"")</x:f>
        <x:v>-0.06135714361983102</x:v>
      </x:c>
      <x:c r="I4344" s="38" t="b">
        <x:f t="shared" si="194">E4344&lt;G4344</x:f>
        <x:v>1</x:v>
      </x:c>
    </x:row>
    <x:row r="4345">
      <x:c r="A4345" s="31">
        <x:v>43350</x:v>
      </x:c>
      <x:c r="B4345" s="32">
        <x:v>955.5</x:v>
      </x:c>
      <x:c r="C4345" s="32">
        <x:v>969.34</x:v>
      </x:c>
      <x:c r="D4345" s="32">
        <x:v>955.5</x:v>
      </x:c>
      <x:c r="E4345" s="32">
        <x:v>968.9</x:v>
      </x:c>
      <x:c r="F4345" s="33">
        <x:v>152617370</x:v>
      </x:c>
      <x:c r="G4345" s="32" t="n">
        <x:f t="shared" si="192">AVERAGE(E4146:E4345)</x:f>
        <x:v>1021.2564499999997</x:v>
      </x:c>
      <x:c r="H4345" s="37" t="n">
        <x:f t="shared" si="193">IFERROR(E4345/G4345-1,"")</x:f>
        <x:v>-0.05126670191409788</x:v>
      </x:c>
      <x:c r="I4345" s="38" t="b">
        <x:f t="shared" si="194">E4345&lt;G4345</x:f>
        <x:v>1</x:v>
      </x:c>
    </x:row>
    <x:row r="4346">
      <x:c r="A4346" s="31">
        <x:v>43353</x:v>
      </x:c>
      <x:c r="B4346" s="32">
        <x:v>969.74</x:v>
      </x:c>
      <x:c r="C4346" s="32">
        <x:v>974.59</x:v>
      </x:c>
      <x:c r="D4346" s="32">
        <x:v>968.19</x:v>
      </x:c>
      <x:c r="E4346" s="32">
        <x:v>970.34</x:v>
      </x:c>
      <x:c r="F4346" s="33">
        <x:v>150338320</x:v>
      </x:c>
      <x:c r="G4346" s="32" t="n">
        <x:f t="shared" si="192">AVERAGE(E4147:E4346)</x:f>
        <x:v>1021.6441499999996</x:v>
      </x:c>
      <x:c r="H4346" s="37" t="n">
        <x:f t="shared" si="193">IFERROR(E4346/G4346-1,"")</x:f>
        <x:v>-0.05021724051373422</x:v>
      </x:c>
      <x:c r="I4346" s="38" t="b">
        <x:f t="shared" si="194">E4346&lt;G4346</x:f>
        <x:v>1</x:v>
      </x:c>
    </x:row>
    <x:row r="4347">
      <x:c r="A4347" s="31">
        <x:v>43354</x:v>
      </x:c>
      <x:c r="B4347" s="32">
        <x:v>968.41</x:v>
      </x:c>
      <x:c r="C4347" s="32">
        <x:v>985.06</x:v>
      </x:c>
      <x:c r="D4347" s="32">
        <x:v>967.92</x:v>
      </x:c>
      <x:c r="E4347" s="32">
        <x:v>985.06</x:v>
      </x:c>
      <x:c r="F4347" s="33">
        <x:v>158843940</x:v>
      </x:c>
      <x:c r="G4347" s="32" t="n">
        <x:f t="shared" si="192">AVERAGE(E4148:E4347)</x:f>
        <x:v>1022.1159999999998</x:v>
      </x:c>
      <x:c r="H4347" s="37" t="n">
        <x:f t="shared" si="193">IFERROR(E4347/G4347-1,"")</x:f>
        <x:v>-0.036254202067084185</x:v>
      </x:c>
      <x:c r="I4347" s="38" t="b">
        <x:f t="shared" si="194">E4347&lt;G4347</x:f>
        <x:v>1</x:v>
      </x:c>
    </x:row>
    <x:row r="4348">
      <x:c r="A4348" s="31">
        <x:v>43355</x:v>
      </x:c>
      <x:c r="B4348" s="32">
        <x:v>990</x:v>
      </x:c>
      <x:c r="C4348" s="32">
        <x:v>994.83</x:v>
      </x:c>
      <x:c r="D4348" s="32">
        <x:v>985.06</x:v>
      </x:c>
      <x:c r="E4348" s="32">
        <x:v>987.01</x:v>
      </x:c>
      <x:c r="F4348" s="33">
        <x:v>170858030</x:v>
      </x:c>
      <x:c r="G4348" s="32" t="n">
        <x:f t="shared" si="192">AVERAGE(E4149:E4348)</x:f>
        <x:v>1022.5332999999998</x:v>
      </x:c>
      <x:c r="H4348" s="37" t="n">
        <x:f t="shared" si="193">IFERROR(E4348/G4348-1,"")</x:f>
        <x:v>-0.034740482290405494</x:v>
      </x:c>
      <x:c r="I4348" s="38" t="b">
        <x:f t="shared" si="194">E4348&lt;G4348</x:f>
        <x:v>1</x:v>
      </x:c>
    </x:row>
    <x:row r="4349">
      <x:c r="A4349" s="31">
        <x:v>43356</x:v>
      </x:c>
      <x:c r="B4349" s="32">
        <x:v>987.48</x:v>
      </x:c>
      <x:c r="C4349" s="32">
        <x:v>992.96</x:v>
      </x:c>
      <x:c r="D4349" s="32">
        <x:v>984.92</x:v>
      </x:c>
      <x:c r="E4349" s="32">
        <x:v>987.95</x:v>
      </x:c>
      <x:c r="F4349" s="33">
        <x:v>148842470</x:v>
      </x:c>
      <x:c r="G4349" s="32" t="n">
        <x:f t="shared" si="192">AVERAGE(E4150:E4349)</x:f>
        <x:v>1022.8815499999998</x:v>
      </x:c>
      <x:c r="H4349" s="37" t="n">
        <x:f t="shared" si="193">IFERROR(E4349/G4349-1,"")</x:f>
        <x:v>-0.03415014182238385</x:v>
      </x:c>
      <x:c r="I4349" s="38" t="b">
        <x:f t="shared" si="194">E4349&lt;G4349</x:f>
        <x:v>1</x:v>
      </x:c>
    </x:row>
    <x:row r="4350">
      <x:c r="A4350" s="31">
        <x:v>43357</x:v>
      </x:c>
      <x:c r="B4350" s="32">
        <x:v>987.95</x:v>
      </x:c>
      <x:c r="C4350" s="32">
        <x:v>995.55</x:v>
      </x:c>
      <x:c r="D4350" s="32">
        <x:v>987.95</x:v>
      </x:c>
      <x:c r="E4350" s="32">
        <x:v>991.34</x:v>
      </x:c>
      <x:c r="F4350" s="33">
        <x:v>149728940</x:v>
      </x:c>
      <x:c r="G4350" s="32" t="n">
        <x:f t="shared" si="192">AVERAGE(E4151:E4350)</x:f>
        <x:v>1023.1749499999999</x:v>
      </x:c>
      <x:c r="H4350" s="37" t="n">
        <x:f t="shared" si="193">IFERROR(E4350/G4350-1,"")</x:f>
        <x:v>-0.031113887219384906</x:v>
      </x:c>
      <x:c r="I4350" s="38" t="b">
        <x:f t="shared" si="194">E4350&lt;G4350</x:f>
        <x:v>1</x:v>
      </x:c>
    </x:row>
    <x:row r="4351">
      <x:c r="A4351" s="31">
        <x:v>43360</x:v>
      </x:c>
      <x:c r="B4351" s="32">
        <x:v>990.65</x:v>
      </x:c>
      <x:c r="C4351" s="32">
        <x:v>993.83</x:v>
      </x:c>
      <x:c r="D4351" s="32">
        <x:v>987.02</x:v>
      </x:c>
      <x:c r="E4351" s="32">
        <x:v>987.61</x:v>
      </x:c>
      <x:c r="F4351" s="33">
        <x:v>146741120</x:v>
      </x:c>
      <x:c r="G4351" s="32" t="n">
        <x:f t="shared" si="192">AVERAGE(E4152:E4351)</x:f>
        <x:v>1023.4444999999998</x:v>
      </x:c>
      <x:c r="H4351" s="37" t="n">
        <x:f t="shared" si="193">IFERROR(E4351/G4351-1,"")</x:f>
        <x:v>-0.03501362311292877</x:v>
      </x:c>
      <x:c r="I4351" s="38" t="b">
        <x:f t="shared" si="194">E4351&lt;G4351</x:f>
        <x:v>1</x:v>
      </x:c>
    </x:row>
    <x:row r="4352">
      <x:c r="A4352" s="31">
        <x:v>43361</x:v>
      </x:c>
      <x:c r="B4352" s="32">
        <x:v>983.43</x:v>
      </x:c>
      <x:c r="C4352" s="32">
        <x:v>993.49</x:v>
      </x:c>
      <x:c r="D4352" s="32">
        <x:v>981.89</x:v>
      </x:c>
      <x:c r="E4352" s="32">
        <x:v>993.49</x:v>
      </x:c>
      <x:c r="F4352" s="33">
        <x:v>171104330</x:v>
      </x:c>
      <x:c r="G4352" s="32" t="n">
        <x:f t="shared" si="192">AVERAGE(E4153:E4352)</x:f>
        <x:v>1023.7340999999999</x:v>
      </x:c>
      <x:c r="H4352" s="37" t="n">
        <x:f t="shared" si="193">IFERROR(E4352/G4352-1,"")</x:f>
        <x:v>-0.02954292525764246</x:v>
      </x:c>
      <x:c r="I4352" s="38" t="b">
        <x:f t="shared" si="194">E4352&lt;G4352</x:f>
        <x:v>1</x:v>
      </x:c>
    </x:row>
    <x:row r="4353">
      <x:c r="A4353" s="31">
        <x:v>43362</x:v>
      </x:c>
      <x:c r="B4353" s="32">
        <x:v>998.65</x:v>
      </x:c>
      <x:c r="C4353" s="32">
        <x:v>1001.83</x:v>
      </x:c>
      <x:c r="D4353" s="32">
        <x:v>993.49</x:v>
      </x:c>
      <x:c r="E4353" s="32">
        <x:v>995.54</x:v>
      </x:c>
      <x:c r="F4353" s="33">
        <x:v>206247050</x:v>
      </x:c>
      <x:c r="G4353" s="32" t="n">
        <x:f t="shared" si="192">AVERAGE(E4154:E4353)</x:f>
        <x:v>1024.01875</x:v>
      </x:c>
      <x:c r="H4353" s="37" t="n">
        <x:f t="shared" si="193">IFERROR(E4353/G4353-1,"")</x:f>
        <x:v>-0.02781077006646604</x:v>
      </x:c>
      <x:c r="I4353" s="38" t="b">
        <x:f t="shared" si="194">E4353&lt;G4353</x:f>
        <x:v>1</x:v>
      </x:c>
    </x:row>
    <x:row r="4354">
      <x:c r="A4354" s="31">
        <x:v>43363</x:v>
      </x:c>
      <x:c r="B4354" s="32">
        <x:v>995.54</x:v>
      </x:c>
      <x:c r="C4354" s="32">
        <x:v>1004.74</x:v>
      </x:c>
      <x:c r="D4354" s="32">
        <x:v>995.54</x:v>
      </x:c>
      <x:c r="E4354" s="32">
        <x:v>1004.74</x:v>
      </x:c>
      <x:c r="F4354" s="33">
        <x:v>179431950</x:v>
      </x:c>
      <x:c r="G4354" s="32" t="n">
        <x:f t="shared" si="192">AVERAGE(E4155:E4354)</x:f>
        <x:v>1024.3364</x:v>
      </x:c>
      <x:c r="H4354" s="37" t="n">
        <x:f t="shared" si="193">IFERROR(E4354/G4354-1,"")</x:f>
        <x:v>-0.01913082460019966</x:v>
      </x:c>
      <x:c r="I4354" s="38" t="b">
        <x:f t="shared" si="194">E4354&lt;G4354</x:f>
        <x:v>1</x:v>
      </x:c>
    </x:row>
    <x:row r="4355">
      <x:c r="A4355" s="31">
        <x:v>43364</x:v>
      </x:c>
      <x:c r="B4355" s="32">
        <x:v>1006.25</x:v>
      </x:c>
      <x:c r="C4355" s="32">
        <x:v>1009.1</x:v>
      </x:c>
      <x:c r="D4355" s="32">
        <x:v>1000.39</x:v>
      </x:c>
      <x:c r="E4355" s="32">
        <x:v>1002.97</x:v>
      </x:c>
      <x:c r="F4355" s="33">
        <x:v>273413180</x:v>
      </x:c>
      <x:c r="G4355" s="32" t="n">
        <x:f t="shared" si="192">AVERAGE(E4156:E4355)</x:f>
        <x:v>1024.59055</x:v>
      </x:c>
      <x:c r="H4355" s="37" t="n">
        <x:f t="shared" si="193">IFERROR(E4355/G4355-1,"")</x:f>
        <x:v>-0.021101648848898535</x:v>
      </x:c>
      <x:c r="I4355" s="38" t="b">
        <x:f t="shared" si="194">E4355&lt;G4355</x:f>
        <x:v>1</x:v>
      </x:c>
    </x:row>
    <x:row r="4356">
      <x:c r="A4356" s="31">
        <x:v>43367</x:v>
      </x:c>
      <x:c r="B4356" s="32">
        <x:v>1007.52</x:v>
      </x:c>
      <x:c r="C4356" s="32">
        <x:v>1011.29</x:v>
      </x:c>
      <x:c r="D4356" s="32">
        <x:v>1002.97</x:v>
      </x:c>
      <x:c r="E4356" s="32">
        <x:v>1011.29</x:v>
      </x:c>
      <x:c r="F4356" s="33">
        <x:v>169398920</x:v>
      </x:c>
      <x:c r="G4356" s="32" t="n">
        <x:f t="shared" si="192">AVERAGE(E4157:E4356)</x:f>
        <x:v>1024.89735</x:v>
      </x:c>
      <x:c r="H4356" s="37" t="n">
        <x:f t="shared" si="193">IFERROR(E4356/G4356-1,"")</x:f>
        <x:v>-0.013276793036883117</x:v>
      </x:c>
      <x:c r="I4356" s="38" t="b">
        <x:f t="shared" si="194">E4356&lt;G4356</x:f>
        <x:v>1</x:v>
      </x:c>
    </x:row>
    <x:row r="4357">
      <x:c r="A4357" s="31">
        <x:v>43368</x:v>
      </x:c>
      <x:c r="B4357" s="32">
        <x:v>1011.94</x:v>
      </x:c>
      <x:c r="C4357" s="32">
        <x:v>1014.53</x:v>
      </x:c>
      <x:c r="D4357" s="32">
        <x:v>1008.67</x:v>
      </x:c>
      <x:c r="E4357" s="32">
        <x:v>1010.74</x:v>
      </x:c>
      <x:c r="F4357" s="33">
        <x:v>198241540</x:v>
      </x:c>
      <x:c r="G4357" s="32" t="n">
        <x:f t="shared" si="192">AVERAGE(E4158:E4357)</x:f>
        <x:v>1025.1493999999998</x:v>
      </x:c>
      <x:c r="H4357" s="37" t="n">
        <x:f t="shared" si="193">IFERROR(E4357/G4357-1,"")</x:f>
        <x:v>-0.014055902486017957</x:v>
      </x:c>
      <x:c r="I4357" s="38" t="b">
        <x:f t="shared" si="194">E4357&lt;G4357</x:f>
        <x:v>1</x:v>
      </x:c>
    </x:row>
    <x:row r="4358">
      <x:c r="A4358" s="31">
        <x:v>43369</x:v>
      </x:c>
      <x:c r="B4358" s="32">
        <x:v>1008.93</x:v>
      </x:c>
      <x:c r="C4358" s="32">
        <x:v>1014.86</x:v>
      </x:c>
      <x:c r="D4358" s="32">
        <x:v>1007.44</x:v>
      </x:c>
      <x:c r="E4358" s="32">
        <x:v>1009.61</x:v>
      </x:c>
      <x:c r="F4358" s="33">
        <x:v>219897580</x:v>
      </x:c>
      <x:c r="G4358" s="32" t="n">
        <x:f t="shared" si="192">AVERAGE(E4159:E4358)</x:f>
        <x:v>1025.3473499999998</x:v>
      </x:c>
      <x:c r="H4358" s="37" t="n">
        <x:f t="shared" si="193">IFERROR(E4358/G4358-1,"")</x:f>
        <x:v>-0.01534831098944156</x:v>
      </x:c>
      <x:c r="I4358" s="38" t="b">
        <x:f t="shared" si="194">E4358&lt;G4358</x:f>
        <x:v>1</x:v>
      </x:c>
    </x:row>
    <x:row r="4359">
      <x:c r="A4359" s="31">
        <x:v>43370</x:v>
      </x:c>
      <x:c r="B4359" s="32">
        <x:v>1012.57</x:v>
      </x:c>
      <x:c r="C4359" s="32">
        <x:v>1017.78</x:v>
      </x:c>
      <x:c r="D4359" s="32">
        <x:v>1009.61</x:v>
      </x:c>
      <x:c r="E4359" s="32">
        <x:v>1015.37</x:v>
      </x:c>
      <x:c r="F4359" s="33">
        <x:v>180962780</x:v>
      </x:c>
      <x:c r="G4359" s="32" t="n">
        <x:f t="shared" si="192">AVERAGE(E4160:E4359)</x:f>
        <x:v>1025.6576999999997</x:v>
      </x:c>
      <x:c r="H4359" s="37" t="n">
        <x:f t="shared" si="193">IFERROR(E4359/G4359-1,"")</x:f>
        <x:v>-0.010030344431675164</x:v>
      </x:c>
      <x:c r="I4359" s="38" t="b">
        <x:f t="shared" si="194">E4359&lt;G4359</x:f>
        <x:v>1</x:v>
      </x:c>
    </x:row>
    <x:row r="4360">
      <x:c r="A4360" s="31">
        <x:v>43371</x:v>
      </x:c>
      <x:c r="B4360" s="32">
        <x:v>1019.34</x:v>
      </x:c>
      <x:c r="C4360" s="32">
        <x:v>1020.84</x:v>
      </x:c>
      <x:c r="D4360" s="32">
        <x:v>1015.37</x:v>
      </x:c>
      <x:c r="E4360" s="32">
        <x:v>1017.13</x:v>
      </x:c>
      <x:c r="F4360" s="33">
        <x:v>224567020</x:v>
      </x:c>
      <x:c r="G4360" s="32" t="n">
        <x:f t="shared" si="192">AVERAGE(E4161:E4360)</x:f>
        <x:v>1026.00515</x:v>
      </x:c>
      <x:c r="H4360" s="37" t="n">
        <x:f t="shared" si="193">IFERROR(E4360/G4360-1,"")</x:f>
        <x:v>-0.008650200245096218</x:v>
      </x:c>
      <x:c r="I4360" s="38" t="b">
        <x:f t="shared" si="194">E4360&lt;G4360</x:f>
        <x:v>1</x:v>
      </x:c>
    </x:row>
    <x:row r="4361">
      <x:c r="A4361" s="31">
        <x:v>43374</x:v>
      </x:c>
      <x:c r="B4361" s="32">
        <x:v>1019.49</x:v>
      </x:c>
      <x:c r="C4361" s="32">
        <x:v>1023.87</x:v>
      </x:c>
      <x:c r="D4361" s="32">
        <x:v>1012.88</x:v>
      </x:c>
      <x:c r="E4361" s="32">
        <x:v>1012.88</x:v>
      </x:c>
      <x:c r="F4361" s="33">
        <x:v>225044930</x:v>
      </x:c>
      <x:c r="G4361" s="32" t="n">
        <x:f t="shared" si="192">AVERAGE(E4162:E4361)</x:f>
        <x:v>1026.3762999999997</x:v>
      </x:c>
      <x:c r="H4361" s="37" t="n">
        <x:f t="shared" si="193">IFERROR(E4361/G4361-1,"")</x:f>
        <x:v>-0.013149465746626898</x:v>
      </x:c>
      <x:c r="I4361" s="38" t="b">
        <x:f t="shared" si="194">E4361&lt;G4361</x:f>
        <x:v>1</x:v>
      </x:c>
    </x:row>
    <x:row r="4362">
      <x:c r="A4362" s="31">
        <x:v>43375</x:v>
      </x:c>
      <x:c r="B4362" s="32">
        <x:v>1014.26</x:v>
      </x:c>
      <x:c r="C4362" s="32">
        <x:v>1021.51</x:v>
      </x:c>
      <x:c r="D4362" s="32">
        <x:v>1012.88</x:v>
      </x:c>
      <x:c r="E4362" s="32">
        <x:v>1018.79</x:v>
      </x:c>
      <x:c r="F4362" s="33">
        <x:v>203932870</x:v>
      </x:c>
      <x:c r="G4362" s="32" t="n">
        <x:f t="shared" si="192">AVERAGE(E4163:E4362)</x:f>
        <x:v>1026.76945</x:v>
      </x:c>
      <x:c r="H4362" s="37" t="n">
        <x:f t="shared" si="193">IFERROR(E4362/G4362-1,"")</x:f>
        <x:v>-0.007771413533973037</x:v>
      </x:c>
      <x:c r="I4362" s="38" t="b">
        <x:f t="shared" si="194">E4362&lt;G4362</x:f>
        <x:v>1</x:v>
      </x:c>
    </x:row>
    <x:row r="4363">
      <x:c r="A4363" s="31">
        <x:v>43376</x:v>
      </x:c>
      <x:c r="B4363" s="32">
        <x:v>1021.08</x:v>
      </x:c>
      <x:c r="C4363" s="32">
        <x:v>1024.5899999999999</x:v>
      </x:c>
      <x:c r="D4363" s="32">
        <x:v>1016.47</x:v>
      </x:c>
      <x:c r="E4363" s="32">
        <x:v>1020.4</x:v>
      </x:c>
      <x:c r="F4363" s="33">
        <x:v>160155660</x:v>
      </x:c>
      <x:c r="G4363" s="32" t="n">
        <x:f t="shared" si="192">AVERAGE(E4164:E4363)</x:f>
        <x:v>1027.2841999999998</x:v>
      </x:c>
      <x:c r="H4363" s="37" t="n">
        <x:f t="shared" si="193">IFERROR(E4363/G4363-1,"")</x:f>
        <x:v>-0.006701358786594613</x:v>
      </x:c>
      <x:c r="I4363" s="38" t="b">
        <x:f t="shared" si="194">E4363&lt;G4363</x:f>
        <x:v>1</x:v>
      </x:c>
    </x:row>
    <x:row r="4364">
      <x:c r="A4364" s="31">
        <x:v>43377</x:v>
      </x:c>
      <x:c r="B4364" s="32">
        <x:v>1024.68</x:v>
      </x:c>
      <x:c r="C4364" s="32">
        <x:v>1024.68</x:v>
      </x:c>
      <x:c r="D4364" s="32">
        <x:v>1020.4</x:v>
      </x:c>
      <x:c r="E4364" s="32">
        <x:v>1023.62</x:v>
      </x:c>
      <x:c r="F4364" s="33">
        <x:v>183870790</x:v>
      </x:c>
      <x:c r="G4364" s="32" t="n">
        <x:f t="shared" si="192">AVERAGE(E4165:E4364)</x:f>
        <x:v>1027.7660499999997</x:v>
      </x:c>
      <x:c r="H4364" s="37" t="n">
        <x:f t="shared" si="193">IFERROR(E4364/G4364-1,"")</x:f>
        <x:v>-0.0040340406262686646</x:v>
      </x:c>
      <x:c r="I4364" s="38" t="b">
        <x:f t="shared" si="194">E4364&lt;G4364</x:f>
        <x:v>1</x:v>
      </x:c>
    </x:row>
    <x:row r="4365">
      <x:c r="A4365" s="31">
        <x:v>43378</x:v>
      </x:c>
      <x:c r="B4365" s="32">
        <x:v>1020.21</x:v>
      </x:c>
      <x:c r="C4365" s="32">
        <x:v>1023.62</x:v>
      </x:c>
      <x:c r="D4365" s="32">
        <x:v>1008.39</x:v>
      </x:c>
      <x:c r="E4365" s="32">
        <x:v>1008.39</x:v>
      </x:c>
      <x:c r="F4365" s="33">
        <x:v>206650560</x:v>
      </x:c>
      <x:c r="G4365" s="32" t="n">
        <x:f t="shared" ref="G4365:G4428" si="195">AVERAGE(E4166:E4365)</x:f>
        <x:v>1028.1859999999997</x:v>
      </x:c>
      <x:c r="H4365" s="37" t="n">
        <x:f t="shared" ref="H4365:H4428" si="196">IFERROR(E4365/G4365-1,"")</x:f>
        <x:v>-0.01925332576012484</x:v>
      </x:c>
      <x:c r="I4365" s="38" t="b">
        <x:f t="shared" ref="I4365:I4428" si="197">E4365&lt;G4365</x:f>
        <x:v>1</x:v>
      </x:c>
    </x:row>
    <x:row r="4366">
      <x:c r="A4366" s="31">
        <x:v>43381</x:v>
      </x:c>
      <x:c r="B4366" s="32">
        <x:v>1003.31</x:v>
      </x:c>
      <x:c r="C4366" s="32">
        <x:v>1008.39</x:v>
      </x:c>
      <x:c r="D4366" s="32">
        <x:v>996.12</x:v>
      </x:c>
      <x:c r="E4366" s="32">
        <x:v>996.12</x:v>
      </x:c>
      <x:c r="F4366" s="33">
        <x:v>185949540</x:v>
      </x:c>
      <x:c r="G4366" s="32" t="n">
        <x:f t="shared" si="195">AVERAGE(E4167:E4366)</x:f>
        <x:v>1028.4873499999997</x:v>
      </x:c>
      <x:c r="H4366" s="37" t="n">
        <x:f t="shared" si="196">IFERROR(E4366/G4366-1,"")</x:f>
        <x:v>-0.0314708294662055</x:v>
      </x:c>
      <x:c r="I4366" s="38" t="b">
        <x:f t="shared" si="197">E4366&lt;G4366</x:f>
        <x:v>1</x:v>
      </x:c>
    </x:row>
    <x:row r="4367">
      <x:c r="A4367" s="31">
        <x:v>43382</x:v>
      </x:c>
      <x:c r="B4367" s="32">
        <x:v>998.7</x:v>
      </x:c>
      <x:c r="C4367" s="32">
        <x:v>1001.87</x:v>
      </x:c>
      <x:c r="D4367" s="32">
        <x:v>996.12</x:v>
      </x:c>
      <x:c r="E4367" s="32">
        <x:v>996.19</x:v>
      </x:c>
      <x:c r="F4367" s="33">
        <x:v>178954450</x:v>
      </x:c>
      <x:c r="G4367" s="32" t="n">
        <x:f t="shared" si="195">AVERAGE(E4168:E4367)</x:f>
        <x:v>1028.7924999999998</x:v>
      </x:c>
      <x:c r="H4367" s="37" t="n">
        <x:f t="shared" si="196">IFERROR(E4367/G4367-1,"")</x:f>
        <x:v>-0.0316900638369737</x:v>
      </x:c>
      <x:c r="I4367" s="38" t="b">
        <x:f t="shared" si="197">E4367&lt;G4367</x:f>
        <x:v>1</x:v>
      </x:c>
    </x:row>
    <x:row r="4368">
      <x:c r="A4368" s="31">
        <x:v>43383</x:v>
      </x:c>
      <x:c r="B4368" s="32">
        <x:v>998.66</x:v>
      </x:c>
      <x:c r="C4368" s="32">
        <x:v>999.62</x:v>
      </x:c>
      <x:c r="D4368" s="32">
        <x:v>991.22</x:v>
      </x:c>
      <x:c r="E4368" s="32">
        <x:v>993.96</x:v>
      </x:c>
      <x:c r="F4368" s="33">
        <x:v>171846560</x:v>
      </x:c>
      <x:c r="G4368" s="32" t="n">
        <x:f t="shared" si="195">AVERAGE(E4169:E4368)</x:f>
        <x:v>1028.9719999999998</x:v>
      </x:c>
      <x:c r="H4368" s="37" t="n">
        <x:f t="shared" si="196">IFERROR(E4368/G4368-1,"")</x:f>
        <x:v>-0.034026193132563054</x:v>
      </x:c>
      <x:c r="I4368" s="38" t="b">
        <x:f t="shared" si="197">E4368&lt;G4368</x:f>
        <x:v>1</x:v>
      </x:c>
    </x:row>
    <x:row r="4369">
      <x:c r="A4369" s="31">
        <x:v>43384</x:v>
      </x:c>
      <x:c r="B4369" s="32">
        <x:v>972.21</x:v>
      </x:c>
      <x:c r="C4369" s="32">
        <x:v>993.96</x:v>
      </x:c>
      <x:c r="D4369" s="32">
        <x:v>938.83</x:v>
      </x:c>
      <x:c r="E4369" s="32">
        <x:v>945.89</x:v>
      </x:c>
      <x:c r="F4369" s="33">
        <x:v>344023630</x:v>
      </x:c>
      <x:c r="G4369" s="32" t="n">
        <x:f t="shared" si="195">AVERAGE(E4170:E4369)</x:f>
        <x:v>1028.9443499999998</x:v>
      </x:c>
      <x:c r="H4369" s="37" t="n">
        <x:f t="shared" si="196">IFERROR(E4369/G4369-1,"")</x:f>
        <x:v>-0.08071801939531498</x:v>
      </x:c>
      <x:c r="I4369" s="38" t="b">
        <x:f t="shared" si="197">E4369&lt;G4369</x:f>
        <x:v>1</x:v>
      </x:c>
    </x:row>
    <x:row r="4370">
      <x:c r="A4370" s="31">
        <x:v>43385</x:v>
      </x:c>
      <x:c r="B4370" s="32">
        <x:v>939.2</x:v>
      </x:c>
      <x:c r="C4370" s="32">
        <x:v>970.08</x:v>
      </x:c>
      <x:c r="D4370" s="32">
        <x:v>933.35</x:v>
      </x:c>
      <x:c r="E4370" s="32">
        <x:v>970.08</x:v>
      </x:c>
      <x:c r="F4370" s="33">
        <x:v>203631780</x:v>
      </x:c>
      <x:c r="G4370" s="32" t="n">
        <x:f t="shared" si="195">AVERAGE(E4171:E4370)</x:f>
        <x:v>1029.0271999999998</x:v>
      </x:c>
      <x:c r="H4370" s="37" t="n">
        <x:f t="shared" si="196">IFERROR(E4370/G4370-1,"")</x:f>
        <x:v>-0.057284394426113994</x:v>
      </x:c>
      <x:c r="I4370" s="38" t="b">
        <x:f t="shared" si="197">E4370&lt;G4370</x:f>
        <x:v>1</x:v>
      </x:c>
    </x:row>
    <x:row r="4371">
      <x:c r="A4371" s="31">
        <x:v>43388</x:v>
      </x:c>
      <x:c r="B4371" s="32">
        <x:v>968.8</x:v>
      </x:c>
      <x:c r="C4371" s="32">
        <x:v>970.08</x:v>
      </x:c>
      <x:c r="D4371" s="32">
        <x:v>951.64</x:v>
      </x:c>
      <x:c r="E4371" s="32">
        <x:v>951.64</x:v>
      </x:c>
      <x:c r="F4371" s="33">
        <x:v>123102110</x:v>
      </x:c>
      <x:c r="G4371" s="32" t="n">
        <x:f t="shared" si="195">AVERAGE(E4172:E4371)</x:f>
        <x:v>1029.0550999999998</x:v>
      </x:c>
      <x:c r="H4371" s="37" t="n">
        <x:f t="shared" si="196">IFERROR(E4371/G4371-1,"")</x:f>
        <x:v>-0.07522930501972136</x:v>
      </x:c>
      <x:c r="I4371" s="38" t="b">
        <x:f t="shared" si="197">E4371&lt;G4371</x:f>
        <x:v>1</x:v>
      </x:c>
    </x:row>
    <x:row r="4372">
      <x:c r="A4372" s="31">
        <x:v>43389</x:v>
      </x:c>
      <x:c r="B4372" s="32">
        <x:v>950.36</x:v>
      </x:c>
      <x:c r="C4372" s="32">
        <x:v>963.69</x:v>
      </x:c>
      <x:c r="D4372" s="32">
        <x:v>950.36</x:v>
      </x:c>
      <x:c r="E4372" s="32">
        <x:v>963.37</x:v>
      </x:c>
      <x:c r="F4372" s="33">
        <x:v>117735940</x:v>
      </x:c>
      <x:c r="G4372" s="32" t="n">
        <x:f t="shared" si="195">AVERAGE(E4173:E4372)</x:f>
        <x:v>1029.1103499999997</x:v>
      </x:c>
      <x:c r="H4372" s="37" t="n">
        <x:f t="shared" si="196">IFERROR(E4372/G4372-1,"")</x:f>
        <x:v>-0.0638807587543937</x:v>
      </x:c>
      <x:c r="I4372" s="38" t="b">
        <x:f t="shared" si="197">E4372&lt;G4372</x:f>
        <x:v>1</x:v>
      </x:c>
    </x:row>
    <x:row r="4373">
      <x:c r="A4373" s="31">
        <x:v>43390</x:v>
      </x:c>
      <x:c r="B4373" s="32">
        <x:v>973.14</x:v>
      </x:c>
      <x:c r="C4373" s="32">
        <x:v>975.27</x:v>
      </x:c>
      <x:c r="D4373" s="32">
        <x:v>963.37</x:v>
      </x:c>
      <x:c r="E4373" s="32">
        <x:v>971.6</x:v>
      </x:c>
      <x:c r="F4373" s="33">
        <x:v>137768810</x:v>
      </x:c>
      <x:c r="G4373" s="32" t="n">
        <x:f t="shared" si="195">AVERAGE(E4174:E4373)</x:f>
        <x:v>1029.1767999999997</x:v>
      </x:c>
      <x:c r="H4373" s="37" t="n">
        <x:f t="shared" si="196">IFERROR(E4373/G4373-1,"")</x:f>
        <x:v>-0.05594451798757971</x:v>
      </x:c>
      <x:c r="I4373" s="38" t="b">
        <x:f t="shared" si="197">E4373&lt;G4373</x:f>
        <x:v>1</x:v>
      </x:c>
    </x:row>
    <x:row r="4374">
      <x:c r="A4374" s="31">
        <x:v>43391</x:v>
      </x:c>
      <x:c r="B4374" s="32">
        <x:v>968.93</x:v>
      </x:c>
      <x:c r="C4374" s="32">
        <x:v>971.6</x:v>
      </x:c>
      <x:c r="D4374" s="32">
        <x:v>962.68</x:v>
      </x:c>
      <x:c r="E4374" s="32">
        <x:v>963.47</x:v>
      </x:c>
      <x:c r="F4374" s="33">
        <x:v>126109950</x:v>
      </x:c>
      <x:c r="G4374" s="32" t="n">
        <x:f t="shared" si="195">AVERAGE(E4175:E4374)</x:f>
        <x:v>1029.1644999999999</x:v>
      </x:c>
      <x:c r="H4374" s="37" t="n">
        <x:f t="shared" si="196">IFERROR(E4374/G4374-1,"")</x:f>
        <x:v>-0.06383284693554803</x:v>
      </x:c>
      <x:c r="I4374" s="38" t="b">
        <x:f t="shared" si="197">E4374&lt;G4374</x:f>
        <x:v>1</x:v>
      </x:c>
    </x:row>
    <x:row r="4375">
      <x:c r="A4375" s="31">
        <x:v>43392</x:v>
      </x:c>
      <x:c r="B4375" s="32">
        <x:v>949.94</x:v>
      </x:c>
      <x:c r="C4375" s="32">
        <x:v>963.47</x:v>
      </x:c>
      <x:c r="D4375" s="32">
        <x:v>945.83</x:v>
      </x:c>
      <x:c r="E4375" s="32">
        <x:v>958.36</x:v>
      </x:c>
      <x:c r="F4375" s="33">
        <x:v>132371320</x:v>
      </x:c>
      <x:c r="G4375" s="32" t="n">
        <x:f t="shared" si="195">AVERAGE(E4176:E4375)</x:f>
        <x:v>1029.1139999999996</x:v>
      </x:c>
      <x:c r="H4375" s="37" t="n">
        <x:f t="shared" si="196">IFERROR(E4375/G4375-1,"")</x:f>
        <x:v>-0.06875234424951915</x:v>
      </x:c>
      <x:c r="I4375" s="38" t="b">
        <x:f t="shared" si="197">E4375&lt;G4375</x:f>
        <x:v>1</x:v>
      </x:c>
    </x:row>
    <x:row r="4376">
      <x:c r="A4376" s="31">
        <x:v>43395</x:v>
      </x:c>
      <x:c r="B4376" s="32">
        <x:v>958.36</x:v>
      </x:c>
      <x:c r="C4376" s="32">
        <x:v>963.79</x:v>
      </x:c>
      <x:c r="D4376" s="32">
        <x:v>953.51</x:v>
      </x:c>
      <x:c r="E4376" s="32">
        <x:v>953.51</x:v>
      </x:c>
      <x:c r="F4376" s="33">
        <x:v>133005070</x:v>
      </x:c>
      <x:c r="G4376" s="32" t="n">
        <x:f t="shared" si="195">AVERAGE(E4177:E4376)</x:f>
        <x:v>1028.9979499999997</x:v>
      </x:c>
      <x:c r="H4376" s="37" t="n">
        <x:f t="shared" si="196">IFERROR(E4376/G4376-1,"")</x:f>
        <x:v>-0.07336064177776036</x:v>
      </x:c>
      <x:c r="I4376" s="38" t="b">
        <x:f t="shared" si="197">E4376&lt;G4376</x:f>
        <x:v>1</x:v>
      </x:c>
    </x:row>
    <x:row r="4377">
      <x:c r="A4377" s="31">
        <x:v>43396</x:v>
      </x:c>
      <x:c r="B4377" s="32">
        <x:v>950.12</x:v>
      </x:c>
      <x:c r="C4377" s="32">
        <x:v>953.51</x:v>
      </x:c>
      <x:c r="D4377" s="32">
        <x:v>925.29</x:v>
      </x:c>
      <x:c r="E4377" s="32">
        <x:v>939.68</x:v>
      </x:c>
      <x:c r="F4377" s="33">
        <x:v>181840880</x:v>
      </x:c>
      <x:c r="G4377" s="32" t="n">
        <x:f t="shared" si="195">AVERAGE(E4178:E4377)</x:f>
        <x:v>1028.77515</x:v>
      </x:c>
      <x:c r="H4377" s="37" t="n">
        <x:f t="shared" si="196">IFERROR(E4377/G4377-1,"")</x:f>
        <x:v>-0.08660313188941238</x:v>
      </x:c>
      <x:c r="I4377" s="38" t="b">
        <x:f t="shared" si="197">E4377&lt;G4377</x:f>
        <x:v>1</x:v>
      </x:c>
    </x:row>
    <x:row r="4378">
      <x:c r="A4378" s="31">
        <x:v>43397</x:v>
      </x:c>
      <x:c r="B4378" s="32">
        <x:v>935.25</x:v>
      </x:c>
      <x:c r="C4378" s="32">
        <x:v>939.68</x:v>
      </x:c>
      <x:c r="D4378" s="32">
        <x:v>922.73</x:v>
      </x:c>
      <x:c r="E4378" s="32">
        <x:v>922.73</x:v>
      </x:c>
      <x:c r="F4378" s="33">
        <x:v>132105240</x:v>
      </x:c>
      <x:c r="G4378" s="32" t="n">
        <x:f t="shared" si="195">AVERAGE(E4179:E4378)</x:f>
        <x:v>1028.4099499999998</x:v>
      </x:c>
      <x:c r="H4378" s="37" t="n">
        <x:f t="shared" si="196">IFERROR(E4378/G4378-1,"")</x:f>
        <x:v>-0.10276052852269635</x:v>
      </x:c>
      <x:c r="I4378" s="38" t="b">
        <x:f t="shared" si="197">E4378&lt;G4378</x:f>
        <x:v>1</x:v>
      </x:c>
    </x:row>
    <x:row r="4379">
      <x:c r="A4379" s="31">
        <x:v>43398</x:v>
      </x:c>
      <x:c r="B4379" s="32">
        <x:v>902.59</x:v>
      </x:c>
      <x:c r="C4379" s="32">
        <x:v>922.73</x:v>
      </x:c>
      <x:c r="D4379" s="32">
        <x:v>885.34</x:v>
      </x:c>
      <x:c r="E4379" s="32">
        <x:v>910.17</x:v>
      </x:c>
      <x:c r="F4379" s="33">
        <x:v>163619880</x:v>
      </x:c>
      <x:c r="G4379" s="32" t="n">
        <x:f t="shared" si="195">AVERAGE(E4180:E4379)</x:f>
        <x:v>1027.9324499999998</x:v>
      </x:c>
      <x:c r="H4379" s="37" t="n">
        <x:f t="shared" si="196">IFERROR(E4379/G4379-1,"")</x:f>
        <x:v>-0.11456244036269103</x:v>
      </x:c>
      <x:c r="I4379" s="38" t="b">
        <x:f t="shared" si="197">E4379&lt;G4379</x:f>
        <x:v>1</x:v>
      </x:c>
    </x:row>
    <x:row r="4380">
      <x:c r="A4380" s="31">
        <x:v>43399</x:v>
      </x:c>
      <x:c r="B4380" s="32">
        <x:v>918.11</x:v>
      </x:c>
      <x:c r="C4380" s="32">
        <x:v>918.16</x:v>
      </x:c>
      <x:c r="D4380" s="32">
        <x:v>900.82</x:v>
      </x:c>
      <x:c r="E4380" s="32">
        <x:v>900.82</x:v>
      </x:c>
      <x:c r="F4380" s="33">
        <x:v>133621650</x:v>
      </x:c>
      <x:c r="G4380" s="32" t="n">
        <x:f t="shared" si="195">AVERAGE(E4181:E4380)</x:f>
        <x:v>1027.3377999999998</x:v>
      </x:c>
      <x:c r="H4380" s="37" t="n">
        <x:f t="shared" si="196">IFERROR(E4380/G4380-1,"")</x:f>
        <x:v>-0.12315111932998057</x:v>
      </x:c>
      <x:c r="I4380" s="38" t="b">
        <x:f t="shared" si="197">E4380&lt;G4380</x:f>
        <x:v>1</x:v>
      </x:c>
    </x:row>
    <x:row r="4381">
      <x:c r="A4381" s="31">
        <x:v>43402</x:v>
      </x:c>
      <x:c r="B4381" s="32">
        <x:v>895.05</x:v>
      </x:c>
      <x:c r="C4381" s="32">
        <x:v>900.82</x:v>
      </x:c>
      <x:c r="D4381" s="32">
        <x:v>884.92</x:v>
      </x:c>
      <x:c r="E4381" s="32">
        <x:v>888.82</x:v>
      </x:c>
      <x:c r="F4381" s="33">
        <x:v>113424680</x:v>
      </x:c>
      <x:c r="G4381" s="32" t="n">
        <x:f t="shared" si="195">AVERAGE(E4182:E4381)</x:f>
        <x:v>1026.7186499999998</x:v>
      </x:c>
      <x:c r="H4381" s="37" t="n">
        <x:f t="shared" si="196">IFERROR(E4381/G4381-1,"")</x:f>
        <x:v>-0.13431006634582876</x:v>
      </x:c>
      <x:c r="I4381" s="38" t="b">
        <x:f t="shared" si="197">E4381&lt;G4381</x:f>
        <x:v>1</x:v>
      </x:c>
    </x:row>
    <x:row r="4382">
      <x:c r="A4382" s="31">
        <x:v>43403</x:v>
      </x:c>
      <x:c r="B4382" s="32">
        <x:v>881.32</x:v>
      </x:c>
      <x:c r="C4382" s="32">
        <x:v>894.8</x:v>
      </x:c>
      <x:c r="D4382" s="32">
        <x:v>880.85</x:v>
      </x:c>
      <x:c r="E4382" s="32">
        <x:v>888.69</x:v>
      </x:c>
      <x:c r="F4382" s="33">
        <x:v>119547410</x:v>
      </x:c>
      <x:c r="G4382" s="32" t="n">
        <x:f t="shared" si="195">AVERAGE(E4183:E4382)</x:f>
        <x:v>1026.0475999999999</x:v>
      </x:c>
      <x:c r="H4382" s="37" t="n">
        <x:f t="shared" si="196">IFERROR(E4382/G4382-1,"")</x:f>
        <x:v>-0.13387059235848298</x:v>
      </x:c>
      <x:c r="I4382" s="38" t="b">
        <x:f t="shared" si="197">E4382&lt;G4382</x:f>
        <x:v>1</x:v>
      </x:c>
    </x:row>
    <x:row r="4383">
      <x:c r="A4383" s="31">
        <x:v>43404</x:v>
      </x:c>
      <x:c r="B4383" s="32">
        <x:v>894.23</x:v>
      </x:c>
      <x:c r="C4383" s="32">
        <x:v>914.76</x:v>
      </x:c>
      <x:c r="D4383" s="32">
        <x:v>888.69</x:v>
      </x:c>
      <x:c r="E4383" s="32">
        <x:v>914.76</x:v>
      </x:c>
      <x:c r="F4383" s="33">
        <x:v>159222360</x:v>
      </x:c>
      <x:c r="G4383" s="32" t="n">
        <x:f t="shared" si="195">AVERAGE(E4184:E4383)</x:f>
        <x:v>1025.4535999999998</x:v>
      </x:c>
      <x:c r="H4383" s="37" t="n">
        <x:f t="shared" si="196">IFERROR(E4383/G4383-1,"")</x:f>
        <x:v>-0.10794598604949057</x:v>
      </x:c>
      <x:c r="I4383" s="38" t="b">
        <x:f t="shared" si="197">E4383&lt;G4383</x:f>
        <x:v>1</x:v>
      </x:c>
    </x:row>
    <x:row r="4384">
      <x:c r="A4384" s="31">
        <x:v>43405</x:v>
      </x:c>
      <x:c r="B4384" s="32">
        <x:v>915.52</x:v>
      </x:c>
      <x:c r="C4384" s="32">
        <x:v>918.84</x:v>
      </x:c>
      <x:c r="D4384" s="32">
        <x:v>905.73</x:v>
      </x:c>
      <x:c r="E4384" s="32">
        <x:v>907.96</x:v>
      </x:c>
      <x:c r="F4384" s="33">
        <x:v>121693330</x:v>
      </x:c>
      <x:c r="G4384" s="32" t="n">
        <x:f t="shared" si="195">AVERAGE(E4185:E4384)</x:f>
        <x:v>1024.8028499999998</x:v>
      </x:c>
      <x:c r="H4384" s="37" t="n">
        <x:f t="shared" si="196">IFERROR(E4384/G4384-1,"")</x:f>
        <x:v>-0.11401495419338437</x:v>
      </x:c>
      <x:c r="I4384" s="38" t="b">
        <x:f t="shared" si="197">E4384&lt;G4384</x:f>
        <x:v>1</x:v>
      </x:c>
    </x:row>
    <x:row r="4385">
      <x:c r="A4385" s="31">
        <x:v>43406</x:v>
      </x:c>
      <x:c r="B4385" s="32">
        <x:v>911.35</x:v>
      </x:c>
      <x:c r="C4385" s="32">
        <x:v>927.62</x:v>
      </x:c>
      <x:c r="D4385" s="32">
        <x:v>907.96</x:v>
      </x:c>
      <x:c r="E4385" s="32">
        <x:v>924.86</x:v>
      </x:c>
      <x:c r="F4385" s="33">
        <x:v>209087970</x:v>
      </x:c>
      <x:c r="G4385" s="32" t="n">
        <x:f t="shared" si="195">AVERAGE(E4186:E4385)</x:f>
        <x:v>1024.1862999999998</x:v>
      </x:c>
      <x:c r="H4385" s="37" t="n">
        <x:f t="shared" si="196">IFERROR(E4385/G4385-1,"")</x:f>
        <x:v>-0.09698069579723911</x:v>
      </x:c>
      <x:c r="I4385" s="38" t="b">
        <x:f t="shared" si="197">E4385&lt;G4385</x:f>
        <x:v>1</x:v>
      </x:c>
    </x:row>
    <x:row r="4386">
      <x:c r="A4386" s="31">
        <x:v>43409</x:v>
      </x:c>
      <x:c r="B4386" s="32">
        <x:v>920.87</x:v>
      </x:c>
      <x:c r="C4386" s="32">
        <x:v>925.53</x:v>
      </x:c>
      <x:c r="D4386" s="32">
        <x:v>915.77</x:v>
      </x:c>
      <x:c r="E4386" s="32">
        <x:v>925.53</x:v>
      </x:c>
      <x:c r="F4386" s="33">
        <x:v>121121310</x:v>
      </x:c>
      <x:c r="G4386" s="32" t="n">
        <x:f t="shared" si="195">AVERAGE(E4187:E4386)</x:f>
        <x:v>1023.5633999999997</x:v>
      </x:c>
      <x:c r="H4386" s="37" t="n">
        <x:f t="shared" si="196">IFERROR(E4386/G4386-1,"")</x:f>
        <x:v>-0.09577657817776575</x:v>
      </x:c>
      <x:c r="I4386" s="38" t="b">
        <x:f t="shared" si="197">E4386&lt;G4386</x:f>
        <x:v>1</x:v>
      </x:c>
    </x:row>
    <x:row r="4387">
      <x:c r="A4387" s="31">
        <x:v>43410</x:v>
      </x:c>
      <x:c r="B4387" s="32">
        <x:v>931</x:v>
      </x:c>
      <x:c r="C4387" s="32">
        <x:v>931.27</x:v>
      </x:c>
      <x:c r="D4387" s="32">
        <x:v>921.93</x:v>
      </x:c>
      <x:c r="E4387" s="32">
        <x:v>922.05</x:v>
      </x:c>
      <x:c r="F4387" s="33">
        <x:v>120442560</x:v>
      </x:c>
      <x:c r="G4387" s="32" t="n">
        <x:f t="shared" si="195">AVERAGE(E4188:E4387)</x:f>
        <x:v>1022.8562999999996</x:v>
      </x:c>
      <x:c r="H4387" s="37" t="n">
        <x:f t="shared" si="196">IFERROR(E4387/G4387-1,"")</x:f>
        <x:v>-0.09855372646186922</x:v>
      </x:c>
      <x:c r="I4387" s="38" t="b">
        <x:f t="shared" si="197">E4387&lt;G4387</x:f>
        <x:v>1</x:v>
      </x:c>
    </x:row>
    <x:row r="4388">
      <x:c r="A4388" s="31">
        <x:v>43411</x:v>
      </x:c>
      <x:c r="B4388" s="32">
        <x:v>922.03</x:v>
      </x:c>
      <x:c r="C4388" s="32">
        <x:v>924.6</x:v>
      </x:c>
      <x:c r="D4388" s="32">
        <x:v>915.41</x:v>
      </x:c>
      <x:c r="E4388" s="32">
        <x:v>922.16</x:v>
      </x:c>
      <x:c r="F4388" s="33">
        <x:v>126800490</x:v>
      </x:c>
      <x:c r="G4388" s="32" t="n">
        <x:f t="shared" si="195">AVERAGE(E4189:E4388)</x:f>
        <x:v>1022.1522999999999</x:v>
      </x:c>
      <x:c r="H4388" s="37" t="n">
        <x:f t="shared" si="196">IFERROR(E4388/G4388-1,"")</x:f>
        <x:v>-0.09782524580730279</x:v>
      </x:c>
      <x:c r="I4388" s="38" t="b">
        <x:f t="shared" si="197">E4388&lt;G4388</x:f>
        <x:v>1</x:v>
      </x:c>
    </x:row>
    <x:row r="4389">
      <x:c r="A4389" s="31">
        <x:v>43412</x:v>
      </x:c>
      <x:c r="B4389" s="32">
        <x:v>928.69</x:v>
      </x:c>
      <x:c r="C4389" s="32">
        <x:v>932.86</x:v>
      </x:c>
      <x:c r="D4389" s="32">
        <x:v>922.16</x:v>
      </x:c>
      <x:c r="E4389" s="32">
        <x:v>926.28</x:v>
      </x:c>
      <x:c r="F4389" s="33">
        <x:v>136692720</x:v>
      </x:c>
      <x:c r="G4389" s="32" t="n">
        <x:f t="shared" si="195">AVERAGE(E4190:E4389)</x:f>
        <x:v>1021.6102499999998</x:v>
      </x:c>
      <x:c r="H4389" s="37" t="n">
        <x:f t="shared" si="196">IFERROR(E4389/G4389-1,"")</x:f>
        <x:v>-0.09331371724197157</x:v>
      </x:c>
      <x:c r="I4389" s="38" t="b">
        <x:f t="shared" si="197">E4389&lt;G4389</x:f>
        <x:v>1</x:v>
      </x:c>
    </x:row>
    <x:row r="4390">
      <x:c r="A4390" s="31">
        <x:v>43413</x:v>
      </x:c>
      <x:c r="B4390" s="32">
        <x:v>921.11</x:v>
      </x:c>
      <x:c r="C4390" s="32">
        <x:v>926.28</x:v>
      </x:c>
      <x:c r="D4390" s="32">
        <x:v>914.29</x:v>
      </x:c>
      <x:c r="E4390" s="32">
        <x:v>914.29</x:v>
      </x:c>
      <x:c r="F4390" s="33">
        <x:v>131109630</x:v>
      </x:c>
      <x:c r="G4390" s="32" t="n">
        <x:f t="shared" si="195">AVERAGE(E4191:E4390)</x:f>
        <x:v>1020.9304499999998</x:v>
      </x:c>
      <x:c r="H4390" s="37" t="n">
        <x:f t="shared" si="196">IFERROR(E4390/G4390-1,"")</x:f>
        <x:v>-0.1044541770695544</x:v>
      </x:c>
      <x:c r="I4390" s="38" t="b">
        <x:f t="shared" si="197">E4390&lt;G4390</x:f>
        <x:v>1</x:v>
      </x:c>
    </x:row>
    <x:row r="4391">
      <x:c r="A4391" s="31">
        <x:v>43416</x:v>
      </x:c>
      <x:c r="B4391" s="32">
        <x:v>909.36</x:v>
      </x:c>
      <x:c r="C4391" s="32">
        <x:v>918.99</x:v>
      </x:c>
      <x:c r="D4391" s="32">
        <x:v>903.95</x:v>
      </x:c>
      <x:c r="E4391" s="32">
        <x:v>918.12</x:v>
      </x:c>
      <x:c r="F4391" s="33">
        <x:v>109808760</x:v>
      </x:c>
      <x:c r="G4391" s="32" t="n">
        <x:f t="shared" si="195">AVERAGE(E4192:E4391)</x:f>
        <x:v>1020.2107</x:v>
      </x:c>
      <x:c r="H4391" s="37" t="n">
        <x:f t="shared" si="196">IFERROR(E4391/G4391-1,"")</x:f>
        <x:v>-0.10006825060744806</x:v>
      </x:c>
      <x:c r="I4391" s="38" t="b">
        <x:f t="shared" si="197">E4391&lt;G4391</x:f>
        <x:v>1</x:v>
      </x:c>
    </x:row>
    <x:row r="4392">
      <x:c r="A4392" s="31">
        <x:v>43417</x:v>
      </x:c>
      <x:c r="B4392" s="32">
        <x:v>904.35</x:v>
      </x:c>
      <x:c r="C4392" s="32">
        <x:v>918.12</x:v>
      </x:c>
      <x:c r="D4392" s="32">
        <x:v>903.48</x:v>
      </x:c>
      <x:c r="E4392" s="32">
        <x:v>905.38</x:v>
      </x:c>
      <x:c r="F4392" s="33">
        <x:v>132807600</x:v>
      </x:c>
      <x:c r="G4392" s="32" t="n">
        <x:f t="shared" si="195">AVERAGE(E4193:E4392)</x:f>
        <x:v>1019.3004999999998</x:v>
      </x:c>
      <x:c r="H4392" s="37" t="n">
        <x:f t="shared" si="196">IFERROR(E4392/G4392-1,"")</x:f>
        <x:v>-0.11176341029951409</x:v>
      </x:c>
      <x:c r="I4392" s="38" t="b">
        <x:f t="shared" si="197">E4392&lt;G4392</x:f>
        <x:v>1</x:v>
      </x:c>
    </x:row>
    <x:row r="4393">
      <x:c r="A4393" s="31">
        <x:v>43418</x:v>
      </x:c>
      <x:c r="B4393" s="32">
        <x:v>904.16</x:v>
      </x:c>
      <x:c r="C4393" s="32">
        <x:v>910.58</x:v>
      </x:c>
      <x:c r="D4393" s="32">
        <x:v>898.83</x:v>
      </x:c>
      <x:c r="E4393" s="32">
        <x:v>900.93</x:v>
      </x:c>
      <x:c r="F4393" s="33">
        <x:v>125187850</x:v>
      </x:c>
      <x:c r="G4393" s="32" t="n">
        <x:f t="shared" si="195">AVERAGE(E4194:E4393)</x:f>
        <x:v>1018.2822999999996</x:v>
      </x:c>
      <x:c r="H4393" s="37" t="n">
        <x:f t="shared" si="196">IFERROR(E4393/G4393-1,"")</x:f>
        <x:v>-0.1152453499388133</x:v>
      </x:c>
      <x:c r="I4393" s="38" t="b">
        <x:f t="shared" si="197">E4393&lt;G4393</x:f>
        <x:v>1</x:v>
      </x:c>
    </x:row>
    <x:row r="4394">
      <x:c r="A4394" s="31">
        <x:v>43419</x:v>
      </x:c>
      <x:c r="B4394" s="32">
        <x:v>901.13</x:v>
      </x:c>
      <x:c r="C4394" s="32">
        <x:v>903.83</x:v>
      </x:c>
      <x:c r="D4394" s="32">
        <x:v>892.5</x:v>
      </x:c>
      <x:c r="E4394" s="32">
        <x:v>897.15</x:v>
      </x:c>
      <x:c r="F4394" s="33">
        <x:v>134989500</x:v>
      </x:c>
      <x:c r="G4394" s="32" t="n">
        <x:f t="shared" si="195">AVERAGE(E4195:E4394)</x:f>
        <x:v>1017.1898499999999</x:v>
      </x:c>
      <x:c r="H4394" s="37" t="n">
        <x:f t="shared" si="196">IFERROR(E4394/G4394-1,"")</x:f>
        <x:v>-0.11801125424128045</x:v>
      </x:c>
      <x:c r="I4394" s="38" t="b">
        <x:f t="shared" si="197">E4394&lt;G4394</x:f>
        <x:v>1</x:v>
      </x:c>
    </x:row>
    <x:row r="4395">
      <x:c r="A4395" s="31">
        <x:v>43420</x:v>
      </x:c>
      <x:c r="B4395" s="32">
        <x:v>901.44</x:v>
      </x:c>
      <x:c r="C4395" s="32">
        <x:v>903.21</x:v>
      </x:c>
      <x:c r="D4395" s="32">
        <x:v>894.14</x:v>
      </x:c>
      <x:c r="E4395" s="32">
        <x:v>898.19</x:v>
      </x:c>
      <x:c r="F4395" s="33">
        <x:v>142498160</x:v>
      </x:c>
      <x:c r="G4395" s="32" t="n">
        <x:f t="shared" si="195">AVERAGE(E4196:E4395)</x:f>
        <x:v>1016.1317999999998</x:v>
      </x:c>
      <x:c r="H4395" s="37" t="n">
        <x:f t="shared" si="196">IFERROR(E4395/G4395-1,"")</x:f>
        <x:v>-0.11606939178559295</x:v>
      </x:c>
      <x:c r="I4395" s="38" t="b">
        <x:f t="shared" si="197">E4395&lt;G4395</x:f>
        <x:v>1</x:v>
      </x:c>
    </x:row>
    <x:row r="4396">
      <x:c r="A4396" s="31">
        <x:v>43423</x:v>
      </x:c>
      <x:c r="B4396" s="32">
        <x:v>902.65</x:v>
      </x:c>
      <x:c r="C4396" s="32">
        <x:v>916.06</x:v>
      </x:c>
      <x:c r="D4396" s="32">
        <x:v>898.19</x:v>
      </x:c>
      <x:c r="E4396" s="32">
        <x:v>916.06</x:v>
      </x:c>
      <x:c r="F4396" s="33">
        <x:v>123860310</x:v>
      </x:c>
      <x:c r="G4396" s="32" t="n">
        <x:f t="shared" si="195">AVERAGE(E4197:E4396)</x:f>
        <x:v>1015.1592999999998</x:v>
      </x:c>
      <x:c r="H4396" s="37" t="n">
        <x:f t="shared" si="196">IFERROR(E4396/G4396-1,"")</x:f>
        <x:v>-0.09761945736004185</x:v>
      </x:c>
      <x:c r="I4396" s="38" t="b">
        <x:f t="shared" si="197">E4396&lt;G4396</x:f>
        <x:v>1</x:v>
      </x:c>
    </x:row>
    <x:row r="4397">
      <x:c r="A4397" s="31">
        <x:v>43424</x:v>
      </x:c>
      <x:c r="B4397" s="32">
        <x:v>909.76</x:v>
      </x:c>
      <x:c r="C4397" s="32">
        <x:v>919.02</x:v>
      </x:c>
      <x:c r="D4397" s="32">
        <x:v>909.76</x:v>
      </x:c>
      <x:c r="E4397" s="32">
        <x:v>919.02</x:v>
      </x:c>
      <x:c r="F4397" s="33">
        <x:v>126164590</x:v>
      </x:c>
      <x:c r="G4397" s="32" t="n">
        <x:f t="shared" si="195">AVERAGE(E4198:E4397)</x:f>
        <x:v>1014.2025999999996</x:v>
      </x:c>
      <x:c r="H4397" s="37" t="n">
        <x:f t="shared" si="196">IFERROR(E4397/G4397-1,"")</x:f>
        <x:v>-0.09384969038730495</x:v>
      </x:c>
      <x:c r="I4397" s="38" t="b">
        <x:f t="shared" si="197">E4397&lt;G4397</x:f>
        <x:v>1</x:v>
      </x:c>
    </x:row>
    <x:row r="4398">
      <x:c r="A4398" s="31">
        <x:v>43425</x:v>
      </x:c>
      <x:c r="B4398" s="32">
        <x:v>909.83</x:v>
      </x:c>
      <x:c r="C4398" s="32">
        <x:v>922.56</x:v>
      </x:c>
      <x:c r="D4398" s="32">
        <x:v>907.47</x:v>
      </x:c>
      <x:c r="E4398" s="32">
        <x:v>922.56</x:v>
      </x:c>
      <x:c r="F4398" s="33">
        <x:v>119083100</x:v>
      </x:c>
      <x:c r="G4398" s="32" t="n">
        <x:f t="shared" si="195">AVERAGE(E4199:E4398)</x:f>
        <x:v>1013.3170499999998</x:v>
      </x:c>
      <x:c r="H4398" s="37" t="n">
        <x:f t="shared" si="196">IFERROR(E4398/G4398-1,"")</x:f>
        <x:v>-0.08956431750556237</x:v>
      </x:c>
      <x:c r="I4398" s="38" t="b">
        <x:f t="shared" si="197">E4398&lt;G4398</x:f>
        <x:v>1</x:v>
      </x:c>
    </x:row>
    <x:row r="4399">
      <x:c r="A4399" s="31">
        <x:v>43426</x:v>
      </x:c>
      <x:c r="B4399" s="32">
        <x:v>924.93</x:v>
      </x:c>
      <x:c r="C4399" s="32">
        <x:v>926.15</x:v>
      </x:c>
      <x:c r="D4399" s="32">
        <x:v>922.02</x:v>
      </x:c>
      <x:c r="E4399" s="32">
        <x:v>924.42</x:v>
      </x:c>
      <x:c r="F4399" s="33">
        <x:v>114412140</x:v>
      </x:c>
      <x:c r="G4399" s="32" t="n">
        <x:f t="shared" si="195">AVERAGE(E4200:E4399)</x:f>
        <x:v>1012.4139499999998</x:v>
      </x:c>
      <x:c r="H4399" s="37" t="n">
        <x:f t="shared" si="196">IFERROR(E4399/G4399-1,"")</x:f>
        <x:v>-0.0869149916395362</x:v>
      </x:c>
      <x:c r="I4399" s="38" t="b">
        <x:f t="shared" si="197">E4399&lt;G4399</x:f>
        <x:v>1</x:v>
      </x:c>
    </x:row>
    <x:row r="4400">
      <x:c r="A4400" s="31">
        <x:v>43427</x:v>
      </x:c>
      <x:c r="B4400" s="32">
        <x:v>923.91</x:v>
      </x:c>
      <x:c r="C4400" s="32">
        <x:v>925.84</x:v>
      </x:c>
      <x:c r="D4400" s="32">
        <x:v>916.87</x:v>
      </x:c>
      <x:c r="E4400" s="32">
        <x:v>917.97</x:v>
      </x:c>
      <x:c r="F4400" s="33">
        <x:v>111905790</x:v>
      </x:c>
      <x:c r="G4400" s="32" t="n">
        <x:f t="shared" si="195">AVERAGE(E4201:E4400)</x:f>
        <x:v>1011.7602499999998</x:v>
      </x:c>
      <x:c r="H4400" s="37" t="n">
        <x:f t="shared" si="196">IFERROR(E4400/G4400-1,"")</x:f>
        <x:v>-0.09270007395526736</x:v>
      </x:c>
      <x:c r="I4400" s="38" t="b">
        <x:f t="shared" si="197">E4400&lt;G4400</x:f>
        <x:v>1</x:v>
      </x:c>
    </x:row>
    <x:row r="4401">
      <x:c r="A4401" s="31">
        <x:v>43430</x:v>
      </x:c>
      <x:c r="B4401" s="32">
        <x:v>915.67</x:v>
      </x:c>
      <x:c r="C4401" s="32">
        <x:v>921.96</x:v>
      </x:c>
      <x:c r="D4401" s="32">
        <x:v>914.43</x:v>
      </x:c>
      <x:c r="E4401" s="32">
        <x:v>921.03</x:v>
      </x:c>
      <x:c r="F4401" s="33">
        <x:v>90451440</x:v>
      </x:c>
      <x:c r="G4401" s="32" t="n">
        <x:f t="shared" si="195">AVERAGE(E4202:E4401)</x:f>
        <x:v>1011.3073999999998</x:v>
      </x:c>
      <x:c r="H4401" s="37" t="n">
        <x:f t="shared" si="196">IFERROR(E4401/G4401-1,"")</x:f>
        <x:v>-0.08926801089362135</x:v>
      </x:c>
      <x:c r="I4401" s="38" t="b">
        <x:f t="shared" si="197">E4401&lt;G4401</x:f>
        <x:v>1</x:v>
      </x:c>
    </x:row>
    <x:row r="4402">
      <x:c r="A4402" s="31">
        <x:v>43431</x:v>
      </x:c>
      <x:c r="B4402" s="32">
        <x:v>925.12</x:v>
      </x:c>
      <x:c r="C4402" s="32">
        <x:v>930.37</x:v>
      </x:c>
      <x:c r="D4402" s="32">
        <x:v>921.03</x:v>
      </x:c>
      <x:c r="E4402" s="32">
        <x:v>923.12</x:v>
      </x:c>
      <x:c r="F4402" s="33">
        <x:v>109001530</x:v>
      </x:c>
      <x:c r="G4402" s="32" t="n">
        <x:f t="shared" si="195">AVERAGE(E4203:E4402)</x:f>
        <x:v>1010.7202499999999</x:v>
      </x:c>
      <x:c r="H4402" s="37" t="n">
        <x:f t="shared" si="196">IFERROR(E4402/G4402-1,"")</x:f>
        <x:v>-0.08667111399024596</x:v>
      </x:c>
      <x:c r="I4402" s="38" t="b">
        <x:f t="shared" si="197">E4402&lt;G4402</x:f>
        <x:v>1</x:v>
      </x:c>
    </x:row>
    <x:row r="4403">
      <x:c r="A4403" s="31">
        <x:v>43432</x:v>
      </x:c>
      <x:c r="B4403" s="32">
        <x:v>923.12</x:v>
      </x:c>
      <x:c r="C4403" s="32">
        <x:v>930.2</x:v>
      </x:c>
      <x:c r="D4403" s="32">
        <x:v>922.03</x:v>
      </x:c>
      <x:c r="E4403" s="32">
        <x:v>930.2</x:v>
      </x:c>
      <x:c r="F4403" s="33">
        <x:v>96777710</x:v>
      </x:c>
      <x:c r="G4403" s="32" t="n">
        <x:f t="shared" si="195">AVERAGE(E4204:E4403)</x:f>
        <x:v>1010.2549999999999</x:v>
      </x:c>
      <x:c r="H4403" s="37" t="n">
        <x:f t="shared" si="196">IFERROR(E4403/G4403-1,"")</x:f>
        <x:v>-0.07924236950076946</x:v>
      </x:c>
      <x:c r="I4403" s="38" t="b">
        <x:f t="shared" si="197">E4403&lt;G4403</x:f>
        <x:v>1</x:v>
      </x:c>
    </x:row>
    <x:row r="4404">
      <x:c r="A4404" s="31">
        <x:v>43433</x:v>
      </x:c>
      <x:c r="B4404" s="32">
        <x:v>934.88</x:v>
      </x:c>
      <x:c r="C4404" s="32">
        <x:v>937.75</x:v>
      </x:c>
      <x:c r="D4404" s="32">
        <x:v>926.79</x:v>
      </x:c>
      <x:c r="E4404" s="32">
        <x:v>926.79</x:v>
      </x:c>
      <x:c r="F4404" s="33">
        <x:v>117424890</x:v>
      </x:c>
      <x:c r="G4404" s="32" t="n">
        <x:f t="shared" si="195">AVERAGE(E4205:E4404)</x:f>
        <x:v>1009.8692499999999</x:v>
      </x:c>
      <x:c r="H4404" s="37" t="n">
        <x:f t="shared" si="196">IFERROR(E4404/G4404-1,"")</x:f>
        <x:v>-0.08226733312257983</x:v>
      </x:c>
      <x:c r="I4404" s="38" t="b">
        <x:f t="shared" si="197">E4404&lt;G4404</x:f>
        <x:v>1</x:v>
      </x:c>
    </x:row>
    <x:row r="4405">
      <x:c r="A4405" s="31">
        <x:v>43434</x:v>
      </x:c>
      <x:c r="B4405" s="32">
        <x:v>924.49</x:v>
      </x:c>
      <x:c r="C4405" s="32">
        <x:v>928.92</x:v>
      </x:c>
      <x:c r="D4405" s="32">
        <x:v>921.08</x:v>
      </x:c>
      <x:c r="E4405" s="32">
        <x:v>926.54</x:v>
      </x:c>
      <x:c r="F4405" s="33">
        <x:v>128769250</x:v>
      </x:c>
      <x:c r="G4405" s="32" t="n">
        <x:f t="shared" si="195">AVERAGE(E4206:E4405)</x:f>
        <x:v>1009.293</x:v>
      </x:c>
      <x:c r="H4405" s="37" t="n">
        <x:f t="shared" si="196">IFERROR(E4405/G4405-1,"")</x:f>
        <x:v>-0.08199105710631105</x:v>
      </x:c>
      <x:c r="I4405" s="38" t="b">
        <x:f t="shared" si="197">E4405&lt;G4405</x:f>
        <x:v>1</x:v>
      </x:c>
    </x:row>
    <x:row r="4406">
      <x:c r="A4406" s="31">
        <x:v>43437</x:v>
      </x:c>
      <x:c r="B4406" s="32">
        <x:v>937.7</x:v>
      </x:c>
      <x:c r="C4406" s="32">
        <x:v>951.59</x:v>
      </x:c>
      <x:c r="D4406" s="32">
        <x:v>926.54</x:v>
      </x:c>
      <x:c r="E4406" s="32">
        <x:v>951.59</x:v>
      </x:c>
      <x:c r="F4406" s="33">
        <x:v>158946860</x:v>
      </x:c>
      <x:c r="G4406" s="32" t="n">
        <x:f t="shared" si="195">AVERAGE(E4207:E4406)</x:f>
        <x:v>1008.7523</x:v>
      </x:c>
      <x:c r="H4406" s="37" t="n">
        <x:f t="shared" si="196">IFERROR(E4406/G4406-1,"")</x:f>
        <x:v>-0.056666339199424876</x:v>
      </x:c>
      <x:c r="I4406" s="38" t="b">
        <x:f t="shared" si="197">E4406&lt;G4406</x:f>
        <x:v>1</x:v>
      </x:c>
    </x:row>
    <x:row r="4407">
      <x:c r="A4407" s="31">
        <x:v>43438</x:v>
      </x:c>
      <x:c r="B4407" s="32">
        <x:v>952.97</x:v>
      </x:c>
      <x:c r="C4407" s="32">
        <x:v>960.44</x:v>
      </x:c>
      <x:c r="D4407" s="32">
        <x:v>950.89</x:v>
      </x:c>
      <x:c r="E4407" s="32">
        <x:v>958.84</x:v>
      </x:c>
      <x:c r="F4407" s="33">
        <x:v>177097760</x:v>
      </x:c>
      <x:c r="G4407" s="32" t="n">
        <x:f t="shared" si="195">AVERAGE(E4208:E4407)</x:f>
        <x:v>1008.1107499999999</x:v>
      </x:c>
      <x:c r="H4407" s="37" t="n">
        <x:f t="shared" si="196">IFERROR(E4407/G4407-1,"")</x:f>
        <x:v>-0.04887434242715882</x:v>
      </x:c>
      <x:c r="I4407" s="38" t="b">
        <x:f t="shared" si="197">E4407&lt;G4407</x:f>
        <x:v>1</x:v>
      </x:c>
    </x:row>
    <x:row r="4408">
      <x:c r="A4408" s="31">
        <x:v>43439</x:v>
      </x:c>
      <x:c r="B4408" s="32">
        <x:v>950.34</x:v>
      </x:c>
      <x:c r="C4408" s="32">
        <x:v>960.87</x:v>
      </x:c>
      <x:c r="D4408" s="32">
        <x:v>946.97</x:v>
      </x:c>
      <x:c r="E4408" s="32">
        <x:v>957.14</x:v>
      </x:c>
      <x:c r="F4408" s="33">
        <x:v>153998080</x:v>
      </x:c>
      <x:c r="G4408" s="32" t="n">
        <x:f t="shared" si="195">AVERAGE(E4209:E4408)</x:f>
        <x:v>1007.5163000000002</x:v>
      </x:c>
      <x:c r="H4408" s="37" t="n">
        <x:f t="shared" si="196">IFERROR(E4408/G4408-1,"")</x:f>
        <x:v>-0.05000048138179025</x:v>
      </x:c>
      <x:c r="I4408" s="38" t="b">
        <x:f t="shared" si="197">E4408&lt;G4408</x:f>
        <x:v>1</x:v>
      </x:c>
    </x:row>
    <x:row r="4409">
      <x:c r="A4409" s="31">
        <x:v>43440</x:v>
      </x:c>
      <x:c r="B4409" s="32">
        <x:v>954.61</x:v>
      </x:c>
      <x:c r="C4409" s="32">
        <x:v>959.59</x:v>
      </x:c>
      <x:c r="D4409" s="32">
        <x:v>948.44</x:v>
      </x:c>
      <x:c r="E4409" s="32">
        <x:v>954.82</x:v>
      </x:c>
      <x:c r="F4409" s="33">
        <x:v>145040180</x:v>
      </x:c>
      <x:c r="G4409" s="32" t="n">
        <x:f t="shared" si="195">AVERAGE(E4210:E4409)</x:f>
        <x:v>1006.7761500000004</x:v>
      </x:c>
      <x:c r="H4409" s="37" t="n">
        <x:f t="shared" si="196">IFERROR(E4409/G4409-1,"")</x:f>
        <x:v>-0.051606456907029696</x:v>
      </x:c>
      <x:c r="I4409" s="38" t="b">
        <x:f t="shared" si="197">E4409&lt;G4409</x:f>
        <x:v>1</x:v>
      </x:c>
    </x:row>
    <x:row r="4410">
      <x:c r="A4410" s="31">
        <x:v>43441</x:v>
      </x:c>
      <x:c r="B4410" s="32">
        <x:v>956.49</x:v>
      </x:c>
      <x:c r="C4410" s="32">
        <x:v>962.39</x:v>
      </x:c>
      <x:c r="D4410" s="32">
        <x:v>954.82</x:v>
      </x:c>
      <x:c r="E4410" s="32">
        <x:v>958.59</x:v>
      </x:c>
      <x:c r="F4410" s="33">
        <x:v>151647570</x:v>
      </x:c>
      <x:c r="G4410" s="32" t="n">
        <x:f t="shared" si="195">AVERAGE(E4211:E4410)</x:f>
        <x:v>1005.9964500000003</x:v>
      </x:c>
      <x:c r="H4410" s="37" t="n">
        <x:f t="shared" si="196">IFERROR(E4410/G4410-1,"")</x:f>
        <x:v>-0.04712387404548024</x:v>
      </x:c>
      <x:c r="I4410" s="38" t="b">
        <x:f t="shared" si="197">E4410&lt;G4410</x:f>
        <x:v>1</x:v>
      </x:c>
    </x:row>
    <x:row r="4411">
      <x:c r="A4411" s="31">
        <x:v>43444</x:v>
      </x:c>
      <x:c r="B4411" s="32">
        <x:v>955.06</x:v>
      </x:c>
      <x:c r="C4411" s="32">
        <x:v>958.59</x:v>
      </x:c>
      <x:c r="D4411" s="32">
        <x:v>951.5</x:v>
      </x:c>
      <x:c r="E4411" s="32">
        <x:v>955.89</x:v>
      </x:c>
      <x:c r="F4411" s="33">
        <x:v>129252710</x:v>
      </x:c>
      <x:c r="G4411" s="32" t="n">
        <x:f t="shared" si="195">AVERAGE(E4212:E4411)</x:f>
        <x:v>1005.1778500000004</x:v>
      </x:c>
      <x:c r="H4411" s="37" t="n">
        <x:f t="shared" si="196">IFERROR(E4411/G4411-1,"")</x:f>
        <x:v>-0.04903395951273737</x:v>
      </x:c>
      <x:c r="I4411" s="38" t="b">
        <x:f t="shared" si="197">E4411&lt;G4411</x:f>
        <x:v>1</x:v>
      </x:c>
    </x:row>
    <x:row r="4412">
      <x:c r="A4412" s="31">
        <x:v>43445</x:v>
      </x:c>
      <x:c r="B4412" s="32">
        <x:v>955.93</x:v>
      </x:c>
      <x:c r="C4412" s="32">
        <x:v>957.97</x:v>
      </x:c>
      <x:c r="D4412" s="32">
        <x:v>949.34</x:v>
      </x:c>
      <x:c r="E4412" s="32">
        <x:v>954.58</x:v>
      </x:c>
      <x:c r="F4412" s="33">
        <x:v>126821330</x:v>
      </x:c>
      <x:c r="G4412" s="32" t="n">
        <x:f t="shared" si="195">AVERAGE(E4213:E4412)</x:f>
        <x:v>1004.3430500000002</x:v>
      </x:c>
      <x:c r="H4412" s="37" t="n">
        <x:f t="shared" si="196">IFERROR(E4412/G4412-1,"")</x:f>
        <x:v>-0.049547861161582274</x:v>
      </x:c>
      <x:c r="I4412" s="38" t="b">
        <x:f t="shared" si="197">E4412&lt;G4412</x:f>
        <x:v>1</x:v>
      </x:c>
    </x:row>
    <x:row r="4413">
      <x:c r="A4413" s="31">
        <x:v>43446</x:v>
      </x:c>
      <x:c r="B4413" s="32">
        <x:v>956.32</x:v>
      </x:c>
      <x:c r="C4413" s="32">
        <x:v>961.28</x:v>
      </x:c>
      <x:c r="D4413" s="32">
        <x:v>954.58</x:v>
      </x:c>
      <x:c r="E4413" s="32">
        <x:v>961.28</x:v>
      </x:c>
      <x:c r="F4413" s="33">
        <x:v>143971260</x:v>
      </x:c>
      <x:c r="G4413" s="32" t="n">
        <x:f t="shared" si="195">AVERAGE(E4214:E4413)</x:f>
        <x:v>1003.5705000000002</x:v>
      </x:c>
      <x:c r="H4413" s="37" t="n">
        <x:f t="shared" si="196">IFERROR(E4413/G4413-1,"")</x:f>
        <x:v>-0.04214003899078356</x:v>
      </x:c>
      <x:c r="I4413" s="38" t="b">
        <x:f t="shared" si="197">E4413&lt;G4413</x:f>
        <x:v>1</x:v>
      </x:c>
    </x:row>
    <x:row r="4414">
      <x:c r="A4414" s="31">
        <x:v>43447</x:v>
      </x:c>
      <x:c r="B4414" s="32">
        <x:v>961.28</x:v>
      </x:c>
      <x:c r="C4414" s="32">
        <x:v>966.83</x:v>
      </x:c>
      <x:c r="D4414" s="32">
        <x:v>960.1</x:v>
      </x:c>
      <x:c r="E4414" s="32">
        <x:v>960.25</x:v>
      </x:c>
      <x:c r="F4414" s="33">
        <x:v>145835490</x:v>
      </x:c>
      <x:c r="G4414" s="32" t="n">
        <x:f t="shared" si="195">AVERAGE(E4215:E4414)</x:f>
        <x:v>1002.7657000000003</x:v>
      </x:c>
      <x:c r="H4414" s="37" t="n">
        <x:f t="shared" si="196">IFERROR(E4414/G4414-1,"")</x:f>
        <x:v>-0.04239843863825843</x:v>
      </x:c>
      <x:c r="I4414" s="38" t="b">
        <x:f t="shared" si="197">E4414&lt;G4414</x:f>
        <x:v>1</x:v>
      </x:c>
    </x:row>
    <x:row r="4415">
      <x:c r="A4415" s="31">
        <x:v>43448</x:v>
      </x:c>
      <x:c r="B4415" s="32">
        <x:v>958.78</x:v>
      </x:c>
      <x:c r="C4415" s="32">
        <x:v>960.25</x:v>
      </x:c>
      <x:c r="D4415" s="32">
        <x:v>951.04</x:v>
      </x:c>
      <x:c r="E4415" s="32">
        <x:v>952.04</x:v>
      </x:c>
      <x:c r="F4415" s="33">
        <x:v>131393080</x:v>
      </x:c>
      <x:c r="G4415" s="32" t="n">
        <x:f t="shared" si="195">AVERAGE(E4216:E4415)</x:f>
        <x:v>1002.0585000000002</x:v>
      </x:c>
      <x:c r="H4415" s="37" t="n">
        <x:f t="shared" si="196">IFERROR(E4415/G4415-1,"")</x:f>
        <x:v>-0.04991574843185331</x:v>
      </x:c>
      <x:c r="I4415" s="38" t="b">
        <x:f t="shared" si="197">E4415&lt;G4415</x:f>
        <x:v>1</x:v>
      </x:c>
    </x:row>
    <x:row r="4416">
      <x:c r="A4416" s="31">
        <x:v>43451</x:v>
      </x:c>
      <x:c r="B4416" s="32">
        <x:v>948.09</x:v>
      </x:c>
      <x:c r="C4416" s="32">
        <x:v>952.04</x:v>
      </x:c>
      <x:c r="D4416" s="32">
        <x:v>933.65</x:v>
      </x:c>
      <x:c r="E4416" s="32">
        <x:v>933.65</x:v>
      </x:c>
      <x:c r="F4416" s="33">
        <x:v>143135290</x:v>
      </x:c>
      <x:c r="G4416" s="32" t="n">
        <x:f t="shared" si="195">AVERAGE(E4217:E4416)</x:f>
        <x:v>1001.1253000000002</x:v>
      </x:c>
      <x:c r="H4416" s="37" t="n">
        <x:f t="shared" si="196">IFERROR(E4416/G4416-1,"")</x:f>
        <x:v>-0.06739945539284664</x:v>
      </x:c>
      <x:c r="I4416" s="38" t="b">
        <x:f t="shared" si="197">E4416&lt;G4416</x:f>
        <x:v>1</x:v>
      </x:c>
    </x:row>
    <x:row r="4417">
      <x:c r="A4417" s="31">
        <x:v>43452</x:v>
      </x:c>
      <x:c r="B4417" s="32">
        <x:v>933.65</x:v>
      </x:c>
      <x:c r="C4417" s="32">
        <x:v>933.65</x:v>
      </x:c>
      <x:c r="D4417" s="32">
        <x:v>917.03</x:v>
      </x:c>
      <x:c r="E4417" s="32">
        <x:v>927.25</x:v>
      </x:c>
      <x:c r="F4417" s="33">
        <x:v>155653890</x:v>
      </x:c>
      <x:c r="G4417" s="32" t="n">
        <x:f t="shared" si="195">AVERAGE(E4218:E4417)</x:f>
        <x:v>1000.2002500000003</x:v>
      </x:c>
      <x:c r="H4417" s="37" t="n">
        <x:f t="shared" si="196">IFERROR(E4417/G4417-1,"")</x:f>
        <x:v>-0.07293564463716173</x:v>
      </x:c>
      <x:c r="I4417" s="38" t="b">
        <x:f t="shared" si="197">E4417&lt;G4417</x:f>
        <x:v>1</x:v>
      </x:c>
    </x:row>
    <x:row r="4418">
      <x:c r="A4418" s="31">
        <x:v>43453</x:v>
      </x:c>
      <x:c r="B4418" s="32">
        <x:v>926.35</x:v>
      </x:c>
      <x:c r="C4418" s="32">
        <x:v>927.25</x:v>
      </x:c>
      <x:c r="D4418" s="32">
        <x:v>914.55</x:v>
      </x:c>
      <x:c r="E4418" s="32">
        <x:v>919.24</x:v>
      </x:c>
      <x:c r="F4418" s="33">
        <x:v>119410210</x:v>
      </x:c>
      <x:c r="G4418" s="32" t="n">
        <x:f t="shared" si="195">AVERAGE(E4219:E4418)</x:f>
        <x:v>999.1757000000002</x:v>
      </x:c>
      <x:c r="H4418" s="37" t="n">
        <x:f t="shared" si="196">IFERROR(E4418/G4418-1,"")</x:f>
        <x:v>-0.08000164535626741</x:v>
      </x:c>
      <x:c r="I4418" s="38" t="b">
        <x:f t="shared" si="197">E4418&lt;G4418</x:f>
        <x:v>1</x:v>
      </x:c>
    </x:row>
    <x:row r="4419">
      <x:c r="A4419" s="31">
        <x:v>43454</x:v>
      </x:c>
      <x:c r="B4419" s="32">
        <x:v>915.5</x:v>
      </x:c>
      <x:c r="C4419" s="32">
        <x:v>921.79</x:v>
      </x:c>
      <x:c r="D4419" s="32">
        <x:v>914.18</x:v>
      </x:c>
      <x:c r="E4419" s="32">
        <x:v>918.24</x:v>
      </x:c>
      <x:c r="F4419" s="33">
        <x:v>107806880</x:v>
      </x:c>
      <x:c r="G4419" s="32" t="n">
        <x:f t="shared" si="195">AVERAGE(E4220:E4419)</x:f>
        <x:v>998.1498500000001</x:v>
      </x:c>
      <x:c r="H4419" s="37" t="n">
        <x:f t="shared" si="196">IFERROR(E4419/G4419-1,"")</x:f>
        <x:v>-0.0800579692518113</x:v>
      </x:c>
      <x:c r="I4419" s="38" t="b">
        <x:f t="shared" si="197">E4419&lt;G4419</x:f>
        <x:v>1</x:v>
      </x:c>
    </x:row>
    <x:row r="4420">
      <x:c r="A4420" s="31">
        <x:v>43455</x:v>
      </x:c>
      <x:c r="B4420" s="32">
        <x:v>911.57</x:v>
      </x:c>
      <x:c r="C4420" s="32">
        <x:v>918.24</x:v>
      </x:c>
      <x:c r="D4420" s="32">
        <x:v>907.88</x:v>
      </x:c>
      <x:c r="E4420" s="32">
        <x:v>912.26</x:v>
      </x:c>
      <x:c r="F4420" s="33">
        <x:v>131219760</x:v>
      </x:c>
      <x:c r="G4420" s="32" t="n">
        <x:f t="shared" si="195">AVERAGE(E4221:E4420)</x:f>
        <x:v>997.0797000000001</x:v>
      </x:c>
      <x:c r="H4420" s="37" t="n">
        <x:f t="shared" si="196">IFERROR(E4420/G4420-1,"")</x:f>
        <x:v>-0.0850681244438134</x:v>
      </x:c>
      <x:c r="I4420" s="38" t="b">
        <x:f t="shared" si="197">E4420&lt;G4420</x:f>
        <x:v>1</x:v>
      </x:c>
    </x:row>
    <x:row r="4421">
      <x:c r="A4421" s="31">
        <x:v>43458</x:v>
      </x:c>
      <x:c r="B4421" s="32">
        <x:v>910.86</x:v>
      </x:c>
      <x:c r="C4421" s="32">
        <x:v>916.41</x:v>
      </x:c>
      <x:c r="D4421" s="32">
        <x:v>908.56</x:v>
      </x:c>
      <x:c r="E4421" s="32">
        <x:v>908.56</x:v>
      </x:c>
      <x:c r="F4421" s="33">
        <x:v>109246400</x:v>
      </x:c>
      <x:c r="G4421" s="32" t="n">
        <x:f t="shared" si="195">AVERAGE(E4222:E4421)</x:f>
        <x:v>995.95595</x:v>
      </x:c>
      <x:c r="H4421" s="37" t="n">
        <x:f t="shared" si="196">IFERROR(E4421/G4421-1,"")</x:f>
        <x:v>-0.08775081869835721</x:v>
      </x:c>
      <x:c r="I4421" s="38" t="b">
        <x:f t="shared" si="197">E4421&lt;G4421</x:f>
        <x:v>1</x:v>
      </x:c>
    </x:row>
    <x:row r="4422">
      <x:c r="A4422" s="31">
        <x:v>43459</x:v>
      </x:c>
      <x:c r="B4422" s="32">
        <x:v>893.71</x:v>
      </x:c>
      <x:c r="C4422" s="32">
        <x:v>908.56</x:v>
      </x:c>
      <x:c r="D4422" s="32">
        <x:v>882.17</x:v>
      </x:c>
      <x:c r="E4422" s="32">
        <x:v>897.94</x:v>
      </x:c>
      <x:c r="F4422" s="33">
        <x:v>168379500</x:v>
      </x:c>
      <x:c r="G4422" s="32" t="n">
        <x:f t="shared" si="195">AVERAGE(E4223:E4422)</x:f>
        <x:v>994.7552000000001</x:v>
      </x:c>
      <x:c r="H4422" s="37" t="n">
        <x:f t="shared" si="196">IFERROR(E4422/G4422-1,"")</x:f>
        <x:v>-0.09732565358793799</x:v>
      </x:c>
      <x:c r="I4422" s="38" t="b">
        <x:f t="shared" si="197">E4422&lt;G4422</x:f>
        <x:v>1</x:v>
      </x:c>
    </x:row>
    <x:row r="4423">
      <x:c r="A4423" s="31">
        <x:v>43460</x:v>
      </x:c>
      <x:c r="B4423" s="32">
        <x:v>896.63</x:v>
      </x:c>
      <x:c r="C4423" s="32">
        <x:v>899.49</x:v>
      </x:c>
      <x:c r="D4423" s="32">
        <x:v>890.86</x:v>
      </x:c>
      <x:c r="E4423" s="32">
        <x:v>891.75</x:v>
      </x:c>
      <x:c r="F4423" s="33">
        <x:v>104065930</x:v>
      </x:c>
      <x:c r="G4423" s="32" t="n">
        <x:f t="shared" si="195">AVERAGE(E4224:E4423)</x:f>
        <x:v>993.5201500000002</x:v>
      </x:c>
      <x:c r="H4423" s="37" t="n">
        <x:f t="shared" si="196">IFERROR(E4423/G4423-1,"")</x:f>
        <x:v>-0.10243390634804961</x:v>
      </x:c>
      <x:c r="I4423" s="38" t="b">
        <x:f t="shared" si="197">E4423&lt;G4423</x:f>
        <x:v>1</x:v>
      </x:c>
    </x:row>
    <x:row r="4424">
      <x:c r="A4424" s="31">
        <x:v>43461</x:v>
      </x:c>
      <x:c r="B4424" s="32">
        <x:v>904.8</x:v>
      </x:c>
      <x:c r="C4424" s="32">
        <x:v>906.63</x:v>
      </x:c>
      <x:c r="D4424" s="32">
        <x:v>891.75</x:v>
      </x:c>
      <x:c r="E4424" s="32">
        <x:v>900.81</x:v>
      </x:c>
      <x:c r="F4424" s="33">
        <x:v>112522140</x:v>
      </x:c>
      <x:c r="G4424" s="32" t="n">
        <x:f t="shared" si="195">AVERAGE(E4225:E4424)</x:f>
        <x:v>992.2732500000001</x:v>
      </x:c>
      <x:c r="H4424" s="37" t="n">
        <x:f t="shared" si="196">IFERROR(E4424/G4424-1,"")</x:f>
        <x:v>-0.09217546678800437</x:v>
      </x:c>
      <x:c r="I4424" s="38" t="b">
        <x:f t="shared" si="197">E4424&lt;G4424</x:f>
        <x:v>1</x:v>
      </x:c>
    </x:row>
    <x:row r="4425">
      <x:c r="A4425" s="31">
        <x:v>43462</x:v>
      </x:c>
      <x:c r="B4425" s="32">
        <x:v>903.79</x:v>
      </x:c>
      <x:c r="C4425" s="32">
        <x:v>903.79</x:v>
      </x:c>
      <x:c r="D4425" s="32">
        <x:v>892.54</x:v>
      </x:c>
      <x:c r="E4425" s="32">
        <x:v>892.54</x:v>
      </x:c>
      <x:c r="F4425" s="33">
        <x:v>123558630</x:v>
      </x:c>
      <x:c r="G4425" s="32" t="n">
        <x:f t="shared" si="195">AVERAGE(E4226:E4425)</x:f>
        <x:v>990.9398500000003</x:v>
      </x:c>
      <x:c r="H4425" s="37" t="n">
        <x:f t="shared" si="196">IFERROR(E4425/G4425-1,"")</x:f>
        <x:v>-0.09929951853283558</x:v>
      </x:c>
      <x:c r="I4425" s="38" t="b">
        <x:f t="shared" si="197">E4425&lt;G4425</x:f>
        <x:v>1</x:v>
      </x:c>
    </x:row>
    <x:row r="4426">
      <x:c r="A4426" s="31">
        <x:v>43467</x:v>
      </x:c>
      <x:c r="B4426" s="32">
        <x:v>900.1</x:v>
      </x:c>
      <x:c r="C4426" s="32">
        <x:v>900.1</x:v>
      </x:c>
      <x:c r="D4426" s="32">
        <x:v>891.1</x:v>
      </x:c>
      <x:c r="E4426" s="32">
        <x:v>891.75</x:v>
      </x:c>
      <x:c r="F4426" s="33">
        <x:v>91857070</x:v>
      </x:c>
      <x:c r="G4426" s="32" t="n">
        <x:f t="shared" si="195">AVERAGE(E4227:E4426)</x:f>
        <x:v>989.6016500000002</x:v>
      </x:c>
      <x:c r="H4426" s="37" t="n">
        <x:f t="shared" si="196">IFERROR(E4426/G4426-1,"")</x:f>
        <x:v>-0.09887983715467752</x:v>
      </x:c>
      <x:c r="I4426" s="38" t="b">
        <x:f t="shared" si="197">E4426&lt;G4426</x:f>
        <x:v>1</x:v>
      </x:c>
    </x:row>
    <x:row r="4427">
      <x:c r="A4427" s="31">
        <x:v>43468</x:v>
      </x:c>
      <x:c r="B4427" s="32">
        <x:v>889.78</x:v>
      </x:c>
      <x:c r="C4427" s="32">
        <x:v>892.21</x:v>
      </x:c>
      <x:c r="D4427" s="32">
        <x:v>872.12</x:v>
      </x:c>
      <x:c r="E4427" s="32">
        <x:v>878.22</x:v>
      </x:c>
      <x:c r="F4427" s="33">
        <x:v>135125060</x:v>
      </x:c>
      <x:c r="G4427" s="32" t="n">
        <x:f t="shared" si="195">AVERAGE(E4228:E4427)</x:f>
        <x:v>988.1459500000003</x:v>
      </x:c>
      <x:c r="H4427" s="37" t="n">
        <x:f t="shared" si="196">IFERROR(E4427/G4427-1,"")</x:f>
        <x:v>-0.11124464963905412</x:v>
      </x:c>
      <x:c r="I4427" s="38" t="b">
        <x:f t="shared" si="197">E4427&lt;G4427</x:f>
        <x:v>1</x:v>
      </x:c>
    </x:row>
    <x:row r="4428">
      <x:c r="A4428" s="31">
        <x:v>43469</x:v>
      </x:c>
      <x:c r="B4428" s="32">
        <x:v>872.69</x:v>
      </x:c>
      <x:c r="C4428" s="32">
        <x:v>881.48</x:v>
      </x:c>
      <x:c r="D4428" s="32">
        <x:v>861.85</x:v>
      </x:c>
      <x:c r="E4428" s="32">
        <x:v>880.9</x:v>
      </x:c>
      <x:c r="F4428" s="33">
        <x:v>117664070</x:v>
      </x:c>
      <x:c r="G4428" s="32" t="n">
        <x:f t="shared" si="195">AVERAGE(E4229:E4428)</x:f>
        <x:v>986.6886500000002</x:v>
      </x:c>
      <x:c r="H4428" s="37" t="n">
        <x:f t="shared" si="196">IFERROR(E4428/G4428-1,"")</x:f>
        <x:v>-0.1072158375390253</x:v>
      </x:c>
      <x:c r="I4428" s="38" t="b">
        <x:f t="shared" si="197">E4428&lt;G4428</x:f>
        <x:v>1</x:v>
      </x:c>
    </x:row>
    <x:row r="4429">
      <x:c r="A4429" s="31">
        <x:v>43472</x:v>
      </x:c>
      <x:c r="B4429" s="32">
        <x:v>890.47</x:v>
      </x:c>
      <x:c r="C4429" s="32">
        <x:v>896.63</x:v>
      </x:c>
      <x:c r="D4429" s="32">
        <x:v>880.9</x:v>
      </x:c>
      <x:c r="E4429" s="32">
        <x:v>889.64</x:v>
      </x:c>
      <x:c r="F4429" s="33">
        <x:v>87417130</x:v>
      </x:c>
      <x:c r="G4429" s="32" t="n">
        <x:f t="shared" ref="G4429:G4492" si="198">AVERAGE(E4230:E4429)</x:f>
        <x:v>985.3689000000004</x:v>
      </x:c>
      <x:c r="H4429" s="37" t="n">
        <x:f t="shared" ref="H4429:H4492" si="199">IFERROR(E4429/G4429-1,"")</x:f>
        <x:v>-0.09715031598825619</x:v>
      </x:c>
      <x:c r="I4429" s="38" t="b">
        <x:f t="shared" ref="I4429:I4492" si="200">E4429&lt;G4429</x:f>
        <x:v>1</x:v>
      </x:c>
    </x:row>
    <x:row r="4430">
      <x:c r="A4430" s="31">
        <x:v>43473</x:v>
      </x:c>
      <x:c r="B4430" s="32">
        <x:v>891.37</x:v>
      </x:c>
      <x:c r="C4430" s="32">
        <x:v>891.87</x:v>
      </x:c>
      <x:c r="D4430" s="32">
        <x:v>883.67</x:v>
      </x:c>
      <x:c r="E4430" s="32">
        <x:v>887.44</x:v>
      </x:c>
      <x:c r="F4430" s="33">
        <x:v>92128530</x:v>
      </x:c>
      <x:c r="G4430" s="32" t="n">
        <x:f t="shared" si="198">AVERAGE(E4231:E4430)</x:f>
        <x:v>983.9500000000003</x:v>
      </x:c>
      <x:c r="H4430" s="37" t="n">
        <x:f t="shared" si="199">IFERROR(E4430/G4430-1,"")</x:f>
        <x:v>-0.09808425224859008</x:v>
      </x:c>
      <x:c r="I4430" s="38" t="b">
        <x:f t="shared" si="200">E4430&lt;G4430</x:f>
        <x:v>1</x:v>
      </x:c>
    </x:row>
    <x:row r="4431">
      <x:c r="A4431" s="31">
        <x:v>43474</x:v>
      </x:c>
      <x:c r="B4431" s="32">
        <x:v>890.26</x:v>
      </x:c>
      <x:c r="C4431" s="32">
        <x:v>897.25</x:v>
      </x:c>
      <x:c r="D4431" s="32">
        <x:v>887.44</x:v>
      </x:c>
      <x:c r="E4431" s="32">
        <x:v>896.99</x:v>
      </x:c>
      <x:c r="F4431" s="33">
        <x:v>121796320</x:v>
      </x:c>
      <x:c r="G4431" s="32" t="n">
        <x:f t="shared" si="198">AVERAGE(E4232:E4431)</x:f>
        <x:v>982.5763000000002</x:v>
      </x:c>
      <x:c r="H4431" s="37" t="n">
        <x:f t="shared" si="199">IFERROR(E4431/G4431-1,"")</x:f>
        <x:v>-0.0871039735031266</x:v>
      </x:c>
      <x:c r="I4431" s="38" t="b">
        <x:f t="shared" si="200">E4431&lt;G4431</x:f>
        <x:v>1</x:v>
      </x:c>
    </x:row>
    <x:row r="4432">
      <x:c r="A4432" s="31">
        <x:v>43475</x:v>
      </x:c>
      <x:c r="B4432" s="32">
        <x:v>897.85</x:v>
      </x:c>
      <x:c r="C4432" s="32">
        <x:v>899.47</x:v>
      </x:c>
      <x:c r="D4432" s="32">
        <x:v>895.17</x:v>
      </x:c>
      <x:c r="E4432" s="32">
        <x:v>898.3</x:v>
      </x:c>
      <x:c r="F4432" s="33">
        <x:v>102404440</x:v>
      </x:c>
      <x:c r="G4432" s="32" t="n">
        <x:f t="shared" si="198">AVERAGE(E4233:E4432)</x:f>
        <x:v>981.2066000000002</x:v>
      </x:c>
      <x:c r="H4432" s="37" t="n">
        <x:f t="shared" si="199">IFERROR(E4432/G4432-1,"")</x:f>
        <x:v>-0.08449453968206111</x:v>
      </x:c>
      <x:c r="I4432" s="38" t="b">
        <x:f t="shared" si="200">E4432&lt;G4432</x:f>
        <x:v>1</x:v>
      </x:c>
    </x:row>
    <x:row r="4433">
      <x:c r="A4433" s="31">
        <x:v>43476</x:v>
      </x:c>
      <x:c r="B4433" s="32">
        <x:v>899.1</x:v>
      </x:c>
      <x:c r="C4433" s="32">
        <x:v>904.37</x:v>
      </x:c>
      <x:c r="D4433" s="32">
        <x:v>898.3</x:v>
      </x:c>
      <x:c r="E4433" s="32">
        <x:v>902.71</x:v>
      </x:c>
      <x:c r="F4433" s="33">
        <x:v>107782500</x:v>
      </x:c>
      <x:c r="G4433" s="32" t="n">
        <x:f t="shared" si="198">AVERAGE(E4234:E4433)</x:f>
        <x:v>979.8850000000001</x:v>
      </x:c>
      <x:c r="H4433" s="37" t="n">
        <x:f t="shared" si="199">IFERROR(E4433/G4433-1,"")</x:f>
        <x:v>-0.0787592421559673</x:v>
      </x:c>
      <x:c r="I4433" s="38" t="b">
        <x:f t="shared" si="200">E4433&lt;G4433</x:f>
        <x:v>1</x:v>
      </x:c>
    </x:row>
    <x:row r="4434">
      <x:c r="A4434" s="31">
        <x:v>43479</x:v>
      </x:c>
      <x:c r="B4434" s="32">
        <x:v>903.83</x:v>
      </x:c>
      <x:c r="C4434" s="32">
        <x:v>903.83</x:v>
      </x:c>
      <x:c r="D4434" s="32">
        <x:v>897.18</x:v>
      </x:c>
      <x:c r="E4434" s="32">
        <x:v>901.8</x:v>
      </x:c>
      <x:c r="F4434" s="33">
        <x:v>102797710</x:v>
      </x:c>
      <x:c r="G4434" s="32" t="n">
        <x:f t="shared" si="198">AVERAGE(E4235:E4434)</x:f>
        <x:v>978.5217</x:v>
      </x:c>
      <x:c r="H4434" s="37" t="n">
        <x:f t="shared" si="199">IFERROR(E4434/G4434-1,"")</x:f>
        <x:v>-0.0784057216104661</x:v>
      </x:c>
      <x:c r="I4434" s="38" t="b">
        <x:f t="shared" si="200">E4434&lt;G4434</x:f>
        <x:v>1</x:v>
      </x:c>
    </x:row>
    <x:row r="4435">
      <x:c r="A4435" s="31">
        <x:v>43480</x:v>
      </x:c>
      <x:c r="B4435" s="32">
        <x:v>901.21</x:v>
      </x:c>
      <x:c r="C4435" s="32">
        <x:v>909.68</x:v>
      </x:c>
      <x:c r="D4435" s="32">
        <x:v>898.92</x:v>
      </x:c>
      <x:c r="E4435" s="32">
        <x:v>909.68</x:v>
      </x:c>
      <x:c r="F4435" s="33">
        <x:v>106149230</x:v>
      </x:c>
      <x:c r="G4435" s="32" t="n">
        <x:f t="shared" si="198">AVERAGE(E4236:E4435)</x:f>
        <x:v>977.08705</x:v>
      </x:c>
      <x:c r="H4435" s="37" t="n">
        <x:f t="shared" si="199">IFERROR(E4435/G4435-1,"")</x:f>
        <x:v>-0.06898776316808208</x:v>
      </x:c>
      <x:c r="I4435" s="38" t="b">
        <x:f t="shared" si="200">E4435&lt;G4435</x:f>
        <x:v>1</x:v>
      </x:c>
    </x:row>
    <x:row r="4436">
      <x:c r="A4436" s="31">
        <x:v>43481</x:v>
      </x:c>
      <x:c r="B4436" s="32">
        <x:v>911.32</x:v>
      </x:c>
      <x:c r="C4436" s="32">
        <x:v>912.48</x:v>
      </x:c>
      <x:c r="D4436" s="32">
        <x:v>906.39</x:v>
      </x:c>
      <x:c r="E4436" s="32">
        <x:v>908.7</x:v>
      </x:c>
      <x:c r="F4436" s="33">
        <x:v>107555090</x:v>
      </x:c>
      <x:c r="G4436" s="32" t="n">
        <x:f t="shared" si="198">AVERAGE(E4237:E4436)</x:f>
        <x:v>975.6890999999999</x:v>
      </x:c>
      <x:c r="H4436" s="37" t="n">
        <x:f t="shared" si="199">IFERROR(E4436/G4436-1,"")</x:f>
        <x:v>-0.0686582436966856</x:v>
      </x:c>
      <x:c r="I4436" s="38" t="b">
        <x:f t="shared" si="200">E4436&lt;G4436</x:f>
        <x:v>1</x:v>
      </x:c>
    </x:row>
    <x:row r="4437">
      <x:c r="A4437" s="31">
        <x:v>43482</x:v>
      </x:c>
      <x:c r="B4437" s="32">
        <x:v>908.48</x:v>
      </x:c>
      <x:c r="C4437" s="32">
        <x:v>909.06</x:v>
      </x:c>
      <x:c r="D4437" s="32">
        <x:v>901.89</x:v>
      </x:c>
      <x:c r="E4437" s="32">
        <x:v>901.89</x:v>
      </x:c>
      <x:c r="F4437" s="33">
        <x:v>117379940</x:v>
      </x:c>
      <x:c r="G4437" s="32" t="n">
        <x:f t="shared" si="198">AVERAGE(E4238:E4437)</x:f>
        <x:v>974.24085</x:v>
      </x:c>
      <x:c r="H4437" s="37" t="n">
        <x:f t="shared" si="199">IFERROR(E4437/G4437-1,"")</x:f>
        <x:v>-0.07426382295507317</x:v>
      </x:c>
      <x:c r="I4437" s="38" t="b">
        <x:f t="shared" si="200">E4437&lt;G4437</x:f>
        <x:v>1</x:v>
      </x:c>
    </x:row>
    <x:row r="4438">
      <x:c r="A4438" s="31">
        <x:v>43483</x:v>
      </x:c>
      <x:c r="B4438" s="32">
        <x:v>902.7</x:v>
      </x:c>
      <x:c r="C4438" s="32">
        <x:v>906.35</x:v>
      </x:c>
      <x:c r="D4438" s="32">
        <x:v>900.64</x:v>
      </x:c>
      <x:c r="E4438" s="32">
        <x:v>902.3</x:v>
      </x:c>
      <x:c r="F4438" s="33">
        <x:v>98216800</x:v>
      </x:c>
      <x:c r="G4438" s="32" t="n">
        <x:f t="shared" si="198">AVERAGE(E4239:E4438)</x:f>
        <x:v>972.7865</x:v>
      </x:c>
      <x:c r="H4438" s="37" t="n">
        <x:f t="shared" si="199">IFERROR(E4438/G4438-1,"")</x:f>
        <x:v>-0.07245834517645966</x:v>
      </x:c>
      <x:c r="I4438" s="38" t="b">
        <x:f t="shared" si="200">E4438&lt;G4438</x:f>
        <x:v>1</x:v>
      </x:c>
    </x:row>
    <x:row r="4439">
      <x:c r="A4439" s="31">
        <x:v>43486</x:v>
      </x:c>
      <x:c r="B4439" s="32">
        <x:v>905.25</x:v>
      </x:c>
      <x:c r="C4439" s="32">
        <x:v>911.74</x:v>
      </x:c>
      <x:c r="D4439" s="32">
        <x:v>902.3</x:v>
      </x:c>
      <x:c r="E4439" s="32">
        <x:v>911.05</x:v>
      </x:c>
      <x:c r="F4439" s="33">
        <x:v>119012350</x:v>
      </x:c>
      <x:c r="G4439" s="32" t="n">
        <x:f t="shared" si="198">AVERAGE(E4240:E4439)</x:f>
        <x:v>971.3419500000001</x:v>
      </x:c>
      <x:c r="H4439" s="37" t="n">
        <x:f t="shared" si="199">IFERROR(E4439/G4439-1,"")</x:f>
        <x:v>-0.0620707774435153</x:v>
      </x:c>
      <x:c r="I4439" s="38" t="b">
        <x:f t="shared" si="200">E4439&lt;G4439</x:f>
        <x:v>1</x:v>
      </x:c>
    </x:row>
    <x:row r="4440">
      <x:c r="A4440" s="31">
        <x:v>43487</x:v>
      </x:c>
      <x:c r="B4440" s="32">
        <x:v>912.73</x:v>
      </x:c>
      <x:c r="C4440" s="32">
        <x:v>913.37</x:v>
      </x:c>
      <x:c r="D4440" s="32">
        <x:v>906.55</x:v>
      </x:c>
      <x:c r="E4440" s="32">
        <x:v>906.55</x:v>
      </x:c>
      <x:c r="F4440" s="33">
        <x:v>122327990</x:v>
      </x:c>
      <x:c r="G4440" s="32" t="n">
        <x:f t="shared" si="198">AVERAGE(E4241:E4440)</x:f>
        <x:v>969.8530499999999</x:v>
      </x:c>
      <x:c r="H4440" s="37" t="n">
        <x:f t="shared" si="199">IFERROR(E4440/G4440-1,"")</x:f>
        <x:v>-0.06527076447303015</x:v>
      </x:c>
      <x:c r="I4440" s="38" t="b">
        <x:f t="shared" si="200">E4440&lt;G4440</x:f>
        <x:v>1</x:v>
      </x:c>
    </x:row>
    <x:row r="4441">
      <x:c r="A4441" s="31">
        <x:v>43488</x:v>
      </x:c>
      <x:c r="B4441" s="32">
        <x:v>905.73</x:v>
      </x:c>
      <x:c r="C4441" s="32">
        <x:v>910.12</x:v>
      </x:c>
      <x:c r="D4441" s="32">
        <x:v>905.12</x:v>
      </x:c>
      <x:c r="E4441" s="32">
        <x:v>908.18</x:v>
      </x:c>
      <x:c r="F4441" s="33">
        <x:v>104593270</x:v>
      </x:c>
      <x:c r="G4441" s="32" t="n">
        <x:f t="shared" si="198">AVERAGE(E4242:E4441)</x:f>
        <x:v>968.4033499999999</x:v>
      </x:c>
      <x:c r="H4441" s="37" t="n">
        <x:f t="shared" si="199">IFERROR(E4441/G4441-1,"")</x:f>
        <x:v>-0.06218829168651674</x:v>
      </x:c>
      <x:c r="I4441" s="38" t="b">
        <x:f t="shared" si="200">E4441&lt;G4441</x:f>
        <x:v>1</x:v>
      </x:c>
    </x:row>
    <x:row r="4442">
      <x:c r="A4442" s="31">
        <x:v>43489</x:v>
      </x:c>
      <x:c r="B4442" s="32">
        <x:v>908.56</x:v>
      </x:c>
      <x:c r="C4442" s="32">
        <x:v>910.59</x:v>
      </x:c>
      <x:c r="D4442" s="32">
        <x:v>906.59</x:v>
      </x:c>
      <x:c r="E4442" s="32">
        <x:v>908.79</x:v>
      </x:c>
      <x:c r="F4442" s="33">
        <x:v>93576170</x:v>
      </x:c>
      <x:c r="G4442" s="32" t="n">
        <x:f t="shared" si="198">AVERAGE(E4243:E4442)</x:f>
        <x:v>967.11175</x:v>
      </x:c>
      <x:c r="H4442" s="37" t="n">
        <x:f t="shared" si="199">IFERROR(E4442/G4442-1,"")</x:f>
        <x:v>-0.06030507849790889</x:v>
      </x:c>
      <x:c r="I4442" s="38" t="b">
        <x:f t="shared" si="200">E4442&lt;G4442</x:f>
        <x:v>1</x:v>
      </x:c>
    </x:row>
    <x:row r="4443">
      <x:c r="A4443" s="31">
        <x:v>43490</x:v>
      </x:c>
      <x:c r="B4443" s="32">
        <x:v>908.86</x:v>
      </x:c>
      <x:c r="C4443" s="32">
        <x:v>911.59</x:v>
      </x:c>
      <x:c r="D4443" s="32">
        <x:v>907.96</x:v>
      </x:c>
      <x:c r="E4443" s="32">
        <x:v>908.88</x:v>
      </x:c>
      <x:c r="F4443" s="33">
        <x:v>94869510</x:v>
      </x:c>
      <x:c r="G4443" s="32" t="n">
        <x:f t="shared" si="198">AVERAGE(E4244:E4443)</x:f>
        <x:v>965.7910500000002</x:v>
      </x:c>
      <x:c r="H4443" s="37" t="n">
        <x:f t="shared" si="199">IFERROR(E4443/G4443-1,"")</x:f>
        <x:v>-0.058926876574389664</x:v>
      </x:c>
      <x:c r="I4443" s="38" t="b">
        <x:f t="shared" si="200">E4443&lt;G4443</x:f>
        <x:v>1</x:v>
      </x:c>
    </x:row>
    <x:row r="4444">
      <x:c r="A4444" s="31">
        <x:v>43493</x:v>
      </x:c>
      <x:c r="B4444" s="32">
        <x:v>912.53</x:v>
      </x:c>
      <x:c r="C4444" s="32">
        <x:v>913.43</x:v>
      </x:c>
      <x:c r="D4444" s="32">
        <x:v>908.9</x:v>
      </x:c>
      <x:c r="E4444" s="32">
        <x:v>912.18</x:v>
      </x:c>
      <x:c r="F4444" s="33">
        <x:v>105335970</x:v>
      </x:c>
      <x:c r="G4444" s="32" t="n">
        <x:f t="shared" si="198">AVERAGE(E4245:E4444)</x:f>
        <x:v>964.56625</x:v>
      </x:c>
      <x:c r="H4444" s="37" t="n">
        <x:f t="shared" si="199">IFERROR(E4444/G4444-1,"")</x:f>
        <x:v>-0.05431068109629589</x:v>
      </x:c>
      <x:c r="I4444" s="38" t="b">
        <x:f t="shared" si="200">E4444&lt;G4444</x:f>
        <x:v>1</x:v>
      </x:c>
    </x:row>
    <x:row r="4445">
      <x:c r="A4445" s="31">
        <x:v>43494</x:v>
      </x:c>
      <x:c r="B4445" s="32">
        <x:v>913.67</x:v>
      </x:c>
      <x:c r="C4445" s="32">
        <x:v>915.93</x:v>
      </x:c>
      <x:c r="D4445" s="32">
        <x:v>907.09</x:v>
      </x:c>
      <x:c r="E4445" s="32">
        <x:v>915.93</x:v>
      </x:c>
      <x:c r="F4445" s="33">
        <x:v>97050250</x:v>
      </x:c>
      <x:c r="G4445" s="32" t="n">
        <x:f t="shared" si="198">AVERAGE(E4246:E4445)</x:f>
        <x:v>963.4034499999999</x:v>
      </x:c>
      <x:c r="H4445" s="37" t="n">
        <x:f t="shared" si="199">IFERROR(E4445/G4445-1,"")</x:f>
        <x:v>-0.049276811288147204</x:v>
      </x:c>
      <x:c r="I4445" s="38" t="b">
        <x:f t="shared" si="200">E4445&lt;G4445</x:f>
        <x:v>1</x:v>
      </x:c>
    </x:row>
    <x:row r="4446">
      <x:c r="A4446" s="31">
        <x:v>43495</x:v>
      </x:c>
      <x:c r="B4446" s="32">
        <x:v>914.08</x:v>
      </x:c>
      <x:c r="C4446" s="32">
        <x:v>917.8</x:v>
      </x:c>
      <x:c r="D4446" s="32">
        <x:v>913.48</x:v>
      </x:c>
      <x:c r="E4446" s="32">
        <x:v>915.84</x:v>
      </x:c>
      <x:c r="F4446" s="33">
        <x:v>101720060</x:v>
      </x:c>
      <x:c r="G4446" s="32" t="n">
        <x:f t="shared" si="198">AVERAGE(E4247:E4446)</x:f>
        <x:v>962.2162499999997</x:v>
      </x:c>
      <x:c r="H4446" s="37" t="n">
        <x:f t="shared" si="199">IFERROR(E4446/G4446-1,"")</x:f>
        <x:v>-0.04819732570511015</x:v>
      </x:c>
      <x:c r="I4446" s="38" t="b">
        <x:f t="shared" si="200">E4446&lt;G4446</x:f>
        <x:v>1</x:v>
      </x:c>
    </x:row>
    <x:row r="4447">
      <x:c r="A4447" s="31">
        <x:v>43496</x:v>
      </x:c>
      <x:c r="B4447" s="32">
        <x:v>919.12</x:v>
      </x:c>
      <x:c r="C4447" s="32">
        <x:v>920.36</x:v>
      </x:c>
      <x:c r="D4447" s="32">
        <x:v>910.38</x:v>
      </x:c>
      <x:c r="E4447" s="32">
        <x:v>910.65</x:v>
      </x:c>
      <x:c r="F4447" s="33">
        <x:v>110220270</x:v>
      </x:c>
      <x:c r="G4447" s="32" t="n">
        <x:f t="shared" si="198">AVERAGE(E4248:E4447)</x:f>
        <x:v>961.0768499999997</x:v>
      </x:c>
      <x:c r="H4447" s="37" t="n">
        <x:f t="shared" si="199">IFERROR(E4447/G4447-1,"")</x:f>
        <x:v>-0.052469113161970116</x:v>
      </x:c>
      <x:c r="I4447" s="38" t="b">
        <x:f t="shared" si="200">E4447&lt;G4447</x:f>
        <x:v>1</x:v>
      </x:c>
    </x:row>
    <x:row r="4448">
      <x:c r="A4448" s="31">
        <x:v>43497</x:v>
      </x:c>
      <x:c r="B4448" s="32">
        <x:v>911.98</x:v>
      </x:c>
      <x:c r="C4448" s="32">
        <x:v>912.81</x:v>
      </x:c>
      <x:c r="D4448" s="32">
        <x:v>907.52</x:v>
      </x:c>
      <x:c r="E4448" s="32">
        <x:v>908.67</x:v>
      </x:c>
      <x:c r="F4448" s="33">
        <x:v>101242400</x:v>
      </x:c>
      <x:c r="G4448" s="32" t="n">
        <x:f t="shared" si="198">AVERAGE(E4249:E4448)</x:f>
        <x:v>960.1470499999997</x:v>
      </x:c>
      <x:c r="H4448" s="37" t="n">
        <x:f t="shared" si="199">IFERROR(E4448/G4448-1,"")</x:f>
        <x:v>-0.053613714690890046</x:v>
      </x:c>
      <x:c r="I4448" s="38" t="b">
        <x:f t="shared" si="200">E4448&lt;G4448</x:f>
        <x:v>1</x:v>
      </x:c>
    </x:row>
    <x:row r="4449">
      <x:c r="A4449" s="31">
        <x:v>43507</x:v>
      </x:c>
      <x:c r="B4449" s="32">
        <x:v>916.98</x:v>
      </x:c>
      <x:c r="C4449" s="32">
        <x:v>926.1</x:v>
      </x:c>
      <x:c r="D4449" s="32">
        <x:v>915.86</x:v>
      </x:c>
      <x:c r="E4449" s="32">
        <x:v>926.1</x:v>
      </x:c>
      <x:c r="F4449" s="33">
        <x:v>105483580</x:v>
      </x:c>
      <x:c r="G4449" s="32" t="n">
        <x:f t="shared" si="198">AVERAGE(E4250:E4449)</x:f>
        <x:v>959.1782499999997</x:v>
      </x:c>
      <x:c r="H4449" s="37" t="n">
        <x:f t="shared" si="199">IFERROR(E4449/G4449-1,"")</x:f>
        <x:v>-0.034486030099201814</x:v>
      </x:c>
      <x:c r="I4449" s="38" t="b">
        <x:f t="shared" si="200">E4449&lt;G4449</x:f>
        <x:v>1</x:v>
      </x:c>
    </x:row>
    <x:row r="4450">
      <x:c r="A4450" s="31">
        <x:v>43508</x:v>
      </x:c>
      <x:c r="B4450" s="32">
        <x:v>930.37</x:v>
      </x:c>
      <x:c r="C4450" s="32">
        <x:v>938.64</x:v>
      </x:c>
      <x:c r="D4450" s="32">
        <x:v>926.98</x:v>
      </x:c>
      <x:c r="E4450" s="32">
        <x:v>937.54</x:v>
      </x:c>
      <x:c r="F4450" s="33">
        <x:v>172197210</x:v>
      </x:c>
      <x:c r="G4450" s="32" t="n">
        <x:f t="shared" si="198">AVERAGE(E4251:E4450)</x:f>
        <x:v>958.4820499999997</x:v>
      </x:c>
      <x:c r="H4450" s="37" t="n">
        <x:f t="shared" si="199">IFERROR(E4450/G4450-1,"")</x:f>
        <x:v>-0.021849183299780917</x:v>
      </x:c>
      <x:c r="I4450" s="38" t="b">
        <x:f t="shared" si="200">E4450&lt;G4450</x:f>
        <x:v>1</x:v>
      </x:c>
    </x:row>
    <x:row r="4451">
      <x:c r="A4451" s="31">
        <x:v>43509</x:v>
      </x:c>
      <x:c r="B4451" s="32">
        <x:v>937.61</x:v>
      </x:c>
      <x:c r="C4451" s="32">
        <x:v>945.25</x:v>
      </x:c>
      <x:c r="D4451" s="32">
        <x:v>937.34</x:v>
      </x:c>
      <x:c r="E4451" s="32">
        <x:v>945.25</x:v>
      </x:c>
      <x:c r="F4451" s="33">
        <x:v>176159810</x:v>
      </x:c>
      <x:c r="G4451" s="32" t="n">
        <x:f t="shared" si="198">AVERAGE(E4252:E4451)</x:f>
        <x:v>957.8045999999999</x:v>
      </x:c>
      <x:c r="H4451" s="37" t="n">
        <x:f t="shared" si="199">IFERROR(E4451/G4451-1,"")</x:f>
        <x:v>-0.013107683968107797</x:v>
      </x:c>
      <x:c r="I4451" s="38" t="b">
        <x:f t="shared" si="200">E4451&lt;G4451</x:f>
        <x:v>1</x:v>
      </x:c>
    </x:row>
    <x:row r="4452">
      <x:c r="A4452" s="31">
        <x:v>43510</x:v>
      </x:c>
      <x:c r="B4452" s="32">
        <x:v>946.54</x:v>
      </x:c>
      <x:c r="C4452" s="32">
        <x:v>953.66</x:v>
      </x:c>
      <x:c r="D4452" s="32">
        <x:v>945.99</x:v>
      </x:c>
      <x:c r="E4452" s="32">
        <x:v>952.34</x:v>
      </x:c>
      <x:c r="F4452" s="33">
        <x:v>156655320</x:v>
      </x:c>
      <x:c r="G4452" s="32" t="n">
        <x:f t="shared" si="198">AVERAGE(E4253:E4452)</x:f>
        <x:v>957.3419999999999</x:v>
      </x:c>
      <x:c r="H4452" s="37" t="n">
        <x:f t="shared" si="199">IFERROR(E4452/G4452-1,"")</x:f>
        <x:v>-0.005224883061643371</x:v>
      </x:c>
      <x:c r="I4452" s="38" t="b">
        <x:f t="shared" si="200">E4452&lt;G4452</x:f>
        <x:v>1</x:v>
      </x:c>
    </x:row>
    <x:row r="4453">
      <x:c r="A4453" s="31">
        <x:v>43511</x:v>
      </x:c>
      <x:c r="B4453" s="32">
        <x:v>951.9</x:v>
      </x:c>
      <x:c r="C4453" s="32">
        <x:v>955.4</x:v>
      </x:c>
      <x:c r="D4453" s="32">
        <x:v>948.26</x:v>
      </x:c>
      <x:c r="E4453" s="32">
        <x:v>950.89</x:v>
      </x:c>
      <x:c r="F4453" s="33">
        <x:v>145322500</x:v>
      </x:c>
      <x:c r="G4453" s="32" t="n">
        <x:f t="shared" si="198">AVERAGE(E4254:E4453)</x:f>
        <x:v>956.8451499999999</x:v>
      </x:c>
      <x:c r="H4453" s="37" t="n">
        <x:f t="shared" si="199">IFERROR(E4453/G4453-1,"")</x:f>
        <x:v>-0.006223734321065266</x:v>
      </x:c>
      <x:c r="I4453" s="38" t="b">
        <x:f t="shared" si="200">E4453&lt;G4453</x:f>
        <x:v>1</x:v>
      </x:c>
    </x:row>
    <x:row r="4454">
      <x:c r="A4454" s="31">
        <x:v>43514</x:v>
      </x:c>
      <x:c r="B4454" s="32">
        <x:v>954.85</x:v>
      </x:c>
      <x:c r="C4454" s="32">
        <x:v>961.3</x:v>
      </x:c>
      <x:c r="D4454" s="32">
        <x:v>953.32</x:v>
      </x:c>
      <x:c r="E4454" s="32">
        <x:v>961.3</x:v>
      </x:c>
      <x:c r="F4454" s="33">
        <x:v>169171360</x:v>
      </x:c>
      <x:c r="G4454" s="32" t="n">
        <x:f t="shared" si="198">AVERAGE(E4255:E4454)</x:f>
        <x:v>956.5062499999999</x:v>
      </x:c>
      <x:c r="H4454" s="37" t="n">
        <x:f t="shared" si="199">IFERROR(E4454/G4454-1,"")</x:f>
        <x:v>0.005011728883109745</x:v>
      </x:c>
      <x:c r="I4454" s="38" t="b">
        <x:f t="shared" si="200">E4454&lt;G4454</x:f>
        <x:v>0</x:v>
      </x:c>
    </x:row>
    <x:row r="4455">
      <x:c r="A4455" s="31">
        <x:v>43515</x:v>
      </x:c>
      <x:c r="B4455" s="32">
        <x:v>962.84</x:v>
      </x:c>
      <x:c r="C4455" s="32">
        <x:v>971.92</x:v>
      </x:c>
      <x:c r="D4455" s="32">
        <x:v>962.81</x:v>
      </x:c>
      <x:c r="E4455" s="32">
        <x:v>964.35</x:v>
      </x:c>
      <x:c r="F4455" s="33">
        <x:v>195093270</x:v>
      </x:c>
      <x:c r="G4455" s="32" t="n">
        <x:f t="shared" si="198">AVERAGE(E4256:E4455)</x:f>
        <x:v>956.1956999999999</x:v>
      </x:c>
      <x:c r="H4455" s="37" t="n">
        <x:f t="shared" si="199">IFERROR(E4455/G4455-1,"")</x:f>
        <x:v>0.008527856797515554</x:v>
      </x:c>
      <x:c r="I4455" s="38" t="b">
        <x:f t="shared" si="200">E4455&lt;G4455</x:f>
        <x:v>0</x:v>
      </x:c>
    </x:row>
    <x:row r="4456">
      <x:c r="A4456" s="31">
        <x:v>43516</x:v>
      </x:c>
      <x:c r="B4456" s="32">
        <x:v>963.29</x:v>
      </x:c>
      <x:c r="C4456" s="32">
        <x:v>972.75</x:v>
      </x:c>
      <x:c r="D4456" s="32">
        <x:v>963.29</x:v>
      </x:c>
      <x:c r="E4456" s="32">
        <x:v>970.58</x:v>
      </x:c>
      <x:c r="F4456" s="33">
        <x:v>145267490</x:v>
      </x:c>
      <x:c r="G4456" s="32" t="n">
        <x:f t="shared" si="198">AVERAGE(E4257:E4456)</x:f>
        <x:v>955.9146</x:v>
      </x:c>
      <x:c r="H4456" s="37" t="n">
        <x:f t="shared" si="199">IFERROR(E4456/G4456-1,"")</x:f>
        <x:v>0.01534174705564717</x:v>
      </x:c>
      <x:c r="I4456" s="38" t="b">
        <x:f t="shared" si="200">E4456&lt;G4456</x:f>
        <x:v>0</x:v>
      </x:c>
    </x:row>
    <x:row r="4457">
      <x:c r="A4457" s="31">
        <x:v>43517</x:v>
      </x:c>
      <x:c r="B4457" s="32">
        <x:v>972.82</x:v>
      </x:c>
      <x:c r="C4457" s="32">
        <x:v>987.57</x:v>
      </x:c>
      <x:c r="D4457" s="32">
        <x:v>970.31</x:v>
      </x:c>
      <x:c r="E4457" s="32">
        <x:v>987.57</x:v>
      </x:c>
      <x:c r="F4457" s="33">
        <x:v>162918220</x:v>
      </x:c>
      <x:c r="G4457" s="32" t="n">
        <x:f t="shared" si="198">AVERAGE(E4258:E4457)</x:f>
        <x:v>955.5411499999998</x:v>
      </x:c>
      <x:c r="H4457" s="37" t="n">
        <x:f t="shared" si="199">IFERROR(E4457/G4457-1,"")</x:f>
        <x:v>0.03351906927294568</x:v>
      </x:c>
      <x:c r="I4457" s="38" t="b">
        <x:f t="shared" si="200">E4457&lt;G4457</x:f>
        <x:v>0</x:v>
      </x:c>
    </x:row>
    <x:row r="4458">
      <x:c r="A4458" s="31">
        <x:v>43518</x:v>
      </x:c>
      <x:c r="B4458" s="32">
        <x:v>983.99</x:v>
      </x:c>
      <x:c r="C4458" s="32">
        <x:v>993.16</x:v>
      </x:c>
      <x:c r="D4458" s="32">
        <x:v>982.86</x:v>
      </x:c>
      <x:c r="E4458" s="32">
        <x:v>988.91</x:v>
      </x:c>
      <x:c r="F4458" s="33">
        <x:v>199234030</x:v>
      </x:c>
      <x:c r="G4458" s="32" t="n">
        <x:f t="shared" si="198">AVERAGE(E4259:E4458)</x:f>
        <x:v>955.1834499999999</x:v>
      </x:c>
      <x:c r="H4458" s="37" t="n">
        <x:f t="shared" si="199">IFERROR(E4458/G4458-1,"")</x:f>
        <x:v>0.035308976511265966</x:v>
      </x:c>
      <x:c r="I4458" s="38" t="b">
        <x:f t="shared" si="200">E4458&lt;G4458</x:f>
        <x:v>0</x:v>
      </x:c>
    </x:row>
    <x:row r="4459">
      <x:c r="A4459" s="31">
        <x:v>43521</x:v>
      </x:c>
      <x:c r="B4459" s="32">
        <x:v>996.06</x:v>
      </x:c>
      <x:c r="C4459" s="32">
        <x:v>999.9</x:v>
      </x:c>
      <x:c r="D4459" s="32">
        <x:v>992.72</x:v>
      </x:c>
      <x:c r="E4459" s="32">
        <x:v>994.43</x:v>
      </x:c>
      <x:c r="F4459" s="33">
        <x:v>192681550</x:v>
      </x:c>
      <x:c r="G4459" s="32" t="n">
        <x:f t="shared" si="198">AVERAGE(E4260:E4459)</x:f>
        <x:v>954.8707499999998</x:v>
      </x:c>
      <x:c r="H4459" s="37" t="n">
        <x:f t="shared" si="199">IFERROR(E4459/G4459-1,"")</x:f>
        <x:v>0.04142890543039468</x:v>
      </x:c>
      <x:c r="I4459" s="38" t="b">
        <x:f t="shared" si="200">E4459&lt;G4459</x:f>
        <x:v>0</x:v>
      </x:c>
    </x:row>
    <x:row r="4460">
      <x:c r="A4460" s="31">
        <x:v>43522</x:v>
      </x:c>
      <x:c r="B4460" s="32">
        <x:v>991.63</x:v>
      </x:c>
      <x:c r="C4460" s="32">
        <x:v>996.44</x:v>
      </x:c>
      <x:c r="D4460" s="32">
        <x:v>979.24</x:v>
      </x:c>
      <x:c r="E4460" s="32">
        <x:v>987.06</x:v>
      </x:c>
      <x:c r="F4460" s="33">
        <x:v>209790990</x:v>
      </x:c>
      <x:c r="G4460" s="32" t="n">
        <x:f t="shared" si="198">AVERAGE(E4261:E4460)</x:f>
        <x:v>954.6616999999999</x:v>
      </x:c>
      <x:c r="H4460" s="37" t="n">
        <x:f t="shared" si="199">IFERROR(E4460/G4460-1,"")</x:f>
        <x:v>0.0339369433171981</x:v>
      </x:c>
      <x:c r="I4460" s="38" t="b">
        <x:f t="shared" si="200">E4460&lt;G4460</x:f>
        <x:v>0</x:v>
      </x:c>
    </x:row>
    <x:row r="4461">
      <x:c r="A4461" s="31">
        <x:v>43523</x:v>
      </x:c>
      <x:c r="B4461" s="32">
        <x:v>989.61</x:v>
      </x:c>
      <x:c r="C4461" s="32">
        <x:v>994.46</x:v>
      </x:c>
      <x:c r="D4461" s="32">
        <x:v>988.09</x:v>
      </x:c>
      <x:c r="E4461" s="32">
        <x:v>990.27</x:v>
      </x:c>
      <x:c r="F4461" s="33">
        <x:v>204616980</x:v>
      </x:c>
      <x:c r="G4461" s="32" t="n">
        <x:f t="shared" si="198">AVERAGE(E4262:E4461)</x:f>
        <x:v>954.3888</x:v>
      </x:c>
      <x:c r="H4461" s="37" t="n">
        <x:f t="shared" si="199">IFERROR(E4461/G4461-1,"")</x:f>
        <x:v>0.03759599861188656</x:v>
      </x:c>
      <x:c r="I4461" s="38" t="b">
        <x:f t="shared" si="200">E4461&lt;G4461</x:f>
        <x:v>0</x:v>
      </x:c>
    </x:row>
    <x:row r="4462">
      <x:c r="A4462" s="31">
        <x:v>43524</x:v>
      </x:c>
      <x:c r="B4462" s="32">
        <x:v>989.84</x:v>
      </x:c>
      <x:c r="C4462" s="32">
        <x:v>990.25</x:v>
      </x:c>
      <x:c r="D4462" s="32">
        <x:v>965.47</x:v>
      </x:c>
      <x:c r="E4462" s="32">
        <x:v>965.47</x:v>
      </x:c>
      <x:c r="F4462" s="33">
        <x:v>197428310</x:v>
      </x:c>
      <x:c r="G4462" s="32" t="n">
        <x:f t="shared" si="198">AVERAGE(E4263:E4462)</x:f>
        <x:v>953.88125</x:v>
      </x:c>
      <x:c r="H4462" s="37" t="n">
        <x:f t="shared" si="199">IFERROR(E4462/G4462-1,"")</x:f>
        <x:v>0.012149048951323849</x:v>
      </x:c>
      <x:c r="I4462" s="38" t="b">
        <x:f t="shared" si="200">E4462&lt;G4462</x:f>
        <x:v>0</x:v>
      </x:c>
    </x:row>
    <x:row r="4463">
      <x:c r="A4463" s="31">
        <x:v>43525</x:v>
      </x:c>
      <x:c r="B4463" s="32">
        <x:v>971.05</x:v>
      </x:c>
      <x:c r="C4463" s="32">
        <x:v>980.82</x:v>
      </x:c>
      <x:c r="D4463" s="32">
        <x:v>970.54</x:v>
      </x:c>
      <x:c r="E4463" s="32">
        <x:v>979.63</x:v>
      </x:c>
      <x:c r="F4463" s="33">
        <x:v>147716480</x:v>
      </x:c>
      <x:c r="G4463" s="32" t="n">
        <x:f t="shared" si="198">AVERAGE(E4264:E4463)</x:f>
        <x:v>953.4118999999998</x:v>
      </x:c>
      <x:c r="H4463" s="37" t="n">
        <x:f t="shared" si="199">IFERROR(E4463/G4463-1,"")</x:f>
        <x:v>0.027499237213213013</x:v>
      </x:c>
      <x:c r="I4463" s="38" t="b">
        <x:f t="shared" si="200">E4463&lt;G4463</x:f>
        <x:v>0</x:v>
      </x:c>
    </x:row>
    <x:row r="4464">
      <x:c r="A4464" s="31">
        <x:v>43528</x:v>
      </x:c>
      <x:c r="B4464" s="32">
        <x:v>983.5</x:v>
      </x:c>
      <x:c r="C4464" s="32">
        <x:v>994.46</x:v>
      </x:c>
      <x:c r="D4464" s="32">
        <x:v>983.33</x:v>
      </x:c>
      <x:c r="E4464" s="32">
        <x:v>993.99</x:v>
      </x:c>
      <x:c r="F4464" s="33">
        <x:v>209754090</x:v>
      </x:c>
      <x:c r="G4464" s="32" t="n">
        <x:f t="shared" si="198">AVERAGE(E4265:E4464)</x:f>
        <x:v>953.1087499999998</x:v>
      </x:c>
      <x:c r="H4464" s="37" t="n">
        <x:f t="shared" si="199">IFERROR(E4464/G4464-1,"")</x:f>
        <x:v>0.0428925345612452</x:v>
      </x:c>
      <x:c r="I4464" s="38" t="b">
        <x:f t="shared" si="200">E4464&lt;G4464</x:f>
        <x:v>0</x:v>
      </x:c>
    </x:row>
    <x:row r="4465">
      <x:c r="A4465" s="31">
        <x:v>43529</x:v>
      </x:c>
      <x:c r="B4465" s="32">
        <x:v>990.08</x:v>
      </x:c>
      <x:c r="C4465" s="32">
        <x:v>1000.25</x:v>
      </x:c>
      <x:c r="D4465" s="32">
        <x:v>987.92</x:v>
      </x:c>
      <x:c r="E4465" s="32">
        <x:v>992.45</x:v>
      </x:c>
      <x:c r="F4465" s="33">
        <x:v>243416220</x:v>
      </x:c>
      <x:c r="G4465" s="32" t="n">
        <x:f t="shared" si="198">AVERAGE(E4266:E4465)</x:f>
        <x:v>952.9177999999998</x:v>
      </x:c>
      <x:c r="H4465" s="37" t="n">
        <x:f t="shared" si="199">IFERROR(E4465/G4465-1,"")</x:f>
        <x:v>0.04148542508073638</x:v>
      </x:c>
      <x:c r="I4465" s="38" t="b">
        <x:f t="shared" si="200">E4465&lt;G4465</x:f>
        <x:v>0</x:v>
      </x:c>
    </x:row>
    <x:row r="4466">
      <x:c r="A4466" s="31">
        <x:v>43530</x:v>
      </x:c>
      <x:c r="B4466" s="32">
        <x:v>993.01</x:v>
      </x:c>
      <x:c r="C4466" s="32">
        <x:v>994.49</x:v>
      </x:c>
      <x:c r="D4466" s="32">
        <x:v>985.51</x:v>
      </x:c>
      <x:c r="E4466" s="32">
        <x:v>994.49</x:v>
      </x:c>
      <x:c r="F4466" s="33">
        <x:v>189551540</x:v>
      </x:c>
      <x:c r="G4466" s="32" t="n">
        <x:f t="shared" si="198">AVERAGE(E4267:E4466)</x:f>
        <x:v>952.6875499999998</x:v>
      </x:c>
      <x:c r="H4466" s="37" t="n">
        <x:f t="shared" si="199">IFERROR(E4466/G4466-1,"")</x:f>
        <x:v>0.043878446821311146</x:v>
      </x:c>
      <x:c r="I4466" s="38" t="b">
        <x:f t="shared" si="200">E4466&lt;G4466</x:f>
        <x:v>0</x:v>
      </x:c>
    </x:row>
    <x:row r="4467">
      <x:c r="A4467" s="31">
        <x:v>43531</x:v>
      </x:c>
      <x:c r="B4467" s="32">
        <x:v>995.65</x:v>
      </x:c>
      <x:c r="C4467" s="32">
        <x:v>1004.55</x:v>
      </x:c>
      <x:c r="D4467" s="32">
        <x:v>994.03</x:v>
      </x:c>
      <x:c r="E4467" s="32">
        <x:v>994.03</x:v>
      </x:c>
      <x:c r="F4467" s="33">
        <x:v>187770040</x:v>
      </x:c>
      <x:c r="G4467" s="32" t="n">
        <x:f t="shared" si="198">AVERAGE(E4268:E4467)</x:f>
        <x:v>952.5827999999997</x:v>
      </x:c>
      <x:c r="H4467" s="37" t="n">
        <x:f t="shared" si="199">IFERROR(E4467/G4467-1,"")</x:f>
        <x:v>0.04351033841887575</x:v>
      </x:c>
      <x:c r="I4467" s="38" t="b">
        <x:f t="shared" si="200">E4467&lt;G4467</x:f>
        <x:v>0</x:v>
      </x:c>
    </x:row>
    <x:row r="4468">
      <x:c r="A4468" s="31">
        <x:v>43532</x:v>
      </x:c>
      <x:c r="B4468" s="32">
        <x:v>987.89</x:v>
      </x:c>
      <x:c r="C4468" s="32">
        <x:v>991.98</x:v>
      </x:c>
      <x:c r="D4468" s="32">
        <x:v>984.48</x:v>
      </x:c>
      <x:c r="E4468" s="32">
        <x:v>985.25</x:v>
      </x:c>
      <x:c r="F4468" s="33">
        <x:v>176347260</x:v>
      </x:c>
      <x:c r="G4468" s="32" t="n">
        <x:f t="shared" si="198">AVERAGE(E4269:E4468)</x:f>
        <x:v>952.5794999999997</x:v>
      </x:c>
      <x:c r="H4468" s="37" t="n">
        <x:f t="shared" si="199">IFERROR(E4468/G4468-1,"")</x:f>
        <x:v>0.03429687495899314</x:v>
      </x:c>
      <x:c r="I4468" s="38" t="b">
        <x:f t="shared" si="200">E4468&lt;G4468</x:f>
        <x:v>0</x:v>
      </x:c>
    </x:row>
    <x:row r="4469">
      <x:c r="A4469" s="31">
        <x:v>43535</x:v>
      </x:c>
      <x:c r="B4469" s="32">
        <x:v>982.94</x:v>
      </x:c>
      <x:c r="C4469" s="32">
        <x:v>987.11</x:v>
      </x:c>
      <x:c r="D4469" s="32">
        <x:v>981.34</x:v>
      </x:c>
      <x:c r="E4469" s="32">
        <x:v>984.6</x:v>
      </x:c>
      <x:c r="F4469" s="33">
        <x:v>142651930</x:v>
      </x:c>
      <x:c r="G4469" s="32" t="n">
        <x:f t="shared" si="198">AVERAGE(E4270:E4469)</x:f>
        <x:v>952.5577999999996</x:v>
      </x:c>
      <x:c r="H4469" s="37" t="n">
        <x:f t="shared" si="199">IFERROR(E4469/G4469-1,"")</x:f>
        <x:v>0.0336380637479432</x:v>
      </x:c>
      <x:c r="I4469" s="38" t="b">
        <x:f t="shared" si="200">E4469&lt;G4469</x:f>
        <x:v>0</x:v>
      </x:c>
    </x:row>
    <x:row r="4470">
      <x:c r="A4470" s="31">
        <x:v>43536</x:v>
      </x:c>
      <x:c r="B4470" s="32">
        <x:v>991.14</x:v>
      </x:c>
      <x:c r="C4470" s="32">
        <x:v>1001.32</x:v>
      </x:c>
      <x:c r="D4470" s="32">
        <x:v>990.46</x:v>
      </x:c>
      <x:c r="E4470" s="32">
        <x:v>1001.32</x:v>
      </x:c>
      <x:c r="F4470" s="33">
        <x:v>179893460</x:v>
      </x:c>
      <x:c r="G4470" s="32" t="n">
        <x:f t="shared" si="198">AVERAGE(E4271:E4470)</x:f>
        <x:v>952.6347999999997</x:v>
      </x:c>
      <x:c r="H4470" s="37" t="n">
        <x:f t="shared" si="199">IFERROR(E4470/G4470-1,"")</x:f>
        <x:v>0.05110583824987325</x:v>
      </x:c>
      <x:c r="I4470" s="38" t="b">
        <x:f t="shared" si="200">E4470&lt;G4470</x:f>
        <x:v>0</x:v>
      </x:c>
    </x:row>
    <x:row r="4471">
      <x:c r="A4471" s="31">
        <x:v>43537</x:v>
      </x:c>
      <x:c r="B4471" s="32">
        <x:v>1003.75</x:v>
      </x:c>
      <x:c r="C4471" s="32">
        <x:v>1009.77</x:v>
      </x:c>
      <x:c r="D4471" s="32">
        <x:v>1003.01</x:v>
      </x:c>
      <x:c r="E4471" s="32">
        <x:v>1005.41</x:v>
      </x:c>
      <x:c r="F4471" s="33">
        <x:v>197620220</x:v>
      </x:c>
      <x:c r="G4471" s="32" t="n">
        <x:f t="shared" si="198">AVERAGE(E4272:E4471)</x:f>
        <x:v>952.8423499999996</x:v>
      </x:c>
      <x:c r="H4471" s="37" t="n">
        <x:f t="shared" si="199">IFERROR(E4471/G4471-1,"")</x:f>
        <x:v>0.055169304764844274</x:v>
      </x:c>
      <x:c r="I4471" s="38" t="b">
        <x:f t="shared" si="200">E4471&lt;G4471</x:f>
        <x:v>0</x:v>
      </x:c>
    </x:row>
    <x:row r="4472">
      <x:c r="A4472" s="31">
        <x:v>43538</x:v>
      </x:c>
      <x:c r="B4472" s="32">
        <x:v>1006.37</x:v>
      </x:c>
      <x:c r="C4472" s="32">
        <x:v>1011.39</x:v>
      </x:c>
      <x:c r="D4472" s="32">
        <x:v>1002.09</x:v>
      </x:c>
      <x:c r="E4472" s="32">
        <x:v>1008.44</x:v>
      </x:c>
      <x:c r="F4472" s="33">
        <x:v>182827760</x:v>
      </x:c>
      <x:c r="G4472" s="32" t="n">
        <x:f t="shared" si="198">AVERAGE(E4273:E4472)</x:f>
        <x:v>953.2257999999995</x:v>
      </x:c>
      <x:c r="H4472" s="37" t="n">
        <x:f t="shared" si="199">IFERROR(E4472/G4472-1,"")</x:f>
        <x:v>0.057923526618772314</x:v>
      </x:c>
      <x:c r="I4472" s="38" t="b">
        <x:f t="shared" si="200">E4472&lt;G4472</x:f>
        <x:v>0</x:v>
      </x:c>
    </x:row>
    <x:row r="4473">
      <x:c r="A4473" s="31">
        <x:v>43539</x:v>
      </x:c>
      <x:c r="B4473" s="32">
        <x:v>1008.22</x:v>
      </x:c>
      <x:c r="C4473" s="32">
        <x:v>1008.22</x:v>
      </x:c>
      <x:c r="D4473" s="32">
        <x:v>1001.1</x:v>
      </x:c>
      <x:c r="E4473" s="32">
        <x:v>1004.12</x:v>
      </x:c>
      <x:c r="F4473" s="33">
        <x:v>207003710</x:v>
      </x:c>
      <x:c r="G4473" s="32" t="n">
        <x:f t="shared" si="198">AVERAGE(E4274:E4473)</x:f>
        <x:v>953.4854999999995</x:v>
      </x:c>
      <x:c r="H4473" s="37" t="n">
        <x:f t="shared" si="199">IFERROR(E4473/G4473-1,"")</x:f>
        <x:v>0.053104635571280756</x:v>
      </x:c>
      <x:c r="I4473" s="38" t="b">
        <x:f t="shared" si="200">E4473&lt;G4473</x:f>
        <x:v>0</x:v>
      </x:c>
    </x:row>
    <x:row r="4474">
      <x:c r="A4474" s="31">
        <x:v>43542</x:v>
      </x:c>
      <x:c r="B4474" s="32">
        <x:v>1007.92</x:v>
      </x:c>
      <x:c r="C4474" s="32">
        <x:v>1013.29</x:v>
      </x:c>
      <x:c r="D4474" s="32">
        <x:v>1007.92</x:v>
      </x:c>
      <x:c r="E4474" s="32">
        <x:v>1011.86</x:v>
      </x:c>
      <x:c r="F4474" s="33">
        <x:v>188364570</x:v>
      </x:c>
      <x:c r="G4474" s="32" t="n">
        <x:f t="shared" si="198">AVERAGE(E4275:E4474)</x:f>
        <x:v>953.8022999999994</x:v>
      </x:c>
      <x:c r="H4474" s="37" t="n">
        <x:f t="shared" si="199">IFERROR(E4474/G4474-1,"")</x:f>
        <x:v>0.06086974208386864</x:v>
      </x:c>
      <x:c r="I4474" s="38" t="b">
        <x:f t="shared" si="200">E4474&lt;G4474</x:f>
        <x:v>0</x:v>
      </x:c>
    </x:row>
    <x:row r="4475">
      <x:c r="A4475" s="31">
        <x:v>43543</x:v>
      </x:c>
      <x:c r="B4475" s="32">
        <x:v>1013.75</x:v>
      </x:c>
      <x:c r="C4475" s="32">
        <x:v>1014.51</x:v>
      </x:c>
      <x:c r="D4475" s="32">
        <x:v>1004.22</x:v>
      </x:c>
      <x:c r="E4475" s="32">
        <x:v>1006.59</x:v>
      </x:c>
      <x:c r="F4475" s="33">
        <x:v>198984160</x:v>
      </x:c>
      <x:c r="G4475" s="32" t="n">
        <x:f t="shared" si="198">AVERAGE(E4276:E4475)</x:f>
        <x:v>953.9789999999994</x:v>
      </x:c>
      <x:c r="H4475" s="37" t="n">
        <x:f t="shared" si="199">IFERROR(E4475/G4475-1,"")</x:f>
        <x:v>0.055149012714116985</x:v>
      </x:c>
      <x:c r="I4475" s="38" t="b">
        <x:f t="shared" si="200">E4475&lt;G4475</x:f>
        <x:v>0</x:v>
      </x:c>
    </x:row>
    <x:row r="4476">
      <x:c r="A4476" s="31">
        <x:v>43544</x:v>
      </x:c>
      <x:c r="B4476" s="32">
        <x:v>1002.86</x:v>
      </x:c>
      <x:c r="C4476" s="32">
        <x:v>1003.25</x:v>
      </x:c>
      <x:c r="D4476" s="32">
        <x:v>992.02</x:v>
      </x:c>
      <x:c r="E4476" s="32">
        <x:v>1002.3</x:v>
      </x:c>
      <x:c r="F4476" s="33">
        <x:v>180045630</x:v>
      </x:c>
      <x:c r="G4476" s="32" t="n">
        <x:f t="shared" si="198">AVERAGE(E4277:E4476)</x:f>
        <x:v>954.0261499999993</x:v>
      </x:c>
      <x:c r="H4476" s="37" t="n">
        <x:f t="shared" si="199">IFERROR(E4476/G4476-1,"")</x:f>
        <x:v>0.05060013292088539</x:v>
      </x:c>
      <x:c r="I4476" s="38" t="b">
        <x:f t="shared" si="200">E4476&lt;G4476</x:f>
        <x:v>0</x:v>
      </x:c>
    </x:row>
    <x:row r="4477">
      <x:c r="A4477" s="31">
        <x:v>43545</x:v>
      </x:c>
      <x:c r="B4477" s="32">
        <x:v>1005.12</x:v>
      </x:c>
      <x:c r="C4477" s="32">
        <x:v>1006.37</x:v>
      </x:c>
      <x:c r="D4477" s="32">
        <x:v>981.78</x:v>
      </x:c>
      <x:c r="E4477" s="32">
        <x:v>981.78</x:v>
      </x:c>
      <x:c r="F4477" s="33">
        <x:v>182708030</x:v>
      </x:c>
      <x:c r="G4477" s="32" t="n">
        <x:f t="shared" si="198">AVERAGE(E4278:E4477)</x:f>
        <x:v>953.8661499999995</x:v>
      </x:c>
      <x:c r="H4477" s="37" t="n">
        <x:f t="shared" si="199">IFERROR(E4477/G4477-1,"")</x:f>
        <x:v>0.02926390668124723</x:v>
      </x:c>
      <x:c r="I4477" s="38" t="b">
        <x:f t="shared" si="200">E4477&lt;G4477</x:f>
        <x:v>0</x:v>
      </x:c>
    </x:row>
    <x:row r="4478">
      <x:c r="A4478" s="31">
        <x:v>43546</x:v>
      </x:c>
      <x:c r="B4478" s="32">
        <x:v>984.9</x:v>
      </x:c>
      <x:c r="C4478" s="32">
        <x:v>990.07</x:v>
      </x:c>
      <x:c r="D4478" s="32">
        <x:v>981.3</x:v>
      </x:c>
      <x:c r="E4478" s="32">
        <x:v>988.71</x:v>
      </x:c>
      <x:c r="F4478" s="33">
        <x:v>151811080</x:v>
      </x:c>
      <x:c r="G4478" s="32" t="n">
        <x:f t="shared" si="198">AVERAGE(E4279:E4478)</x:f>
        <x:v>953.6959999999993</x:v>
      </x:c>
      <x:c r="H4478" s="37" t="n">
        <x:f t="shared" si="199">IFERROR(E4478/G4478-1,"")</x:f>
        <x:v>0.0367140053014805</x:v>
      </x:c>
      <x:c r="I4478" s="38" t="b">
        <x:f t="shared" si="200">E4478&lt;G4478</x:f>
        <x:v>0</x:v>
      </x:c>
    </x:row>
    <x:row r="4479">
      <x:c r="A4479" s="31">
        <x:v>43549</x:v>
      </x:c>
      <x:c r="B4479" s="32">
        <x:v>976.53</x:v>
      </x:c>
      <x:c r="C4479" s="32">
        <x:v>976.53</x:v>
      </x:c>
      <x:c r="D4479" s="32">
        <x:v>964.76</x:v>
      </x:c>
      <x:c r="E4479" s="32">
        <x:v>970.07</x:v>
      </x:c>
      <x:c r="F4479" s="33">
        <x:v>177632670</x:v>
      </x:c>
      <x:c r="G4479" s="32" t="n">
        <x:f t="shared" si="198">AVERAGE(E4280:E4479)</x:f>
        <x:v>953.3738499999994</x:v>
      </x:c>
      <x:c r="H4479" s="37" t="n">
        <x:f t="shared" si="199">IFERROR(E4479/G4479-1,"")</x:f>
        <x:v>0.01751269976620473</x:v>
      </x:c>
      <x:c r="I4479" s="38" t="b">
        <x:f t="shared" si="200">E4479&lt;G4479</x:f>
        <x:v>0</x:v>
      </x:c>
    </x:row>
    <x:row r="4480">
      <x:c r="A4480" s="31">
        <x:v>43550</x:v>
      </x:c>
      <x:c r="B4480" s="32">
        <x:v>975.44</x:v>
      </x:c>
      <x:c r="C4480" s="32">
        <x:v>978.99</x:v>
      </x:c>
      <x:c r="D4480" s="32">
        <x:v>966.9</x:v>
      </x:c>
      <x:c r="E4480" s="32">
        <x:v>969.79</x:v>
      </x:c>
      <x:c r="F4480" s="33">
        <x:v>139645020</x:v>
      </x:c>
      <x:c r="G4480" s="32" t="n">
        <x:f t="shared" si="198">AVERAGE(E4281:E4480)</x:f>
        <x:v>953.0393499999996</x:v>
      </x:c>
      <x:c r="H4480" s="37" t="n">
        <x:f t="shared" si="199">IFERROR(E4480/G4480-1,"")</x:f>
        <x:v>0.01757603188158008</x:v>
      </x:c>
      <x:c r="I4480" s="38" t="b">
        <x:f t="shared" si="200">E4480&lt;G4480</x:f>
        <x:v>0</x:v>
      </x:c>
    </x:row>
    <x:row r="4481">
      <x:c r="A4481" s="31">
        <x:v>43551</x:v>
      </x:c>
      <x:c r="B4481" s="32">
        <x:v>976.67</x:v>
      </x:c>
      <x:c r="C4481" s="32">
        <x:v>979.32</x:v>
      </x:c>
      <x:c r="D4481" s="32">
        <x:v>972.25</x:v>
      </x:c>
      <x:c r="E4481" s="32">
        <x:v>975.91</x:v>
      </x:c>
      <x:c r="F4481" s="33">
        <x:v>112974060</x:v>
      </x:c>
      <x:c r="G4481" s="32" t="n">
        <x:f t="shared" si="198">AVERAGE(E4282:E4481)</x:f>
        <x:v>952.7238499999995</x:v>
      </x:c>
      <x:c r="H4481" s="37" t="n">
        <x:f t="shared" si="199">IFERROR(E4481/G4481-1,"")</x:f>
        <x:v>0.024336695255398944</x:v>
      </x:c>
      <x:c r="I4481" s="38" t="b">
        <x:f t="shared" si="200">E4481&lt;G4481</x:f>
        <x:v>0</x:v>
      </x:c>
    </x:row>
    <x:row r="4482">
      <x:c r="A4482" s="31">
        <x:v>43552</x:v>
      </x:c>
      <x:c r="B4482" s="32">
        <x:v>973.44</x:v>
      </x:c>
      <x:c r="C4482" s="32">
        <x:v>983.18</x:v>
      </x:c>
      <x:c r="D4482" s="32">
        <x:v>972.6</x:v>
      </x:c>
      <x:c r="E4482" s="32">
        <x:v>982.98</x:v>
      </x:c>
      <x:c r="F4482" s="33">
        <x:v>122202110</x:v>
      </x:c>
      <x:c r="G4482" s="32" t="n">
        <x:f t="shared" si="198">AVERAGE(E4283:E4482)</x:f>
        <x:v>952.4436499999996</x:v>
      </x:c>
      <x:c r="H4482" s="37" t="n">
        <x:f t="shared" si="199">IFERROR(E4482/G4482-1,"")</x:f>
        <x:v>0.032061056840476</x:v>
      </x:c>
      <x:c r="I4482" s="38" t="b">
        <x:f t="shared" si="200">E4482&lt;G4482</x:f>
        <x:v>0</x:v>
      </x:c>
    </x:row>
    <x:row r="4483">
      <x:c r="A4483" s="31">
        <x:v>43553</x:v>
      </x:c>
      <x:c r="B4483" s="32">
        <x:v>985.35</x:v>
      </x:c>
      <x:c r="C4483" s="32">
        <x:v>988.24</x:v>
      </x:c>
      <x:c r="D4483" s="32">
        <x:v>980.76</x:v>
      </x:c>
      <x:c r="E4483" s="32">
        <x:v>980.76</x:v>
      </x:c>
      <x:c r="F4483" s="33">
        <x:v>131921800</x:v>
      </x:c>
      <x:c r="G4483" s="32" t="n">
        <x:f t="shared" si="198">AVERAGE(E4284:E4483)</x:f>
        <x:v>952.2436499999997</x:v>
      </x:c>
      <x:c r="H4483" s="37" t="n">
        <x:f t="shared" si="199">IFERROR(E4483/G4483-1,"")</x:f>
        <x:v>0.029946484809849183</x:v>
      </x:c>
      <x:c r="I4483" s="38" t="b">
        <x:f t="shared" si="200">E4483&lt;G4483</x:f>
        <x:v>0</x:v>
      </x:c>
    </x:row>
    <x:row r="4484">
      <x:c r="A4484" s="31">
        <x:v>43556</x:v>
      </x:c>
      <x:c r="B4484" s="32">
        <x:v>984.89</x:v>
      </x:c>
      <x:c r="C4484" s="32">
        <x:v>988.53</x:v>
      </x:c>
      <x:c r="D4484" s="32">
        <x:v>982.8</x:v>
      </x:c>
      <x:c r="E4484" s="32">
        <x:v>988.53</x:v>
      </x:c>
      <x:c r="F4484" s="33">
        <x:v>137258330</x:v>
      </x:c>
      <x:c r="G4484" s="32" t="n">
        <x:f t="shared" si="198">AVERAGE(E4285:E4484)</x:f>
        <x:v>952.0336499999996</x:v>
      </x:c>
      <x:c r="H4484" s="37" t="n">
        <x:f t="shared" si="199">IFERROR(E4484/G4484-1,"")</x:f>
        <x:v>0.038335147082249055</x:v>
      </x:c>
      <x:c r="I4484" s="38" t="b">
        <x:f t="shared" si="200">E4484&lt;G4484</x:f>
        <x:v>0</x:v>
      </x:c>
    </x:row>
    <x:row r="4485">
      <x:c r="A4485" s="31">
        <x:v>43557</x:v>
      </x:c>
      <x:c r="B4485" s="32">
        <x:v>994.87</x:v>
      </x:c>
      <x:c r="C4485" s="32">
        <x:v>996.41</x:v>
      </x:c>
      <x:c r="D4485" s="32">
        <x:v>985.48</x:v>
      </x:c>
      <x:c r="E4485" s="32">
        <x:v>985.81</x:v>
      </x:c>
      <x:c r="F4485" s="33">
        <x:v>139423310</x:v>
      </x:c>
      <x:c r="G4485" s="32" t="n">
        <x:f t="shared" si="198">AVERAGE(E4286:E4485)</x:f>
        <x:v>951.8840999999996</x:v>
      </x:c>
      <x:c r="H4485" s="37" t="n">
        <x:f t="shared" si="199">IFERROR(E4485/G4485-1,"")</x:f>
        <x:v>0.03564078862122</x:v>
      </x:c>
      <x:c r="I4485" s="38" t="b">
        <x:f t="shared" si="200">E4485&lt;G4485</x:f>
        <x:v>0</x:v>
      </x:c>
    </x:row>
    <x:row r="4486">
      <x:c r="A4486" s="31">
        <x:v>43558</x:v>
      </x:c>
      <x:c r="B4486" s="32">
        <x:v>984.74</x:v>
      </x:c>
      <x:c r="C4486" s="32">
        <x:v>985.26</x:v>
      </x:c>
      <x:c r="D4486" s="32">
        <x:v>980.3</x:v>
      </x:c>
      <x:c r="E4486" s="32">
        <x:v>984.46</x:v>
      </x:c>
      <x:c r="F4486" s="33">
        <x:v>128758900</x:v>
      </x:c>
      <x:c r="G4486" s="32" t="n">
        <x:f t="shared" si="198">AVERAGE(E4287:E4486)</x:f>
        <x:v>951.7238499999995</x:v>
      </x:c>
      <x:c r="H4486" s="37" t="n">
        <x:f t="shared" si="199">IFERROR(E4486/G4486-1,"")</x:f>
        <x:v>0.03439668975407151</x:v>
      </x:c>
      <x:c r="I4486" s="38" t="b">
        <x:f t="shared" si="200">E4486&lt;G4486</x:f>
        <x:v>0</x:v>
      </x:c>
    </x:row>
    <x:row r="4487">
      <x:c r="A4487" s="31">
        <x:v>43559</x:v>
      </x:c>
      <x:c r="B4487" s="32">
        <x:v>987.47</x:v>
      </x:c>
      <x:c r="C4487" s="32">
        <x:v>989.08</x:v>
      </x:c>
      <x:c r="D4487" s="32">
        <x:v>982.94</x:v>
      </x:c>
      <x:c r="E4487" s="32">
        <x:v>986.91</x:v>
      </x:c>
      <x:c r="F4487" s="33">
        <x:v>131989370</x:v>
      </x:c>
      <x:c r="G4487" s="32" t="n">
        <x:f t="shared" si="198">AVERAGE(E4288:E4487)</x:f>
        <x:v>951.7216999999996</x:v>
      </x:c>
      <x:c r="H4487" s="37" t="n">
        <x:f t="shared" si="199">IFERROR(E4487/G4487-1,"")</x:f>
        <x:v>0.03697330847872893</x:v>
      </x:c>
      <x:c r="I4487" s="38" t="b">
        <x:f t="shared" si="200">E4487&lt;G4487</x:f>
        <x:v>0</x:v>
      </x:c>
    </x:row>
    <x:row r="4488">
      <x:c r="A4488" s="31">
        <x:v>43560</x:v>
      </x:c>
      <x:c r="B4488" s="32">
        <x:v>988.09</x:v>
      </x:c>
      <x:c r="C4488" s="32">
        <x:v>990.38</x:v>
      </x:c>
      <x:c r="D4488" s="32">
        <x:v>986.39</x:v>
      </x:c>
      <x:c r="E4488" s="32">
        <x:v>989.26</x:v>
      </x:c>
      <x:c r="F4488" s="33">
        <x:v>129755950</x:v>
      </x:c>
      <x:c r="G4488" s="32" t="n">
        <x:f t="shared" si="198">AVERAGE(E4289:E4488)</x:f>
        <x:v>951.8571999999996</x:v>
      </x:c>
      <x:c r="H4488" s="37" t="n">
        <x:f t="shared" si="199">IFERROR(E4488/G4488-1,"")</x:f>
        <x:v>0.03929454964463197</x:v>
      </x:c>
      <x:c r="I4488" s="38" t="b">
        <x:f t="shared" si="200">E4488&lt;G4488</x:f>
        <x:v>0</x:v>
      </x:c>
    </x:row>
    <x:row r="4489">
      <x:c r="A4489" s="31">
        <x:v>43563</x:v>
      </x:c>
      <x:c r="B4489" s="32">
        <x:v>991.65</x:v>
      </x:c>
      <x:c r="C4489" s="32">
        <x:v>997.56</x:v>
      </x:c>
      <x:c r="D4489" s="32">
        <x:v>989.33</x:v>
      </x:c>
      <x:c r="E4489" s="32">
        <x:v>997.56</x:v>
      </x:c>
      <x:c r="F4489" s="33">
        <x:v>146953600</x:v>
      </x:c>
      <x:c r="G4489" s="32" t="n">
        <x:f t="shared" si="198">AVERAGE(E4290:E4489)</x:f>
        <x:v>951.9402499999995</x:v>
      </x:c>
      <x:c r="H4489" s="37" t="n">
        <x:f t="shared" si="199">IFERROR(E4489/G4489-1,"")</x:f>
        <x:v>0.04792291322906084</x:v>
      </x:c>
      <x:c r="I4489" s="38" t="b">
        <x:f t="shared" si="200">E4489&lt;G4489</x:f>
        <x:v>0</x:v>
      </x:c>
    </x:row>
    <x:row r="4490">
      <x:c r="A4490" s="31">
        <x:v>43564</x:v>
      </x:c>
      <x:c r="B4490" s="32">
        <x:v>999.89</x:v>
      </x:c>
      <x:c r="C4490" s="32">
        <x:v>1000.02</x:v>
      </x:c>
      <x:c r="D4490" s="32">
        <x:v>987.82</x:v>
      </x:c>
      <x:c r="E4490" s="32">
        <x:v>988.48</x:v>
      </x:c>
      <x:c r="F4490" s="33">
        <x:v>152345600</x:v>
      </x:c>
      <x:c r="G4490" s="32" t="n">
        <x:f t="shared" si="198">AVERAGE(E4291:E4490)</x:f>
        <x:v>952.0356499999996</x:v>
      </x:c>
      <x:c r="H4490" s="37" t="n">
        <x:f t="shared" si="199">IFERROR(E4490/G4490-1,"")</x:f>
        <x:v>0.03828044674587594</x:v>
      </x:c>
      <x:c r="I4490" s="38" t="b">
        <x:f t="shared" si="200">E4490&lt;G4490</x:f>
        <x:v>0</x:v>
      </x:c>
    </x:row>
    <x:row r="4491">
      <x:c r="A4491" s="31">
        <x:v>43565</x:v>
      </x:c>
      <x:c r="B4491" s="32">
        <x:v>984.79</x:v>
      </x:c>
      <x:c r="C4491" s="32">
        <x:v>987.27</x:v>
      </x:c>
      <x:c r="D4491" s="32">
        <x:v>976.83</x:v>
      </x:c>
      <x:c r="E4491" s="32">
        <x:v>981.91</x:v>
      </x:c>
      <x:c r="F4491" s="33">
        <x:v>136497840</x:v>
      </x:c>
      <x:c r="G4491" s="32" t="n">
        <x:f t="shared" si="198">AVERAGE(E4292:E4491)</x:f>
        <x:v>952.0293499999996</x:v>
      </x:c>
      <x:c r="H4491" s="37" t="n">
        <x:f t="shared" si="199">IFERROR(E4491/G4491-1,"")</x:f>
        <x:v>0.03138626976153658</x:v>
      </x:c>
      <x:c r="I4491" s="38" t="b">
        <x:f t="shared" si="200">E4491&lt;G4491</x:f>
        <x:v>0</x:v>
      </x:c>
    </x:row>
    <x:row r="4492">
      <x:c r="A4492" s="31">
        <x:v>43566</x:v>
      </x:c>
      <x:c r="B4492" s="32">
        <x:v>984.46</x:v>
      </x:c>
      <x:c r="C4492" s="32">
        <x:v>985.95</x:v>
      </x:c>
      <x:c r="D4492" s="32">
        <x:v>981.06</x:v>
      </x:c>
      <x:c r="E4492" s="32">
        <x:v>985.95</x:v>
      </x:c>
      <x:c r="F4492" s="33">
        <x:v>117588860</x:v>
      </x:c>
      <x:c r="G4492" s="32" t="n">
        <x:f t="shared" si="198">AVERAGE(E4293:E4492)</x:f>
        <x:v>952.0064999999995</x:v>
      </x:c>
      <x:c r="H4492" s="37" t="n">
        <x:f t="shared" si="199">IFERROR(E4492/G4492-1,"")</x:f>
        <x:v>0.035654693534130866</x:v>
      </x:c>
      <x:c r="I4492" s="38" t="b">
        <x:f t="shared" si="200">E4492&lt;G4492</x:f>
        <x:v>0</x:v>
      </x:c>
    </x:row>
    <x:row r="4493">
      <x:c r="A4493" s="31">
        <x:v>43567</x:v>
      </x:c>
      <x:c r="B4493" s="32">
        <x:v>984.66</x:v>
      </x:c>
      <x:c r="C4493" s="32">
        <x:v>984.69</x:v>
      </x:c>
      <x:c r="D4493" s="32">
        <x:v>980.26</x:v>
      </x:c>
      <x:c r="E4493" s="32">
        <x:v>982.9</x:v>
      </x:c>
      <x:c r="F4493" s="33">
        <x:v>111898230</x:v>
      </x:c>
      <x:c r="G4493" s="32" t="n">
        <x:f t="shared" ref="G4493:G4556" si="201">AVERAGE(E4294:E4493)</x:f>
        <x:v>952.0058999999997</x:v>
      </x:c>
      <x:c r="H4493" s="37" t="n">
        <x:f t="shared" ref="H4493:H4556" si="202">IFERROR(E4493/G4493-1,"")</x:f>
        <x:v>0.03245158459627229</x:v>
      </x:c>
      <x:c r="I4493" s="38" t="b">
        <x:f t="shared" ref="I4493:I4556" si="203">E4493&lt;G4493</x:f>
        <x:v>0</x:v>
      </x:c>
    </x:row>
    <x:row r="4494">
      <x:c r="A4494" s="31">
        <x:v>43571</x:v>
      </x:c>
      <x:c r="B4494" s="32">
        <x:v>970.87</x:v>
      </x:c>
      <x:c r="C4494" s="32">
        <x:v>978.53</x:v>
      </x:c>
      <x:c r="D4494" s="32">
        <x:v>963.06</x:v>
      </x:c>
      <x:c r="E4494" s="32">
        <x:v>977.17</x:v>
      </x:c>
      <x:c r="F4494" s="33">
        <x:v>130941660</x:v>
      </x:c>
      <x:c r="G4494" s="32" t="n">
        <x:f t="shared" si="201">AVERAGE(E4295:E4494)</x:f>
        <x:v>952.0471999999997</x:v>
      </x:c>
      <x:c r="H4494" s="37" t="n">
        <x:f t="shared" si="202">IFERROR(E4494/G4494-1,"")</x:f>
        <x:v>0.026388187476419356</x:v>
      </x:c>
      <x:c r="I4494" s="38" t="b">
        <x:f t="shared" si="203">E4494&lt;G4494</x:f>
        <x:v>0</x:v>
      </x:c>
    </x:row>
    <x:row r="4495">
      <x:c r="A4495" s="31">
        <x:v>43572</x:v>
      </x:c>
      <x:c r="B4495" s="32">
        <x:v>978.21</x:v>
      </x:c>
      <x:c r="C4495" s="32">
        <x:v>980.71</x:v>
      </x:c>
      <x:c r="D4495" s="32">
        <x:v>972.1</x:v>
      </x:c>
      <x:c r="E4495" s="32">
        <x:v>972.1</x:v>
      </x:c>
      <x:c r="F4495" s="33">
        <x:v>148469420</x:v>
      </x:c>
      <x:c r="G4495" s="32" t="n">
        <x:f t="shared" si="201">AVERAGE(E4296:E4495)</x:f>
        <x:v>952.1209499999999</x:v>
      </x:c>
      <x:c r="H4495" s="37" t="n">
        <x:f t="shared" si="202">IFERROR(E4495/G4495-1,"")</x:f>
        <x:v>0.020983731111052784</x:v>
      </x:c>
      <x:c r="I4495" s="38" t="b">
        <x:f t="shared" si="203">E4495&lt;G4495</x:f>
        <x:v>0</x:v>
      </x:c>
    </x:row>
    <x:row r="4496">
      <x:c r="A4496" s="31">
        <x:v>43573</x:v>
      </x:c>
      <x:c r="B4496" s="32">
        <x:v>969.5</x:v>
      </x:c>
      <x:c r="C4496" s="32">
        <x:v>973.73</x:v>
      </x:c>
      <x:c r="D4496" s="32">
        <x:v>962.05</x:v>
      </x:c>
      <x:c r="E4496" s="32">
        <x:v>962.3</x:v>
      </x:c>
      <x:c r="F4496" s="33">
        <x:v>137181210</x:v>
      </x:c>
      <x:c r="G4496" s="32" t="n">
        <x:f t="shared" si="201">AVERAGE(E4297:E4496)</x:f>
        <x:v>952.1285499999999</x:v>
      </x:c>
      <x:c r="H4496" s="37" t="n">
        <x:f t="shared" si="202">IFERROR(E4496/G4496-1,"")</x:f>
        <x:v>0.010682853696593941</x:v>
      </x:c>
      <x:c r="I4496" s="38" t="b">
        <x:f t="shared" si="203">E4496&lt;G4496</x:f>
        <x:v>0</x:v>
      </x:c>
    </x:row>
    <x:row r="4497">
      <x:c r="A4497" s="31">
        <x:v>43574</x:v>
      </x:c>
      <x:c r="B4497" s="32">
        <x:v>968.27</x:v>
      </x:c>
      <x:c r="C4497" s="32">
        <x:v>971.73</x:v>
      </x:c>
      <x:c r="D4497" s="32">
        <x:v>965.46</x:v>
      </x:c>
      <x:c r="E4497" s="32">
        <x:v>966.21</x:v>
      </x:c>
      <x:c r="F4497" s="33">
        <x:v>96080150</x:v>
      </x:c>
      <x:c r="G4497" s="32" t="n">
        <x:f t="shared" si="201">AVERAGE(E4298:E4497)</x:f>
        <x:v>952.2238499999999</x:v>
      </x:c>
      <x:c r="H4497" s="37" t="n">
        <x:f t="shared" si="202">IFERROR(E4497/G4497-1,"")</x:f>
        <x:v>0.014687880376027307</x:v>
      </x:c>
      <x:c r="I4497" s="38" t="b">
        <x:f t="shared" si="203">E4497&lt;G4497</x:f>
        <x:v>0</x:v>
      </x:c>
    </x:row>
    <x:row r="4498">
      <x:c r="A4498" s="31">
        <x:v>43577</x:v>
      </x:c>
      <x:c r="B4498" s="32">
        <x:v>963.78</x:v>
      </x:c>
      <x:c r="C4498" s="32">
        <x:v>966.69</x:v>
      </x:c>
      <x:c r="D4498" s="32">
        <x:v>959.33</x:v>
      </x:c>
      <x:c r="E4498" s="32">
        <x:v>965.86</x:v>
      </x:c>
      <x:c r="F4498" s="33">
        <x:v>115805120</x:v>
      </x:c>
      <x:c r="G4498" s="32" t="n">
        <x:f t="shared" si="201">AVERAGE(E4299:E4498)</x:f>
        <x:v>952.5230999999997</x:v>
      </x:c>
      <x:c r="H4498" s="37" t="n">
        <x:f t="shared" si="202">IFERROR(E4498/G4498-1,"")</x:f>
        <x:v>0.014001655182956041</x:v>
      </x:c>
      <x:c r="I4498" s="38" t="b">
        <x:f t="shared" si="203">E4498&lt;G4498</x:f>
        <x:v>0</x:v>
      </x:c>
    </x:row>
    <x:row r="4499">
      <x:c r="A4499" s="31">
        <x:v>43578</x:v>
      </x:c>
      <x:c r="B4499" s="32">
        <x:v>964.84</x:v>
      </x:c>
      <x:c r="C4499" s="32">
        <x:v>970.98</x:v>
      </x:c>
      <x:c r="D4499" s="32">
        <x:v>964.35</x:v>
      </x:c>
      <x:c r="E4499" s="32">
        <x:v>968</x:v>
      </x:c>
      <x:c r="F4499" s="33">
        <x:v>112653940</x:v>
      </x:c>
      <x:c r="G4499" s="32" t="n">
        <x:f t="shared" si="201">AVERAGE(E4300:E4499)</x:f>
        <x:v>952.7881499999997</x:v>
      </x:c>
      <x:c r="H4499" s="37" t="n">
        <x:f t="shared" si="202">IFERROR(E4499/G4499-1,"")</x:f>
        <x:v>0.015965616281017114</x:v>
      </x:c>
      <x:c r="I4499" s="38" t="b">
        <x:f t="shared" si="203">E4499&lt;G4499</x:f>
        <x:v>0</x:v>
      </x:c>
    </x:row>
    <x:row r="4500">
      <x:c r="A4500" s="31">
        <x:v>43579</x:v>
      </x:c>
      <x:c r="B4500" s="32">
        <x:v>969.66</x:v>
      </x:c>
      <x:c r="C4500" s="32">
        <x:v>978.71</x:v>
      </x:c>
      <x:c r="D4500" s="32">
        <x:v>969.66</x:v>
      </x:c>
      <x:c r="E4500" s="32">
        <x:v>976.92</x:v>
      </x:c>
      <x:c r="F4500" s="33">
        <x:v>121107830</x:v>
      </x:c>
      <x:c r="G4500" s="32" t="n">
        <x:f t="shared" si="201">AVERAGE(E4301:E4500)</x:f>
        <x:v>953.1757499999999</x:v>
      </x:c>
      <x:c r="H4500" s="37" t="n">
        <x:f t="shared" si="202">IFERROR(E4500/G4500-1,"")</x:f>
        <x:v>0.024910673608723455</x:v>
      </x:c>
      <x:c r="I4500" s="38" t="b">
        <x:f t="shared" si="203">E4500&lt;G4500</x:f>
        <x:v>0</x:v>
      </x:c>
    </x:row>
    <x:row r="4501">
      <x:c r="A4501" s="31">
        <x:v>43580</x:v>
      </x:c>
      <x:c r="B4501" s="32">
        <x:v>976.46</x:v>
      </x:c>
      <x:c r="C4501" s="32">
        <x:v>976.46</x:v>
      </x:c>
      <x:c r="D4501" s="32">
        <x:v>971.92</x:v>
      </x:c>
      <x:c r="E4501" s="32">
        <x:v>974.13</x:v>
      </x:c>
      <x:c r="F4501" s="33">
        <x:v>112382890</x:v>
      </x:c>
      <x:c r="G4501" s="32" t="n">
        <x:f t="shared" si="201">AVERAGE(E4302:E4501)</x:f>
        <x:v>953.45885</x:v>
      </x:c>
      <x:c r="H4501" s="37" t="n">
        <x:f t="shared" si="202">IFERROR(E4501/G4501-1,"")</x:f>
        <x:v>0.021680170046143088</x:v>
      </x:c>
      <x:c r="I4501" s="38" t="b">
        <x:f t="shared" si="203">E4501&lt;G4501</x:f>
        <x:v>0</x:v>
      </x:c>
    </x:row>
    <x:row r="4502">
      <x:c r="A4502" s="31">
        <x:v>43581</x:v>
      </x:c>
      <x:c r="B4502" s="32">
        <x:v>972.86</x:v>
      </x:c>
      <x:c r="C4502" s="32">
        <x:v>979.64</x:v>
      </x:c>
      <x:c r="D4502" s="32">
        <x:v>970.73</x:v>
      </x:c>
      <x:c r="E4502" s="32">
        <x:v>979.64</x:v>
      </x:c>
      <x:c r="F4502" s="33">
        <x:v>107350700</x:v>
      </x:c>
      <x:c r="G4502" s="32" t="n">
        <x:f t="shared" si="201">AVERAGE(E4303:E4502)</x:f>
        <x:v>953.7814500000001</x:v>
      </x:c>
      <x:c r="H4502" s="37" t="n">
        <x:f t="shared" si="202">IFERROR(E4502/G4502-1,"")</x:f>
        <x:v>0.027111609268559267</x:v>
      </x:c>
      <x:c r="I4502" s="38" t="b">
        <x:f t="shared" si="203">E4502&lt;G4502</x:f>
        <x:v>0</x:v>
      </x:c>
    </x:row>
    <x:row r="4503">
      <x:c r="A4503" s="31">
        <x:v>43587</x:v>
      </x:c>
      <x:c r="B4503" s="32">
        <x:v>978.81</x:v>
      </x:c>
      <x:c r="C4503" s="32">
        <x:v>979.93</x:v>
      </x:c>
      <x:c r="D4503" s="32">
        <x:v>975.51</x:v>
      </x:c>
      <x:c r="E4503" s="32">
        <x:v>978.5</x:v>
      </x:c>
      <x:c r="F4503" s="33">
        <x:v>123917210</x:v>
      </x:c>
      <x:c r="G4503" s="32" t="n">
        <x:f t="shared" si="201">AVERAGE(E4304:E4503)</x:f>
        <x:v>954.11835</x:v>
      </x:c>
      <x:c r="H4503" s="37" t="n">
        <x:f t="shared" si="202">IFERROR(E4503/G4503-1,"")</x:f>
        <x:v>0.025554114958589835</x:v>
      </x:c>
      <x:c r="I4503" s="38" t="b">
        <x:f t="shared" si="203">E4503&lt;G4503</x:f>
        <x:v>0</x:v>
      </x:c>
    </x:row>
    <x:row r="4504">
      <x:c r="A4504" s="31">
        <x:v>43588</x:v>
      </x:c>
      <x:c r="B4504" s="32">
        <x:v>976.77</x:v>
      </x:c>
      <x:c r="C4504" s="32">
        <x:v>977.13</x:v>
      </x:c>
      <x:c r="D4504" s="32">
        <x:v>971.75</x:v>
      </x:c>
      <x:c r="E4504" s="32">
        <x:v>974.14</x:v>
      </x:c>
      <x:c r="F4504" s="33">
        <x:v>127740220</x:v>
      </x:c>
      <x:c r="G4504" s="32" t="n">
        <x:f t="shared" si="201">AVERAGE(E4305:E4504)</x:f>
        <x:v>954.52325</x:v>
      </x:c>
      <x:c r="H4504" s="37" t="n">
        <x:f t="shared" si="202">IFERROR(E4504/G4504-1,"")</x:f>
        <x:v>0.02055135901613725</x:v>
      </x:c>
      <x:c r="I4504" s="38" t="b">
        <x:f t="shared" si="203">E4504&lt;G4504</x:f>
        <x:v>0</x:v>
      </x:c>
    </x:row>
    <x:row r="4505">
      <x:c r="A4505" s="31">
        <x:v>43591</x:v>
      </x:c>
      <x:c r="B4505" s="32">
        <x:v>964.37</x:v>
      </x:c>
      <x:c r="C4505" s="32">
        <x:v>964.89</x:v>
      </x:c>
      <x:c r="D4505" s="32">
        <x:v>955.41</x:v>
      </x:c>
      <x:c r="E4505" s="32">
        <x:v>957.97</x:v>
      </x:c>
      <x:c r="F4505" s="33">
        <x:v>133510960</x:v>
      </x:c>
      <x:c r="G4505" s="32" t="n">
        <x:f t="shared" si="201">AVERAGE(E4306:E4505)</x:f>
        <x:v>954.82055</x:v>
      </x:c>
      <x:c r="H4505" s="37" t="n">
        <x:f t="shared" si="202">IFERROR(E4505/G4505-1,"")</x:f>
        <x:v>0.0032984732052530052</x:v>
      </x:c>
      <x:c r="I4505" s="38" t="b">
        <x:f t="shared" si="203">E4505&lt;G4505</x:f>
        <x:v>0</x:v>
      </x:c>
    </x:row>
    <x:row r="4506">
      <x:c r="A4506" s="31">
        <x:v>43592</x:v>
      </x:c>
      <x:c r="B4506" s="32">
        <x:v>961.31</x:v>
      </x:c>
      <x:c r="C4506" s="32">
        <x:v>965.61</x:v>
      </x:c>
      <x:c r="D4506" s="32">
        <x:v>955.42</x:v>
      </x:c>
      <x:c r="E4506" s="32">
        <x:v>957.56</x:v>
      </x:c>
      <x:c r="F4506" s="33">
        <x:v>121330080</x:v>
      </x:c>
      <x:c r="G4506" s="32" t="n">
        <x:f t="shared" si="201">AVERAGE(E4307:E4506)</x:f>
        <x:v>955.05975</x:v>
      </x:c>
      <x:c r="H4506" s="37" t="n">
        <x:f t="shared" si="202">IFERROR(E4506/G4506-1,"")</x:f>
        <x:v>0.0026178990372067723</x:v>
      </x:c>
      <x:c r="I4506" s="38" t="b">
        <x:f t="shared" si="203">E4506&lt;G4506</x:f>
        <x:v>0</x:v>
      </x:c>
    </x:row>
    <x:row r="4507">
      <x:c r="A4507" s="31">
        <x:v>43593</x:v>
      </x:c>
      <x:c r="B4507" s="32">
        <x:v>950.1</x:v>
      </x:c>
      <x:c r="C4507" s="32">
        <x:v>953.88</x:v>
      </x:c>
      <x:c r="D4507" s="32">
        <x:v>947.86</x:v>
      </x:c>
      <x:c r="E4507" s="32">
        <x:v>951.22</x:v>
      </x:c>
      <x:c r="F4507" s="33">
        <x:v>118717980</x:v>
      </x:c>
      <x:c r="G4507" s="32" t="n">
        <x:f t="shared" si="201">AVERAGE(E4308:E4507)</x:f>
        <x:v>955.2603</x:v>
      </x:c>
      <x:c r="H4507" s="37" t="n">
        <x:f t="shared" si="202">IFERROR(E4507/G4507-1,"")</x:f>
        <x:v>-0.00422952780514374</x:v>
      </x:c>
      <x:c r="I4507" s="38" t="b">
        <x:f t="shared" si="203">E4507&lt;G4507</x:f>
        <x:v>1</x:v>
      </x:c>
    </x:row>
    <x:row r="4508">
      <x:c r="A4508" s="31">
        <x:v>43594</x:v>
      </x:c>
      <x:c r="B4508" s="32">
        <x:v>950.66</x:v>
      </x:c>
      <x:c r="C4508" s="32">
        <x:v>953.66</x:v>
      </x:c>
      <x:c r="D4508" s="32">
        <x:v>944.91</x:v>
      </x:c>
      <x:c r="E4508" s="32">
        <x:v>947.01</x:v>
      </x:c>
      <x:c r="F4508" s="33">
        <x:v>114863670</x:v>
      </x:c>
      <x:c r="G4508" s="32" t="n">
        <x:f t="shared" si="201">AVERAGE(E4309:E4508)</x:f>
        <x:v>955.3890000000001</x:v>
      </x:c>
      <x:c r="H4508" s="37" t="n">
        <x:f t="shared" si="202">IFERROR(E4508/G4508-1,"")</x:f>
        <x:v>-0.008770249605134839</x:v>
      </x:c>
      <x:c r="I4508" s="38" t="b">
        <x:f t="shared" si="203">E4508&lt;G4508</x:f>
        <x:v>1</x:v>
      </x:c>
    </x:row>
    <x:row r="4509">
      <x:c r="A4509" s="31">
        <x:v>43595</x:v>
      </x:c>
      <x:c r="B4509" s="32">
        <x:v>950.37</x:v>
      </x:c>
      <x:c r="C4509" s="32">
        <x:v>953.92</x:v>
      </x:c>
      <x:c r="D4509" s="32">
        <x:v>947.85</x:v>
      </x:c>
      <x:c r="E4509" s="32">
        <x:v>952.55</x:v>
      </x:c>
      <x:c r="F4509" s="33">
        <x:v>114647770</x:v>
      </x:c>
      <x:c r="G4509" s="32" t="n">
        <x:f t="shared" si="201">AVERAGE(E4310:E4509)</x:f>
        <x:v>955.4398</x:v>
      </x:c>
      <x:c r="H4509" s="37" t="n">
        <x:f t="shared" si="202">IFERROR(E4509/G4509-1,"")</x:f>
        <x:v>-0.0030245756980189498</x:v>
      </x:c>
      <x:c r="I4509" s="38" t="b">
        <x:f t="shared" si="203">E4509&lt;G4509</x:f>
        <x:v>1</x:v>
      </x:c>
    </x:row>
    <x:row r="4510">
      <x:c r="A4510" s="31">
        <x:v>43598</x:v>
      </x:c>
      <x:c r="B4510" s="32">
        <x:v>952.11</x:v>
      </x:c>
      <x:c r="C4510" s="32">
        <x:v>958.54</x:v>
      </x:c>
      <x:c r="D4510" s="32">
        <x:v>951.76</x:v>
      </x:c>
      <x:c r="E4510" s="32">
        <x:v>958.54</x:v>
      </x:c>
      <x:c r="F4510" s="33">
        <x:v>124693720</x:v>
      </x:c>
      <x:c r="G4510" s="32" t="n">
        <x:f t="shared" si="201">AVERAGE(E4311:E4510)</x:f>
        <x:v>955.51265</x:v>
      </x:c>
      <x:c r="H4510" s="37" t="n">
        <x:f t="shared" si="202">IFERROR(E4510/G4510-1,"")</x:f>
        <x:v>0.003168299237063854</x:v>
      </x:c>
      <x:c r="I4510" s="38" t="b">
        <x:f t="shared" si="203">E4510&lt;G4510</x:f>
        <x:v>0</x:v>
      </x:c>
    </x:row>
    <x:row r="4511">
      <x:c r="A4511" s="31">
        <x:v>43599</x:v>
      </x:c>
      <x:c r="B4511" s="32">
        <x:v>952.13</x:v>
      </x:c>
      <x:c r="C4511" s="32">
        <x:v>965.34</x:v>
      </x:c>
      <x:c r="D4511" s="32">
        <x:v>952.13</x:v>
      </x:c>
      <x:c r="E4511" s="32">
        <x:v>965.34</x:v>
      </x:c>
      <x:c r="F4511" s="33">
        <x:v>135189670</x:v>
      </x:c>
      <x:c r="G4511" s="32" t="n">
        <x:f t="shared" si="201">AVERAGE(E4312:E4511)</x:f>
        <x:v>955.6723999999999</x:v>
      </x:c>
      <x:c r="H4511" s="37" t="n">
        <x:f t="shared" si="202">IFERROR(E4511/G4511-1,"")</x:f>
        <x:v>0.010116018836580531</x:v>
      </x:c>
      <x:c r="I4511" s="38" t="b">
        <x:f t="shared" si="203">E4511&lt;G4511</x:f>
        <x:v>0</x:v>
      </x:c>
    </x:row>
    <x:row r="4512">
      <x:c r="A4512" s="31">
        <x:v>43600</x:v>
      </x:c>
      <x:c r="B4512" s="32">
        <x:v>967.95</x:v>
      </x:c>
      <x:c r="C4512" s="32">
        <x:v>977.65</x:v>
      </x:c>
      <x:c r="D4512" s="32">
        <x:v>967.95</x:v>
      </x:c>
      <x:c r="E4512" s="32">
        <x:v>975.64</x:v>
      </x:c>
      <x:c r="F4512" s="33">
        <x:v>154156590</x:v>
      </x:c>
      <x:c r="G4512" s="32" t="n">
        <x:f t="shared" si="201">AVERAGE(E4313:E4512)</x:f>
        <x:v>955.8668999999999</x:v>
      </x:c>
      <x:c r="H4512" s="37" t="n">
        <x:f t="shared" si="202">IFERROR(E4512/G4512-1,"")</x:f>
        <x:v>0.020686039029074177</x:v>
      </x:c>
      <x:c r="I4512" s="38" t="b">
        <x:f t="shared" si="203">E4512&lt;G4512</x:f>
        <x:v>0</x:v>
      </x:c>
    </x:row>
    <x:row r="4513">
      <x:c r="A4513" s="31">
        <x:v>43601</x:v>
      </x:c>
      <x:c r="B4513" s="32">
        <x:v>976.96</x:v>
      </x:c>
      <x:c r="C4513" s="32">
        <x:v>981.22</x:v>
      </x:c>
      <x:c r="D4513" s="32">
        <x:v>975.69</x:v>
      </x:c>
      <x:c r="E4513" s="32">
        <x:v>975.69</x:v>
      </x:c>
      <x:c r="F4513" s="33">
        <x:v>129973620</x:v>
      </x:c>
      <x:c r="G4513" s="32" t="n">
        <x:f t="shared" si="201">AVERAGE(E4314:E4513)</x:f>
        <x:v>956.07495</x:v>
      </x:c>
      <x:c r="H4513" s="37" t="n">
        <x:f t="shared" si="202">IFERROR(E4513/G4513-1,"")</x:f>
        <x:v>0.020516226264478687</x:v>
      </x:c>
      <x:c r="I4513" s="38" t="b">
        <x:f t="shared" si="203">E4513&lt;G4513</x:f>
        <x:v>0</x:v>
      </x:c>
    </x:row>
    <x:row r="4514">
      <x:c r="A4514" s="31">
        <x:v>43602</x:v>
      </x:c>
      <x:c r="B4514" s="32">
        <x:v>977.85</x:v>
      </x:c>
      <x:c r="C4514" s="32">
        <x:v>980.04</x:v>
      </x:c>
      <x:c r="D4514" s="32">
        <x:v>974.91</x:v>
      </x:c>
      <x:c r="E4514" s="32">
        <x:v>976.48</x:v>
      </x:c>
      <x:c r="F4514" s="33">
        <x:v>120457430</x:v>
      </x:c>
      <x:c r="G4514" s="32" t="n">
        <x:f t="shared" si="201">AVERAGE(E4315:E4514)</x:f>
        <x:v>956.31945</x:v>
      </x:c>
      <x:c r="H4514" s="37" t="n">
        <x:f t="shared" si="202">IFERROR(E4514/G4514-1,"")</x:f>
        <x:v>0.021081397016446735</x:v>
      </x:c>
      <x:c r="I4514" s="38" t="b">
        <x:f t="shared" si="203">E4514&lt;G4514</x:f>
        <x:v>0</x:v>
      </x:c>
    </x:row>
    <x:row r="4515">
      <x:c r="A4515" s="31">
        <x:v>43605</x:v>
      </x:c>
      <x:c r="B4515" s="32">
        <x:v>975.95</x:v>
      </x:c>
      <x:c r="C4515" s="32">
        <x:v>987.13</x:v>
      </x:c>
      <x:c r="D4515" s="32">
        <x:v>974.47</x:v>
      </x:c>
      <x:c r="E4515" s="32">
        <x:v>987.13</x:v>
      </x:c>
      <x:c r="F4515" s="33">
        <x:v>134337940</x:v>
      </x:c>
      <x:c r="G4515" s="32" t="n">
        <x:f t="shared" si="201">AVERAGE(E4316:E4515)</x:f>
        <x:v>956.6043000000001</x:v>
      </x:c>
      <x:c r="H4515" s="37" t="n">
        <x:f t="shared" si="202">IFERROR(E4515/G4515-1,"")</x:f>
        <x:v>0.031910477508829915</x:v>
      </x:c>
      <x:c r="I4515" s="38" t="b">
        <x:f t="shared" si="203">E4515&lt;G4515</x:f>
        <x:v>0</x:v>
      </x:c>
    </x:row>
    <x:row r="4516">
      <x:c r="A4516" s="31">
        <x:v>43606</x:v>
      </x:c>
      <x:c r="B4516" s="32">
        <x:v>989.67</x:v>
      </x:c>
      <x:c r="C4516" s="32">
        <x:v>992.84</x:v>
      </x:c>
      <x:c r="D4516" s="32">
        <x:v>986.07</x:v>
      </x:c>
      <x:c r="E4516" s="32">
        <x:v>986.29</x:v>
      </x:c>
      <x:c r="F4516" s="33">
        <x:v>124573780</x:v>
      </x:c>
      <x:c r="G4516" s="32" t="n">
        <x:f t="shared" si="201">AVERAGE(E4317:E4516)</x:f>
        <x:v>956.85815</x:v>
      </x:c>
      <x:c r="H4516" s="37" t="n">
        <x:f t="shared" si="202">IFERROR(E4516/G4516-1,"")</x:f>
        <x:v>0.0307588434085031</x:v>
      </x:c>
      <x:c r="I4516" s="38" t="b">
        <x:f t="shared" si="203">E4516&lt;G4516</x:f>
        <x:v>0</x:v>
      </x:c>
    </x:row>
    <x:row r="4517">
      <x:c r="A4517" s="31">
        <x:v>43607</x:v>
      </x:c>
      <x:c r="B4517" s="32">
        <x:v>986.66</x:v>
      </x:c>
      <x:c r="C4517" s="32">
        <x:v>992.26</x:v>
      </x:c>
      <x:c r="D4517" s="32">
        <x:v>982.68</x:v>
      </x:c>
      <x:c r="E4517" s="32">
        <x:v>983.78</x:v>
      </x:c>
      <x:c r="F4517" s="33">
        <x:v>127215170</x:v>
      </x:c>
      <x:c r="G4517" s="32" t="n">
        <x:f t="shared" si="201">AVERAGE(E4318:E4517)</x:f>
        <x:v>957.0284000000001</x:v>
      </x:c>
      <x:c r="H4517" s="37" t="n">
        <x:f t="shared" si="202">IFERROR(E4517/G4517-1,"")</x:f>
        <x:v>0.027952775487122272</x:v>
      </x:c>
      <x:c r="I4517" s="38" t="b">
        <x:f t="shared" si="203">E4517&lt;G4517</x:f>
        <x:v>0</x:v>
      </x:c>
    </x:row>
    <x:row r="4518">
      <x:c r="A4518" s="31">
        <x:v>43608</x:v>
      </x:c>
      <x:c r="B4518" s="32">
        <x:v>982</x:v>
      </x:c>
      <x:c r="C4518" s="32">
        <x:v>984.57</x:v>
      </x:c>
      <x:c r="D4518" s="32">
        <x:v>977.17</x:v>
      </x:c>
      <x:c r="E4518" s="32">
        <x:v>982.71</x:v>
      </x:c>
      <x:c r="F4518" s="33">
        <x:v>107963620</x:v>
      </x:c>
      <x:c r="G4518" s="32" t="n">
        <x:f t="shared" si="201">AVERAGE(E4319:E4518)</x:f>
        <x:v>957.1600000000002</x:v>
      </x:c>
      <x:c r="H4518" s="37" t="n">
        <x:f t="shared" si="202">IFERROR(E4518/G4518-1,"")</x:f>
        <x:v>0.02669355175728172</x:v>
      </x:c>
      <x:c r="I4518" s="38" t="b">
        <x:f t="shared" si="203">E4518&lt;G4518</x:f>
        <x:v>0</x:v>
      </x:c>
    </x:row>
    <x:row r="4519">
      <x:c r="A4519" s="31">
        <x:v>43609</x:v>
      </x:c>
      <x:c r="B4519" s="32">
        <x:v>976.59</x:v>
      </x:c>
      <x:c r="C4519" s="32">
        <x:v>983.14</x:v>
      </x:c>
      <x:c r="D4519" s="32">
        <x:v>970.03</x:v>
      </x:c>
      <x:c r="E4519" s="32">
        <x:v>970.03</x:v>
      </x:c>
      <x:c r="F4519" s="33">
        <x:v>128053180</x:v>
      </x:c>
      <x:c r="G4519" s="32" t="n">
        <x:f t="shared" si="201">AVERAGE(E4320:E4519)</x:f>
        <x:v>957.2463</x:v>
      </x:c>
      <x:c r="H4519" s="37" t="n">
        <x:f t="shared" si="202">IFERROR(E4519/G4519-1,"")</x:f>
        <x:v>0.0133546611775881</x:v>
      </x:c>
      <x:c r="I4519" s="38" t="b">
        <x:f t="shared" si="203">E4519&lt;G4519</x:f>
        <x:v>0</x:v>
      </x:c>
    </x:row>
    <x:row r="4520">
      <x:c r="A4520" s="31">
        <x:v>43612</x:v>
      </x:c>
      <x:c r="B4520" s="32">
        <x:v>970.73</x:v>
      </x:c>
      <x:c r="C4520" s="32">
        <x:v>975.4</x:v>
      </x:c>
      <x:c r="D4520" s="32">
        <x:v>970.41</x:v>
      </x:c>
      <x:c r="E4520" s="32">
        <x:v>975.14</x:v>
      </x:c>
      <x:c r="F4520" s="33">
        <x:v>95899120</x:v>
      </x:c>
      <x:c r="G4520" s="32" t="n">
        <x:f t="shared" si="201">AVERAGE(E4321:E4520)</x:f>
        <x:v>957.3542500000002</x:v>
      </x:c>
      <x:c r="H4520" s="37" t="n">
        <x:f t="shared" si="202">IFERROR(E4520/G4520-1,"")</x:f>
        <x:v>0.018578023756618656</x:v>
      </x:c>
      <x:c r="I4520" s="38" t="b">
        <x:f t="shared" si="203">E4520&lt;G4520</x:f>
        <x:v>0</x:v>
      </x:c>
    </x:row>
    <x:row r="4521">
      <x:c r="A4521" s="31">
        <x:v>43613</x:v>
      </x:c>
      <x:c r="B4521" s="32">
        <x:v>977.02</x:v>
      </x:c>
      <x:c r="C4521" s="32">
        <x:v>978.8</x:v>
      </x:c>
      <x:c r="D4521" s="32">
        <x:v>969.51</x:v>
      </x:c>
      <x:c r="E4521" s="32">
        <x:v>972</x:v>
      </x:c>
      <x:c r="F4521" s="33">
        <x:v>120728740</x:v>
      </x:c>
      <x:c r="G4521" s="32" t="n">
        <x:f t="shared" si="201">AVERAGE(E4322:E4521)</x:f>
        <x:v>957.4162500000003</x:v>
      </x:c>
      <x:c r="H4521" s="37" t="n">
        <x:f t="shared" si="202">IFERROR(E4521/G4521-1,"")</x:f>
        <x:v>0.01523240283419014</x:v>
      </x:c>
      <x:c r="I4521" s="38" t="b">
        <x:f t="shared" si="203">E4521&lt;G4521</x:f>
        <x:v>0</x:v>
      </x:c>
    </x:row>
    <x:row r="4522">
      <x:c r="A4522" s="31">
        <x:v>43614</x:v>
      </x:c>
      <x:c r="B4522" s="32">
        <x:v>973.31</x:v>
      </x:c>
      <x:c r="C4522" s="32">
        <x:v>974.96</x:v>
      </x:c>
      <x:c r="D4522" s="32">
        <x:v>969.55</x:v>
      </x:c>
      <x:c r="E4522" s="32">
        <x:v>971.54</x:v>
      </x:c>
      <x:c r="F4522" s="33">
        <x:v>120297710</x:v>
      </x:c>
      <x:c r="G4522" s="32" t="n">
        <x:f t="shared" si="201">AVERAGE(E4323:E4522)</x:f>
        <x:v>957.4728000000002</x:v>
      </x:c>
      <x:c r="H4522" s="37" t="n">
        <x:f t="shared" si="202">IFERROR(E4522/G4522-1,"")</x:f>
        <x:v>0.01469201004978915</x:v>
      </x:c>
      <x:c r="I4522" s="38" t="b">
        <x:f t="shared" si="203">E4522&lt;G4522</x:f>
        <x:v>0</x:v>
      </x:c>
    </x:row>
    <x:row r="4523">
      <x:c r="A4523" s="31">
        <x:v>43615</x:v>
      </x:c>
      <x:c r="B4523" s="32">
        <x:v>971.01</x:v>
      </x:c>
      <x:c r="C4523" s="32">
        <x:v>974.56</x:v>
      </x:c>
      <x:c r="D4523" s="32">
        <x:v>967.21</x:v>
      </x:c>
      <x:c r="E4523" s="32">
        <x:v>969.34</x:v>
      </x:c>
      <x:c r="F4523" s="33">
        <x:v>105520020</x:v>
      </x:c>
      <x:c r="G4523" s="32" t="n">
        <x:f t="shared" si="201">AVERAGE(E4324:E4523)</x:f>
        <x:v>957.5355500000004</x:v>
      </x:c>
      <x:c r="H4523" s="37" t="n">
        <x:f t="shared" si="202">IFERROR(E4523/G4523-1,"")</x:f>
        <x:v>0.012327949599364452</x:v>
      </x:c>
      <x:c r="I4523" s="38" t="b">
        <x:f t="shared" si="203">E4523&lt;G4523</x:f>
        <x:v>0</x:v>
      </x:c>
    </x:row>
    <x:row r="4524">
      <x:c r="A4524" s="31">
        <x:v>43616</x:v>
      </x:c>
      <x:c r="B4524" s="32">
        <x:v>968.53</x:v>
      </x:c>
      <x:c r="C4524" s="32">
        <x:v>969.94</x:v>
      </x:c>
      <x:c r="D4524" s="32">
        <x:v>959.88</x:v>
      </x:c>
      <x:c r="E4524" s="32">
        <x:v>959.88</x:v>
      </x:c>
      <x:c r="F4524" s="33">
        <x:v>114110930</x:v>
      </x:c>
      <x:c r="G4524" s="32" t="n">
        <x:f t="shared" si="201">AVERAGE(E4325:E4524)</x:f>
        <x:v>957.5036000000005</x:v>
      </x:c>
      <x:c r="H4524" s="37" t="n">
        <x:f t="shared" si="202">IFERROR(E4524/G4524-1,"")</x:f>
        <x:v>0.0024818705642459804</x:v>
      </x:c>
      <x:c r="I4524" s="38" t="b">
        <x:f t="shared" si="203">E4524&lt;G4524</x:f>
        <x:v>0</x:v>
      </x:c>
    </x:row>
    <x:row r="4525">
      <x:c r="A4525" s="31">
        <x:v>43619</x:v>
      </x:c>
      <x:c r="B4525" s="32">
        <x:v>953.58</x:v>
      </x:c>
      <x:c r="C4525" s="32">
        <x:v>955.78</x:v>
      </x:c>
      <x:c r="D4525" s="32">
        <x:v>940.28</x:v>
      </x:c>
      <x:c r="E4525" s="32">
        <x:v>946.47</x:v>
      </x:c>
      <x:c r="F4525" s="33">
        <x:v>141641430</x:v>
      </x:c>
      <x:c r="G4525" s="32" t="n">
        <x:f t="shared" si="201">AVERAGE(E4326:E4525)</x:f>
        <x:v>957.4184500000005</x:v>
      </x:c>
      <x:c r="H4525" s="37" t="n">
        <x:f t="shared" si="202">IFERROR(E4525/G4525-1,"")</x:f>
        <x:v>-0.011435386481219778</x:v>
      </x:c>
      <x:c r="I4525" s="38" t="b">
        <x:f t="shared" si="203">E4525&lt;G4525</x:f>
        <x:v>1</x:v>
      </x:c>
    </x:row>
    <x:row r="4526">
      <x:c r="A4526" s="31">
        <x:v>43620</x:v>
      </x:c>
      <x:c r="B4526" s="32">
        <x:v>945.62</x:v>
      </x:c>
      <x:c r="C4526" s="32">
        <x:v>951.42</x:v>
      </x:c>
      <x:c r="D4526" s="32">
        <x:v>943.21</x:v>
      </x:c>
      <x:c r="E4526" s="32">
        <x:v>951.16</x:v>
      </x:c>
      <x:c r="F4526" s="33">
        <x:v>102807600</x:v>
      </x:c>
      <x:c r="G4526" s="32" t="n">
        <x:f t="shared" si="201">AVERAGE(E4327:E4526)</x:f>
        <x:v>957.3319000000005</x:v>
      </x:c>
      <x:c r="H4526" s="37" t="n">
        <x:f t="shared" si="202">IFERROR(E4526/G4526-1,"")</x:f>
        <x:v>-0.006446980404602121</x:v>
      </x:c>
      <x:c r="I4526" s="38" t="b">
        <x:f t="shared" si="203">E4526&lt;G4526</x:f>
        <x:v>1</x:v>
      </x:c>
    </x:row>
    <x:row r="4527">
      <x:c r="A4527" s="31">
        <x:v>43621</x:v>
      </x:c>
      <x:c r="B4527" s="32">
        <x:v>955.8</x:v>
      </x:c>
      <x:c r="C4527" s="32">
        <x:v>958.39</x:v>
      </x:c>
      <x:c r="D4527" s="32">
        <x:v>951.39</x:v>
      </x:c>
      <x:c r="E4527" s="32">
        <x:v>951.41</x:v>
      </x:c>
      <x:c r="F4527" s="33">
        <x:v>95438950</x:v>
      </x:c>
      <x:c r="G4527" s="32" t="n">
        <x:f t="shared" si="201">AVERAGE(E4328:E4527)</x:f>
        <x:v>957.1987500000006</x:v>
      </x:c>
      <x:c r="H4527" s="37" t="n">
        <x:f t="shared" si="202">IFERROR(E4527/G4527-1,"")</x:f>
        <x:v>-0.0060475946087482635</x:v>
      </x:c>
      <x:c r="I4527" s="38" t="b">
        <x:f t="shared" si="203">E4527&lt;G4527</x:f>
        <x:v>1</x:v>
      </x:c>
    </x:row>
    <x:row r="4528">
      <x:c r="A4528" s="31">
        <x:v>43622</x:v>
      </x:c>
      <x:c r="B4528" s="32">
        <x:v>950.57</x:v>
      </x:c>
      <x:c r="C4528" s="32">
        <x:v>951.35</x:v>
      </x:c>
      <x:c r="D4528" s="32">
        <x:v>939.35</x:v>
      </x:c>
      <x:c r="E4528" s="32">
        <x:v>948.21</x:v>
      </x:c>
      <x:c r="F4528" s="33">
        <x:v>100777880</x:v>
      </x:c>
      <x:c r="G4528" s="32" t="n">
        <x:f t="shared" si="201">AVERAGE(E4329:E4528)</x:f>
        <x:v>957.0484500000006</x:v>
      </x:c>
      <x:c r="H4528" s="37" t="n">
        <x:f t="shared" si="202">IFERROR(E4528/G4528-1,"")</x:f>
        <x:v>-0.009235112391645983</x:v>
      </x:c>
      <x:c r="I4528" s="38" t="b">
        <x:f t="shared" si="203">E4528&lt;G4528</x:f>
        <x:v>1</x:v>
      </x:c>
    </x:row>
    <x:row r="4529">
      <x:c r="A4529" s="31">
        <x:v>43623</x:v>
      </x:c>
      <x:c r="B4529" s="32">
        <x:v>951.64</x:v>
      </x:c>
      <x:c r="C4529" s="32">
        <x:v>958.28</x:v>
      </x:c>
      <x:c r="D4529" s="32">
        <x:v>950.94</x:v>
      </x:c>
      <x:c r="E4529" s="32">
        <x:v>958.28</x:v>
      </x:c>
      <x:c r="F4529" s="33">
        <x:v>97844860</x:v>
      </x:c>
      <x:c r="G4529" s="32" t="n">
        <x:f t="shared" si="201">AVERAGE(E4330:E4529)</x:f>
        <x:v>957.0330000000005</x:v>
      </x:c>
      <x:c r="H4529" s="37" t="n">
        <x:f t="shared" si="202">IFERROR(E4529/G4529-1,"")</x:f>
        <x:v>0.001302985372499732</x:v>
      </x:c>
      <x:c r="I4529" s="38" t="b">
        <x:f t="shared" si="203">E4529&lt;G4529</x:f>
        <x:v>0</x:v>
      </x:c>
    </x:row>
    <x:row r="4530">
      <x:c r="A4530" s="31">
        <x:v>43626</x:v>
      </x:c>
      <x:c r="B4530" s="32">
        <x:v>963.78</x:v>
      </x:c>
      <x:c r="C4530" s="32">
        <x:v>966.9</x:v>
      </x:c>
      <x:c r="D4530" s="32">
        <x:v>958.6</x:v>
      </x:c>
      <x:c r="E4530" s="32">
        <x:v>962.9</x:v>
      </x:c>
      <x:c r="F4530" s="33">
        <x:v>118770610</x:v>
      </x:c>
      <x:c r="G4530" s="32" t="n">
        <x:f t="shared" si="201">AVERAGE(E4331:E4530)</x:f>
        <x:v>957.0261000000005</x:v>
      </x:c>
      <x:c r="H4530" s="37" t="n">
        <x:f t="shared" si="202">IFERROR(E4530/G4530-1,"")</x:f>
        <x:v>0.006137659150570185</x:v>
      </x:c>
      <x:c r="I4530" s="38" t="b">
        <x:f t="shared" si="203">E4530&lt;G4530</x:f>
        <x:v>0</x:v>
      </x:c>
    </x:row>
    <x:row r="4531">
      <x:c r="A4531" s="31">
        <x:v>43627</x:v>
      </x:c>
      <x:c r="B4531" s="32">
        <x:v>962.43</x:v>
      </x:c>
      <x:c r="C4531" s="32">
        <x:v>964.81</x:v>
      </x:c>
      <x:c r="D4531" s="32">
        <x:v>959.98</x:v>
      </x:c>
      <x:c r="E4531" s="32">
        <x:v>962.07</x:v>
      </x:c>
      <x:c r="F4531" s="33">
        <x:v>95697370</x:v>
      </x:c>
      <x:c r="G4531" s="32" t="n">
        <x:f t="shared" si="201">AVERAGE(E4332:E4531)</x:f>
        <x:v>956.9920500000004</x:v>
      </x:c>
      <x:c r="H4531" s="37" t="n">
        <x:f t="shared" si="202">IFERROR(E4531/G4531-1,"")</x:f>
        <x:v>0.005306156932024297</x:v>
      </x:c>
      <x:c r="I4531" s="38" t="b">
        <x:f t="shared" si="203">E4531&lt;G4531</x:f>
        <x:v>0</x:v>
      </x:c>
    </x:row>
    <x:row r="4532">
      <x:c r="A4532" s="31">
        <x:v>43628</x:v>
      </x:c>
      <x:c r="B4532" s="32">
        <x:v>960.6</x:v>
      </x:c>
      <x:c r="C4532" s="32">
        <x:v>960.6</x:v>
      </x:c>
      <x:c r="D4532" s="32">
        <x:v>953.83</x:v>
      </x:c>
      <x:c r="E4532" s="32">
        <x:v>954.17</x:v>
      </x:c>
      <x:c r="F4532" s="33">
        <x:v>100019840</x:v>
      </x:c>
      <x:c r="G4532" s="32" t="n">
        <x:f t="shared" si="201">AVERAGE(E4333:E4532)</x:f>
        <x:v>956.9148000000006</x:v>
      </x:c>
      <x:c r="H4532" s="37" t="n">
        <x:f t="shared" si="202">IFERROR(E4532/G4532-1,"")</x:f>
        <x:v>-0.00286838493876429</x:v>
      </x:c>
      <x:c r="I4532" s="38" t="b">
        <x:f t="shared" si="203">E4532&lt;G4532</x:f>
        <x:v>1</x:v>
      </x:c>
    </x:row>
    <x:row r="4533">
      <x:c r="A4533" s="31">
        <x:v>43629</x:v>
      </x:c>
      <x:c r="B4533" s="32">
        <x:v>951.26</x:v>
      </x:c>
      <x:c r="C4533" s="32">
        <x:v>952.06</x:v>
      </x:c>
      <x:c r="D4533" s="32">
        <x:v>946.29</x:v>
      </x:c>
      <x:c r="E4533" s="32">
        <x:v>950.08</x:v>
      </x:c>
      <x:c r="F4533" s="33">
        <x:v>98544550</x:v>
      </x:c>
      <x:c r="G4533" s="32" t="n">
        <x:f t="shared" si="201">AVERAGE(E4334:E4533)</x:f>
        <x:v>956.7691500000005</x:v>
      </x:c>
      <x:c r="H4533" s="37" t="n">
        <x:f t="shared" si="202">IFERROR(E4533/G4533-1,"")</x:f>
        <x:v>-0.006991393901026655</x:v>
      </x:c>
      <x:c r="I4533" s="38" t="b">
        <x:f t="shared" si="203">E4533&lt;G4533</x:f>
        <x:v>1</x:v>
      </x:c>
    </x:row>
    <x:row r="4534">
      <x:c r="A4534" s="31">
        <x:v>43630</x:v>
      </x:c>
      <x:c r="B4534" s="32">
        <x:v>948.65</x:v>
      </x:c>
      <x:c r="C4534" s="32">
        <x:v>954.7</x:v>
      </x:c>
      <x:c r="D4534" s="32">
        <x:v>948.65</x:v>
      </x:c>
      <x:c r="E4534" s="32">
        <x:v>953.61</x:v>
      </x:c>
      <x:c r="F4534" s="33">
        <x:v>115323520</x:v>
      </x:c>
      <x:c r="G4534" s="32" t="n">
        <x:f t="shared" si="201">AVERAGE(E4335:E4534)</x:f>
        <x:v>956.6264500000004</x:v>
      </x:c>
      <x:c r="H4534" s="37" t="n">
        <x:f t="shared" si="202">IFERROR(E4534/G4534-1,"")</x:f>
        <x:v>-0.003153216179628382</x:v>
      </x:c>
      <x:c r="I4534" s="38" t="b">
        <x:f t="shared" si="203">E4534&lt;G4534</x:f>
        <x:v>1</x:v>
      </x:c>
    </x:row>
    <x:row r="4535">
      <x:c r="A4535" s="31">
        <x:v>43633</x:v>
      </x:c>
      <x:c r="B4535" s="32">
        <x:v>953.97</x:v>
      </x:c>
      <x:c r="C4535" s="32">
        <x:v>955.18</x:v>
      </x:c>
      <x:c r="D4535" s="32">
        <x:v>944.47</x:v>
      </x:c>
      <x:c r="E4535" s="32">
        <x:v>946.95</x:v>
      </x:c>
      <x:c r="F4535" s="33">
        <x:v>104932990</x:v>
      </x:c>
      <x:c r="G4535" s="32" t="n">
        <x:f t="shared" si="201">AVERAGE(E4336:E4535)</x:f>
        <x:v>956.4244000000006</x:v>
      </x:c>
      <x:c r="H4535" s="37" t="n">
        <x:f t="shared" si="202">IFERROR(E4535/G4535-1,"")</x:f>
        <x:v>-0.009906062622409562</x:v>
      </x:c>
      <x:c r="I4535" s="38" t="b">
        <x:f t="shared" si="203">E4535&lt;G4535</x:f>
        <x:v>1</x:v>
      </x:c>
    </x:row>
    <x:row r="4536">
      <x:c r="A4536" s="31">
        <x:v>43634</x:v>
      </x:c>
      <x:c r="B4536" s="32">
        <x:v>945.73</x:v>
      </x:c>
      <x:c r="C4536" s="32">
        <x:v>947.3</x:v>
      </x:c>
      <x:c r="D4536" s="32">
        <x:v>938.95</x:v>
      </x:c>
      <x:c r="E4536" s="32">
        <x:v>944.01</x:v>
      </x:c>
      <x:c r="F4536" s="33">
        <x:v>108309080</x:v>
      </x:c>
      <x:c r="G4536" s="32" t="n">
        <x:f t="shared" si="201">AVERAGE(E4337:E4536)</x:f>
        <x:v>956.2092000000007</x:v>
      </x:c>
      <x:c r="H4536" s="37" t="n">
        <x:f t="shared" si="202">IFERROR(E4536/G4536-1,"")</x:f>
        <x:v>-0.012757877669447915</x:v>
      </x:c>
      <x:c r="I4536" s="38" t="b">
        <x:f t="shared" si="203">E4536&lt;G4536</x:f>
        <x:v>1</x:v>
      </x:c>
    </x:row>
    <x:row r="4537">
      <x:c r="A4537" s="31">
        <x:v>43635</x:v>
      </x:c>
      <x:c r="B4537" s="32">
        <x:v>948.92</x:v>
      </x:c>
      <x:c r="C4537" s="32">
        <x:v>950.04</x:v>
      </x:c>
      <x:c r="D4537" s="32">
        <x:v>946.83</x:v>
      </x:c>
      <x:c r="E4537" s="32">
        <x:v>949.69</x:v>
      </x:c>
      <x:c r="F4537" s="33">
        <x:v>113819830</x:v>
      </x:c>
      <x:c r="G4537" s="32" t="n">
        <x:f t="shared" si="201">AVERAGE(E4338:E4537)</x:f>
        <x:v>955.9980500000008</x:v>
      </x:c>
      <x:c r="H4537" s="37" t="n">
        <x:f t="shared" si="202">IFERROR(E4537/G4537-1,"")</x:f>
        <x:v>-0.006598392120152119</x:v>
      </x:c>
      <x:c r="I4537" s="38" t="b">
        <x:f t="shared" si="203">E4537&lt;G4537</x:f>
        <x:v>1</x:v>
      </x:c>
    </x:row>
    <x:row r="4538">
      <x:c r="A4538" s="31">
        <x:v>43636</x:v>
      </x:c>
      <x:c r="B4538" s="32">
        <x:v>949.48</x:v>
      </x:c>
      <x:c r="C4538" s="32">
        <x:v>962.33</x:v>
      </x:c>
      <x:c r="D4538" s="32">
        <x:v>948.97</x:v>
      </x:c>
      <x:c r="E4538" s="32">
        <x:v>959.18</x:v>
      </x:c>
      <x:c r="F4538" s="33">
        <x:v>129261230</x:v>
      </x:c>
      <x:c r="G4538" s="32" t="n">
        <x:f t="shared" si="201">AVERAGE(E4339:E4538)</x:f>
        <x:v>955.8180000000008</x:v>
      </x:c>
      <x:c r="H4538" s="37" t="n">
        <x:f t="shared" si="202">IFERROR(E4538/G4538-1,"")</x:f>
        <x:v>0.0035174060333653667</x:v>
      </x:c>
      <x:c r="I4538" s="38" t="b">
        <x:f t="shared" si="203">E4538&lt;G4538</x:f>
        <x:v>0</x:v>
      </x:c>
    </x:row>
    <x:row r="4539">
      <x:c r="A4539" s="31">
        <x:v>43637</x:v>
      </x:c>
      <x:c r="B4539" s="32">
        <x:v>962.69</x:v>
      </x:c>
      <x:c r="C4539" s="32">
        <x:v>964.52</x:v>
      </x:c>
      <x:c r="D4539" s="32">
        <x:v>959.12</x:v>
      </x:c>
      <x:c r="E4539" s="32">
        <x:v>959.2</x:v>
      </x:c>
      <x:c r="F4539" s="33">
        <x:v>172955940</x:v>
      </x:c>
      <x:c r="G4539" s="32" t="n">
        <x:f t="shared" si="201">AVERAGE(E4340:E4539)</x:f>
        <x:v>955.6731500000009</x:v>
      </x:c>
      <x:c r="H4539" s="37" t="n">
        <x:f t="shared" si="202">IFERROR(E4539/G4539-1,"")</x:f>
        <x:v>0.0036904353753155483</x:v>
      </x:c>
      <x:c r="I4539" s="38" t="b">
        <x:f t="shared" si="203">E4539&lt;G4539</x:f>
        <x:v>0</x:v>
      </x:c>
    </x:row>
    <x:row r="4540">
      <x:c r="A4540" s="31">
        <x:v>43640</x:v>
      </x:c>
      <x:c r="B4540" s="32">
        <x:v>960.29</x:v>
      </x:c>
      <x:c r="C4540" s="32">
        <x:v>967.11</x:v>
      </x:c>
      <x:c r="D4540" s="32">
        <x:v>959.8</x:v>
      </x:c>
      <x:c r="E4540" s="32">
        <x:v>962.85</x:v>
      </x:c>
      <x:c r="F4540" s="33">
        <x:v>113476250</x:v>
      </x:c>
      <x:c r="G4540" s="32" t="n">
        <x:f t="shared" si="201">AVERAGE(E4341:E4540)</x:f>
        <x:v>955.4970500000007</x:v>
      </x:c>
      <x:c r="H4540" s="37" t="n">
        <x:f t="shared" si="202">IFERROR(E4540/G4540-1,"")</x:f>
        <x:v>0.007695418839858581</x:v>
      </x:c>
      <x:c r="I4540" s="38" t="b">
        <x:f t="shared" si="203">E4540&lt;G4540</x:f>
        <x:v>0</x:v>
      </x:c>
    </x:row>
    <x:row r="4541">
      <x:c r="A4541" s="31">
        <x:v>43641</x:v>
      </x:c>
      <x:c r="B4541" s="32">
        <x:v>961.19</x:v>
      </x:c>
      <x:c r="C4541" s="32">
        <x:v>963.23</x:v>
      </x:c>
      <x:c r="D4541" s="32">
        <x:v>960.06</x:v>
      </x:c>
      <x:c r="E4541" s="32">
        <x:v>960.13</x:v>
      </x:c>
      <x:c r="F4541" s="33">
        <x:v>120760130</x:v>
      </x:c>
      <x:c r="G4541" s="32" t="n">
        <x:f t="shared" si="201">AVERAGE(E4342:E4541)</x:f>
        <x:v>955.3500000000008</x:v>
      </x:c>
      <x:c r="H4541" s="37" t="n">
        <x:f t="shared" si="202">IFERROR(E4541/G4541-1,"")</x:f>
        <x:v>0.005003401894592807</x:v>
      </x:c>
      <x:c r="I4541" s="38" t="b">
        <x:f t="shared" si="203">E4541&lt;G4541</x:f>
        <x:v>0</x:v>
      </x:c>
    </x:row>
    <x:row r="4542">
      <x:c r="A4542" s="31">
        <x:v>43642</x:v>
      </x:c>
      <x:c r="B4542" s="32">
        <x:v>958.6</x:v>
      </x:c>
      <x:c r="C4542" s="32">
        <x:v>962.7</x:v>
      </x:c>
      <x:c r="D4542" s="32">
        <x:v>958.38</x:v>
      </x:c>
      <x:c r="E4542" s="32">
        <x:v>959.13</x:v>
      </x:c>
      <x:c r="F4542" s="33">
        <x:v>119422620</x:v>
      </x:c>
      <x:c r="G4542" s="32" t="n">
        <x:f t="shared" si="201">AVERAGE(E4343:E4542)</x:f>
        <x:v>955.2659500000008</x:v>
      </x:c>
      <x:c r="H4542" s="37" t="n">
        <x:f t="shared" si="202">IFERROR(E4542/G4542-1,"")</x:f>
        <x:v>0.004044999196296306</x:v>
      </x:c>
      <x:c r="I4542" s="38" t="b">
        <x:f t="shared" si="203">E4542&lt;G4542</x:f>
        <x:v>0</x:v>
      </x:c>
    </x:row>
    <x:row r="4543">
      <x:c r="A4543" s="31">
        <x:v>43643</x:v>
      </x:c>
      <x:c r="B4543" s="32">
        <x:v>959.48</x:v>
      </x:c>
      <x:c r="C4543" s="32">
        <x:v>959.48</x:v>
      </x:c>
      <x:c r="D4543" s="32">
        <x:v>943.11</x:v>
      </x:c>
      <x:c r="E4543" s="32">
        <x:v>943.11</x:v>
      </x:c>
      <x:c r="F4543" s="33">
        <x:v>122886150</x:v>
      </x:c>
      <x:c r="G4543" s="32" t="n">
        <x:f t="shared" si="201">AVERAGE(E4344:E4543)</x:f>
        <x:v>955.1393000000006</x:v>
      </x:c>
      <x:c r="H4543" s="37" t="n">
        <x:f t="shared" si="202">IFERROR(E4543/G4543-1,"")</x:f>
        <x:v>-0.012594288602720716</x:v>
      </x:c>
      <x:c r="I4543" s="38" t="b">
        <x:f t="shared" si="203">E4543&lt;G4543</x:f>
        <x:v>1</x:v>
      </x:c>
    </x:row>
    <x:row r="4544">
      <x:c r="A4544" s="31">
        <x:v>43644</x:v>
      </x:c>
      <x:c r="B4544" s="32">
        <x:v>944.53</x:v>
      </x:c>
      <x:c r="C4544" s="32">
        <x:v>949.94</x:v>
      </x:c>
      <x:c r="D4544" s="32">
        <x:v>939.12</x:v>
      </x:c>
      <x:c r="E4544" s="32">
        <x:v>949.94</x:v>
      </x:c>
      <x:c r="F4544" s="33">
        <x:v>122136760</x:v>
      </x:c>
      <x:c r="G4544" s="32" t="n">
        <x:f t="shared" si="201">AVERAGE(E4345:E4544)</x:f>
        <x:v>955.0980500000006</x:v>
      </x:c>
      <x:c r="H4544" s="37" t="n">
        <x:f t="shared" si="202">IFERROR(E4544/G4544-1,"")</x:f>
        <x:v>-0.005400545001636781</x:v>
      </x:c>
      <x:c r="I4544" s="38" t="b">
        <x:f t="shared" si="203">E4544&lt;G4544</x:f>
        <x:v>1</x:v>
      </x:c>
    </x:row>
    <x:row r="4545">
      <x:c r="A4545" s="31">
        <x:v>43647</x:v>
      </x:c>
      <x:c r="B4545" s="32">
        <x:v>958.92</x:v>
      </x:c>
      <x:c r="C4545" s="32">
        <x:v>965.61</x:v>
      </x:c>
      <x:c r="D4545" s="32">
        <x:v>957.66</x:v>
      </x:c>
      <x:c r="E4545" s="32">
        <x:v>965.61</x:v>
      </x:c>
      <x:c r="F4545" s="33">
        <x:v>123426860</x:v>
      </x:c>
      <x:c r="G4545" s="32" t="n">
        <x:f t="shared" si="201">AVERAGE(E4346:E4545)</x:f>
        <x:v>955.0816000000004</x:v>
      </x:c>
      <x:c r="H4545" s="37" t="n">
        <x:f t="shared" si="202">IFERROR(E4545/G4545-1,"")</x:f>
        <x:v>0.011023560709367164</x:v>
      </x:c>
      <x:c r="I4545" s="38" t="b">
        <x:f t="shared" si="203">E4545&lt;G4545</x:f>
        <x:v>0</x:v>
      </x:c>
    </x:row>
    <x:row r="4546">
      <x:c r="A4546" s="31">
        <x:v>43648</x:v>
      </x:c>
      <x:c r="B4546" s="32">
        <x:v>964.77</x:v>
      </x:c>
      <x:c r="C4546" s="32">
        <x:v>966.76</x:v>
      </x:c>
      <x:c r="D4546" s="32">
        <x:v>959.8</x:v>
      </x:c>
      <x:c r="E4546" s="32">
        <x:v>961.98</x:v>
      </x:c>
      <x:c r="F4546" s="33">
        <x:v>107519450</x:v>
      </x:c>
      <x:c r="G4546" s="32" t="n">
        <x:f t="shared" si="201">AVERAGE(E4347:E4546)</x:f>
        <x:v>955.0398000000006</x:v>
      </x:c>
      <x:c r="H4546" s="37" t="n">
        <x:f t="shared" si="202">IFERROR(E4546/G4546-1,"")</x:f>
        <x:v>0.007266922279050014</x:v>
      </x:c>
      <x:c r="I4546" s="38" t="b">
        <x:f t="shared" si="203">E4546&lt;G4546</x:f>
        <x:v>0</x:v>
      </x:c>
    </x:row>
    <x:row r="4547">
      <x:c r="A4547" s="31">
        <x:v>43649</x:v>
      </x:c>
      <x:c r="B4547" s="32">
        <x:v>960.44</x:v>
      </x:c>
      <x:c r="C4547" s="32">
        <x:v>961.67</x:v>
      </x:c>
      <x:c r="D4547" s="32">
        <x:v>956.91</x:v>
      </x:c>
      <x:c r="E4547" s="32">
        <x:v>960.39</x:v>
      </x:c>
      <x:c r="F4547" s="33">
        <x:v>113731280</x:v>
      </x:c>
      <x:c r="G4547" s="32" t="n">
        <x:f t="shared" si="201">AVERAGE(E4348:E4547)</x:f>
        <x:v>954.9164500000006</x:v>
      </x:c>
      <x:c r="H4547" s="37" t="n">
        <x:f t="shared" si="202">IFERROR(E4547/G4547-1,"")</x:f>
        <x:v>0.005731967440711028</x:v>
      </x:c>
      <x:c r="I4547" s="38" t="b">
        <x:f t="shared" si="203">E4547&lt;G4547</x:f>
        <x:v>0</x:v>
      </x:c>
    </x:row>
    <x:row r="4548">
      <x:c r="A4548" s="31">
        <x:v>43650</x:v>
      </x:c>
      <x:c r="B4548" s="32">
        <x:v>961.78</x:v>
      </x:c>
      <x:c r="C4548" s="32">
        <x:v>973.04</x:v>
      </x:c>
      <x:c r="D4548" s="32">
        <x:v>961.65</x:v>
      </x:c>
      <x:c r="E4548" s="32">
        <x:v>973.04</x:v>
      </x:c>
      <x:c r="F4548" s="33">
        <x:v>135119630</x:v>
      </x:c>
      <x:c r="G4548" s="32" t="n">
        <x:f t="shared" si="201">AVERAGE(E4349:E4548)</x:f>
        <x:v>954.8466000000008</x:v>
      </x:c>
      <x:c r="H4548" s="37" t="n">
        <x:f t="shared" si="202">IFERROR(E4548/G4548-1,"")</x:f>
        <x:v>0.01905374119780001</x:v>
      </x:c>
      <x:c r="I4548" s="38" t="b">
        <x:f t="shared" si="203">E4548&lt;G4548</x:f>
        <x:v>0</x:v>
      </x:c>
    </x:row>
    <x:row r="4549">
      <x:c r="A4549" s="31">
        <x:v>43651</x:v>
      </x:c>
      <x:c r="B4549" s="32">
        <x:v>972.74</x:v>
      </x:c>
      <x:c r="C4549" s="32">
        <x:v>975.34</x:v>
      </x:c>
      <x:c r="D4549" s="32">
        <x:v>970.16</x:v>
      </x:c>
      <x:c r="E4549" s="32">
        <x:v>975.34</x:v>
      </x:c>
      <x:c r="F4549" s="33">
        <x:v>117184620</x:v>
      </x:c>
      <x:c r="G4549" s="32" t="n">
        <x:f t="shared" si="201">AVERAGE(E4350:E4549)</x:f>
        <x:v>954.7835500000007</x:v>
      </x:c>
      <x:c r="H4549" s="37" t="n">
        <x:f t="shared" si="202">IFERROR(E4549/G4549-1,"")</x:f>
        <x:v>0.021529958282167083</x:v>
      </x:c>
      <x:c r="I4549" s="38" t="b">
        <x:f t="shared" si="203">E4549&lt;G4549</x:f>
        <x:v>0</x:v>
      </x:c>
    </x:row>
    <x:row r="4550">
      <x:c r="A4550" s="31">
        <x:v>43654</x:v>
      </x:c>
      <x:c r="B4550" s="32">
        <x:v>972.83</x:v>
      </x:c>
      <x:c r="C4550" s="32">
        <x:v>972.83</x:v>
      </x:c>
      <x:c r="D4550" s="32">
        <x:v>963.84</x:v>
      </x:c>
      <x:c r="E4550" s="32">
        <x:v>966.35</x:v>
      </x:c>
      <x:c r="F4550" s="33">
        <x:v>119061500</x:v>
      </x:c>
      <x:c r="G4550" s="32" t="n">
        <x:f t="shared" si="201">AVERAGE(E4351:E4550)</x:f>
        <x:v>954.6586000000008</x:v>
      </x:c>
      <x:c r="H4550" s="37" t="n">
        <x:f t="shared" si="202">IFERROR(E4550/G4550-1,"")</x:f>
        <x:v>0.012246681693329098</x:v>
      </x:c>
      <x:c r="I4550" s="38" t="b">
        <x:f t="shared" si="203">E4550&lt;G4550</x:f>
        <x:v>0</x:v>
      </x:c>
    </x:row>
    <x:row r="4551">
      <x:c r="A4551" s="31">
        <x:v>43655</x:v>
      </x:c>
      <x:c r="B4551" s="32">
        <x:v>965.24</x:v>
      </x:c>
      <x:c r="C4551" s="32">
        <x:v>969.05</x:v>
      </x:c>
      <x:c r="D4551" s="32">
        <x:v>963.05</x:v>
      </x:c>
      <x:c r="E4551" s="32">
        <x:v>969.05</x:v>
      </x:c>
      <x:c r="F4551" s="33">
        <x:v>126456270</x:v>
      </x:c>
      <x:c r="G4551" s="32" t="n">
        <x:f t="shared" si="201">AVERAGE(E4352:E4551)</x:f>
        <x:v>954.5658000000006</x:v>
      </x:c>
      <x:c r="H4551" s="37" t="n">
        <x:f t="shared" si="202">IFERROR(E4551/G4551-1,"")</x:f>
        <x:v>0.015173600395068876</x:v>
      </x:c>
      <x:c r="I4551" s="38" t="b">
        <x:f t="shared" si="203">E4551&lt;G4551</x:f>
        <x:v>0</x:v>
      </x:c>
    </x:row>
    <x:row r="4552">
      <x:c r="A4552" s="31">
        <x:v>43656</x:v>
      </x:c>
      <x:c r="B4552" s="32">
        <x:v>971.19</x:v>
      </x:c>
      <x:c r="C4552" s="32">
        <x:v>974.96</x:v>
      </x:c>
      <x:c r="D4552" s="32">
        <x:v>971.19</x:v>
      </x:c>
      <x:c r="E4552" s="32">
        <x:v>973.65</x:v>
      </x:c>
      <x:c r="F4552" s="33">
        <x:v>124519570</x:v>
      </x:c>
      <x:c r="G4552" s="32" t="n">
        <x:f t="shared" si="201">AVERAGE(E4353:E4552)</x:f>
        <x:v>954.4666000000004</x:v>
      </x:c>
      <x:c r="H4552" s="37" t="n">
        <x:f t="shared" si="202">IFERROR(E4552/G4552-1,"")</x:f>
        <x:v>0.020098555570199572</x:v>
      </x:c>
      <x:c r="I4552" s="38" t="b">
        <x:f t="shared" si="203">E4552&lt;G4552</x:f>
        <x:v>0</x:v>
      </x:c>
    </x:row>
    <x:row r="4553">
      <x:c r="A4553" s="31">
        <x:v>43657</x:v>
      </x:c>
      <x:c r="B4553" s="32">
        <x:v>976.95</x:v>
      </x:c>
      <x:c r="C4553" s="32">
        <x:v>980.02</x:v>
      </x:c>
      <x:c r="D4553" s="32">
        <x:v>975.03</x:v>
      </x:c>
      <x:c r="E4553" s="32">
        <x:v>978.63</x:v>
      </x:c>
      <x:c r="F4553" s="33">
        <x:v>133659820</x:v>
      </x:c>
      <x:c r="G4553" s="32" t="n">
        <x:f t="shared" si="201">AVERAGE(E4354:E4553)</x:f>
        <x:v>954.3820500000005</x:v>
      </x:c>
      <x:c r="H4553" s="37" t="n">
        <x:f t="shared" si="202">IFERROR(E4553/G4553-1,"")</x:f>
        <x:v>0.02540696359492456</x:v>
      </x:c>
      <x:c r="I4553" s="38" t="b">
        <x:f t="shared" si="203">E4553&lt;G4553</x:f>
        <x:v>0</x:v>
      </x:c>
    </x:row>
    <x:row r="4554">
      <x:c r="A4554" s="31">
        <x:v>43658</x:v>
      </x:c>
      <x:c r="B4554" s="32">
        <x:v>980.11</x:v>
      </x:c>
      <x:c r="C4554" s="32">
        <x:v>982.1</x:v>
      </x:c>
      <x:c r="D4554" s="32">
        <x:v>974.32</x:v>
      </x:c>
      <x:c r="E4554" s="32">
        <x:v>975.4</x:v>
      </x:c>
      <x:c r="F4554" s="33">
        <x:v>133003920</x:v>
      </x:c>
      <x:c r="G4554" s="32" t="n">
        <x:f t="shared" si="201">AVERAGE(E4355:E4554)</x:f>
        <x:v>954.2353500000005</x:v>
      </x:c>
      <x:c r="H4554" s="37" t="n">
        <x:f t="shared" si="202">IFERROR(E4554/G4554-1,"")</x:f>
        <x:v>0.022179696025723006</x:v>
      </x:c>
      <x:c r="I4554" s="38" t="b">
        <x:f t="shared" si="203">E4554&lt;G4554</x:f>
        <x:v>0</x:v>
      </x:c>
    </x:row>
    <x:row r="4555">
      <x:c r="A4555" s="31">
        <x:v>43661</x:v>
      </x:c>
      <x:c r="B4555" s="32">
        <x:v>975.57</x:v>
      </x:c>
      <x:c r="C4555" s="32">
        <x:v>975.66</x:v>
      </x:c>
      <x:c r="D4555" s="32">
        <x:v>970.93</x:v>
      </x:c>
      <x:c r="E4555" s="32">
        <x:v>972.53</x:v>
      </x:c>
      <x:c r="F4555" s="33">
        <x:v>117696750</x:v>
      </x:c>
      <x:c r="G4555" s="32" t="n">
        <x:f t="shared" si="201">AVERAGE(E4356:E4555)</x:f>
        <x:v>954.0831500000003</x:v>
      </x:c>
      <x:c r="H4555" s="37" t="n">
        <x:f t="shared" si="202">IFERROR(E4555/G4555-1,"")</x:f>
        <x:v>0.01933463556085191</x:v>
      </x:c>
      <x:c r="I4555" s="38" t="b">
        <x:f t="shared" si="203">E4555&lt;G4555</x:f>
        <x:v>0</x:v>
      </x:c>
    </x:row>
    <x:row r="4556">
      <x:c r="A4556" s="31">
        <x:v>43662</x:v>
      </x:c>
      <x:c r="B4556" s="32">
        <x:v>975.05</x:v>
      </x:c>
      <x:c r="C4556" s="32">
        <x:v>982.11</x:v>
      </x:c>
      <x:c r="D4556" s="32">
        <x:v>975.05</x:v>
      </x:c>
      <x:c r="E4556" s="32">
        <x:v>982.11</x:v>
      </x:c>
      <x:c r="F4556" s="33">
        <x:v>142076680</x:v>
      </x:c>
      <x:c r="G4556" s="32" t="n">
        <x:f t="shared" si="201">AVERAGE(E4357:E4556)</x:f>
        <x:v>953.9372500000002</x:v>
      </x:c>
      <x:c r="H4556" s="37" t="n">
        <x:f t="shared" si="202">IFERROR(E4556/G4556-1,"")</x:f>
        <x:v>0.029533127047926655</x:v>
      </x:c>
      <x:c r="I4556" s="38" t="b">
        <x:f t="shared" si="203">E4556&lt;G4556</x:f>
        <x:v>0</x:v>
      </x:c>
    </x:row>
    <x:row r="4557">
      <x:c r="A4557" s="31">
        <x:v>43663</x:v>
      </x:c>
      <x:c r="B4557" s="32">
        <x:v>981.49</x:v>
      </x:c>
      <x:c r="C4557" s="32">
        <x:v>985.59</x:v>
      </x:c>
      <x:c r="D4557" s="32">
        <x:v>979.05</x:v>
      </x:c>
      <x:c r="E4557" s="32">
        <x:v>982.57</x:v>
      </x:c>
      <x:c r="F4557" s="33">
        <x:v>142317410</x:v>
      </x:c>
      <x:c r="G4557" s="32" t="n">
        <x:f t="shared" ref="G4557:G4620" si="204">AVERAGE(E4358:E4557)</x:f>
        <x:v>953.7964000000003</x:v>
      </x:c>
      <x:c r="H4557" s="37" t="n">
        <x:f t="shared" ref="H4557:H4620" si="205">IFERROR(E4557/G4557-1,"")</x:f>
        <x:v>0.03016744454057463</x:v>
      </x:c>
      <x:c r="I4557" s="38" t="b">
        <x:f t="shared" ref="I4557:I4620" si="206">E4557&lt;G4557</x:f>
        <x:v>0</x:v>
      </x:c>
    </x:row>
    <x:row r="4558">
      <x:c r="A4558" s="31">
        <x:v>43664</x:v>
      </x:c>
      <x:c r="B4558" s="32">
        <x:v>979.16</x:v>
      </x:c>
      <x:c r="C4558" s="32">
        <x:v>979.49</x:v>
      </x:c>
      <x:c r="D4558" s="32">
        <x:v>975.01</x:v>
      </x:c>
      <x:c r="E4558" s="32">
        <x:v>976.05</x:v>
      </x:c>
      <x:c r="F4558" s="33">
        <x:v>127216580</x:v>
      </x:c>
      <x:c r="G4558" s="32" t="n">
        <x:f t="shared" si="204">AVERAGE(E4359:E4558)</x:f>
        <x:v>953.6286000000003</x:v>
      </x:c>
      <x:c r="H4558" s="37" t="n">
        <x:f t="shared" si="205">IFERROR(E4558/G4558-1,"")</x:f>
        <x:v>0.023511669008248637</x:v>
      </x:c>
      <x:c r="I4558" s="38" t="b">
        <x:f t="shared" si="206">E4558&lt;G4558</x:f>
        <x:v>0</x:v>
      </x:c>
    </x:row>
    <x:row r="4559">
      <x:c r="A4559" s="31">
        <x:v>43665</x:v>
      </x:c>
      <x:c r="B4559" s="32">
        <x:v>978.12</x:v>
      </x:c>
      <x:c r="C4559" s="32">
        <x:v>986.12</x:v>
      </x:c>
      <x:c r="D4559" s="32">
        <x:v>978.12</x:v>
      </x:c>
      <x:c r="E4559" s="32">
        <x:v>982.34</x:v>
      </x:c>
      <x:c r="F4559" s="33">
        <x:v>160649510</x:v>
      </x:c>
      <x:c r="G4559" s="32" t="n">
        <x:f t="shared" si="204">AVERAGE(E4360:E4559)</x:f>
        <x:v>953.4634500000004</x:v>
      </x:c>
      <x:c r="H4559" s="37" t="n">
        <x:f t="shared" si="205">IFERROR(E4559/G4559-1,"")</x:f>
        <x:v>0.030285953803472543</x:v>
      </x:c>
      <x:c r="I4559" s="38" t="b">
        <x:f t="shared" si="206">E4559&lt;G4559</x:f>
        <x:v>0</x:v>
      </x:c>
    </x:row>
    <x:row r="4560">
      <x:c r="A4560" s="31">
        <x:v>43668</x:v>
      </x:c>
      <x:c r="B4560" s="32">
        <x:v>981.17</x:v>
      </x:c>
      <x:c r="C4560" s="32">
        <x:v>985.13</x:v>
      </x:c>
      <x:c r="D4560" s="32">
        <x:v>980.08</x:v>
      </x:c>
      <x:c r="E4560" s="32">
        <x:v>982.04</x:v>
      </x:c>
      <x:c r="F4560" s="33">
        <x:v>135292770</x:v>
      </x:c>
      <x:c r="G4560" s="32" t="n">
        <x:f t="shared" si="204">AVERAGE(E4361:E4560)</x:f>
        <x:v>953.2880000000005</x:v>
      </x:c>
      <x:c r="H4560" s="37" t="n">
        <x:f t="shared" si="205">IFERROR(E4560/G4560-1,"")</x:f>
        <x:v>0.03016087478285634</x:v>
      </x:c>
      <x:c r="I4560" s="38" t="b">
        <x:f t="shared" si="206">E4560&lt;G4560</x:f>
        <x:v>0</x:v>
      </x:c>
    </x:row>
    <x:row r="4561">
      <x:c r="A4561" s="31">
        <x:v>43669</x:v>
      </x:c>
      <x:c r="B4561" s="32">
        <x:v>981.38</x:v>
      </x:c>
      <x:c r="C4561" s="32">
        <x:v>990.45</x:v>
      </x:c>
      <x:c r="D4561" s="32">
        <x:v>980.22</x:v>
      </x:c>
      <x:c r="E4561" s="32">
        <x:v>989.46</x:v>
      </x:c>
      <x:c r="F4561" s="33">
        <x:v>134713850</x:v>
      </x:c>
      <x:c r="G4561" s="32" t="n">
        <x:f t="shared" si="204">AVERAGE(E4362:E4561)</x:f>
        <x:v>953.1709000000004</x:v>
      </x:c>
      <x:c r="H4561" s="37" t="n">
        <x:f t="shared" si="205">IFERROR(E4561/G4561-1,"")</x:f>
        <x:v>0.03807197638954318</x:v>
      </x:c>
      <x:c r="I4561" s="38" t="b">
        <x:f t="shared" si="206">E4561&lt;G4561</x:f>
        <x:v>0</x:v>
      </x:c>
    </x:row>
    <x:row r="4562">
      <x:c r="A4562" s="31">
        <x:v>43670</x:v>
      </x:c>
      <x:c r="B4562" s="32">
        <x:v>993.01</x:v>
      </x:c>
      <x:c r="C4562" s="32">
        <x:v>994.85</x:v>
      </x:c>
      <x:c r="D4562" s="32">
        <x:v>986.34</x:v>
      </x:c>
      <x:c r="E4562" s="32">
        <x:v>988.41</x:v>
      </x:c>
      <x:c r="F4562" s="33">
        <x:v>132814770</x:v>
      </x:c>
      <x:c r="G4562" s="32" t="n">
        <x:f t="shared" si="204">AVERAGE(E4363:E4562)</x:f>
        <x:v>953.0190000000003</x:v>
      </x:c>
      <x:c r="H4562" s="37" t="n">
        <x:f t="shared" si="205">IFERROR(E4562/G4562-1,"")</x:f>
        <x:v>0.037135670957241684</x:v>
      </x:c>
      <x:c r="I4562" s="38" t="b">
        <x:f t="shared" si="206">E4562&lt;G4562</x:f>
        <x:v>0</x:v>
      </x:c>
    </x:row>
    <x:row r="4563">
      <x:c r="A4563" s="31">
        <x:v>43671</x:v>
      </x:c>
      <x:c r="B4563" s="32">
        <x:v>986.85</x:v>
      </x:c>
      <x:c r="C4563" s="32">
        <x:v>997.49</x:v>
      </x:c>
      <x:c r="D4563" s="32">
        <x:v>986.85</x:v>
      </x:c>
      <x:c r="E4563" s="32">
        <x:v>994.95</x:v>
      </x:c>
      <x:c r="F4563" s="33">
        <x:v>141192240</x:v>
      </x:c>
      <x:c r="G4563" s="32" t="n">
        <x:f t="shared" si="204">AVERAGE(E4364:E4563)</x:f>
        <x:v>952.8917500000005</x:v>
      </x:c>
      <x:c r="H4563" s="37" t="n">
        <x:f t="shared" si="205">IFERROR(E4563/G4563-1,"")</x:f>
        <x:v>0.044137489909005456</x:v>
      </x:c>
      <x:c r="I4563" s="38" t="b">
        <x:f t="shared" si="206">E4563&lt;G4563</x:f>
        <x:v>0</x:v>
      </x:c>
    </x:row>
    <x:row r="4564">
      <x:c r="A4564" s="31">
        <x:v>43672</x:v>
      </x:c>
      <x:c r="B4564" s="32">
        <x:v>994.8</x:v>
      </x:c>
      <x:c r="C4564" s="32">
        <x:v>998.52</x:v>
      </x:c>
      <x:c r="D4564" s="32">
        <x:v>992.97</x:v>
      </x:c>
      <x:c r="E4564" s="32">
        <x:v>993.35</x:v>
      </x:c>
      <x:c r="F4564" s="33">
        <x:v>118055590</x:v>
      </x:c>
      <x:c r="G4564" s="32" t="n">
        <x:f t="shared" si="204">AVERAGE(E4365:E4564)</x:f>
        <x:v>952.7404000000004</x:v>
      </x:c>
      <x:c r="H4564" s="37" t="n">
        <x:f t="shared" si="205">IFERROR(E4564/G4564-1,"")</x:f>
        <x:v>0.04262399285261709</x:v>
      </x:c>
      <x:c r="I4564" s="38" t="b">
        <x:f t="shared" si="206">E4564&lt;G4564</x:f>
        <x:v>0</x:v>
      </x:c>
    </x:row>
    <x:row r="4565">
      <x:c r="A4565" s="31">
        <x:v>43675</x:v>
      </x:c>
      <x:c r="B4565" s="32">
        <x:v>994.23</x:v>
      </x:c>
      <x:c r="C4565" s="32">
        <x:v>997.94</x:v>
      </x:c>
      <x:c r="D4565" s="32">
        <x:v>988.29</x:v>
      </x:c>
      <x:c r="E4565" s="32">
        <x:v>997.94</x:v>
      </x:c>
      <x:c r="F4565" s="33">
        <x:v>113384890</x:v>
      </x:c>
      <x:c r="G4565" s="32" t="n">
        <x:f t="shared" si="204">AVERAGE(E4366:E4565)</x:f>
        <x:v>952.6881500000004</x:v>
      </x:c>
      <x:c r="H4565" s="37" t="n">
        <x:f t="shared" si="205">IFERROR(E4565/G4565-1,"")</x:f>
        <x:v>0.04749912130218026</x:v>
      </x:c>
      <x:c r="I4565" s="38" t="b">
        <x:f t="shared" si="206">E4565&lt;G4565</x:f>
        <x:v>0</x:v>
      </x:c>
    </x:row>
    <x:row r="4566">
      <x:c r="A4566" s="31">
        <x:v>43676</x:v>
      </x:c>
      <x:c r="B4566" s="32">
        <x:v>1001.46</x:v>
      </x:c>
      <x:c r="C4566" s="32">
        <x:v>1002.77</x:v>
      </x:c>
      <x:c r="D4566" s="32">
        <x:v>986.02</x:v>
      </x:c>
      <x:c r="E4566" s="32">
        <x:v>986.02</x:v>
      </x:c>
      <x:c r="F4566" s="33">
        <x:v>133259450</x:v>
      </x:c>
      <x:c r="G4566" s="32" t="n">
        <x:f t="shared" si="204">AVERAGE(E4367:E4566)</x:f>
        <x:v>952.6376500000002</x:v>
      </x:c>
      <x:c r="H4566" s="37" t="n">
        <x:f t="shared" si="205">IFERROR(E4566/G4566-1,"")</x:f>
        <x:v>0.03504202253606059</x:v>
      </x:c>
      <x:c r="I4566" s="38" t="b">
        <x:f t="shared" si="206">E4566&lt;G4566</x:f>
        <x:v>0</x:v>
      </x:c>
    </x:row>
    <x:row r="4567">
      <x:c r="A4567" s="31">
        <x:v>43677</x:v>
      </x:c>
      <x:c r="B4567" s="32">
        <x:v>986</x:v>
      </x:c>
      <x:c r="C4567" s="32">
        <x:v>993.4</x:v>
      </x:c>
      <x:c r="D4567" s="32">
        <x:v>982.64</x:v>
      </x:c>
      <x:c r="E4567" s="32">
        <x:v>991.66</x:v>
      </x:c>
      <x:c r="F4567" s="33">
        <x:v>130600410</x:v>
      </x:c>
      <x:c r="G4567" s="32" t="n">
        <x:f t="shared" si="204">AVERAGE(E4368:E4567)</x:f>
        <x:v>952.6150000000005</x:v>
      </x:c>
      <x:c r="H4567" s="37" t="n">
        <x:f t="shared" si="205">IFERROR(E4567/G4567-1,"")</x:f>
        <x:v>0.04098717740115321</x:v>
      </x:c>
      <x:c r="I4567" s="38" t="b">
        <x:f t="shared" si="206">E4567&lt;G4567</x:f>
        <x:v>0</x:v>
      </x:c>
    </x:row>
    <x:row r="4568">
      <x:c r="A4568" s="31">
        <x:v>43678</x:v>
      </x:c>
      <x:c r="B4568" s="32">
        <x:v>993.25</x:v>
      </x:c>
      <x:c r="C4568" s="32">
        <x:v>997.39</x:v>
      </x:c>
      <x:c r="D4568" s="32">
        <x:v>990.88</x:v>
      </x:c>
      <x:c r="E4568" s="32">
        <x:v>997.39</x:v>
      </x:c>
      <x:c r="F4568" s="33">
        <x:v>135015390</x:v>
      </x:c>
      <x:c r="G4568" s="32" t="n">
        <x:f t="shared" si="204">AVERAGE(E4369:E4568)</x:f>
        <x:v>952.6321500000004</x:v>
      </x:c>
      <x:c r="H4568" s="37" t="n">
        <x:f t="shared" si="205">IFERROR(E4568/G4568-1,"")</x:f>
        <x:v>0.046983350288985815</x:v>
      </x:c>
      <x:c r="I4568" s="38" t="b">
        <x:f t="shared" si="206">E4568&lt;G4568</x:f>
        <x:v>0</x:v>
      </x:c>
    </x:row>
    <x:row r="4569">
      <x:c r="A4569" s="31">
        <x:v>43679</x:v>
      </x:c>
      <x:c r="B4569" s="32">
        <x:v>987.55</x:v>
      </x:c>
      <x:c r="C4569" s="32">
        <x:v>991.39</x:v>
      </x:c>
      <x:c r="D4569" s="32">
        <x:v>985.69</x:v>
      </x:c>
      <x:c r="E4569" s="32">
        <x:v>991.1</x:v>
      </x:c>
      <x:c r="F4569" s="33">
        <x:v>144127640</x:v>
      </x:c>
      <x:c r="G4569" s="32" t="n">
        <x:f t="shared" si="204">AVERAGE(E4370:E4569)</x:f>
        <x:v>952.8582000000005</x:v>
      </x:c>
      <x:c r="H4569" s="37" t="n">
        <x:f t="shared" si="205">IFERROR(E4569/G4569-1,"")</x:f>
        <x:v>0.04013377856222422</x:v>
      </x:c>
      <x:c r="I4569" s="38" t="b">
        <x:f t="shared" si="206">E4569&lt;G4569</x:f>
        <x:v>0</x:v>
      </x:c>
    </x:row>
    <x:row r="4570">
      <x:c r="A4570" s="31">
        <x:v>43682</x:v>
      </x:c>
      <x:c r="B4570" s="32">
        <x:v>988.6</x:v>
      </x:c>
      <x:c r="C4570" s="32">
        <x:v>988.99</x:v>
      </x:c>
      <x:c r="D4570" s="32">
        <x:v>973.15</x:v>
      </x:c>
      <x:c r="E4570" s="32">
        <x:v>973.15</x:v>
      </x:c>
      <x:c r="F4570" s="33">
        <x:v>148292430</x:v>
      </x:c>
      <x:c r="G4570" s="32" t="n">
        <x:f t="shared" si="204">AVERAGE(E4371:E4570)</x:f>
        <x:v>952.8735500000006</x:v>
      </x:c>
      <x:c r="H4570" s="37" t="n">
        <x:f t="shared" si="205">IFERROR(E4570/G4570-1,"")</x:f>
        <x:v>0.021279266278300346</x:v>
      </x:c>
      <x:c r="I4570" s="38" t="b">
        <x:f t="shared" si="206">E4570&lt;G4570</x:f>
        <x:v>0</x:v>
      </x:c>
    </x:row>
    <x:row r="4571">
      <x:c r="A4571" s="31">
        <x:v>43683</x:v>
      </x:c>
      <x:c r="B4571" s="32">
        <x:v>960.29</x:v>
      </x:c>
      <x:c r="C4571" s="32">
        <x:v>966.15</x:v>
      </x:c>
      <x:c r="D4571" s="32">
        <x:v>958.39</x:v>
      </x:c>
      <x:c r="E4571" s="32">
        <x:v>964.61</x:v>
      </x:c>
      <x:c r="F4571" s="33">
        <x:v>170231190</x:v>
      </x:c>
      <x:c r="G4571" s="32" t="n">
        <x:f t="shared" si="204">AVERAGE(E4372:E4571)</x:f>
        <x:v>952.9384000000005</x:v>
      </x:c>
      <x:c r="H4571" s="37" t="n">
        <x:f t="shared" si="205">IFERROR(E4571/G4571-1,"")</x:f>
        <x:v>0.012248010994204472</x:v>
      </x:c>
      <x:c r="I4571" s="38" t="b">
        <x:f t="shared" si="206">E4571&lt;G4571</x:f>
        <x:v>0</x:v>
      </x:c>
    </x:row>
    <x:row r="4572">
      <x:c r="A4572" s="31">
        <x:v>43684</x:v>
      </x:c>
      <x:c r="B4572" s="32">
        <x:v>967.18</x:v>
      </x:c>
      <x:c r="C4572" s="32">
        <x:v>971.96</x:v>
      </x:c>
      <x:c r="D4572" s="32">
        <x:v>961.64</x:v>
      </x:c>
      <x:c r="E4572" s="32">
        <x:v>965.93</x:v>
      </x:c>
      <x:c r="F4572" s="33">
        <x:v>133866380</x:v>
      </x:c>
      <x:c r="G4572" s="32" t="n">
        <x:f t="shared" si="204">AVERAGE(E4373:E4572)</x:f>
        <x:v>952.9512000000004</x:v>
      </x:c>
      <x:c r="H4572" s="37" t="n">
        <x:f t="shared" si="205">IFERROR(E4572/G4572-1,"")</x:f>
        <x:v>0.013619585137202739</x:v>
      </x:c>
      <x:c r="I4572" s="38" t="b">
        <x:f t="shared" si="206">E4572&lt;G4572</x:f>
        <x:v>0</x:v>
      </x:c>
    </x:row>
    <x:row r="4573">
      <x:c r="A4573" s="31">
        <x:v>43685</x:v>
      </x:c>
      <x:c r="B4573" s="32">
        <x:v>965.62</x:v>
      </x:c>
      <x:c r="C4573" s="32">
        <x:v>975.83</x:v>
      </x:c>
      <x:c r="D4573" s="32">
        <x:v>964.21</x:v>
      </x:c>
      <x:c r="E4573" s="32">
        <x:v>975.24</x:v>
      </x:c>
      <x:c r="F4573" s="33">
        <x:v>157756080</x:v>
      </x:c>
      <x:c r="G4573" s="32" t="n">
        <x:f t="shared" si="204">AVERAGE(E4374:E4573)</x:f>
        <x:v>952.9694000000003</x:v>
      </x:c>
      <x:c r="H4573" s="37" t="n">
        <x:f t="shared" si="205">IFERROR(E4573/G4573-1,"")</x:f>
        <x:v>0.023369690569287727</x:v>
      </x:c>
      <x:c r="I4573" s="38" t="b">
        <x:f t="shared" si="206">E4573&lt;G4573</x:f>
        <x:v>0</x:v>
      </x:c>
    </x:row>
    <x:row r="4574">
      <x:c r="A4574" s="31">
        <x:v>43686</x:v>
      </x:c>
      <x:c r="B4574" s="32">
        <x:v>976.41</x:v>
      </x:c>
      <x:c r="C4574" s="32">
        <x:v>978.69</x:v>
      </x:c>
      <x:c r="D4574" s="32">
        <x:v>974.33</x:v>
      </x:c>
      <x:c r="E4574" s="32">
        <x:v>974.34</x:v>
      </x:c>
      <x:c r="F4574" s="33">
        <x:v>133550890</x:v>
      </x:c>
      <x:c r="G4574" s="32" t="n">
        <x:f t="shared" si="204">AVERAGE(E4375:E4574)</x:f>
        <x:v>953.0237500000003</x:v>
      </x:c>
      <x:c r="H4574" s="37" t="n">
        <x:f t="shared" si="205">IFERROR(E4574/G4574-1,"")</x:f>
        <x:v>0.02236696619575307</x:v>
      </x:c>
      <x:c r="I4574" s="38" t="b">
        <x:f t="shared" si="206">E4574&lt;G4574</x:f>
        <x:v>0</x:v>
      </x:c>
    </x:row>
    <x:row r="4575">
      <x:c r="A4575" s="31">
        <x:v>43689</x:v>
      </x:c>
      <x:c r="B4575" s="32">
        <x:v>975.38</x:v>
      </x:c>
      <x:c r="C4575" s="32">
        <x:v>977.63</x:v>
      </x:c>
      <x:c r="D4575" s="32">
        <x:v>973.22</x:v>
      </x:c>
      <x:c r="E4575" s="32">
        <x:v>975.31</x:v>
      </x:c>
      <x:c r="F4575" s="33">
        <x:v>125710330</x:v>
      </x:c>
      <x:c r="G4575" s="32" t="n">
        <x:f t="shared" si="204">AVERAGE(E4376:E4575)</x:f>
        <x:v>953.1085000000004</x:v>
      </x:c>
      <x:c r="H4575" s="37" t="n">
        <x:f t="shared" si="205">IFERROR(E4575/G4575-1,"")</x:f>
        <x:v>0.023293780298884625</x:v>
      </x:c>
      <x:c r="I4575" s="38" t="b">
        <x:f t="shared" si="206">E4575&lt;G4575</x:f>
        <x:v>0</x:v>
      </x:c>
    </x:row>
    <x:row r="4576">
      <x:c r="A4576" s="31">
        <x:v>43690</x:v>
      </x:c>
      <x:c r="B4576" s="32">
        <x:v>972.7</x:v>
      </x:c>
      <x:c r="C4576" s="32">
        <x:v>973.09</x:v>
      </x:c>
      <x:c r="D4576" s="32">
        <x:v>964.03</x:v>
      </x:c>
      <x:c r="E4576" s="32">
        <x:v>966.83</x:v>
      </x:c>
      <x:c r="F4576" s="33">
        <x:v>142686780</x:v>
      </x:c>
      <x:c r="G4576" s="32" t="n">
        <x:f t="shared" si="204">AVERAGE(E4377:E4576)</x:f>
        <x:v>953.1751000000003</x:v>
      </x:c>
      <x:c r="H4576" s="37" t="n">
        <x:f t="shared" si="205">IFERROR(E4576/G4576-1,"")</x:f>
        <x:v>0.014325699443890061</x:v>
      </x:c>
      <x:c r="I4576" s="38" t="b">
        <x:f t="shared" si="206">E4576&lt;G4576</x:f>
        <x:v>0</x:v>
      </x:c>
    </x:row>
    <x:row r="4577">
      <x:c r="A4577" s="31">
        <x:v>43691</x:v>
      </x:c>
      <x:c r="B4577" s="32">
        <x:v>975.88</x:v>
      </x:c>
      <x:c r="C4577" s="32">
        <x:v>975.99</x:v>
      </x:c>
      <x:c r="D4577" s="32">
        <x:v>968.91</x:v>
      </x:c>
      <x:c r="E4577" s="32">
        <x:v>968.91</x:v>
      </x:c>
      <x:c r="F4577" s="33">
        <x:v>125458400</x:v>
      </x:c>
      <x:c r="G4577" s="32" t="n">
        <x:f t="shared" si="204">AVERAGE(E4378:E4577)</x:f>
        <x:v>953.3212500000002</x:v>
      </x:c>
      <x:c r="H4577" s="37" t="n">
        <x:f t="shared" si="205">IFERROR(E4577/G4577-1,"")</x:f>
        <x:v>0.016352042923620802</x:v>
      </x:c>
      <x:c r="I4577" s="38" t="b">
        <x:f t="shared" si="206">E4577&lt;G4577</x:f>
        <x:v>0</x:v>
      </x:c>
    </x:row>
    <x:row r="4578">
      <x:c r="A4578" s="31">
        <x:v>43692</x:v>
      </x:c>
      <x:c r="B4578" s="32">
        <x:v>958.05</x:v>
      </x:c>
      <x:c r="C4578" s="32">
        <x:v>979.38</x:v>
      </x:c>
      <x:c r="D4578" s="32">
        <x:v>955.76</x:v>
      </x:c>
      <x:c r="E4578" s="32">
        <x:v>979.38</x:v>
      </x:c>
      <x:c r="F4578" s="33">
        <x:v>131135680</x:v>
      </x:c>
      <x:c r="G4578" s="32" t="n">
        <x:f t="shared" si="204">AVERAGE(E4379:E4578)</x:f>
        <x:v>953.6045000000001</x:v>
      </x:c>
      <x:c r="H4578" s="37" t="n">
        <x:f t="shared" si="205">IFERROR(E4578/G4578-1,"")</x:f>
        <x:v>0.02702954946206715</x:v>
      </x:c>
      <x:c r="I4578" s="38" t="b">
        <x:f t="shared" si="206">E4578&lt;G4578</x:f>
        <x:v>0</x:v>
      </x:c>
    </x:row>
    <x:row r="4579">
      <x:c r="A4579" s="31">
        <x:v>43693</x:v>
      </x:c>
      <x:c r="B4579" s="32">
        <x:v>974.88</x:v>
      </x:c>
      <x:c r="C4579" s="32">
        <x:v>985.61</x:v>
      </x:c>
      <x:c r="D4579" s="32">
        <x:v>974.88</x:v>
      </x:c>
      <x:c r="E4579" s="32">
        <x:v>980</x:v>
      </x:c>
      <x:c r="F4579" s="33">
        <x:v>156459560</x:v>
      </x:c>
      <x:c r="G4579" s="32" t="n">
        <x:f t="shared" si="204">AVERAGE(E4380:E4579)</x:f>
        <x:v>953.9536500000002</x:v>
      </x:c>
      <x:c r="H4579" s="37" t="n">
        <x:f t="shared" si="205">IFERROR(E4579/G4579-1,"")</x:f>
        <x:v>0.027303580210631617</x:v>
      </x:c>
      <x:c r="I4579" s="38" t="b">
        <x:f t="shared" si="206">E4579&lt;G4579</x:f>
        <x:v>0</x:v>
      </x:c>
    </x:row>
    <x:row r="4580">
      <x:c r="A4580" s="31">
        <x:v>43696</x:v>
      </x:c>
      <x:c r="B4580" s="32">
        <x:v>984.04</x:v>
      </x:c>
      <x:c r="C4580" s="32">
        <x:v>985.48</x:v>
      </x:c>
      <x:c r="D4580" s="32">
        <x:v>979.17</x:v>
      </x:c>
      <x:c r="E4580" s="32">
        <x:v>981.03</x:v>
      </x:c>
      <x:c r="F4580" s="33">
        <x:v>107980080</x:v>
      </x:c>
      <x:c r="G4580" s="32" t="n">
        <x:f t="shared" si="204">AVERAGE(E4381:E4580)</x:f>
        <x:v>954.3547000000003</x:v>
      </x:c>
      <x:c r="H4580" s="37" t="n">
        <x:f t="shared" si="205">IFERROR(E4580/G4580-1,"")</x:f>
        <x:v>0.02795113808314631</x:v>
      </x:c>
      <x:c r="I4580" s="38" t="b">
        <x:f t="shared" si="206">E4580&lt;G4580</x:f>
        <x:v>0</x:v>
      </x:c>
    </x:row>
    <x:row r="4581">
      <x:c r="A4581" s="31">
        <x:v>43697</x:v>
      </x:c>
      <x:c r="B4581" s="32">
        <x:v>983.94</x:v>
      </x:c>
      <x:c r="C4581" s="32">
        <x:v>985.35</x:v>
      </x:c>
      <x:c r="D4581" s="32">
        <x:v>981.75</x:v>
      </x:c>
      <x:c r="E4581" s="32">
        <x:v>984.67</x:v>
      </x:c>
      <x:c r="F4581" s="33">
        <x:v>121108870</x:v>
      </x:c>
      <x:c r="G4581" s="32" t="n">
        <x:f t="shared" si="204">AVERAGE(E4382:E4581)</x:f>
        <x:v>954.8339500000003</x:v>
      </x:c>
      <x:c r="H4581" s="37" t="n">
        <x:f t="shared" si="205">IFERROR(E4581/G4581-1,"")</x:f>
        <x:v>0.03124737028883362</x:v>
      </x:c>
      <x:c r="I4581" s="38" t="b">
        <x:f t="shared" si="206">E4581&lt;G4581</x:f>
        <x:v>0</x:v>
      </x:c>
    </x:row>
    <x:row r="4582">
      <x:c r="A4582" s="31">
        <x:v>43698</x:v>
      </x:c>
      <x:c r="B4582" s="32">
        <x:v>984.36</x:v>
      </x:c>
      <x:c r="C4582" s="32">
        <x:v>995.44</x:v>
      </x:c>
      <x:c r="D4582" s="32">
        <x:v>983.3</x:v>
      </x:c>
      <x:c r="E4582" s="32">
        <x:v>994.38</x:v>
      </x:c>
      <x:c r="F4582" s="33">
        <x:v>146223360</x:v>
      </x:c>
      <x:c r="G4582" s="32" t="n">
        <x:f t="shared" si="204">AVERAGE(E4383:E4582)</x:f>
        <x:v>955.3624000000002</x:v>
      </x:c>
      <x:c r="H4582" s="37" t="n">
        <x:f t="shared" si="205">IFERROR(E4582/G4582-1,"")</x:f>
        <x:v>0.040840627598490054</x:v>
      </x:c>
      <x:c r="I4582" s="38" t="b">
        <x:f t="shared" si="206">E4582&lt;G4582</x:f>
        <x:v>0</x:v>
      </x:c>
    </x:row>
    <x:row r="4583">
      <x:c r="A4583" s="31">
        <x:v>43699</x:v>
      </x:c>
      <x:c r="B4583" s="32">
        <x:v>996.41</x:v>
      </x:c>
      <x:c r="C4583" s="32">
        <x:v>998.67</x:v>
      </x:c>
      <x:c r="D4583" s="32">
        <x:v>993.23</x:v>
      </x:c>
      <x:c r="E4583" s="32">
        <x:v>997.26</x:v>
      </x:c>
      <x:c r="F4583" s="33">
        <x:v>128389760</x:v>
      </x:c>
      <x:c r="G4583" s="32" t="n">
        <x:f t="shared" si="204">AVERAGE(E4384:E4583)</x:f>
        <x:v>955.7749000000002</x:v>
      </x:c>
      <x:c r="H4583" s="37" t="n">
        <x:f t="shared" si="205">IFERROR(E4583/G4583-1,"")</x:f>
        <x:v>0.04340467614288657</x:v>
      </x:c>
      <x:c r="I4583" s="38" t="b">
        <x:f t="shared" si="206">E4583&lt;G4583</x:f>
        <x:v>0</x:v>
      </x:c>
    </x:row>
    <x:row r="4584">
      <x:c r="A4584" s="31">
        <x:v>43700</x:v>
      </x:c>
      <x:c r="B4584" s="32">
        <x:v>998.21</x:v>
      </x:c>
      <x:c r="C4584" s="32">
        <x:v>998.21</x:v>
      </x:c>
      <x:c r="D4584" s="32">
        <x:v>990.83</x:v>
      </x:c>
      <x:c r="E4584" s="32">
        <x:v>992.45</x:v>
      </x:c>
      <x:c r="F4584" s="33">
        <x:v>119796120</x:v>
      </x:c>
      <x:c r="G4584" s="32" t="n">
        <x:f t="shared" si="204">AVERAGE(E4385:E4584)</x:f>
        <x:v>956.1973500000003</x:v>
      </x:c>
      <x:c r="H4584" s="37" t="n">
        <x:f t="shared" si="205">IFERROR(E4584/G4584-1,"")</x:f>
        <x:v>0.037913355438602414</x:v>
      </x:c>
      <x:c r="I4584" s="38" t="b">
        <x:f t="shared" si="206">E4584&lt;G4584</x:f>
        <x:v>0</x:v>
      </x:c>
    </x:row>
    <x:row r="4585">
      <x:c r="A4585" s="31">
        <x:v>43703</x:v>
      </x:c>
      <x:c r="B4585" s="32">
        <x:v>983.8</x:v>
      </x:c>
      <x:c r="C4585" s="32">
        <x:v>984.61</x:v>
      </x:c>
      <x:c r="D4585" s="32">
        <x:v>977</x:v>
      </x:c>
      <x:c r="E4585" s="32">
        <x:v>982.88</x:v>
      </x:c>
      <x:c r="F4585" s="33">
        <x:v>151649840</x:v>
      </x:c>
      <x:c r="G4585" s="32" t="n">
        <x:f t="shared" si="204">AVERAGE(E4386:E4585)</x:f>
        <x:v>956.4874500000002</x:v>
      </x:c>
      <x:c r="H4585" s="37" t="n">
        <x:f t="shared" si="205">IFERROR(E4585/G4585-1,"")</x:f>
        <x:v>0.027593200517162852</x:v>
      </x:c>
      <x:c r="I4585" s="38" t="b">
        <x:f t="shared" si="206">E4585&lt;G4585</x:f>
        <x:v>0</x:v>
      </x:c>
    </x:row>
    <x:row r="4586">
      <x:c r="A4586" s="31">
        <x:v>43704</x:v>
      </x:c>
      <x:c r="B4586" s="32">
        <x:v>986.33</x:v>
      </x:c>
      <x:c r="C4586" s="32">
        <x:v>988.49</x:v>
      </x:c>
      <x:c r="D4586" s="32">
        <x:v>976.79</x:v>
      </x:c>
      <x:c r="E4586" s="32">
        <x:v>976.79</x:v>
      </x:c>
      <x:c r="F4586" s="33">
        <x:v>150855300</x:v>
      </x:c>
      <x:c r="G4586" s="32" t="n">
        <x:f t="shared" si="204">AVERAGE(E4387:E4586)</x:f>
        <x:v>956.7437500000003</x:v>
      </x:c>
      <x:c r="H4586" s="37" t="n">
        <x:f t="shared" si="205">IFERROR(E4586/G4586-1,"")</x:f>
        <x:v>0.020952580040370927</x:v>
      </x:c>
      <x:c r="I4586" s="38" t="b">
        <x:f t="shared" si="206">E4586&lt;G4586</x:f>
        <x:v>0</x:v>
      </x:c>
    </x:row>
    <x:row r="4587">
      <x:c r="A4587" s="31">
        <x:v>43705</x:v>
      </x:c>
      <x:c r="B4587" s="32">
        <x:v>977.1</x:v>
      </x:c>
      <x:c r="C4587" s="32">
        <x:v>981.35</x:v>
      </x:c>
      <x:c r="D4587" s="32">
        <x:v>977.1</x:v>
      </x:c>
      <x:c r="E4587" s="32">
        <x:v>977.26</x:v>
      </x:c>
      <x:c r="F4587" s="33">
        <x:v>117235850</x:v>
      </x:c>
      <x:c r="G4587" s="32" t="n">
        <x:f t="shared" si="204">AVERAGE(E4388:E4587)</x:f>
        <x:v>957.0198000000004</x:v>
      </x:c>
      <x:c r="H4587" s="37" t="n">
        <x:f t="shared" si="205">IFERROR(E4587/G4587-1,"")</x:f>
        <x:v>0.021149196704184803</x:v>
      </x:c>
      <x:c r="I4587" s="38" t="b">
        <x:f t="shared" si="206">E4587&lt;G4587</x:f>
        <x:v>0</x:v>
      </x:c>
    </x:row>
    <x:row r="4588">
      <x:c r="A4588" s="31">
        <x:v>43706</x:v>
      </x:c>
      <x:c r="B4588" s="32">
        <x:v>978.17</x:v>
      </x:c>
      <x:c r="C4588" s="32">
        <x:v>978.78</x:v>
      </x:c>
      <x:c r="D4588" s="32">
        <x:v>973.34</x:v>
      </x:c>
      <x:c r="E4588" s="32">
        <x:v>978.59</x:v>
      </x:c>
      <x:c r="F4588" s="33">
        <x:v>119663520</x:v>
      </x:c>
      <x:c r="G4588" s="32" t="n">
        <x:f t="shared" si="204">AVERAGE(E4389:E4588)</x:f>
        <x:v>957.3019500000004</x:v>
      </x:c>
      <x:c r="H4588" s="37" t="n">
        <x:f t="shared" si="205">IFERROR(E4588/G4588-1,"")</x:f>
        <x:v>0.02223755002274852</x:v>
      </x:c>
      <x:c r="I4588" s="38" t="b">
        <x:f t="shared" si="206">E4588&lt;G4588</x:f>
        <x:v>0</x:v>
      </x:c>
    </x:row>
    <x:row r="4589">
      <x:c r="A4589" s="31">
        <x:v>43707</x:v>
      </x:c>
      <x:c r="B4589" s="32">
        <x:v>980.25</x:v>
      </x:c>
      <x:c r="C4589" s="32">
        <x:v>984.87</x:v>
      </x:c>
      <x:c r="D4589" s="32">
        <x:v>980.25</x:v>
      </x:c>
      <x:c r="E4589" s="32">
        <x:v>984.06</x:v>
      </x:c>
      <x:c r="F4589" s="33">
        <x:v>126205940</x:v>
      </x:c>
      <x:c r="G4589" s="32" t="n">
        <x:f t="shared" si="204">AVERAGE(E4390:E4589)</x:f>
        <x:v>957.5908500000004</x:v>
      </x:c>
      <x:c r="H4589" s="37" t="n">
        <x:f t="shared" si="205">IFERROR(E4589/G4589-1,"")</x:f>
        <x:v>0.027641398202582712</x:v>
      </x:c>
      <x:c r="I4589" s="38" t="b">
        <x:f t="shared" si="206">E4589&lt;G4589</x:f>
        <x:v>0</x:v>
      </x:c>
    </x:row>
    <x:row r="4590">
      <x:c r="A4590" s="31">
        <x:v>43711</x:v>
      </x:c>
      <x:c r="B4590" s="32">
        <x:v>984.06</x:v>
      </x:c>
      <x:c r="C4590" s="32">
        <x:v>985.21</x:v>
      </x:c>
      <x:c r="D4590" s="32">
        <x:v>978.62</x:v>
      </x:c>
      <x:c r="E4590" s="32">
        <x:v>979.36</x:v>
      </x:c>
      <x:c r="F4590" s="33">
        <x:v>126148070</x:v>
      </x:c>
      <x:c r="G4590" s="32" t="n">
        <x:f t="shared" si="204">AVERAGE(E4391:E4590)</x:f>
        <x:v>957.9162000000002</x:v>
      </x:c>
      <x:c r="H4590" s="37" t="n">
        <x:f t="shared" si="205">IFERROR(E4590/G4590-1,"")</x:f>
        <x:v>0.02238588302400535</x:v>
      </x:c>
      <x:c r="I4590" s="38" t="b">
        <x:f t="shared" si="206">E4590&lt;G4590</x:f>
        <x:v>0</x:v>
      </x:c>
    </x:row>
    <x:row r="4591">
      <x:c r="A4591" s="31">
        <x:v>43712</x:v>
      </x:c>
      <x:c r="B4591" s="32">
        <x:v>977.97</x:v>
      </x:c>
      <x:c r="C4591" s="32">
        <x:v>979.91</x:v>
      </x:c>
      <x:c r="D4591" s="32">
        <x:v>973.37</x:v>
      </x:c>
      <x:c r="E4591" s="32">
        <x:v>977.63</x:v>
      </x:c>
      <x:c r="F4591" s="33">
        <x:v>121831910</x:v>
      </x:c>
      <x:c r="G4591" s="32" t="n">
        <x:f t="shared" si="204">AVERAGE(E4392:E4591)</x:f>
        <x:v>958.2137500000003</x:v>
      </x:c>
      <x:c r="H4591" s="37" t="n">
        <x:f t="shared" si="205">IFERROR(E4591/G4591-1,"")</x:f>
        <x:v>0.020262963248022237</x:v>
      </x:c>
      <x:c r="I4591" s="38" t="b">
        <x:f t="shared" si="206">E4591&lt;G4591</x:f>
        <x:v>0</x:v>
      </x:c>
    </x:row>
    <x:row r="4592">
      <x:c r="A4592" s="31">
        <x:v>43713</x:v>
      </x:c>
      <x:c r="B4592" s="32">
        <x:v>979.83</x:v>
      </x:c>
      <x:c r="C4592" s="32">
        <x:v>981.67</x:v>
      </x:c>
      <x:c r="D4592" s="32">
        <x:v>976.79</x:v>
      </x:c>
      <x:c r="E4592" s="32">
        <x:v>976.79</x:v>
      </x:c>
      <x:c r="F4592" s="33">
        <x:v>113824610</x:v>
      </x:c>
      <x:c r="G4592" s="32" t="n">
        <x:f t="shared" si="204">AVERAGE(E4393:E4592)</x:f>
        <x:v>958.5708000000004</x:v>
      </x:c>
      <x:c r="H4592" s="37" t="n">
        <x:f t="shared" si="205">IFERROR(E4592/G4592-1,"")</x:f>
        <x:v>0.019006629452930968</x:v>
      </x:c>
      <x:c r="I4592" s="38" t="b">
        <x:f t="shared" si="206">E4592&lt;G4592</x:f>
        <x:v>0</x:v>
      </x:c>
    </x:row>
    <x:row r="4593">
      <x:c r="A4593" s="31">
        <x:v>43714</x:v>
      </x:c>
      <x:c r="B4593" s="32">
        <x:v>977.83</x:v>
      </x:c>
      <x:c r="C4593" s="32">
        <x:v>978.73</x:v>
      </x:c>
      <x:c r="D4593" s="32">
        <x:v>973.87</x:v>
      </x:c>
      <x:c r="E4593" s="32">
        <x:v>974.08</x:v>
      </x:c>
      <x:c r="F4593" s="33">
        <x:v>108569600</x:v>
      </x:c>
      <x:c r="G4593" s="32" t="n">
        <x:f t="shared" si="204">AVERAGE(E4394:E4593)</x:f>
        <x:v>958.9365500000002</x:v>
      </x:c>
      <x:c r="H4593" s="37" t="n">
        <x:f t="shared" si="205">IFERROR(E4593/G4593-1,"")</x:f>
        <x:v>0.015791920748041033</x:v>
      </x:c>
      <x:c r="I4593" s="38" t="b">
        <x:f t="shared" si="206">E4593&lt;G4593</x:f>
        <x:v>0</x:v>
      </x:c>
    </x:row>
    <x:row r="4594">
      <x:c r="A4594" s="31">
        <x:v>43717</x:v>
      </x:c>
      <x:c r="B4594" s="32">
        <x:v>974.53</x:v>
      </x:c>
      <x:c r="C4594" s="32">
        <x:v>975.03</x:v>
      </x:c>
      <x:c r="D4594" s="32">
        <x:v>972.47</x:v>
      </x:c>
      <x:c r="E4594" s="32">
        <x:v>974.12</x:v>
      </x:c>
      <x:c r="F4594" s="33">
        <x:v>104287810</x:v>
      </x:c>
      <x:c r="G4594" s="32" t="n">
        <x:f t="shared" si="204">AVERAGE(E4395:E4594)</x:f>
        <x:v>959.3214000000002</x:v>
      </x:c>
      <x:c r="H4594" s="37" t="n">
        <x:f t="shared" si="205">IFERROR(E4594/G4594-1,"")</x:f>
        <x:v>0.015426112666724556</x:v>
      </x:c>
      <x:c r="I4594" s="38" t="b">
        <x:f t="shared" si="206">E4594&lt;G4594</x:f>
        <x:v>0</x:v>
      </x:c>
    </x:row>
    <x:row r="4595">
      <x:c r="A4595" s="31">
        <x:v>43718</x:v>
      </x:c>
      <x:c r="B4595" s="32">
        <x:v>974.62</x:v>
      </x:c>
      <x:c r="C4595" s="32">
        <x:v>977.44</x:v>
      </x:c>
      <x:c r="D4595" s="32">
        <x:v>968.36</x:v>
      </x:c>
      <x:c r="E4595" s="32">
        <x:v>970.26</x:v>
      </x:c>
      <x:c r="F4595" s="33">
        <x:v>128339460</x:v>
      </x:c>
      <x:c r="G4595" s="32" t="n">
        <x:f t="shared" si="204">AVERAGE(E4396:E4595)</x:f>
        <x:v>959.6817500000002</x:v>
      </x:c>
      <x:c r="H4595" s="37" t="n">
        <x:f t="shared" si="205">IFERROR(E4595/G4595-1,"")</x:f>
        <x:v>0.011022664544782401</x:v>
      </x:c>
      <x:c r="I4595" s="38" t="b">
        <x:f t="shared" si="206">E4595&lt;G4595</x:f>
        <x:v>0</x:v>
      </x:c>
    </x:row>
    <x:row r="4596">
      <x:c r="A4596" s="31">
        <x:v>43719</x:v>
      </x:c>
      <x:c r="B4596" s="32">
        <x:v>969.59</x:v>
      </x:c>
      <x:c r="C4596" s="32">
        <x:v>973.13</x:v>
      </x:c>
      <x:c r="D4596" s="32">
        <x:v>967.14</x:v>
      </x:c>
      <x:c r="E4596" s="32">
        <x:v>969.31</x:v>
      </x:c>
      <x:c r="F4596" s="33">
        <x:v>95091710</x:v>
      </x:c>
      <x:c r="G4596" s="32" t="n">
        <x:f t="shared" si="204">AVERAGE(E4397:E4596)</x:f>
        <x:v>959.9480000000003</x:v>
      </x:c>
      <x:c r="H4596" s="37" t="n">
        <x:f t="shared" si="205">IFERROR(E4596/G4596-1,"")</x:f>
        <x:v>0.00975261159979457</x:v>
      </x:c>
      <x:c r="I4596" s="38" t="b">
        <x:f t="shared" si="206">E4596&lt;G4596</x:f>
        <x:v>0</x:v>
      </x:c>
    </x:row>
    <x:row r="4597">
      <x:c r="A4597" s="31">
        <x:v>43720</x:v>
      </x:c>
      <x:c r="B4597" s="32">
        <x:v>972.39</x:v>
      </x:c>
      <x:c r="C4597" s="32">
        <x:v>976.07</x:v>
      </x:c>
      <x:c r="D4597" s="32">
        <x:v>969.31</x:v>
      </x:c>
      <x:c r="E4597" s="32">
        <x:v>976.07</x:v>
      </x:c>
      <x:c r="F4597" s="33">
        <x:v>123174240</x:v>
      </x:c>
      <x:c r="G4597" s="32" t="n">
        <x:f t="shared" si="204">AVERAGE(E4398:E4597)</x:f>
        <x:v>960.2332500000002</x:v>
      </x:c>
      <x:c r="H4597" s="37" t="n">
        <x:f t="shared" si="205">IFERROR(E4597/G4597-1,"")</x:f>
        <x:v>0.016492607395130143</x:v>
      </x:c>
      <x:c r="I4597" s="38" t="b">
        <x:f t="shared" si="206">E4597&lt;G4597</x:f>
        <x:v>0</x:v>
      </x:c>
    </x:row>
    <x:row r="4598">
      <x:c r="A4598" s="31">
        <x:v>43721</x:v>
      </x:c>
      <x:c r="B4598" s="32">
        <x:v>976.07</x:v>
      </x:c>
      <x:c r="C4598" s="32">
        <x:v>987.22</x:v>
      </x:c>
      <x:c r="D4598" s="32">
        <x:v>975.95</x:v>
      </x:c>
      <x:c r="E4598" s="32">
        <x:v>987.22</x:v>
      </x:c>
      <x:c r="F4598" s="33">
        <x:v>145895070</x:v>
      </x:c>
      <x:c r="G4598" s="32" t="n">
        <x:f t="shared" si="204">AVERAGE(E4399:E4598)</x:f>
        <x:v>960.5565500000001</x:v>
      </x:c>
      <x:c r="H4598" s="37" t="n">
        <x:f t="shared" si="205">IFERROR(E4598/G4598-1,"")</x:f>
        <x:v>0.02775833447806897</x:v>
      </x:c>
      <x:c r="I4598" s="38" t="b">
        <x:f t="shared" si="206">E4598&lt;G4598</x:f>
        <x:v>0</x:v>
      </x:c>
    </x:row>
    <x:row r="4599">
      <x:c r="A4599" s="31">
        <x:v>43724</x:v>
      </x:c>
      <x:c r="B4599" s="32">
        <x:v>987.07</x:v>
      </x:c>
      <x:c r="C4599" s="32">
        <x:v>992.6</x:v>
      </x:c>
      <x:c r="D4599" s="32">
        <x:v>986.72</x:v>
      </x:c>
      <x:c r="E4599" s="32">
        <x:v>989.86</x:v>
      </x:c>
      <x:c r="F4599" s="33">
        <x:v>138035800</x:v>
      </x:c>
      <x:c r="G4599" s="32" t="n">
        <x:f t="shared" si="204">AVERAGE(E4400:E4599)</x:f>
        <x:v>960.88375</x:v>
      </x:c>
      <x:c r="H4599" s="37" t="n">
        <x:f t="shared" si="205">IFERROR(E4599/G4599-1,"")</x:f>
        <x:v>0.030155833106762397</x:v>
      </x:c>
      <x:c r="I4599" s="38" t="b">
        <x:f t="shared" si="206">E4599&lt;G4599</x:f>
        <x:v>0</x:v>
      </x:c>
    </x:row>
    <x:row r="4600">
      <x:c r="A4600" s="31">
        <x:v>43725</x:v>
      </x:c>
      <x:c r="B4600" s="32">
        <x:v>990.06</x:v>
      </x:c>
      <x:c r="C4600" s="32">
        <x:v>996.74</x:v>
      </x:c>
      <x:c r="D4600" s="32">
        <x:v>986.96</x:v>
      </x:c>
      <x:c r="E4600" s="32">
        <x:v>996.74</x:v>
      </x:c>
      <x:c r="F4600" s="33">
        <x:v>142632820</x:v>
      </x:c>
      <x:c r="G4600" s="32" t="n">
        <x:f t="shared" si="204">AVERAGE(E4401:E4600)</x:f>
        <x:v>961.2775999999999</x:v>
      </x:c>
      <x:c r="H4600" s="37" t="n">
        <x:f t="shared" si="205">IFERROR(E4600/G4600-1,"")</x:f>
        <x:v>0.036890904354788034</x:v>
      </x:c>
      <x:c r="I4600" s="38" t="b">
        <x:f t="shared" si="206">E4600&lt;G4600</x:f>
        <x:v>0</x:v>
      </x:c>
    </x:row>
    <x:row r="4601">
      <x:c r="A4601" s="31">
        <x:v>43726</x:v>
      </x:c>
      <x:c r="B4601" s="32">
        <x:v>995.75</x:v>
      </x:c>
      <x:c r="C4601" s="32">
        <x:v>998.4</x:v>
      </x:c>
      <x:c r="D4601" s="32">
        <x:v>993.94</x:v>
      </x:c>
      <x:c r="E4601" s="32">
        <x:v>995.15</x:v>
      </x:c>
      <x:c r="F4601" s="33">
        <x:v>140571130</x:v>
      </x:c>
      <x:c r="G4601" s="32" t="n">
        <x:f t="shared" si="204">AVERAGE(E4402:E4601)</x:f>
        <x:v>961.6482</x:v>
      </x:c>
      <x:c r="H4601" s="37" t="n">
        <x:f t="shared" si="205">IFERROR(E4601/G4601-1,"")</x:f>
        <x:v>0.034837896020603054</x:v>
      </x:c>
      <x:c r="I4601" s="38" t="b">
        <x:f t="shared" si="206">E4601&lt;G4601</x:f>
        <x:v>0</x:v>
      </x:c>
    </x:row>
    <x:row r="4602">
      <x:c r="A4602" s="31">
        <x:v>43727</x:v>
      </x:c>
      <x:c r="B4602" s="32">
        <x:v>995.49</x:v>
      </x:c>
      <x:c r="C4602" s="32">
        <x:v>997.2</x:v>
      </x:c>
      <x:c r="D4602" s="32">
        <x:v>990.55</x:v>
      </x:c>
      <x:c r="E4602" s="32">
        <x:v>997.1</x:v>
      </x:c>
      <x:c r="F4602" s="33">
        <x:v>140440060</x:v>
      </x:c>
      <x:c r="G4602" s="32" t="n">
        <x:f t="shared" si="204">AVERAGE(E4403:E4602)</x:f>
        <x:v>962.0180999999998</x:v>
      </x:c>
      <x:c r="H4602" s="37" t="n">
        <x:f t="shared" si="205">IFERROR(E4602/G4602-1,"")</x:f>
        <x:v>0.036466985392478835</x:v>
      </x:c>
      <x:c r="I4602" s="38" t="b">
        <x:f t="shared" si="206">E4602&lt;G4602</x:f>
        <x:v>0</x:v>
      </x:c>
    </x:row>
    <x:row r="4603">
      <x:c r="A4603" s="31">
        <x:v>43728</x:v>
      </x:c>
      <x:c r="B4603" s="32">
        <x:v>997.6</x:v>
      </x:c>
      <x:c r="C4603" s="32">
        <x:v>998.56</x:v>
      </x:c>
      <x:c r="D4603" s="32">
        <x:v>990.36</x:v>
      </x:c>
      <x:c r="E4603" s="32">
        <x:v>990.36</x:v>
      </x:c>
      <x:c r="F4603" s="33">
        <x:v>167884480</x:v>
      </x:c>
      <x:c r="G4603" s="32" t="n">
        <x:f t="shared" si="204">AVERAGE(E4404:E4603)</x:f>
        <x:v>962.3188999999999</x:v>
      </x:c>
      <x:c r="H4603" s="37" t="n">
        <x:f t="shared" si="205">IFERROR(E4603/G4603-1,"")</x:f>
        <x:v>0.029139093080267076</x:v>
      </x:c>
      <x:c r="I4603" s="38" t="b">
        <x:f t="shared" si="206">E4603&lt;G4603</x:f>
        <x:v>0</x:v>
      </x:c>
    </x:row>
    <x:row r="4604">
      <x:c r="A4604" s="31">
        <x:v>43731</x:v>
      </x:c>
      <x:c r="B4604" s="32">
        <x:v>991.75</x:v>
      </x:c>
      <x:c r="C4604" s="32">
        <x:v>993.98</x:v>
      </x:c>
      <x:c r="D4604" s="32">
        <x:v>985.75</x:v>
      </x:c>
      <x:c r="E4604" s="32">
        <x:v>985.75</x:v>
      </x:c>
      <x:c r="F4604" s="33">
        <x:v>141445790</x:v>
      </x:c>
      <x:c r="G4604" s="32" t="n">
        <x:f t="shared" si="204">AVERAGE(E4405:E4604)</x:f>
        <x:v>962.6136999999998</x:v>
      </x:c>
      <x:c r="H4604" s="37" t="n">
        <x:f t="shared" si="205">IFERROR(E4604/G4604-1,"")</x:f>
        <x:v>0.024034875049046445</x:v>
      </x:c>
      <x:c r="I4604" s="38" t="b">
        <x:f t="shared" si="206">E4604&lt;G4604</x:f>
        <x:v>0</x:v>
      </x:c>
    </x:row>
    <x:row r="4605">
      <x:c r="A4605" s="31">
        <x:v>43732</x:v>
      </x:c>
      <x:c r="B4605" s="32">
        <x:v>986.33</x:v>
      </x:c>
      <x:c r="C4605" s="32">
        <x:v>991.36</x:v>
      </x:c>
      <x:c r="D4605" s="32">
        <x:v>984.94</x:v>
      </x:c>
      <x:c r="E4605" s="32">
        <x:v>988.13</x:v>
      </x:c>
      <x:c r="F4605" s="33">
        <x:v>119577920</x:v>
      </x:c>
      <x:c r="G4605" s="32" t="n">
        <x:f t="shared" si="204">AVERAGE(E4406:E4605)</x:f>
        <x:v>962.9216499999999</x:v>
      </x:c>
      <x:c r="H4605" s="37" t="n">
        <x:f t="shared" si="205">IFERROR(E4605/G4605-1,"")</x:f>
        <x:v>0.02617902505359604</x:v>
      </x:c>
      <x:c r="I4605" s="38" t="b">
        <x:f t="shared" si="206">E4605&lt;G4605</x:f>
        <x:v>0</x:v>
      </x:c>
    </x:row>
    <x:row r="4606">
      <x:c r="A4606" s="31">
        <x:v>43733</x:v>
      </x:c>
      <x:c r="B4606" s="32">
        <x:v>985.96</x:v>
      </x:c>
      <x:c r="C4606" s="32">
        <x:v>989.18</x:v>
      </x:c>
      <x:c r="D4606" s="32">
        <x:v>983.06</x:v>
      </x:c>
      <x:c r="E4606" s="32">
        <x:v>987.3</x:v>
      </x:c>
      <x:c r="F4606" s="33">
        <x:v>121420880</x:v>
      </x:c>
      <x:c r="G4606" s="32" t="n">
        <x:f t="shared" si="204">AVERAGE(E4407:E4606)</x:f>
        <x:v>963.1001999999997</x:v>
      </x:c>
      <x:c r="H4606" s="37" t="n">
        <x:f t="shared" si="205">IFERROR(E4606/G4606-1,"")</x:f>
        <x:v>0.025126980557163447</x:v>
      </x:c>
      <x:c r="I4606" s="38" t="b">
        <x:f t="shared" si="206">E4606&lt;G4606</x:f>
        <x:v>0</x:v>
      </x:c>
    </x:row>
    <x:row r="4607">
      <x:c r="A4607" s="31">
        <x:v>43734</x:v>
      </x:c>
      <x:c r="B4607" s="32">
        <x:v>988.7</x:v>
      </x:c>
      <x:c r="C4607" s="32">
        <x:v>991.66</x:v>
      </x:c>
      <x:c r="D4607" s="32">
        <x:v>986.35</x:v>
      </x:c>
      <x:c r="E4607" s="32">
        <x:v>990.75</x:v>
      </x:c>
      <x:c r="F4607" s="33">
        <x:v>133043610</x:v>
      </x:c>
      <x:c r="G4607" s="32" t="n">
        <x:f t="shared" si="204">AVERAGE(E4408:E4607)</x:f>
        <x:v>963.2597499999999</x:v>
      </x:c>
      <x:c r="H4607" s="37" t="n">
        <x:f t="shared" si="205">IFERROR(E4607/G4607-1,"")</x:f>
        <x:v>0.028538771603402013</x:v>
      </x:c>
      <x:c r="I4607" s="38" t="b">
        <x:f t="shared" si="206">E4607&lt;G4607</x:f>
        <x:v>0</x:v>
      </x:c>
    </x:row>
    <x:row r="4608">
      <x:c r="A4608" s="31">
        <x:v>43735</x:v>
      </x:c>
      <x:c r="B4608" s="32">
        <x:v>992.26</x:v>
      </x:c>
      <x:c r="C4608" s="32">
        <x:v>998.34</x:v>
      </x:c>
      <x:c r="D4608" s="32">
        <x:v>990.75</x:v>
      </x:c>
      <x:c r="E4608" s="32">
        <x:v>997.84</x:v>
      </x:c>
      <x:c r="F4608" s="33">
        <x:v>152087820</x:v>
      </x:c>
      <x:c r="G4608" s="32" t="n">
        <x:f t="shared" si="204">AVERAGE(E4409:E4608)</x:f>
        <x:v>963.4632499999998</x:v>
      </x:c>
      <x:c r="H4608" s="37" t="n">
        <x:f t="shared" si="205">IFERROR(E4608/G4608-1,"")</x:f>
        <x:v>0.03568039569750092</x:v>
      </x:c>
      <x:c r="I4608" s="38" t="b">
        <x:f t="shared" si="206">E4608&lt;G4608</x:f>
        <x:v>0</x:v>
      </x:c>
    </x:row>
    <x:row r="4609">
      <x:c r="A4609" s="31">
        <x:v>43738</x:v>
      </x:c>
      <x:c r="B4609" s="32">
        <x:v>999.92</x:v>
      </x:c>
      <x:c r="C4609" s="32">
        <x:v>1004.17</x:v>
      </x:c>
      <x:c r="D4609" s="32">
        <x:v>996.51</x:v>
      </x:c>
      <x:c r="E4609" s="32">
        <x:v>996.56</x:v>
      </x:c>
      <x:c r="F4609" s="33">
        <x:v>157737220</x:v>
      </x:c>
      <x:c r="G4609" s="32" t="n">
        <x:f t="shared" si="204">AVERAGE(E4410:E4609)</x:f>
        <x:v>963.6719499999998</x:v>
      </x:c>
      <x:c r="H4609" s="37" t="n">
        <x:f t="shared" si="205">IFERROR(E4609/G4609-1,"")</x:f>
        <x:v>0.034127848174889897</x:v>
      </x:c>
      <x:c r="I4609" s="38" t="b">
        <x:f t="shared" si="206">E4609&lt;G4609</x:f>
        <x:v>0</x:v>
      </x:c>
    </x:row>
    <x:row r="4610">
      <x:c r="A4610" s="31">
        <x:v>43739</x:v>
      </x:c>
      <x:c r="B4610" s="32">
        <x:v>997.87</x:v>
      </x:c>
      <x:c r="C4610" s="32">
        <x:v>999.72</x:v>
      </x:c>
      <x:c r="D4610" s="32">
        <x:v>996.2</x:v>
      </x:c>
      <x:c r="E4610" s="32">
        <x:v>999.59</x:v>
      </x:c>
      <x:c r="F4610" s="33">
        <x:v>141547280</x:v>
      </x:c>
      <x:c r="G4610" s="32" t="n">
        <x:f t="shared" si="204">AVERAGE(E4411:E4610)</x:f>
        <x:v>963.8769499999996</x:v>
      </x:c>
      <x:c r="H4610" s="37" t="n">
        <x:f t="shared" si="205">IFERROR(E4610/G4610-1,"")</x:f>
        <x:v>0.037051461807443786</x:v>
      </x:c>
      <x:c r="I4610" s="38" t="b">
        <x:f t="shared" si="206">E4610&lt;G4610</x:f>
        <x:v>0</x:v>
      </x:c>
    </x:row>
    <x:row r="4611">
      <x:c r="A4611" s="31">
        <x:v>43740</x:v>
      </x:c>
      <x:c r="B4611" s="32">
        <x:v>999.18</x:v>
      </x:c>
      <x:c r="C4611" s="32">
        <x:v>1000.93</x:v>
      </x:c>
      <x:c r="D4611" s="32">
        <x:v>989.63</x:v>
      </x:c>
      <x:c r="E4611" s="32">
        <x:v>991.19</x:v>
      </x:c>
      <x:c r="F4611" s="33">
        <x:v>155632190</x:v>
      </x:c>
      <x:c r="G4611" s="32" t="n">
        <x:f t="shared" si="204">AVERAGE(E4412:E4611)</x:f>
        <x:v>964.0534499999995</x:v>
      </x:c>
      <x:c r="H4611" s="37" t="n">
        <x:f t="shared" si="205">IFERROR(E4611/G4611-1,"")</x:f>
        <x:v>0.028148387415656728</x:v>
      </x:c>
      <x:c r="I4611" s="38" t="b">
        <x:f t="shared" si="206">E4611&lt;G4611</x:f>
        <x:v>0</x:v>
      </x:c>
    </x:row>
    <x:row r="4612">
      <x:c r="A4612" s="31">
        <x:v>43741</x:v>
      </x:c>
      <x:c r="B4612" s="32">
        <x:v>985.65</x:v>
      </x:c>
      <x:c r="C4612" s="32">
        <x:v>992.45</x:v>
      </x:c>
      <x:c r="D4612" s="32">
        <x:v>983.35</x:v>
      </x:c>
      <x:c r="E4612" s="32">
        <x:v>992.45</x:v>
      </x:c>
      <x:c r="F4612" s="33">
        <x:v>156298020</x:v>
      </x:c>
      <x:c r="G4612" s="32" t="n">
        <x:f t="shared" si="204">AVERAGE(E4413:E4612)</x:f>
        <x:v>964.2427999999996</x:v>
      </x:c>
      <x:c r="H4612" s="37" t="n">
        <x:f t="shared" si="205">IFERROR(E4612/G4612-1,"")</x:f>
        <x:v>0.029253212987434773</x:v>
      </x:c>
      <x:c r="I4612" s="38" t="b">
        <x:f t="shared" si="206">E4612&lt;G4612</x:f>
        <x:v>0</x:v>
      </x:c>
    </x:row>
    <x:row r="4613">
      <x:c r="A4613" s="31">
        <x:v>43742</x:v>
      </x:c>
      <x:c r="B4613" s="32">
        <x:v>993.69</x:v>
      </x:c>
      <x:c r="C4613" s="32">
        <x:v>994.81</x:v>
      </x:c>
      <x:c r="D4613" s="32">
        <x:v>987.59</x:v>
      </x:c>
      <x:c r="E4613" s="32">
        <x:v>987.59</x:v>
      </x:c>
      <x:c r="F4613" s="33">
        <x:v>153634840</x:v>
      </x:c>
      <x:c r="G4613" s="32" t="n">
        <x:f t="shared" si="204">AVERAGE(E4414:E4613)</x:f>
        <x:v>964.3743499999997</x:v>
      </x:c>
      <x:c r="H4613" s="37" t="n">
        <x:f t="shared" si="205">IFERROR(E4613/G4613-1,"")</x:f>
        <x:v>0.02407327610901344</x:v>
      </x:c>
      <x:c r="I4613" s="38" t="b">
        <x:f t="shared" si="206">E4613&lt;G4613</x:f>
        <x:v>0</x:v>
      </x:c>
    </x:row>
    <x:row r="4614">
      <x:c r="A4614" s="31">
        <x:v>43745</x:v>
      </x:c>
      <x:c r="B4614" s="32">
        <x:v>989.45</x:v>
      </x:c>
      <x:c r="C4614" s="32">
        <x:v>990.34</x:v>
      </x:c>
      <x:c r="D4614" s="32">
        <x:v>983.09</x:v>
      </x:c>
      <x:c r="E4614" s="32">
        <x:v>983.09</x:v>
      </x:c>
      <x:c r="F4614" s="33">
        <x:v>150412170</x:v>
      </x:c>
      <x:c r="G4614" s="32" t="n">
        <x:f t="shared" si="204">AVERAGE(E4415:E4614)</x:f>
        <x:v>964.4885499999998</x:v>
      </x:c>
      <x:c r="H4614" s="37" t="n">
        <x:f t="shared" si="205">IFERROR(E4614/G4614-1,"")</x:f>
        <x:v>0.01928633574758387</x:v>
      </x:c>
      <x:c r="I4614" s="38" t="b">
        <x:f t="shared" si="206">E4614&lt;G4614</x:f>
        <x:v>0</x:v>
      </x:c>
    </x:row>
    <x:row r="4615">
      <x:c r="A4615" s="31">
        <x:v>43746</x:v>
      </x:c>
      <x:c r="B4615" s="32">
        <x:v>983.62</x:v>
      </x:c>
      <x:c r="C4615" s="32">
        <x:v>988.51</x:v>
      </x:c>
      <x:c r="D4615" s="32">
        <x:v>981.89</x:v>
      </x:c>
      <x:c r="E4615" s="32">
        <x:v>988.22</x:v>
      </x:c>
      <x:c r="F4615" s="33">
        <x:v>153446780</x:v>
      </x:c>
      <x:c r="G4615" s="32" t="n">
        <x:f t="shared" si="204">AVERAGE(E4416:E4615)</x:f>
        <x:v>964.6694499999998</x:v>
      </x:c>
      <x:c r="H4615" s="37" t="n">
        <x:f t="shared" si="205">IFERROR(E4615/G4615-1,"")</x:f>
        <x:v>0.024413077453629528</x:v>
      </x:c>
      <x:c r="I4615" s="38" t="b">
        <x:f t="shared" si="206">E4615&lt;G4615</x:f>
        <x:v>0</x:v>
      </x:c>
    </x:row>
    <x:row r="4616">
      <x:c r="A4616" s="31">
        <x:v>43747</x:v>
      </x:c>
      <x:c r="B4616" s="32">
        <x:v>987.82</x:v>
      </x:c>
      <x:c r="C4616" s="32">
        <x:v>992</x:v>
      </x:c>
      <x:c r="D4616" s="32">
        <x:v>986.74</x:v>
      </x:c>
      <x:c r="E4616" s="32">
        <x:v>987.83</x:v>
      </x:c>
      <x:c r="F4616" s="33">
        <x:v>143783620</x:v>
      </x:c>
      <x:c r="G4616" s="32" t="n">
        <x:f t="shared" si="204">AVERAGE(E4417:E4616)</x:f>
        <x:v>964.9403499999997</x:v>
      </x:c>
      <x:c r="H4616" s="37" t="n">
        <x:f t="shared" si="205">IFERROR(E4616/G4616-1,"")</x:f>
        <x:v>0.023721310856158473</x:v>
      </x:c>
      <x:c r="I4616" s="38" t="b">
        <x:f t="shared" si="206">E4616&lt;G4616</x:f>
        <x:v>0</x:v>
      </x:c>
    </x:row>
    <x:row r="4617">
      <x:c r="A4617" s="31">
        <x:v>43748</x:v>
      </x:c>
      <x:c r="B4617" s="32">
        <x:v>988.81</x:v>
      </x:c>
      <x:c r="C4617" s="32">
        <x:v>990.89</x:v>
      </x:c>
      <x:c r="D4617" s="32">
        <x:v>986.93</x:v>
      </x:c>
      <x:c r="E4617" s="32">
        <x:v>987.38</x:v>
      </x:c>
      <x:c r="F4617" s="33">
        <x:v>137745810</x:v>
      </x:c>
      <x:c r="G4617" s="32" t="n">
        <x:f t="shared" si="204">AVERAGE(E4418:E4617)</x:f>
        <x:v>965.2409999999998</x:v>
      </x:c>
      <x:c r="H4617" s="37" t="n">
        <x:f t="shared" si="205">IFERROR(E4617/G4617-1,"")</x:f>
        <x:v>0.022936240793750118</x:v>
      </x:c>
      <x:c r="I4617" s="38" t="b">
        <x:f t="shared" si="206">E4617&lt;G4617</x:f>
        <x:v>0</x:v>
      </x:c>
    </x:row>
    <x:row r="4618">
      <x:c r="A4618" s="31">
        <x:v>43749</x:v>
      </x:c>
      <x:c r="B4618" s="32">
        <x:v>988.57</x:v>
      </x:c>
      <x:c r="C4618" s="32">
        <x:v>991.84</x:v>
      </x:c>
      <x:c r="D4618" s="32">
        <x:v>987.38</x:v>
      </x:c>
      <x:c r="E4618" s="32">
        <x:v>991.84</x:v>
      </x:c>
      <x:c r="F4618" s="33">
        <x:v>140671790</x:v>
      </x:c>
      <x:c r="G4618" s="32" t="n">
        <x:f t="shared" si="204">AVERAGE(E4419:E4618)</x:f>
        <x:v>965.6039999999998</x:v>
      </x:c>
      <x:c r="H4618" s="37" t="n">
        <x:f t="shared" si="205">IFERROR(E4618/G4618-1,"")</x:f>
        <x:v>0.02717055853124073</x:v>
      </x:c>
      <x:c r="I4618" s="38" t="b">
        <x:f t="shared" si="206">E4618&lt;G4618</x:f>
        <x:v>0</x:v>
      </x:c>
    </x:row>
    <x:row r="4619">
      <x:c r="A4619" s="31">
        <x:v>43752</x:v>
      </x:c>
      <x:c r="B4619" s="32">
        <x:v>994.61</x:v>
      </x:c>
      <x:c r="C4619" s="32">
        <x:v>997.25</x:v>
      </x:c>
      <x:c r="D4619" s="32">
        <x:v>991.84</x:v>
      </x:c>
      <x:c r="E4619" s="32">
        <x:v>993.57</x:v>
      </x:c>
      <x:c r="F4619" s="33">
        <x:v>171969840</x:v>
      </x:c>
      <x:c r="G4619" s="32" t="n">
        <x:f t="shared" si="204">AVERAGE(E4420:E4619)</x:f>
        <x:v>965.9806499999999</x:v>
      </x:c>
      <x:c r="H4619" s="37" t="n">
        <x:f t="shared" si="205">IFERROR(E4619/G4619-1,"")</x:f>
        <x:v>0.02856097583321171</x:v>
      </x:c>
      <x:c r="I4619" s="38" t="b">
        <x:f t="shared" si="206">E4619&lt;G4619</x:f>
        <x:v>0</x:v>
      </x:c>
    </x:row>
    <x:row r="4620">
      <x:c r="A4620" s="31">
        <x:v>43753</x:v>
      </x:c>
      <x:c r="B4620" s="32">
        <x:v>993.55</x:v>
      </x:c>
      <x:c r="C4620" s="32">
        <x:v>994.75</x:v>
      </x:c>
      <x:c r="D4620" s="32">
        <x:v>990.74</x:v>
      </x:c>
      <x:c r="E4620" s="32">
        <x:v>993.05</x:v>
      </x:c>
      <x:c r="F4620" s="33">
        <x:v>131330520</x:v>
      </x:c>
      <x:c r="G4620" s="32" t="n">
        <x:f t="shared" si="204">AVERAGE(E4421:E4620)</x:f>
        <x:v>966.3845999999998</x:v>
      </x:c>
      <x:c r="H4620" s="37" t="n">
        <x:f t="shared" si="205">IFERROR(E4620/G4620-1,"")</x:f>
        <x:v>0.027592947983649863</x:v>
      </x:c>
      <x:c r="I4620" s="38" t="b">
        <x:f t="shared" si="206">E4620&lt;G4620</x:f>
        <x:v>0</x:v>
      </x:c>
    </x:row>
    <x:row r="4621">
      <x:c r="A4621" s="31">
        <x:v>43754</x:v>
      </x:c>
      <x:c r="B4621" s="32">
        <x:v>995.75</x:v>
      </x:c>
      <x:c r="C4621" s="32">
        <x:v>997.41</x:v>
      </x:c>
      <x:c r="D4621" s="32">
        <x:v>993.05</x:v>
      </x:c>
      <x:c r="E4621" s="32">
        <x:v>994.46</x:v>
      </x:c>
      <x:c r="F4621" s="33">
        <x:v>157875510</x:v>
      </x:c>
      <x:c r="G4621" s="32" t="n">
        <x:f t="shared" ref="G4621:G4684" si="207">AVERAGE(E4422:E4621)</x:f>
        <x:v>966.8140999999999</x:v>
      </x:c>
      <x:c r="H4621" s="37" t="n">
        <x:f t="shared" ref="H4621:H4684" si="208">IFERROR(E4621/G4621-1,"")</x:f>
        <x:v>0.028594845689569492</x:v>
      </x:c>
      <x:c r="I4621" s="38" t="b">
        <x:f t="shared" ref="I4621:I4684" si="209">E4621&lt;G4621</x:f>
        <x:v>0</x:v>
      </x:c>
    </x:row>
    <x:row r="4622">
      <x:c r="A4622" s="31">
        <x:v>43755</x:v>
      </x:c>
      <x:c r="B4622" s="32">
        <x:v>995.04</x:v>
      </x:c>
      <x:c r="C4622" s="32">
        <x:v>995.81</x:v>
      </x:c>
      <x:c r="D4622" s="32">
        <x:v>989.82</x:v>
      </x:c>
      <x:c r="E4622" s="32">
        <x:v>989.82</x:v>
      </x:c>
      <x:c r="F4622" s="33">
        <x:v>157134910</x:v>
      </x:c>
      <x:c r="G4622" s="32" t="n">
        <x:f t="shared" si="207">AVERAGE(E4423:E4622)</x:f>
        <x:v>967.2734999999999</x:v>
      </x:c>
      <x:c r="H4622" s="37" t="n">
        <x:f t="shared" si="208">IFERROR(E4622/G4622-1,"")</x:f>
        <x:v>0.023309332882581968</x:v>
      </x:c>
      <x:c r="I4622" s="38" t="b">
        <x:f t="shared" si="209">E4622&lt;G4622</x:f>
        <x:v>0</x:v>
      </x:c>
    </x:row>
    <x:row r="4623">
      <x:c r="A4623" s="31">
        <x:v>43756</x:v>
      </x:c>
      <x:c r="B4623" s="32">
        <x:v>992</x:v>
      </x:c>
      <x:c r="C4623" s="32">
        <x:v>993.03</x:v>
      </x:c>
      <x:c r="D4623" s="32">
        <x:v>988.41</x:v>
      </x:c>
      <x:c r="E4623" s="32">
        <x:v>989.2</x:v>
      </x:c>
      <x:c r="F4623" s="33">
        <x:v>153487520</x:v>
      </x:c>
      <x:c r="G4623" s="32" t="n">
        <x:f t="shared" si="207">AVERAGE(E4424:E4623)</x:f>
        <x:v>967.7607499999999</x:v>
      </x:c>
      <x:c r="H4623" s="37" t="n">
        <x:f t="shared" si="208">IFERROR(E4623/G4623-1,"")</x:f>
        <x:v>0.02215346096646309</x:v>
      </x:c>
      <x:c r="I4623" s="38" t="b">
        <x:f t="shared" si="209">E4623&lt;G4623</x:f>
        <x:v>0</x:v>
      </x:c>
    </x:row>
    <x:row r="4624">
      <x:c r="A4624" s="31">
        <x:v>43759</x:v>
      </x:c>
      <x:c r="B4624" s="32">
        <x:v>983.56</x:v>
      </x:c>
      <x:c r="C4624" s="32">
        <x:v>989.2</x:v>
      </x:c>
      <x:c r="D4624" s="32">
        <x:v>983.56</x:v>
      </x:c>
      <x:c r="E4624" s="32">
        <x:v>983.56</x:v>
      </x:c>
      <x:c r="F4624" s="33">
        <x:v>162867090</x:v>
      </x:c>
      <x:c r="G4624" s="32" t="n">
        <x:f t="shared" si="207">AVERAGE(E4425:E4624)</x:f>
        <x:v>968.1745</x:v>
      </x:c>
      <x:c r="H4624" s="37" t="n">
        <x:f t="shared" si="208">IFERROR(E4624/G4624-1,"")</x:f>
        <x:v>0.015891246877499876</x:v>
      </x:c>
      <x:c r="I4624" s="38" t="b">
        <x:f t="shared" si="209">E4624&lt;G4624</x:f>
        <x:v>0</x:v>
      </x:c>
    </x:row>
    <x:row r="4625">
      <x:c r="A4625" s="31">
        <x:v>43760</x:v>
      </x:c>
      <x:c r="B4625" s="32">
        <x:v>983.52</x:v>
      </x:c>
      <x:c r="C4625" s="32">
        <x:v>987.59</x:v>
      </x:c>
      <x:c r="D4625" s="32">
        <x:v>983.52</x:v>
      </x:c>
      <x:c r="E4625" s="32">
        <x:v>987.19</x:v>
      </x:c>
      <x:c r="F4625" s="33">
        <x:v>200609660</x:v>
      </x:c>
      <x:c r="G4625" s="32" t="n">
        <x:f t="shared" si="207">AVERAGE(E4426:E4625)</x:f>
        <x:v>968.64775</x:v>
      </x:c>
      <x:c r="H4625" s="37" t="n">
        <x:f t="shared" si="208">IFERROR(E4625/G4625-1,"")</x:f>
        <x:v>0.019142407547015905</x:v>
      </x:c>
      <x:c r="I4625" s="38" t="b">
        <x:f t="shared" si="209">E4625&lt;G4625</x:f>
        <x:v>0</x:v>
      </x:c>
    </x:row>
    <x:row r="4626">
      <x:c r="A4626" s="31">
        <x:v>43761</x:v>
      </x:c>
      <x:c r="B4626" s="32">
        <x:v>987.04</x:v>
      </x:c>
      <x:c r="C4626" s="32">
        <x:v>989.61</x:v>
      </x:c>
      <x:c r="D4626" s="32">
        <x:v>985.52</x:v>
      </x:c>
      <x:c r="E4626" s="32">
        <x:v>987.79</x:v>
      </x:c>
      <x:c r="F4626" s="33">
        <x:v>154015230</x:v>
      </x:c>
      <x:c r="G4626" s="32" t="n">
        <x:f t="shared" si="207">AVERAGE(E4427:E4626)</x:f>
        <x:v>969.1279499999999</x:v>
      </x:c>
      <x:c r="H4626" s="37" t="n">
        <x:f t="shared" si="208">IFERROR(E4626/G4626-1,"")</x:f>
        <x:v>0.019256538829573566</x:v>
      </x:c>
      <x:c r="I4626" s="38" t="b">
        <x:f t="shared" si="209">E4626&lt;G4626</x:f>
        <x:v>0</x:v>
      </x:c>
    </x:row>
    <x:row r="4627">
      <x:c r="A4627" s="31">
        <x:v>43762</x:v>
      </x:c>
      <x:c r="B4627" s="32">
        <x:v>988.85</x:v>
      </x:c>
      <x:c r="C4627" s="32">
        <x:v>993.6</x:v>
      </x:c>
      <x:c r="D4627" s="32">
        <x:v>987.65</x:v>
      </x:c>
      <x:c r="E4627" s="32">
        <x:v>993.6</x:v>
      </x:c>
      <x:c r="F4627" s="33">
        <x:v>141378830</x:v>
      </x:c>
      <x:c r="G4627" s="32" t="n">
        <x:f t="shared" si="207">AVERAGE(E4428:E4627)</x:f>
        <x:v>969.7048499999999</x:v>
      </x:c>
      <x:c r="H4627" s="37" t="n">
        <x:f t="shared" si="208">IFERROR(E4627/G4627-1,"")</x:f>
        <x:v>0.02464167318540289</x:v>
      </x:c>
      <x:c r="I4627" s="38" t="b">
        <x:f t="shared" si="209">E4627&lt;G4627</x:f>
        <x:v>0</x:v>
      </x:c>
    </x:row>
    <x:row r="4628">
      <x:c r="A4628" s="31">
        <x:v>43763</x:v>
      </x:c>
      <x:c r="B4628" s="32">
        <x:v>993.91</x:v>
      </x:c>
      <x:c r="C4628" s="32">
        <x:v>996.67</x:v>
      </x:c>
      <x:c r="D4628" s="32">
        <x:v>992.91</x:v>
      </x:c>
      <x:c r="E4628" s="32">
        <x:v>996.57</x:v>
      </x:c>
      <x:c r="F4628" s="33">
        <x:v>136700300</x:v>
      </x:c>
      <x:c r="G4628" s="32" t="n">
        <x:f t="shared" si="207">AVERAGE(E4429:E4628)</x:f>
        <x:v>970.2832</x:v>
      </x:c>
      <x:c r="H4628" s="37" t="n">
        <x:f t="shared" si="208">IFERROR(E4628/G4628-1,"")</x:f>
        <x:v>0.027091884101466457</x:v>
      </x:c>
      <x:c r="I4628" s="38" t="b">
        <x:f t="shared" si="209">E4628&lt;G4628</x:f>
        <x:v>0</x:v>
      </x:c>
    </x:row>
    <x:row r="4629">
      <x:c r="A4629" s="31">
        <x:v>43766</x:v>
      </x:c>
      <x:c r="B4629" s="32">
        <x:v>998.27</x:v>
      </x:c>
      <x:c r="C4629" s="32">
        <x:v>999.94</x:v>
      </x:c>
      <x:c r="D4629" s="32">
        <x:v>996.48</x:v>
      </x:c>
      <x:c r="E4629" s="32">
        <x:v>996.48</x:v>
      </x:c>
      <x:c r="F4629" s="33">
        <x:v>149945220</x:v>
      </x:c>
      <x:c r="G4629" s="32" t="n">
        <x:f t="shared" si="207">AVERAGE(E4430:E4629)</x:f>
        <x:v>970.8174</x:v>
      </x:c>
      <x:c r="H4629" s="37" t="n">
        <x:f t="shared" si="208">IFERROR(E4629/G4629-1,"")</x:f>
        <x:v>0.02643401323462058</x:v>
      </x:c>
      <x:c r="I4629" s="38" t="b">
        <x:f t="shared" si="209">E4629&lt;G4629</x:f>
        <x:v>0</x:v>
      </x:c>
    </x:row>
    <x:row r="4630">
      <x:c r="A4630" s="31">
        <x:v>43767</x:v>
      </x:c>
      <x:c r="B4630" s="32">
        <x:v>997.77</x:v>
      </x:c>
      <x:c r="C4630" s="32">
        <x:v>999.88</x:v>
      </x:c>
      <x:c r="D4630" s="32">
        <x:v>995.87</x:v>
      </x:c>
      <x:c r="E4630" s="32">
        <x:v>995.87</x:v>
      </x:c>
      <x:c r="F4630" s="33">
        <x:v>177823330</x:v>
      </x:c>
      <x:c r="G4630" s="32" t="n">
        <x:f t="shared" si="207">AVERAGE(E4431:E4630)</x:f>
        <x:v>971.3595500000001</x:v>
      </x:c>
      <x:c r="H4630" s="37" t="n">
        <x:f t="shared" si="208">IFERROR(E4630/G4630-1,"")</x:f>
        <x:v>0.025233138439828773</x:v>
      </x:c>
      <x:c r="I4630" s="38" t="b">
        <x:f t="shared" si="209">E4630&lt;G4630</x:f>
        <x:v>0</x:v>
      </x:c>
    </x:row>
    <x:row r="4631">
      <x:c r="A4631" s="31">
        <x:v>43768</x:v>
      </x:c>
      <x:c r="B4631" s="32">
        <x:v>996.83</x:v>
      </x:c>
      <x:c r="C4631" s="32">
        <x:v>1003.4</x:v>
      </x:c>
      <x:c r="D4631" s="32">
        <x:v>994.86</x:v>
      </x:c>
      <x:c r="E4631" s="32">
        <x:v>1000.89</x:v>
      </x:c>
      <x:c r="F4631" s="33">
        <x:v>160171570</x:v>
      </x:c>
      <x:c r="G4631" s="32" t="n">
        <x:f t="shared" si="207">AVERAGE(E4432:E4631)</x:f>
        <x:v>971.8790500000002</x:v>
      </x:c>
      <x:c r="H4631" s="37" t="n">
        <x:f t="shared" si="208">IFERROR(E4631/G4631-1,"")</x:f>
        <x:v>0.029850370784306746</x:v>
      </x:c>
      <x:c r="I4631" s="38" t="b">
        <x:f t="shared" si="209">E4631&lt;G4631</x:f>
        <x:v>0</x:v>
      </x:c>
    </x:row>
    <x:row r="4632">
      <x:c r="A4632" s="31">
        <x:v>43769</x:v>
      </x:c>
      <x:c r="B4632" s="32">
        <x:v>1000.89</x:v>
      </x:c>
      <x:c r="C4632" s="32">
        <x:v>1004.4</x:v>
      </x:c>
      <x:c r="D4632" s="32">
        <x:v>998.58</x:v>
      </x:c>
      <x:c r="E4632" s="32">
        <x:v>998.82</x:v>
      </x:c>
      <x:c r="F4632" s="33">
        <x:v>189105090</x:v>
      </x:c>
      <x:c r="G4632" s="32" t="n">
        <x:f t="shared" si="207">AVERAGE(E4433:E4632)</x:f>
        <x:v>972.3816500000003</x:v>
      </x:c>
      <x:c r="H4632" s="37" t="n">
        <x:f t="shared" si="208">IFERROR(E4632/G4632-1,"")</x:f>
        <x:v>0.027189272853924917</x:v>
      </x:c>
      <x:c r="I4632" s="38" t="b">
        <x:f t="shared" si="209">E4632&lt;G4632</x:f>
        <x:v>0</x:v>
      </x:c>
    </x:row>
    <x:row r="4633">
      <x:c r="A4633" s="31">
        <x:v>43770</x:v>
      </x:c>
      <x:c r="B4633" s="32">
        <x:v>998.82</x:v>
      </x:c>
      <x:c r="C4633" s="32">
        <x:v>1015.88</x:v>
      </x:c>
      <x:c r="D4633" s="32">
        <x:v>998.82</x:v>
      </x:c>
      <x:c r="E4633" s="32">
        <x:v>1015.59</x:v>
      </x:c>
      <x:c r="F4633" s="33">
        <x:v>200048280</x:v>
      </x:c>
      <x:c r="G4633" s="32" t="n">
        <x:f t="shared" si="207">AVERAGE(E4434:E4633)</x:f>
        <x:v>972.9460500000001</x:v>
      </x:c>
      <x:c r="H4633" s="37" t="n">
        <x:f t="shared" si="208">IFERROR(E4633/G4633-1,"")</x:f>
        <x:v>0.043829716971459876</x:v>
      </x:c>
      <x:c r="I4633" s="38" t="b">
        <x:f t="shared" si="209">E4633&lt;G4633</x:f>
        <x:v>0</x:v>
      </x:c>
    </x:row>
    <x:row r="4634">
      <x:c r="A4634" s="31">
        <x:v>43773</x:v>
      </x:c>
      <x:c r="B4634" s="32">
        <x:v>1019</x:v>
      </x:c>
      <x:c r="C4634" s="32">
        <x:v>1023.92</x:v>
      </x:c>
      <x:c r="D4634" s="32">
        <x:v>1015.59</x:v>
      </x:c>
      <x:c r="E4634" s="32">
        <x:v>1022.43</x:v>
      </x:c>
      <x:c r="F4634" s="33">
        <x:v>208479560</x:v>
      </x:c>
      <x:c r="G4634" s="32" t="n">
        <x:f t="shared" si="207">AVERAGE(E4435:E4634)</x:f>
        <x:v>973.5492000000002</x:v>
      </x:c>
      <x:c r="H4634" s="37" t="n">
        <x:f t="shared" si="208">IFERROR(E4634/G4634-1,"")</x:f>
        <x:v>0.05020886463673313</x:v>
      </x:c>
      <x:c r="I4634" s="38" t="b">
        <x:f t="shared" si="209">E4634&lt;G4634</x:f>
        <x:v>0</x:v>
      </x:c>
    </x:row>
    <x:row r="4635">
      <x:c r="A4635" s="31">
        <x:v>43774</x:v>
      </x:c>
      <x:c r="B4635" s="32">
        <x:v>1022.77</x:v>
      </x:c>
      <x:c r="C4635" s="32">
        <x:v>1026.53</x:v>
      </x:c>
      <x:c r="D4635" s="32">
        <x:v>1021.63</x:v>
      </x:c>
      <x:c r="E4635" s="32">
        <x:v>1024.3399999999999</x:v>
      </x:c>
      <x:c r="F4635" s="33">
        <x:v>172233290</x:v>
      </x:c>
      <x:c r="G4635" s="32" t="n">
        <x:f t="shared" si="207">AVERAGE(E4436:E4635)</x:f>
        <x:v>974.1225000000002</x:v>
      </x:c>
      <x:c r="H4635" s="37" t="n">
        <x:f t="shared" si="208">IFERROR(E4635/G4635-1,"")</x:f>
        <x:v>0.05155152457724754</x:v>
      </x:c>
      <x:c r="I4635" s="38" t="b">
        <x:f t="shared" si="209">E4635&lt;G4635</x:f>
        <x:v>0</x:v>
      </x:c>
    </x:row>
    <x:row r="4636">
      <x:c r="A4636" s="31">
        <x:v>43775</x:v>
      </x:c>
      <x:c r="B4636" s="32">
        <x:v>1023.43</x:v>
      </x:c>
      <x:c r="C4636" s="32">
        <x:v>1028.97</x:v>
      </x:c>
      <x:c r="D4636" s="32">
        <x:v>1023.42</x:v>
      </x:c>
      <x:c r="E4636" s="32">
        <x:v>1024.9100000000001</x:v>
      </x:c>
      <x:c r="F4636" s="33">
        <x:v>183325470</x:v>
      </x:c>
      <x:c r="G4636" s="32" t="n">
        <x:f t="shared" si="207">AVERAGE(E4437:E4636)</x:f>
        <x:v>974.7035500000003</x:v>
      </x:c>
      <x:c r="H4636" s="37" t="n">
        <x:f t="shared" si="208">IFERROR(E4636/G4636-1,"")</x:f>
        <x:v>0.05150945638804716</x:v>
      </x:c>
      <x:c r="I4636" s="38" t="b">
        <x:f t="shared" si="209">E4636&lt;G4636</x:f>
        <x:v>0</x:v>
      </x:c>
    </x:row>
    <x:row r="4637">
      <x:c r="A4637" s="31">
        <x:v>43776</x:v>
      </x:c>
      <x:c r="B4637" s="32">
        <x:v>1023.49</x:v>
      </x:c>
      <x:c r="C4637" s="32">
        <x:v>1028.45</x:v>
      </x:c>
      <x:c r="D4637" s="32">
        <x:v>1022.61</x:v>
      </x:c>
      <x:c r="E4637" s="32">
        <x:v>1024.03</x:v>
      </x:c>
      <x:c r="F4637" s="33">
        <x:v>166863590</x:v>
      </x:c>
      <x:c r="G4637" s="32" t="n">
        <x:f t="shared" si="207">AVERAGE(E4438:E4637)</x:f>
        <x:v>975.3142500000001</x:v>
      </x:c>
      <x:c r="H4637" s="37" t="n">
        <x:f t="shared" si="208">IFERROR(E4637/G4637-1,"")</x:f>
        <x:v>0.04994877292113786</x:v>
      </x:c>
      <x:c r="I4637" s="38" t="b">
        <x:f t="shared" si="209">E4637&lt;G4637</x:f>
        <x:v>0</x:v>
      </x:c>
    </x:row>
    <x:row r="4638">
      <x:c r="A4638" s="31">
        <x:v>43777</x:v>
      </x:c>
      <x:c r="B4638" s="32">
        <x:v>1026.98</x:v>
      </x:c>
      <x:c r="C4638" s="32">
        <x:v>1027.3900000000001</x:v>
      </x:c>
      <x:c r="D4638" s="32">
        <x:v>1021.11</x:v>
      </x:c>
      <x:c r="E4638" s="32">
        <x:v>1022.49</x:v>
      </x:c>
      <x:c r="F4638" s="33">
        <x:v>157942420</x:v>
      </x:c>
      <x:c r="G4638" s="32" t="n">
        <x:f t="shared" si="207">AVERAGE(E4439:E4638)</x:f>
        <x:v>975.9152000000001</x:v>
      </x:c>
      <x:c r="H4638" s="37" t="n">
        <x:f t="shared" si="208">IFERROR(E4638/G4638-1,"")</x:f>
        <x:v>0.04772422849854152</x:v>
      </x:c>
      <x:c r="I4638" s="38" t="b">
        <x:f t="shared" si="209">E4638&lt;G4638</x:f>
        <x:v>0</x:v>
      </x:c>
    </x:row>
    <x:row r="4639">
      <x:c r="A4639" s="31">
        <x:v>43780</x:v>
      </x:c>
      <x:c r="B4639" s="32">
        <x:v>1023.32</x:v>
      </x:c>
      <x:c r="C4639" s="32">
        <x:v>1024.77</x:v>
      </x:c>
      <x:c r="D4639" s="32">
        <x:v>1016.35</x:v>
      </x:c>
      <x:c r="E4639" s="32">
        <x:v>1016.75</x:v>
      </x:c>
      <x:c r="F4639" s="33">
        <x:v>170775110</x:v>
      </x:c>
      <x:c r="G4639" s="32" t="n">
        <x:f t="shared" si="207">AVERAGE(E4440:E4639)</x:f>
        <x:v>976.4437000000001</x:v>
      </x:c>
      <x:c r="H4639" s="37" t="n">
        <x:f t="shared" si="208">IFERROR(E4639/G4639-1,"")</x:f>
        <x:v>0.04127867280008046</x:v>
      </x:c>
      <x:c r="I4639" s="38" t="b">
        <x:f t="shared" si="209">E4639&lt;G4639</x:f>
        <x:v>0</x:v>
      </x:c>
    </x:row>
    <x:row r="4640">
      <x:c r="A4640" s="31">
        <x:v>43781</x:v>
      </x:c>
      <x:c r="B4640" s="32">
        <x:v>1016.97</x:v>
      </x:c>
      <x:c r="C4640" s="32">
        <x:v>1021.84</x:v>
      </x:c>
      <x:c r="D4640" s="32">
        <x:v>1015.97</x:v>
      </x:c>
      <x:c r="E4640" s="32">
        <x:v>1018.33</x:v>
      </x:c>
      <x:c r="F4640" s="33">
        <x:v>180969830</x:v>
      </x:c>
      <x:c r="G4640" s="32" t="n">
        <x:f t="shared" si="207">AVERAGE(E4441:E4640)</x:f>
        <x:v>977.0026000000001</x:v>
      </x:c>
      <x:c r="H4640" s="37" t="n">
        <x:f t="shared" si="208">IFERROR(E4640/G4640-1,"")</x:f>
        <x:v>0.04230019449282918</x:v>
      </x:c>
      <x:c r="I4640" s="38" t="b">
        <x:f t="shared" si="209">E4640&lt;G4640</x:f>
        <x:v>0</x:v>
      </x:c>
    </x:row>
    <x:row r="4641">
      <x:c r="A4641" s="31">
        <x:v>43782</x:v>
      </x:c>
      <x:c r="B4641" s="32">
        <x:v>1019.07</x:v>
      </x:c>
      <x:c r="C4641" s="32">
        <x:v>1020.09</x:v>
      </x:c>
      <x:c r="D4641" s="32">
        <x:v>1010.8</x:v>
      </x:c>
      <x:c r="E4641" s="32">
        <x:v>1012.77</x:v>
      </x:c>
      <x:c r="F4641" s="33">
        <x:v>182266340</x:v>
      </x:c>
      <x:c r="G4641" s="32" t="n">
        <x:f t="shared" si="207">AVERAGE(E4442:E4641)</x:f>
        <x:v>977.5255500000001</x:v>
      </x:c>
      <x:c r="H4641" s="37" t="n">
        <x:f t="shared" si="208">IFERROR(E4641/G4641-1,"")</x:f>
        <x:v>0.03605476092159421</x:v>
      </x:c>
      <x:c r="I4641" s="38" t="b">
        <x:f t="shared" si="209">E4641&lt;G4641</x:f>
        <x:v>0</x:v>
      </x:c>
    </x:row>
    <x:row r="4642">
      <x:c r="A4642" s="31">
        <x:v>43783</x:v>
      </x:c>
      <x:c r="B4642" s="32">
        <x:v>1013.85</x:v>
      </x:c>
      <x:c r="C4642" s="32">
        <x:v>1016.71</x:v>
      </x:c>
      <x:c r="D4642" s="32">
        <x:v>1010.6</x:v>
      </x:c>
      <x:c r="E4642" s="32">
        <x:v>1012.3</x:v>
      </x:c>
      <x:c r="F4642" s="33">
        <x:v>192687960</x:v>
      </x:c>
      <x:c r="G4642" s="32" t="n">
        <x:f t="shared" si="207">AVERAGE(E4443:E4642)</x:f>
        <x:v>978.0431000000001</x:v>
      </x:c>
      <x:c r="H4642" s="37" t="n">
        <x:f t="shared" si="208">IFERROR(E4642/G4642-1,"")</x:f>
        <x:v>0.035025961534823846</x:v>
      </x:c>
      <x:c r="I4642" s="38" t="b">
        <x:f t="shared" si="209">E4642&lt;G4642</x:f>
        <x:v>0</x:v>
      </x:c>
    </x:row>
    <x:row r="4643">
      <x:c r="A4643" s="31">
        <x:v>43784</x:v>
      </x:c>
      <x:c r="B4643" s="32">
        <x:v>1012.93</x:v>
      </x:c>
      <x:c r="C4643" s="32">
        <x:v>1015.16</x:v>
      </x:c>
      <x:c r="D4643" s="32">
        <x:v>1005.1</x:v>
      </x:c>
      <x:c r="E4643" s="32">
        <x:v>1010.03</x:v>
      </x:c>
      <x:c r="F4643" s="33">
        <x:v>180804630</x:v>
      </x:c>
      <x:c r="G4643" s="32" t="n">
        <x:f t="shared" si="207">AVERAGE(E4444:E4643)</x:f>
        <x:v>978.5488500000001</x:v>
      </x:c>
      <x:c r="H4643" s="37" t="n">
        <x:f t="shared" si="208">IFERROR(E4643/G4643-1,"")</x:f>
        <x:v>0.03217126053543451</x:v>
      </x:c>
      <x:c r="I4643" s="38" t="b">
        <x:f t="shared" si="209">E4643&lt;G4643</x:f>
        <x:v>0</x:v>
      </x:c>
    </x:row>
    <x:row r="4644">
      <x:c r="A4644" s="31">
        <x:v>43787</x:v>
      </x:c>
      <x:c r="B4644" s="32">
        <x:v>1010.03</x:v>
      </x:c>
      <x:c r="C4644" s="32">
        <x:v>1012.09</x:v>
      </x:c>
      <x:c r="D4644" s="32">
        <x:v>1002.63</x:v>
      </x:c>
      <x:c r="E4644" s="32">
        <x:v>1002.91</x:v>
      </x:c>
      <x:c r="F4644" s="33">
        <x:v>165225780</x:v>
      </x:c>
      <x:c r="G4644" s="32" t="n">
        <x:f t="shared" si="207">AVERAGE(E4445:E4644)</x:f>
        <x:v>979.0025000000002</x:v>
      </x:c>
      <x:c r="H4644" s="37" t="n">
        <x:f t="shared" si="208">IFERROR(E4644/G4644-1,"")</x:f>
        <x:v>0.024420264503920874</x:v>
      </x:c>
      <x:c r="I4644" s="38" t="b">
        <x:f t="shared" si="209">E4644&lt;G4644</x:f>
        <x:v>0</x:v>
      </x:c>
    </x:row>
    <x:row r="4645">
      <x:c r="A4645" s="31">
        <x:v>43788</x:v>
      </x:c>
      <x:c r="B4645" s="32">
        <x:v>1002.89</x:v>
      </x:c>
      <x:c r="C4645" s="32">
        <x:v>1008.35</x:v>
      </x:c>
      <x:c r="D4645" s="32">
        <x:v>1001.35</x:v>
      </x:c>
      <x:c r="E4645" s="32">
        <x:v>1008.35</x:v>
      </x:c>
      <x:c r="F4645" s="33">
        <x:v>158028030</x:v>
      </x:c>
      <x:c r="G4645" s="32" t="n">
        <x:f t="shared" si="207">AVERAGE(E4446:E4645)</x:f>
        <x:v>979.4646000000002</x:v>
      </x:c>
      <x:c r="H4645" s="37" t="n">
        <x:f t="shared" si="208">IFERROR(E4645/G4645-1,"")</x:f>
        <x:v>0.029491009680186364</x:v>
      </x:c>
      <x:c r="I4645" s="38" t="b">
        <x:f t="shared" si="209">E4645&lt;G4645</x:f>
        <x:v>0</x:v>
      </x:c>
    </x:row>
    <x:row r="4646">
      <x:c r="A4646" s="31">
        <x:v>43789</x:v>
      </x:c>
      <x:c r="B4646" s="32">
        <x:v>1009.21</x:v>
      </x:c>
      <x:c r="C4646" s="32">
        <x:v>1009.21</x:v>
      </x:c>
      <x:c r="D4646" s="32">
        <x:v>1000.56</x:v>
      </x:c>
      <x:c r="E4646" s="32">
        <x:v>1000.56</x:v>
      </x:c>
      <x:c r="F4646" s="33">
        <x:v>182924030</x:v>
      </x:c>
      <x:c r="G4646" s="32" t="n">
        <x:f t="shared" si="207">AVERAGE(E4447:E4646)</x:f>
        <x:v>979.8882000000001</x:v>
      </x:c>
      <x:c r="H4646" s="37" t="n">
        <x:f t="shared" si="208">IFERROR(E4646/G4646-1,"")</x:f>
        <x:v>0.02109608014465314</x:v>
      </x:c>
      <x:c r="I4646" s="38" t="b">
        <x:f t="shared" si="209">E4646&lt;G4646</x:f>
        <x:v>0</x:v>
      </x:c>
    </x:row>
    <x:row r="4647">
      <x:c r="A4647" s="31">
        <x:v>43790</x:v>
      </x:c>
      <x:c r="B4647" s="32">
        <x:v>999.37</x:v>
      </x:c>
      <x:c r="C4647" s="32">
        <x:v>1000.56</x:v>
      </x:c>
      <x:c r="D4647" s="32">
        <x:v>987.89</x:v>
      </x:c>
      <x:c r="E4647" s="32">
        <x:v>987.89</x:v>
      </x:c>
      <x:c r="F4647" s="33">
        <x:v>171731790</x:v>
      </x:c>
      <x:c r="G4647" s="32" t="n">
        <x:f t="shared" si="207">AVERAGE(E4448:E4647)</x:f>
        <x:v>980.2744</x:v>
      </x:c>
      <x:c r="H4647" s="37" t="n">
        <x:f t="shared" si="208">IFERROR(E4647/G4647-1,"")</x:f>
        <x:v>0.007768845131526314</x:v>
      </x:c>
      <x:c r="I4647" s="38" t="b">
        <x:f t="shared" si="209">E4647&lt;G4647</x:f>
        <x:v>0</x:v>
      </x:c>
    </x:row>
    <x:row r="4648">
      <x:c r="A4648" s="31">
        <x:v>43791</x:v>
      </x:c>
      <x:c r="B4648" s="32">
        <x:v>992.73</x:v>
      </x:c>
      <x:c r="C4648" s="32">
        <x:v>993.7</x:v>
      </x:c>
      <x:c r="D4648" s="32">
        <x:v>971.03</x:v>
      </x:c>
      <x:c r="E4648" s="32">
        <x:v>977.78</x:v>
      </x:c>
      <x:c r="F4648" s="33">
        <x:v>196749440</x:v>
      </x:c>
      <x:c r="G4648" s="32" t="n">
        <x:f t="shared" si="207">AVERAGE(E4449:E4648)</x:f>
        <x:v>980.6199500000001</x:v>
      </x:c>
      <x:c r="H4648" s="37" t="n">
        <x:f t="shared" si="208">IFERROR(E4648/G4648-1,"")</x:f>
        <x:v>-0.0028960760996145085</x:v>
      </x:c>
      <x:c r="I4648" s="38" t="b">
        <x:f t="shared" si="209">E4648&lt;G4648</x:f>
        <x:v>1</x:v>
      </x:c>
    </x:row>
    <x:row r="4649">
      <x:c r="A4649" s="31">
        <x:v>43794</x:v>
      </x:c>
      <x:c r="B4649" s="32">
        <x:v>977.85</x:v>
      </x:c>
      <x:c r="C4649" s="32">
        <x:v>979.6</x:v>
      </x:c>
      <x:c r="D4649" s="32">
        <x:v>971.24</x:v>
      </x:c>
      <x:c r="E4649" s="32">
        <x:v>976.35</x:v>
      </x:c>
      <x:c r="F4649" s="33">
        <x:v>148285630</x:v>
      </x:c>
      <x:c r="G4649" s="32" t="n">
        <x:f t="shared" si="207">AVERAGE(E4450:E4649)</x:f>
        <x:v>980.8711999999999</x:v>
      </x:c>
      <x:c r="H4649" s="37" t="n">
        <x:f t="shared" si="208">IFERROR(E4649/G4649-1,"")</x:f>
        <x:v>-0.004609371750337821</x:v>
      </x:c>
      <x:c r="I4649" s="38" t="b">
        <x:f t="shared" si="209">E4649&lt;G4649</x:f>
        <x:v>1</x:v>
      </x:c>
    </x:row>
    <x:row r="4650">
      <x:c r="A4650" s="31">
        <x:v>43795</x:v>
      </x:c>
      <x:c r="B4650" s="32">
        <x:v>976.35</x:v>
      </x:c>
      <x:c r="C4650" s="32">
        <x:v>981.96</x:v>
      </x:c>
      <x:c r="D4650" s="32">
        <x:v>976.35</x:v>
      </x:c>
      <x:c r="E4650" s="32">
        <x:v>976.79</x:v>
      </x:c>
      <x:c r="F4650" s="33">
        <x:v>148016090</x:v>
      </x:c>
      <x:c r="G4650" s="32" t="n">
        <x:f t="shared" si="207">AVERAGE(E4451:E4650)</x:f>
        <x:v>981.06745</x:v>
      </x:c>
      <x:c r="H4650" s="37" t="n">
        <x:f t="shared" si="208">IFERROR(E4650/G4650-1,"")</x:f>
        <x:v>-0.004359995839225972</x:v>
      </x:c>
      <x:c r="I4650" s="38" t="b">
        <x:f t="shared" si="209">E4650&lt;G4650</x:f>
        <x:v>1</x:v>
      </x:c>
    </x:row>
    <x:row r="4651">
      <x:c r="A4651" s="31">
        <x:v>43796</x:v>
      </x:c>
      <x:c r="B4651" s="32">
        <x:v>978.98</x:v>
      </x:c>
      <x:c r="C4651" s="32">
        <x:v>982.76</x:v>
      </x:c>
      <x:c r="D4651" s="32">
        <x:v>978.17</x:v>
      </x:c>
      <x:c r="E4651" s="32">
        <x:v>978.17</x:v>
      </x:c>
      <x:c r="F4651" s="33">
        <x:v>157478720</x:v>
      </x:c>
      <x:c r="G4651" s="32" t="n">
        <x:f t="shared" si="207">AVERAGE(E4452:E4651)</x:f>
        <x:v>981.2320500000001</x:v>
      </x:c>
      <x:c r="H4651" s="37" t="n">
        <x:f t="shared" si="208">IFERROR(E4651/G4651-1,"")</x:f>
        <x:v>-0.003120617594992048</x:v>
      </x:c>
      <x:c r="I4651" s="38" t="b">
        <x:f t="shared" si="209">E4651&lt;G4651</x:f>
        <x:v>1</x:v>
      </x:c>
    </x:row>
    <x:row r="4652">
      <x:c r="A4652" s="31">
        <x:v>43797</x:v>
      </x:c>
      <x:c r="B4652" s="32">
        <x:v>977.66</x:v>
      </x:c>
      <x:c r="C4652" s="32">
        <x:v>979.17</x:v>
      </x:c>
      <x:c r="D4652" s="32">
        <x:v>967.68</x:v>
      </x:c>
      <x:c r="E4652" s="32">
        <x:v>970.39</x:v>
      </x:c>
      <x:c r="F4652" s="33">
        <x:v>154471660</x:v>
      </x:c>
      <x:c r="G4652" s="32" t="n">
        <x:f t="shared" si="207">AVERAGE(E4453:E4652)</x:f>
        <x:v>981.3223000000002</x:v>
      </x:c>
      <x:c r="H4652" s="37" t="n">
        <x:f t="shared" si="208">IFERROR(E4652/G4652-1,"")</x:f>
        <x:v>-0.011140376612250757</x:v>
      </x:c>
      <x:c r="I4652" s="38" t="b">
        <x:f t="shared" si="209">E4652&lt;G4652</x:f>
        <x:v>1</x:v>
      </x:c>
    </x:row>
    <x:row r="4653">
      <x:c r="A4653" s="31">
        <x:v>43798</x:v>
      </x:c>
      <x:c r="B4653" s="32">
        <x:v>971.1</x:v>
      </x:c>
      <x:c r="C4653" s="32">
        <x:v>972.89</x:v>
      </x:c>
      <x:c r="D4653" s="32">
        <x:v>968.03</x:v>
      </x:c>
      <x:c r="E4653" s="32">
        <x:v>970.75</x:v>
      </x:c>
      <x:c r="F4653" s="33">
        <x:v>138896550</x:v>
      </x:c>
      <x:c r="G4653" s="32" t="n">
        <x:f t="shared" si="207">AVERAGE(E4454:E4653)</x:f>
        <x:v>981.4216</x:v>
      </x:c>
      <x:c r="H4653" s="37" t="n">
        <x:f t="shared" si="208">IFERROR(E4653/G4653-1,"")</x:f>
        <x:v>-0.010873614356969541</x:v>
      </x:c>
      <x:c r="I4653" s="38" t="b">
        <x:f t="shared" si="209">E4653&lt;G4653</x:f>
        <x:v>1</x:v>
      </x:c>
    </x:row>
    <x:row r="4654">
      <x:c r="A4654" s="31">
        <x:v>43801</x:v>
      </x:c>
      <x:c r="B4654" s="32">
        <x:v>971.42</x:v>
      </x:c>
      <x:c r="C4654" s="32">
        <x:v>972.91</x:v>
      </x:c>
      <x:c r="D4654" s="32">
        <x:v>958.3</x:v>
      </x:c>
      <x:c r="E4654" s="32">
        <x:v>959.31</x:v>
      </x:c>
      <x:c r="F4654" s="33">
        <x:v>180421680</x:v>
      </x:c>
      <x:c r="G4654" s="32" t="n">
        <x:f t="shared" si="207">AVERAGE(E4455:E4654)</x:f>
        <x:v>981.4116500000001</x:v>
      </x:c>
      <x:c r="H4654" s="37" t="n">
        <x:f t="shared" si="208">IFERROR(E4654/G4654-1,"")</x:f>
        <x:v>-0.022520264559728997</x:v>
      </x:c>
      <x:c r="I4654" s="38" t="b">
        <x:f t="shared" si="209">E4654&lt;G4654</x:f>
        <x:v>1</x:v>
      </x:c>
    </x:row>
    <x:row r="4655">
      <x:c r="A4655" s="31">
        <x:v>43802</x:v>
      </x:c>
      <x:c r="B4655" s="32">
        <x:v>957.4</x:v>
      </x:c>
      <x:c r="C4655" s="32">
        <x:v>960.82</x:v>
      </x:c>
      <x:c r="D4655" s="32">
        <x:v>950.96</x:v>
      </x:c>
      <x:c r="E4655" s="32">
        <x:v>953.43</x:v>
      </x:c>
      <x:c r="F4655" s="33">
        <x:v>176408390</x:v>
      </x:c>
      <x:c r="G4655" s="32" t="n">
        <x:f t="shared" si="207">AVERAGE(E4456:E4655)</x:f>
        <x:v>981.3570500000001</x:v>
      </x:c>
      <x:c r="H4655" s="37" t="n">
        <x:f t="shared" si="208">IFERROR(E4655/G4655-1,"")</x:f>
        <x:v>-0.028457583302631928</x:v>
      </x:c>
      <x:c r="I4655" s="38" t="b">
        <x:f t="shared" si="209">E4655&lt;G4655</x:f>
        <x:v>1</x:v>
      </x:c>
    </x:row>
    <x:row r="4656">
      <x:c r="A4656" s="31">
        <x:v>43803</x:v>
      </x:c>
      <x:c r="B4656" s="32">
        <x:v>952.51</x:v>
      </x:c>
      <x:c r="C4656" s="32">
        <x:v>965.9</x:v>
      </x:c>
      <x:c r="D4656" s="32">
        <x:v>950.13</x:v>
      </x:c>
      <x:c r="E4656" s="32">
        <x:v>965.9</x:v>
      </x:c>
      <x:c r="F4656" s="33">
        <x:v>162142410</x:v>
      </x:c>
      <x:c r="G4656" s="32" t="n">
        <x:f t="shared" si="207">AVERAGE(E4457:E4656)</x:f>
        <x:v>981.33365</x:v>
      </x:c>
      <x:c r="H4656" s="37" t="n">
        <x:f t="shared" si="208">IFERROR(E4656/G4656-1,"")</x:f>
        <x:v>-0.015727219789110514</x:v>
      </x:c>
      <x:c r="I4656" s="38" t="b">
        <x:f t="shared" si="209">E4656&lt;G4656</x:f>
        <x:v>1</x:v>
      </x:c>
    </x:row>
    <x:row r="4657">
      <x:c r="A4657" s="31">
        <x:v>43804</x:v>
      </x:c>
      <x:c r="B4657" s="32">
        <x:v>969</x:v>
      </x:c>
      <x:c r="C4657" s="32">
        <x:v>969.53</x:v>
      </x:c>
      <x:c r="D4657" s="32">
        <x:v>962.16</x:v>
      </x:c>
      <x:c r="E4657" s="32">
        <x:v>963.27</x:v>
      </x:c>
      <x:c r="F4657" s="33">
        <x:v>159548260</x:v>
      </x:c>
      <x:c r="G4657" s="32" t="n">
        <x:f t="shared" si="207">AVERAGE(E4458:E4657)</x:f>
        <x:v>981.2121499999998</x:v>
      </x:c>
      <x:c r="H4657" s="37" t="n">
        <x:f t="shared" si="208">IFERROR(E4657/G4657-1,"")</x:f>
        <x:v>-0.018285698969381703</x:v>
      </x:c>
      <x:c r="I4657" s="38" t="b">
        <x:f t="shared" si="209">E4657&lt;G4657</x:f>
        <x:v>1</x:v>
      </x:c>
    </x:row>
    <x:row r="4658">
      <x:c r="A4658" s="31">
        <x:v>43805</x:v>
      </x:c>
      <x:c r="B4658" s="32">
        <x:v>962.38</x:v>
      </x:c>
      <x:c r="C4658" s="32">
        <x:v>965.41</x:v>
      </x:c>
      <x:c r="D4658" s="32">
        <x:v>960.99</x:v>
      </x:c>
      <x:c r="E4658" s="32">
        <x:v>963.56</x:v>
      </x:c>
      <x:c r="F4658" s="33">
        <x:v>139312750</x:v>
      </x:c>
      <x:c r="G4658" s="32" t="n">
        <x:f t="shared" si="207">AVERAGE(E4459:E4658)</x:f>
        <x:v>981.0853999999998</x:v>
      </x:c>
      <x:c r="H4658" s="37" t="n">
        <x:f t="shared" si="208">IFERROR(E4658/G4658-1,"")</x:f>
        <x:v>-0.01786327673411492</x:v>
      </x:c>
      <x:c r="I4658" s="38" t="b">
        <x:f t="shared" si="209">E4658&lt;G4658</x:f>
        <x:v>1</x:v>
      </x:c>
    </x:row>
    <x:row r="4659">
      <x:c r="A4659" s="31">
        <x:v>43808</x:v>
      </x:c>
      <x:c r="B4659" s="32">
        <x:v>963.91</x:v>
      </x:c>
      <x:c r="C4659" s="32">
        <x:v>967.57</x:v>
      </x:c>
      <x:c r="D4659" s="32">
        <x:v>962.59</x:v>
      </x:c>
      <x:c r="E4659" s="32">
        <x:v>966.06</x:v>
      </x:c>
      <x:c r="F4659" s="33">
        <x:v>183348640</x:v>
      </x:c>
      <x:c r="G4659" s="32" t="n">
        <x:f t="shared" si="207">AVERAGE(E4460:E4659)</x:f>
        <x:v>980.94355</x:v>
      </x:c>
      <x:c r="H4659" s="37" t="n">
        <x:f t="shared" si="208">IFERROR(E4659/G4659-1,"")</x:f>
        <x:v>-0.01517268756188872</x:v>
      </x:c>
      <x:c r="I4659" s="38" t="b">
        <x:f t="shared" si="209">E4659&lt;G4659</x:f>
        <x:v>1</x:v>
      </x:c>
    </x:row>
    <x:row r="4660">
      <x:c r="A4660" s="31">
        <x:v>43809</x:v>
      </x:c>
      <x:c r="B4660" s="32">
        <x:v>965.92</x:v>
      </x:c>
      <x:c r="C4660" s="32">
        <x:v>966.58</x:v>
      </x:c>
      <x:c r="D4660" s="32">
        <x:v>955.14</x:v>
      </x:c>
      <x:c r="E4660" s="32">
        <x:v>960.3</x:v>
      </x:c>
      <x:c r="F4660" s="33">
        <x:v>170738810</x:v>
      </x:c>
      <x:c r="G4660" s="32" t="n">
        <x:f t="shared" si="207">AVERAGE(E4461:E4660)</x:f>
        <x:v>980.8097499999998</x:v>
      </x:c>
      <x:c r="H4660" s="37" t="n">
        <x:f t="shared" si="208">IFERROR(E4660/G4660-1,"")</x:f>
        <x:v>-0.02091103804789851</x:v>
      </x:c>
      <x:c r="I4660" s="38" t="b">
        <x:f t="shared" si="209">E4660&lt;G4660</x:f>
        <x:v>1</x:v>
      </x:c>
    </x:row>
    <x:row r="4661">
      <x:c r="A4661" s="31">
        <x:v>43810</x:v>
      </x:c>
      <x:c r="B4661" s="32">
        <x:v>960.59</x:v>
      </x:c>
      <x:c r="C4661" s="32">
        <x:v>961.78</x:v>
      </x:c>
      <x:c r="D4661" s="32">
        <x:v>954.56</x:v>
      </x:c>
      <x:c r="E4661" s="32">
        <x:v>961.78</x:v>
      </x:c>
      <x:c r="F4661" s="33">
        <x:v>158554160</x:v>
      </x:c>
      <x:c r="G4661" s="32" t="n">
        <x:f t="shared" si="207">AVERAGE(E4462:E4661)</x:f>
        <x:v>980.6672999999998</x:v>
      </x:c>
      <x:c r="H4661" s="37" t="n">
        <x:f t="shared" si="208">IFERROR(E4661/G4661-1,"")</x:f>
        <x:v>-0.01925964085883136</x:v>
      </x:c>
      <x:c r="I4661" s="38" t="b">
        <x:f t="shared" si="209">E4661&lt;G4661</x:f>
        <x:v>1</x:v>
      </x:c>
    </x:row>
    <x:row r="4662">
      <x:c r="A4662" s="31">
        <x:v>43811</x:v>
      </x:c>
      <x:c r="B4662" s="32">
        <x:v>963.39</x:v>
      </x:c>
      <x:c r="C4662" s="32">
        <x:v>968.39</x:v>
      </x:c>
      <x:c r="D4662" s="32">
        <x:v>961.78</x:v>
      </x:c>
      <x:c r="E4662" s="32">
        <x:v>968.17</x:v>
      </x:c>
      <x:c r="F4662" s="33">
        <x:v>154590800</x:v>
      </x:c>
      <x:c r="G4662" s="32" t="n">
        <x:f t="shared" si="207">AVERAGE(E4463:E4662)</x:f>
        <x:v>980.6807999999997</x:v>
      </x:c>
      <x:c r="H4662" s="37" t="n">
        <x:f t="shared" si="208">IFERROR(E4662/G4662-1,"")</x:f>
        <x:v>-0.012757260058522402</x:v>
      </x:c>
      <x:c r="I4662" s="38" t="b">
        <x:f t="shared" si="209">E4662&lt;G4662</x:f>
        <x:v>1</x:v>
      </x:c>
    </x:row>
    <x:row r="4663">
      <x:c r="A4663" s="31">
        <x:v>43812</x:v>
      </x:c>
      <x:c r="B4663" s="32">
        <x:v>969.43</x:v>
      </x:c>
      <x:c r="C4663" s="32">
        <x:v>971.84</x:v>
      </x:c>
      <x:c r="D4663" s="32">
        <x:v>965.93</x:v>
      </x:c>
      <x:c r="E4663" s="32">
        <x:v>966.18</x:v>
      </x:c>
      <x:c r="F4663" s="33">
        <x:v>172536910</x:v>
      </x:c>
      <x:c r="G4663" s="32" t="n">
        <x:f t="shared" si="207">AVERAGE(E4464:E4663)</x:f>
        <x:v>980.6135499999997</x:v>
      </x:c>
      <x:c r="H4663" s="37" t="n">
        <x:f t="shared" si="208">IFERROR(E4663/G4663-1,"")</x:f>
        <x:v>-0.014718897163923272</x:v>
      </x:c>
      <x:c r="I4663" s="38" t="b">
        <x:f t="shared" si="209">E4663&lt;G4663</x:f>
        <x:v>1</x:v>
      </x:c>
    </x:row>
    <x:row r="4664">
      <x:c r="A4664" s="31">
        <x:v>43815</x:v>
      </x:c>
      <x:c r="B4664" s="32">
        <x:v>966</x:v>
      </x:c>
      <x:c r="C4664" s="32">
        <x:v>966.18</x:v>
      </x:c>
      <x:c r="D4664" s="32">
        <x:v>960.39</x:v>
      </x:c>
      <x:c r="E4664" s="32">
        <x:v>961.47</x:v>
      </x:c>
      <x:c r="F4664" s="33">
        <x:v>202440060</x:v>
      </x:c>
      <x:c r="G4664" s="32" t="n">
        <x:f t="shared" si="207">AVERAGE(E4465:E4664)</x:f>
        <x:v>980.4509499999999</x:v>
      </x:c>
      <x:c r="H4664" s="37" t="n">
        <x:f t="shared" si="208">IFERROR(E4664/G4664-1,"")</x:f>
        <x:v>-0.019359408035659387</x:v>
      </x:c>
      <x:c r="I4664" s="38" t="b">
        <x:f t="shared" si="209">E4664&lt;G4664</x:f>
        <x:v>1</x:v>
      </x:c>
    </x:row>
    <x:row r="4665">
      <x:c r="A4665" s="31">
        <x:v>43816</x:v>
      </x:c>
      <x:c r="B4665" s="32">
        <x:v>962.49</x:v>
      </x:c>
      <x:c r="C4665" s="32">
        <x:v>962.79</x:v>
      </x:c>
      <x:c r="D4665" s="32">
        <x:v>954.03</x:v>
      </x:c>
      <x:c r="E4665" s="32">
        <x:v>954.03</x:v>
      </x:c>
      <x:c r="F4665" s="33">
        <x:v>239321700</x:v>
      </x:c>
      <x:c r="G4665" s="32" t="n">
        <x:f t="shared" si="207">AVERAGE(E4466:E4665)</x:f>
        <x:v>980.2588499999998</x:v>
      </x:c>
      <x:c r="H4665" s="37" t="n">
        <x:f t="shared" si="208">IFERROR(E4665/G4665-1,"")</x:f>
        <x:v>-0.026757065238431466</x:v>
      </x:c>
      <x:c r="I4665" s="38" t="b">
        <x:f t="shared" si="209">E4665&lt;G4665</x:f>
        <x:v>1</x:v>
      </x:c>
    </x:row>
    <x:row r="4666">
      <x:c r="A4666" s="31">
        <x:v>43817</x:v>
      </x:c>
      <x:c r="B4666" s="32">
        <x:v>951.52</x:v>
      </x:c>
      <x:c r="C4666" s="32">
        <x:v>954.18</x:v>
      </x:c>
      <x:c r="D4666" s="32">
        <x:v>949.86</x:v>
      </x:c>
      <x:c r="E4666" s="32">
        <x:v>951.13</x:v>
      </x:c>
      <x:c r="F4666" s="33">
        <x:v>183063780</x:v>
      </x:c>
      <x:c r="G4666" s="32" t="n">
        <x:f t="shared" si="207">AVERAGE(E4467:E4666)</x:f>
        <x:v>980.0420499999999</x:v>
      </x:c>
      <x:c r="H4666" s="37" t="n">
        <x:f t="shared" si="208">IFERROR(E4666/G4666-1,"")</x:f>
        <x:v>-0.029500826010475656</x:v>
      </x:c>
      <x:c r="I4666" s="38" t="b">
        <x:f t="shared" si="209">E4666&lt;G4666</x:f>
        <x:v>1</x:v>
      </x:c>
    </x:row>
    <x:row r="4667">
      <x:c r="A4667" s="31">
        <x:v>43818</x:v>
      </x:c>
      <x:c r="B4667" s="32">
        <x:v>950.61</x:v>
      </x:c>
      <x:c r="C4667" s="32">
        <x:v>955.85</x:v>
      </x:c>
      <x:c r="D4667" s="32">
        <x:v>946.74</x:v>
      </x:c>
      <x:c r="E4667" s="32">
        <x:v>952.26</x:v>
      </x:c>
      <x:c r="F4667" s="33">
        <x:v>178790140</x:v>
      </x:c>
      <x:c r="G4667" s="32" t="n">
        <x:f t="shared" si="207">AVERAGE(E4468:E4667)</x:f>
        <x:v>979.8331999999999</x:v>
      </x:c>
      <x:c r="H4667" s="37" t="n">
        <x:f t="shared" si="208">IFERROR(E4667/G4667-1,"")</x:f>
        <x:v>-0.02814070803071378</x:v>
      </x:c>
      <x:c r="I4667" s="38" t="b">
        <x:f t="shared" si="209">E4667&lt;G4667</x:f>
        <x:v>1</x:v>
      </x:c>
    </x:row>
    <x:row r="4668">
      <x:c r="A4668" s="31">
        <x:v>43819</x:v>
      </x:c>
      <x:c r="B4668" s="32">
        <x:v>953.55</x:v>
      </x:c>
      <x:c r="C4668" s="32">
        <x:v>957.52</x:v>
      </x:c>
      <x:c r="D4668" s="32">
        <x:v>952.26</x:v>
      </x:c>
      <x:c r="E4668" s="32">
        <x:v>956.41</x:v>
      </x:c>
      <x:c r="F4668" s="33">
        <x:v>183446480</x:v>
      </x:c>
      <x:c r="G4668" s="32" t="n">
        <x:f t="shared" si="207">AVERAGE(E4469:E4668)</x:f>
        <x:v>979.6890000000001</x:v>
      </x:c>
      <x:c r="H4668" s="37" t="n">
        <x:f t="shared" si="208">IFERROR(E4668/G4668-1,"")</x:f>
        <x:v>-0.02376162231075385</x:v>
      </x:c>
      <x:c r="I4668" s="38" t="b">
        <x:f t="shared" si="209">E4668&lt;G4668</x:f>
        <x:v>1</x:v>
      </x:c>
    </x:row>
    <x:row r="4669">
      <x:c r="A4669" s="31">
        <x:v>43822</x:v>
      </x:c>
      <x:c r="B4669" s="32">
        <x:v>959.55</x:v>
      </x:c>
      <x:c r="C4669" s="32">
        <x:v>960.71</x:v>
      </x:c>
      <x:c r="D4669" s="32">
        <x:v>956.41</x:v>
      </x:c>
      <x:c r="E4669" s="32">
        <x:v>959.43</x:v>
      </x:c>
      <x:c r="F4669" s="33">
        <x:v>190141650</x:v>
      </x:c>
      <x:c r="G4669" s="32" t="n">
        <x:f t="shared" si="207">AVERAGE(E4470:E4669)</x:f>
        <x:v>979.5631500000002</x:v>
      </x:c>
      <x:c r="H4669" s="37" t="n">
        <x:f t="shared" si="208">IFERROR(E4669/G4669-1,"")</x:f>
        <x:v>-0.020553192512397178</x:v>
      </x:c>
      <x:c r="I4669" s="38" t="b">
        <x:f t="shared" si="209">E4669&lt;G4669</x:f>
        <x:v>1</x:v>
      </x:c>
    </x:row>
    <x:row r="4670">
      <x:c r="A4670" s="31">
        <x:v>43823</x:v>
      </x:c>
      <x:c r="B4670" s="32">
        <x:v>958.88</x:v>
      </x:c>
      <x:c r="C4670" s="32">
        <x:v>959.43</x:v>
      </x:c>
      <x:c r="D4670" s="32">
        <x:v>953.29</x:v>
      </x:c>
      <x:c r="E4670" s="32">
        <x:v>958.88</x:v>
      </x:c>
      <x:c r="F4670" s="33">
        <x:v>173207590</x:v>
      </x:c>
      <x:c r="G4670" s="32" t="n">
        <x:f t="shared" si="207">AVERAGE(E4471:E4670)</x:f>
        <x:v>979.3509500000001</x:v>
      </x:c>
      <x:c r="H4670" s="37" t="n">
        <x:f t="shared" si="208">IFERROR(E4670/G4670-1,"")</x:f>
        <x:v>-0.020902568175382052</x:v>
      </x:c>
      <x:c r="I4670" s="38" t="b">
        <x:f t="shared" si="209">E4670&lt;G4670</x:f>
        <x:v>1</x:v>
      </x:c>
    </x:row>
    <x:row r="4671">
      <x:c r="A4671" s="31">
        <x:v>43824</x:v>
      </x:c>
      <x:c r="B4671" s="32">
        <x:v>958.18</x:v>
      </x:c>
      <x:c r="C4671" s="32">
        <x:v>962.83</x:v>
      </x:c>
      <x:c r="D4671" s="32">
        <x:v>957.5</x:v>
      </x:c>
      <x:c r="E4671" s="32">
        <x:v>960.92</x:v>
      </x:c>
      <x:c r="F4671" s="33">
        <x:v>195453740</x:v>
      </x:c>
      <x:c r="G4671" s="32" t="n">
        <x:f t="shared" si="207">AVERAGE(E4472:E4671)</x:f>
        <x:v>979.1285000000003</x:v>
      </x:c>
      <x:c r="H4671" s="37" t="n">
        <x:f t="shared" si="208">IFERROR(E4671/G4671-1,"")</x:f>
        <x:v>-0.018596639766895073</x:v>
      </x:c>
      <x:c r="I4671" s="38" t="b">
        <x:f t="shared" si="209">E4671&lt;G4671</x:f>
        <x:v>1</x:v>
      </x:c>
    </x:row>
    <x:row r="4672">
      <x:c r="A4672" s="31">
        <x:v>43825</x:v>
      </x:c>
      <x:c r="B4672" s="32">
        <x:v>960.67</x:v>
      </x:c>
      <x:c r="C4672" s="32">
        <x:v>962.11</x:v>
      </x:c>
      <x:c r="D4672" s="32">
        <x:v>957.43</x:v>
      </x:c>
      <x:c r="E4672" s="32">
        <x:v>958.59</x:v>
      </x:c>
      <x:c r="F4672" s="33">
        <x:v>160431180</x:v>
      </x:c>
      <x:c r="G4672" s="32" t="n">
        <x:f t="shared" si="207">AVERAGE(E4473:E4672)</x:f>
        <x:v>978.8792500000003</x:v>
      </x:c>
      <x:c r="H4672" s="37" t="n">
        <x:f t="shared" si="208">IFERROR(E4672/G4672-1,"")</x:f>
        <x:v>-0.020727020212145897</x:v>
      </x:c>
      <x:c r="I4672" s="38" t="b">
        <x:f t="shared" si="209">E4672&lt;G4672</x:f>
        <x:v>1</x:v>
      </x:c>
    </x:row>
    <x:row r="4673">
      <x:c r="A4673" s="31">
        <x:v>43826</x:v>
      </x:c>
      <x:c r="B4673" s="32">
        <x:v>957.7</x:v>
      </x:c>
      <x:c r="C4673" s="32">
        <x:v>963.51</x:v>
      </x:c>
      <x:c r="D4673" s="32">
        <x:v>954.19</x:v>
      </x:c>
      <x:c r="E4673" s="32">
        <x:v>963.51</x:v>
      </x:c>
      <x:c r="F4673" s="33">
        <x:v>126605420</x:v>
      </x:c>
      <x:c r="G4673" s="32" t="n">
        <x:f t="shared" si="207">AVERAGE(E4474:E4673)</x:f>
        <x:v>978.6762000000002</x:v>
      </x:c>
      <x:c r="H4673" s="37" t="n">
        <x:f t="shared" si="208">IFERROR(E4673/G4673-1,"")</x:f>
        <x:v>-0.01549664741004253</x:v>
      </x:c>
      <x:c r="I4673" s="38" t="b">
        <x:f t="shared" si="209">E4673&lt;G4673</x:f>
        <x:v>1</x:v>
      </x:c>
    </x:row>
    <x:row r="4674">
      <x:c r="A4674" s="31">
        <x:v>43829</x:v>
      </x:c>
      <x:c r="B4674" s="32">
        <x:v>962.89</x:v>
      </x:c>
      <x:c r="C4674" s="32">
        <x:v>967.52</x:v>
      </x:c>
      <x:c r="D4674" s="32">
        <x:v>962.47</x:v>
      </x:c>
      <x:c r="E4674" s="32">
        <x:v>965.03</x:v>
      </x:c>
      <x:c r="F4674" s="33">
        <x:v>147816130</x:v>
      </x:c>
      <x:c r="G4674" s="32" t="n">
        <x:f t="shared" si="207">AVERAGE(E4475:E4674)</x:f>
        <x:v>978.4420500000003</x:v>
      </x:c>
      <x:c r="H4674" s="37" t="n">
        <x:f t="shared" si="208">IFERROR(E4674/G4674-1,"")</x:f>
        <x:v>-0.013707556824648304</x:v>
      </x:c>
      <x:c r="I4674" s="38" t="b">
        <x:f t="shared" si="209">E4674&lt;G4674</x:f>
        <x:v>1</x:v>
      </x:c>
    </x:row>
    <x:row r="4675">
      <x:c r="A4675" s="31">
        <x:v>43830</x:v>
      </x:c>
      <x:c r="B4675" s="32">
        <x:v>965.71</x:v>
      </x:c>
      <x:c r="C4675" s="32">
        <x:v>965.71</x:v>
      </x:c>
      <x:c r="D4675" s="32">
        <x:v>958.22</x:v>
      </x:c>
      <x:c r="E4675" s="32">
        <x:v>960.99</x:v>
      </x:c>
      <x:c r="F4675" s="33">
        <x:v>144441990</x:v>
      </x:c>
      <x:c r="G4675" s="32" t="n">
        <x:f t="shared" si="207">AVERAGE(E4476:E4675)</x:f>
        <x:v>978.2140500000002</x:v>
      </x:c>
      <x:c r="H4675" s="37" t="n">
        <x:f t="shared" si="208">IFERROR(E4675/G4675-1,"")</x:f>
        <x:v>-0.017607649368765577</x:v>
      </x:c>
      <x:c r="I4675" s="38" t="b">
        <x:f t="shared" si="209">E4675&lt;G4675</x:f>
        <x:v>1</x:v>
      </x:c>
    </x:row>
    <x:row r="4676">
      <x:c r="A4676" s="31">
        <x:v>43832</x:v>
      </x:c>
      <x:c r="B4676" s="32">
        <x:v>960.26</x:v>
      </x:c>
      <x:c r="C4676" s="32">
        <x:v>966.67</x:v>
      </x:c>
      <x:c r="D4676" s="32">
        <x:v>959.67</x:v>
      </x:c>
      <x:c r="E4676" s="32">
        <x:v>966.67</x:v>
      </x:c>
      <x:c r="F4676" s="33">
        <x:v>131523160</x:v>
      </x:c>
      <x:c r="G4676" s="32" t="n">
        <x:f t="shared" si="207">AVERAGE(E4477:E4676)</x:f>
        <x:v>978.0359000000001</x:v>
      </x:c>
      <x:c r="H4676" s="37" t="n">
        <x:f t="shared" si="208">IFERROR(E4676/G4676-1,"")</x:f>
        <x:v>-0.011621148058062247</x:v>
      </x:c>
      <x:c r="I4676" s="38" t="b">
        <x:f t="shared" si="209">E4676&lt;G4676</x:f>
        <x:v>1</x:v>
      </x:c>
    </x:row>
    <x:row r="4677">
      <x:c r="A4677" s="31">
        <x:v>43833</x:v>
      </x:c>
      <x:c r="B4677" s="32">
        <x:v>968.72</x:v>
      </x:c>
      <x:c r="C4677" s="32">
        <x:v>970.88</x:v>
      </x:c>
      <x:c r="D4677" s="32">
        <x:v>965.14</x:v>
      </x:c>
      <x:c r="E4677" s="32">
        <x:v>965.14</x:v>
      </x:c>
      <x:c r="F4677" s="33">
        <x:v>149202550</x:v>
      </x:c>
      <x:c r="G4677" s="32" t="n">
        <x:f t="shared" si="207">AVERAGE(E4478:E4677)</x:f>
        <x:v>977.9527000000002</x:v>
      </x:c>
      <x:c r="H4677" s="37" t="n">
        <x:f t="shared" si="208">IFERROR(E4677/G4677-1,"")</x:f>
        <x:v>-0.013101553889058426</x:v>
      </x:c>
      <x:c r="I4677" s="38" t="b">
        <x:f t="shared" si="209">E4677&lt;G4677</x:f>
        <x:v>1</x:v>
      </x:c>
    </x:row>
    <x:row r="4678">
      <x:c r="A4678" s="31">
        <x:v>43836</x:v>
      </x:c>
      <x:c r="B4678" s="32">
        <x:v>962.79</x:v>
      </x:c>
      <x:c r="C4678" s="32">
        <x:v>965.14</x:v>
      </x:c>
      <x:c r="D4678" s="32">
        <x:v>955.59</x:v>
      </x:c>
      <x:c r="E4678" s="32">
        <x:v>955.79</x:v>
      </x:c>
      <x:c r="F4678" s="33">
        <x:v>140978550</x:v>
      </x:c>
      <x:c r="G4678" s="32" t="n">
        <x:f t="shared" si="207">AVERAGE(E4479:E4678)</x:f>
        <x:v>977.7881000000002</x:v>
      </x:c>
      <x:c r="H4678" s="37" t="n">
        <x:f t="shared" si="208">IFERROR(E4678/G4678-1,"")</x:f>
        <x:v>-0.022497819312794043</x:v>
      </x:c>
      <x:c r="I4678" s="38" t="b">
        <x:f t="shared" si="209">E4678&lt;G4678</x:f>
        <x:v>1</x:v>
      </x:c>
    </x:row>
    <x:row r="4679">
      <x:c r="A4679" s="31">
        <x:v>43837</x:v>
      </x:c>
      <x:c r="B4679" s="32">
        <x:v>955.79</x:v>
      </x:c>
      <x:c r="C4679" s="32">
        <x:v>959.46</x:v>
      </x:c>
      <x:c r="D4679" s="32">
        <x:v>953.19</x:v>
      </x:c>
      <x:c r="E4679" s="32">
        <x:v>958.88</x:v>
      </x:c>
      <x:c r="F4679" s="33">
        <x:v>130272030</x:v>
      </x:c>
      <x:c r="G4679" s="32" t="n">
        <x:f t="shared" si="207">AVERAGE(E4480:E4679)</x:f>
        <x:v>977.7321500000004</x:v>
      </x:c>
      <x:c r="H4679" s="37" t="n">
        <x:f t="shared" si="208">IFERROR(E4679/G4679-1,"")</x:f>
        <x:v>-0.019281507721721547</x:v>
      </x:c>
      <x:c r="I4679" s="38" t="b">
        <x:f t="shared" si="209">E4679&lt;G4679</x:f>
        <x:v>1</x:v>
      </x:c>
    </x:row>
    <x:row r="4680">
      <x:c r="A4680" s="31">
        <x:v>43838</x:v>
      </x:c>
      <x:c r="B4680" s="32">
        <x:v>954.13</x:v>
      </x:c>
      <x:c r="C4680" s="32">
        <x:v>958.88</x:v>
      </x:c>
      <x:c r="D4680" s="32">
        <x:v>945.28</x:v>
      </x:c>
      <x:c r="E4680" s="32">
        <x:v>948.98</x:v>
      </x:c>
      <x:c r="F4680" s="33">
        <x:v>179374340</x:v>
      </x:c>
      <x:c r="G4680" s="32" t="n">
        <x:f t="shared" si="207">AVERAGE(E4481:E4680)</x:f>
        <x:v>977.6281000000002</x:v>
      </x:c>
      <x:c r="H4680" s="37" t="n">
        <x:f t="shared" si="208">IFERROR(E4680/G4680-1,"")</x:f>
        <x:v>-0.029303678975676095</x:v>
      </x:c>
      <x:c r="I4680" s="38" t="b">
        <x:f t="shared" si="209">E4680&lt;G4680</x:f>
        <x:v>1</x:v>
      </x:c>
    </x:row>
    <x:row r="4681">
      <x:c r="A4681" s="31">
        <x:v>43839</x:v>
      </x:c>
      <x:c r="B4681" s="32">
        <x:v>953.86</x:v>
      </x:c>
      <x:c r="C4681" s="32">
        <x:v>960.73</x:v>
      </x:c>
      <x:c r="D4681" s="32">
        <x:v>948.98</x:v>
      </x:c>
      <x:c r="E4681" s="32">
        <x:v>960.15</x:v>
      </x:c>
      <x:c r="F4681" s="33">
        <x:v>132773820</x:v>
      </x:c>
      <x:c r="G4681" s="32" t="n">
        <x:f t="shared" si="207">AVERAGE(E4482:E4681)</x:f>
        <x:v>977.5493000000004</x:v>
      </x:c>
      <x:c r="H4681" s="37" t="n">
        <x:f t="shared" si="208">IFERROR(E4681/G4681-1,"")</x:f>
        <x:v>-0.01779889771288301</x:v>
      </x:c>
      <x:c r="I4681" s="38" t="b">
        <x:f t="shared" si="209">E4681&lt;G4681</x:f>
        <x:v>1</x:v>
      </x:c>
    </x:row>
    <x:row r="4682">
      <x:c r="A4682" s="31">
        <x:v>43840</x:v>
      </x:c>
      <x:c r="B4682" s="32">
        <x:v>961.17</x:v>
      </x:c>
      <x:c r="C4682" s="32">
        <x:v>969.71</x:v>
      </x:c>
      <x:c r="D4682" s="32">
        <x:v>960.15</x:v>
      </x:c>
      <x:c r="E4682" s="32">
        <x:v>968.54</x:v>
      </x:c>
      <x:c r="F4682" s="33">
        <x:v>163058830</x:v>
      </x:c>
      <x:c r="G4682" s="32" t="n">
        <x:f t="shared" si="207">AVERAGE(E4483:E4682)</x:f>
        <x:v>977.4771000000004</x:v>
      </x:c>
      <x:c r="H4682" s="37" t="n">
        <x:f t="shared" si="208">IFERROR(E4682/G4682-1,"")</x:f>
        <x:v>-0.0091430274939438</x:v>
      </x:c>
      <x:c r="I4682" s="38" t="b">
        <x:f t="shared" si="209">E4682&lt;G4682</x:f>
        <x:v>1</x:v>
      </x:c>
    </x:row>
    <x:row r="4683">
      <x:c r="A4683" s="31">
        <x:v>43843</x:v>
      </x:c>
      <x:c r="B4683" s="32">
        <x:v>966.89</x:v>
      </x:c>
      <x:c r="C4683" s="32">
        <x:v>968.63</x:v>
      </x:c>
      <x:c r="D4683" s="32">
        <x:v>964.79</x:v>
      </x:c>
      <x:c r="E4683" s="32">
        <x:v>965.84</x:v>
      </x:c>
      <x:c r="F4683" s="33">
        <x:v>117952020</x:v>
      </x:c>
      <x:c r="G4683" s="32" t="n">
        <x:f t="shared" si="207">AVERAGE(E4484:E4683)</x:f>
        <x:v>977.4025000000005</x:v>
      </x:c>
      <x:c r="H4683" s="37" t="n">
        <x:f t="shared" si="208">IFERROR(E4683/G4683-1,"")</x:f>
        <x:v>-0.011829824458194471</x:v>
      </x:c>
      <x:c r="I4683" s="38" t="b">
        <x:f t="shared" si="209">E4683&lt;G4683</x:f>
        <x:v>1</x:v>
      </x:c>
    </x:row>
    <x:row r="4684">
      <x:c r="A4684" s="31">
        <x:v>43844</x:v>
      </x:c>
      <x:c r="B4684" s="32">
        <x:v>966.26</x:v>
      </x:c>
      <x:c r="C4684" s="32">
        <x:v>968.85</x:v>
      </x:c>
      <x:c r="D4684" s="32">
        <x:v>965.76</x:v>
      </x:c>
      <x:c r="E4684" s="32">
        <x:v>967</x:v>
      </x:c>
      <x:c r="F4684" s="33">
        <x:v>127784380</x:v>
      </x:c>
      <x:c r="G4684" s="32" t="n">
        <x:f t="shared" si="207">AVERAGE(E4485:E4684)</x:f>
        <x:v>977.2948500000005</x:v>
      </x:c>
      <x:c r="H4684" s="37" t="n">
        <x:f t="shared" si="208">IFERROR(E4684/G4684-1,"")</x:f>
        <x:v>-0.010534026655313333</x:v>
      </x:c>
      <x:c r="I4684" s="38" t="b">
        <x:f t="shared" si="209">E4684&lt;G4684</x:f>
        <x:v>1</x:v>
      </x:c>
    </x:row>
    <x:row r="4685">
      <x:c r="A4685" s="31">
        <x:v>43845</x:v>
      </x:c>
      <x:c r="B4685" s="32">
        <x:v>967.69</x:v>
      </x:c>
      <x:c r="C4685" s="32">
        <x:v>967.69</x:v>
      </x:c>
      <x:c r="D4685" s="32">
        <x:v>964.84</x:v>
      </x:c>
      <x:c r="E4685" s="32">
        <x:v>967.56</x:v>
      </x:c>
      <x:c r="F4685" s="33">
        <x:v>112470420</x:v>
      </x:c>
      <x:c r="G4685" s="32" t="n">
        <x:f t="shared" ref="G4685:G4748" si="210">AVERAGE(E4486:E4685)</x:f>
        <x:v>977.2036000000004</x:v>
      </x:c>
      <x:c r="H4685" s="37" t="n">
        <x:f t="shared" ref="H4685:H4748" si="211">IFERROR(E4685/G4685-1,"")</x:f>
        <x:v>-0.009868567819439567</x:v>
      </x:c>
      <x:c r="I4685" s="38" t="b">
        <x:f t="shared" ref="I4685:I4748" si="212">E4685&lt;G4685</x:f>
        <x:v>1</x:v>
      </x:c>
    </x:row>
    <x:row r="4686">
      <x:c r="A4686" s="31">
        <x:v>43846</x:v>
      </x:c>
      <x:c r="B4686" s="32">
        <x:v>967.2</x:v>
      </x:c>
      <x:c r="C4686" s="32">
        <x:v>974.7</x:v>
      </x:c>
      <x:c r="D4686" s="32">
        <x:v>967.17</x:v>
      </x:c>
      <x:c r="E4686" s="32">
        <x:v>974.31</x:v>
      </x:c>
      <x:c r="F4686" s="33">
        <x:v>146756870</x:v>
      </x:c>
      <x:c r="G4686" s="32" t="n">
        <x:f t="shared" si="210">AVERAGE(E4487:E4686)</x:f>
        <x:v>977.1528500000005</x:v>
      </x:c>
      <x:c r="H4686" s="37" t="n">
        <x:f t="shared" si="211">IFERROR(E4686/G4686-1,"")</x:f>
        <x:v>-0.002909319662733001</x:v>
      </x:c>
      <x:c r="I4686" s="38" t="b">
        <x:f t="shared" si="212">E4686&lt;G4686</x:f>
        <x:v>1</x:v>
      </x:c>
    </x:row>
    <x:row r="4687">
      <x:c r="A4687" s="31">
        <x:v>43847</x:v>
      </x:c>
      <x:c r="B4687" s="32">
        <x:v>976.28</x:v>
      </x:c>
      <x:c r="C4687" s="32">
        <x:v>980.02</x:v>
      </x:c>
      <x:c r="D4687" s="32">
        <x:v>973.79</x:v>
      </x:c>
      <x:c r="E4687" s="32">
        <x:v>978.96</x:v>
      </x:c>
      <x:c r="F4687" s="33">
        <x:v>117216890</x:v>
      </x:c>
      <x:c r="G4687" s="32" t="n">
        <x:f t="shared" si="210">AVERAGE(E4488:E4687)</x:f>
        <x:v>977.1131000000006</x:v>
      </x:c>
      <x:c r="H4687" s="37" t="n">
        <x:f t="shared" si="211">IFERROR(E4687/G4687-1,"")</x:f>
        <x:v>0.0018901599006291292</x:v>
      </x:c>
      <x:c r="I4687" s="38" t="b">
        <x:f t="shared" si="212">E4687&lt;G4687</x:f>
        <x:v>0</x:v>
      </x:c>
    </x:row>
    <x:row r="4688">
      <x:c r="A4688" s="31">
        <x:v>43850</x:v>
      </x:c>
      <x:c r="B4688" s="32">
        <x:v>978.23</x:v>
      </x:c>
      <x:c r="C4688" s="32">
        <x:v>979.85</x:v>
      </x:c>
      <x:c r="D4688" s="32">
        <x:v>975.93</x:v>
      </x:c>
      <x:c r="E4688" s="32">
        <x:v>978.63</x:v>
      </x:c>
      <x:c r="F4688" s="33">
        <x:v>102398830</x:v>
      </x:c>
      <x:c r="G4688" s="32" t="n">
        <x:f t="shared" si="210">AVERAGE(E4489:E4688)</x:f>
        <x:v>977.0599500000005</x:v>
      </x:c>
      <x:c r="H4688" s="37" t="n">
        <x:f t="shared" si="211">IFERROR(E4688/G4688-1,"")</x:f>
        <x:v>0.001606912656689552</x:v>
      </x:c>
      <x:c r="I4688" s="38" t="b">
        <x:f t="shared" si="212">E4688&lt;G4688</x:f>
        <x:v>0</x:v>
      </x:c>
    </x:row>
    <x:row r="4689">
      <x:c r="A4689" s="31">
        <x:v>43851</x:v>
      </x:c>
      <x:c r="B4689" s="32">
        <x:v>978.82</x:v>
      </x:c>
      <x:c r="C4689" s="32">
        <x:v>986.37</x:v>
      </x:c>
      <x:c r="D4689" s="32">
        <x:v>978.63</x:v>
      </x:c>
      <x:c r="E4689" s="32">
        <x:v>986.37</x:v>
      </x:c>
      <x:c r="F4689" s="33">
        <x:v>128887950</x:v>
      </x:c>
      <x:c r="G4689" s="32" t="n">
        <x:f t="shared" si="210">AVERAGE(E4490:E4689)</x:f>
        <x:v>977.0040000000005</x:v>
      </x:c>
      <x:c r="H4689" s="37" t="n">
        <x:f t="shared" si="211">IFERROR(E4689/G4689-1,"")</x:f>
        <x:v>0.009586450004298364</x:v>
      </x:c>
      <x:c r="I4689" s="38" t="b">
        <x:f t="shared" si="212">E4689&lt;G4689</x:f>
        <x:v>0</x:v>
      </x:c>
    </x:row>
    <x:row r="4690">
      <x:c r="A4690" s="31">
        <x:v>43852</x:v>
      </x:c>
      <x:c r="B4690" s="32">
        <x:v>986.52</x:v>
      </x:c>
      <x:c r="C4690" s="32">
        <x:v>991.46</x:v>
      </x:c>
      <x:c r="D4690" s="32">
        <x:v>983.92</x:v>
      </x:c>
      <x:c r="E4690" s="32">
        <x:v>991.46</x:v>
      </x:c>
      <x:c r="F4690" s="33">
        <x:v>128966880</x:v>
      </x:c>
      <x:c r="G4690" s="32" t="n">
        <x:f t="shared" si="210">AVERAGE(E4491:E4690)</x:f>
        <x:v>977.0189000000003</x:v>
      </x:c>
      <x:c r="H4690" s="37" t="n">
        <x:f t="shared" si="211">IFERROR(E4690/G4690-1,"")</x:f>
        <x:v>0.014780778549933649</x:v>
      </x:c>
      <x:c r="I4690" s="38" t="b">
        <x:f t="shared" si="212">E4690&lt;G4690</x:f>
        <x:v>0</x:v>
      </x:c>
    </x:row>
    <x:row r="4691">
      <x:c r="A4691" s="31">
        <x:v>43860</x:v>
      </x:c>
      <x:c r="B4691" s="32">
        <x:v>975.15</x:v>
      </x:c>
      <x:c r="C4691" s="32">
        <x:v>991.46</x:v>
      </x:c>
      <x:c r="D4691" s="32">
        <x:v>954</x:v>
      </x:c>
      <x:c r="E4691" s="32">
        <x:v>959.58</x:v>
      </x:c>
      <x:c r="F4691" s="33">
        <x:v>181385230</x:v>
      </x:c>
      <x:c r="G4691" s="32" t="n">
        <x:f t="shared" si="210">AVERAGE(E4492:E4691)</x:f>
        <x:v>976.9072500000003</x:v>
      </x:c>
      <x:c r="H4691" s="37" t="n">
        <x:f t="shared" si="211">IFERROR(E4691/G4691-1,"")</x:f>
        <x:v>-0.017736842468924485</x:v>
      </x:c>
      <x:c r="I4691" s="38" t="b">
        <x:f t="shared" si="212">E4691&lt;G4691</x:f>
        <x:v>1</x:v>
      </x:c>
    </x:row>
    <x:row r="4692">
      <x:c r="A4692" s="31">
        <x:v>43861</x:v>
      </x:c>
      <x:c r="B4692" s="32">
        <x:v>959.58</x:v>
      </x:c>
      <x:c r="C4692" s="32">
        <x:v>960.96</x:v>
      </x:c>
      <x:c r="D4692" s="32">
        <x:v>936.62</x:v>
      </x:c>
      <x:c r="E4692" s="32">
        <x:v>936.62</x:v>
      </x:c>
      <x:c r="F4692" s="33">
        <x:v>210630210</x:v>
      </x:c>
      <x:c r="G4692" s="32" t="n">
        <x:f t="shared" si="210">AVERAGE(E4493:E4692)</x:f>
        <x:v>976.6606000000003</x:v>
      </x:c>
      <x:c r="H4692" s="37" t="n">
        <x:f t="shared" si="211">IFERROR(E4692/G4692-1,"")</x:f>
        <x:v>-0.0409974560251537</x:v>
      </x:c>
      <x:c r="I4692" s="38" t="b">
        <x:f t="shared" si="212">E4692&lt;G4692</x:f>
        <x:v>1</x:v>
      </x:c>
    </x:row>
    <x:row r="4693">
      <x:c r="A4693" s="31">
        <x:v>43864</x:v>
      </x:c>
      <x:c r="B4693" s="32">
        <x:v>916.6</x:v>
      </x:c>
      <x:c r="C4693" s="32">
        <x:v>936.62</x:v>
      </x:c>
      <x:c r="D4693" s="32">
        <x:v>891.85</x:v>
      </x:c>
      <x:c r="E4693" s="32">
        <x:v>928.14</x:v>
      </x:c>
      <x:c r="F4693" s="33">
        <x:v>246408370</x:v>
      </x:c>
      <x:c r="G4693" s="32" t="n">
        <x:f t="shared" si="210">AVERAGE(E4494:E4693)</x:f>
        <x:v>976.3868000000002</x:v>
      </x:c>
      <x:c r="H4693" s="37" t="n">
        <x:f t="shared" si="211">IFERROR(E4693/G4693-1,"")</x:f>
        <x:v>-0.04941361353922469</x:v>
      </x:c>
      <x:c r="I4693" s="38" t="b">
        <x:f t="shared" si="212">E4693&lt;G4693</x:f>
        <x:v>1</x:v>
      </x:c>
    </x:row>
    <x:row r="4694">
      <x:c r="A4694" s="31">
        <x:v>43865</x:v>
      </x:c>
      <x:c r="B4694" s="32">
        <x:v>929.42</x:v>
      </x:c>
      <x:c r="C4694" s="32">
        <x:v>934.91</x:v>
      </x:c>
      <x:c r="D4694" s="32">
        <x:v>919.33</x:v>
      </x:c>
      <x:c r="E4694" s="32">
        <x:v>929.09</x:v>
      </x:c>
      <x:c r="F4694" s="33">
        <x:v>178000400</x:v>
      </x:c>
      <x:c r="G4694" s="32" t="n">
        <x:f t="shared" si="210">AVERAGE(E4495:E4694)</x:f>
        <x:v>976.1464000000003</x:v>
      </x:c>
      <x:c r="H4694" s="37" t="n">
        <x:f t="shared" si="211">IFERROR(E4694/G4694-1,"")</x:f>
        <x:v>-0.04820629364611728</x:v>
      </x:c>
      <x:c r="I4694" s="38" t="b">
        <x:f t="shared" si="212">E4694&lt;G4694</x:f>
        <x:v>1</x:v>
      </x:c>
    </x:row>
    <x:row r="4695">
      <x:c r="A4695" s="31">
        <x:v>43866</x:v>
      </x:c>
      <x:c r="B4695" s="32">
        <x:v>934.75</x:v>
      </x:c>
      <x:c r="C4695" s="32">
        <x:v>936.33</x:v>
      </x:c>
      <x:c r="D4695" s="32">
        <x:v>921.89</x:v>
      </x:c>
      <x:c r="E4695" s="32">
        <x:v>925.91</x:v>
      </x:c>
      <x:c r="F4695" s="33">
        <x:v>163682070</x:v>
      </x:c>
      <x:c r="G4695" s="32" t="n">
        <x:f t="shared" si="210">AVERAGE(E4496:E4695)</x:f>
        <x:v>975.9154500000003</x:v>
      </x:c>
      <x:c r="H4695" s="37" t="n">
        <x:f t="shared" si="211">IFERROR(E4695/G4695-1,"")</x:f>
        <x:v>-0.05123953104749013</x:v>
      </x:c>
      <x:c r="I4695" s="38" t="b">
        <x:f t="shared" si="212">E4695&lt;G4695</x:f>
        <x:v>1</x:v>
      </x:c>
    </x:row>
    <x:row r="4696">
      <x:c r="A4696" s="31">
        <x:v>43867</x:v>
      </x:c>
      <x:c r="B4696" s="32">
        <x:v>926.66</x:v>
      </x:c>
      <x:c r="C4696" s="32">
        <x:v>938.54</x:v>
      </x:c>
      <x:c r="D4696" s="32">
        <x:v>925.21</x:v>
      </x:c>
      <x:c r="E4696" s="32">
        <x:v>938.54</x:v>
      </x:c>
      <x:c r="F4696" s="33">
        <x:v>206129040</x:v>
      </x:c>
      <x:c r="G4696" s="32" t="n">
        <x:f t="shared" si="210">AVERAGE(E4497:E4696)</x:f>
        <x:v>975.7966500000002</x:v>
      </x:c>
      <x:c r="H4696" s="37" t="n">
        <x:f t="shared" si="211">IFERROR(E4696/G4696-1,"")</x:f>
        <x:v>-0.03818075210649707</x:v>
      </x:c>
      <x:c r="I4696" s="38" t="b">
        <x:f t="shared" si="212">E4696&lt;G4696</x:f>
        <x:v>1</x:v>
      </x:c>
    </x:row>
    <x:row r="4697">
      <x:c r="A4697" s="31">
        <x:v>43868</x:v>
      </x:c>
      <x:c r="B4697" s="32">
        <x:v>938.61</x:v>
      </x:c>
      <x:c r="C4697" s="32">
        <x:v>943.48</x:v>
      </x:c>
      <x:c r="D4697" s="32">
        <x:v>935.94</x:v>
      </x:c>
      <x:c r="E4697" s="32">
        <x:v>940.75</x:v>
      </x:c>
      <x:c r="F4697" s="33">
        <x:v>165020480</x:v>
      </x:c>
      <x:c r="G4697" s="32" t="n">
        <x:f t="shared" si="210">AVERAGE(E4498:E4697)</x:f>
        <x:v>975.6693500000001</x:v>
      </x:c>
      <x:c r="H4697" s="37" t="n">
        <x:f t="shared" si="211">IFERROR(E4697/G4697-1,"")</x:f>
        <x:v>-0.03579014755357446</x:v>
      </x:c>
      <x:c r="I4697" s="38" t="b">
        <x:f t="shared" si="212">E4697&lt;G4697</x:f>
        <x:v>1</x:v>
      </x:c>
    </x:row>
    <x:row r="4698">
      <x:c r="A4698" s="31">
        <x:v>43871</x:v>
      </x:c>
      <x:c r="B4698" s="32">
        <x:v>934.38</x:v>
      </x:c>
      <x:c r="C4698" s="32">
        <x:v>940.75</x:v>
      </x:c>
      <x:c r="D4698" s="32">
        <x:v>926.61</x:v>
      </x:c>
      <x:c r="E4698" s="32">
        <x:v>930.73</x:v>
      </x:c>
      <x:c r="F4698" s="33">
        <x:v>129573270</x:v>
      </x:c>
      <x:c r="G4698" s="32" t="n">
        <x:f t="shared" si="210">AVERAGE(E4499:E4698)</x:f>
        <x:v>975.4937000000002</x:v>
      </x:c>
      <x:c r="H4698" s="37" t="n">
        <x:f t="shared" si="211">IFERROR(E4698/G4698-1,"")</x:f>
        <x:v>-0.045888251251648415</x:v>
      </x:c>
      <x:c r="I4698" s="38" t="b">
        <x:f t="shared" si="212">E4698&lt;G4698</x:f>
        <x:v>1</x:v>
      </x:c>
    </x:row>
    <x:row r="4699">
      <x:c r="A4699" s="31">
        <x:v>43872</x:v>
      </x:c>
      <x:c r="B4699" s="32">
        <x:v>930.73</x:v>
      </x:c>
      <x:c r="C4699" s="32">
        <x:v>936.04</x:v>
      </x:c>
      <x:c r="D4699" s="32">
        <x:v>930.73</x:v>
      </x:c>
      <x:c r="E4699" s="32">
        <x:v>934.67</x:v>
      </x:c>
      <x:c r="F4699" s="33">
        <x:v>159265510</x:v>
      </x:c>
      <x:c r="G4699" s="32" t="n">
        <x:f t="shared" si="210">AVERAGE(E4500:E4699)</x:f>
        <x:v>975.3270500000003</x:v>
      </x:c>
      <x:c r="H4699" s="37" t="n">
        <x:f t="shared" si="211">IFERROR(E4699/G4699-1,"")</x:f>
        <x:v>-0.04168555562977605</x:v>
      </x:c>
      <x:c r="I4699" s="38" t="b">
        <x:f t="shared" si="212">E4699&lt;G4699</x:f>
        <x:v>1</x:v>
      </x:c>
    </x:row>
    <x:row r="4700">
      <x:c r="A4700" s="31">
        <x:v>43873</x:v>
      </x:c>
      <x:c r="B4700" s="32">
        <x:v>940.72</x:v>
      </x:c>
      <x:c r="C4700" s="32">
        <x:v>943.11</x:v>
      </x:c>
      <x:c r="D4700" s="32">
        <x:v>934.67</x:v>
      </x:c>
      <x:c r="E4700" s="32">
        <x:v>937.68</x:v>
      </x:c>
      <x:c r="F4700" s="33">
        <x:v>187439280</x:v>
      </x:c>
      <x:c r="G4700" s="32" t="n">
        <x:f t="shared" si="210">AVERAGE(E4501:E4700)</x:f>
        <x:v>975.1308500000002</x:v>
      </x:c>
      <x:c r="H4700" s="37" t="n">
        <x:f t="shared" si="211">IFERROR(E4700/G4700-1,"")</x:f>
        <x:v>-0.038405973926473824</x:v>
      </x:c>
      <x:c r="I4700" s="38" t="b">
        <x:f t="shared" si="212">E4700&lt;G4700</x:f>
        <x:v>1</x:v>
      </x:c>
    </x:row>
    <x:row r="4701">
      <x:c r="A4701" s="31">
        <x:v>43874</x:v>
      </x:c>
      <x:c r="B4701" s="32">
        <x:v>937.19</x:v>
      </x:c>
      <x:c r="C4701" s="32">
        <x:v>939.1</x:v>
      </x:c>
      <x:c r="D4701" s="32">
        <x:v>934.47</x:v>
      </x:c>
      <x:c r="E4701" s="32">
        <x:v>938.24</x:v>
      </x:c>
      <x:c r="F4701" s="33">
        <x:v>153479610</x:v>
      </x:c>
      <x:c r="G4701" s="32" t="n">
        <x:f t="shared" si="210">AVERAGE(E4502:E4701)</x:f>
        <x:v>974.9514000000001</x:v>
      </x:c>
      <x:c r="H4701" s="37" t="n">
        <x:f t="shared" si="211">IFERROR(E4701/G4701-1,"")</x:f>
        <x:v>-0.037654594885447756</x:v>
      </x:c>
      <x:c r="I4701" s="38" t="b">
        <x:f t="shared" si="212">E4701&lt;G4701</x:f>
        <x:v>1</x:v>
      </x:c>
    </x:row>
    <x:row r="4702">
      <x:c r="A4702" s="31">
        <x:v>43875</x:v>
      </x:c>
      <x:c r="B4702" s="32">
        <x:v>939.28</x:v>
      </x:c>
      <x:c r="C4702" s="32">
        <x:v>940.65</x:v>
      </x:c>
      <x:c r="D4702" s="32">
        <x:v>936.47</x:v>
      </x:c>
      <x:c r="E4702" s="32">
        <x:v>937.45</x:v>
      </x:c>
      <x:c r="F4702" s="33">
        <x:v>172195600</x:v>
      </x:c>
      <x:c r="G4702" s="32" t="n">
        <x:f t="shared" si="210">AVERAGE(E4503:E4702)</x:f>
        <x:v>974.7404500000001</x:v>
      </x:c>
      <x:c r="H4702" s="37" t="n">
        <x:f t="shared" si="211">IFERROR(E4702/G4702-1,"")</x:f>
        <x:v>-0.038256799540841935</x:v>
      </x:c>
      <x:c r="I4702" s="38" t="b">
        <x:f t="shared" si="212">E4702&lt;G4702</x:f>
        <x:v>1</x:v>
      </x:c>
    </x:row>
    <x:row r="4703">
      <x:c r="A4703" s="31">
        <x:v>43878</x:v>
      </x:c>
      <x:c r="B4703" s="32">
        <x:v>938.52</x:v>
      </x:c>
      <x:c r="C4703" s="32">
        <x:v>938.52</x:v>
      </x:c>
      <x:c r="D4703" s="32">
        <x:v>931.66</x:v>
      </x:c>
      <x:c r="E4703" s="32">
        <x:v>934.77</x:v>
      </x:c>
      <x:c r="F4703" s="33">
        <x:v>149349950</x:v>
      </x:c>
      <x:c r="G4703" s="32" t="n">
        <x:f t="shared" si="210">AVERAGE(E4504:E4703)</x:f>
        <x:v>974.5218000000002</x:v>
      </x:c>
      <x:c r="H4703" s="37" t="n">
        <x:f t="shared" si="211">IFERROR(E4703/G4703-1,"")</x:f>
        <x:v>-0.040791083380587456</x:v>
      </x:c>
      <x:c r="I4703" s="38" t="b">
        <x:f t="shared" si="212">E4703&lt;G4703</x:f>
        <x:v>1</x:v>
      </x:c>
    </x:row>
    <x:row r="4704">
      <x:c r="A4704" s="31">
        <x:v>43879</x:v>
      </x:c>
      <x:c r="B4704" s="32">
        <x:v>927.93</x:v>
      </x:c>
      <x:c r="C4704" s="32">
        <x:v>934.98</x:v>
      </x:c>
      <x:c r="D4704" s="32">
        <x:v>926.01</x:v>
      </x:c>
      <x:c r="E4704" s="32">
        <x:v>927.93</x:v>
      </x:c>
      <x:c r="F4704" s="33">
        <x:v>164327840</x:v>
      </x:c>
      <x:c r="G4704" s="32" t="n">
        <x:f t="shared" si="210">AVERAGE(E4505:E4704)</x:f>
        <x:v>974.2907500000002</x:v>
      </x:c>
      <x:c r="H4704" s="37" t="n">
        <x:f t="shared" si="211">IFERROR(E4704/G4704-1,"")</x:f>
        <x:v>-0.04758410156311166</x:v>
      </x:c>
      <x:c r="I4704" s="38" t="b">
        <x:f t="shared" si="212">E4704&lt;G4704</x:f>
        <x:v>1</x:v>
      </x:c>
    </x:row>
    <x:row r="4705">
      <x:c r="A4705" s="31">
        <x:v>43880</x:v>
      </x:c>
      <x:c r="B4705" s="32">
        <x:v>926.41</x:v>
      </x:c>
      <x:c r="C4705" s="32">
        <x:v>931.66</x:v>
      </x:c>
      <x:c r="D4705" s="32">
        <x:v>925.86</x:v>
      </x:c>
      <x:c r="E4705" s="32">
        <x:v>928.76</x:v>
      </x:c>
      <x:c r="F4705" s="33">
        <x:v>161801070</x:v>
      </x:c>
      <x:c r="G4705" s="32" t="n">
        <x:f t="shared" si="210">AVERAGE(E4506:E4705)</x:f>
        <x:v>974.1447000000003</x:v>
      </x:c>
      <x:c r="H4705" s="37" t="n">
        <x:f t="shared" si="211">IFERROR(E4705/G4705-1,"")</x:f>
        <x:v>-0.04658927980617278</x:v>
      </x:c>
      <x:c r="I4705" s="38" t="b">
        <x:f t="shared" si="212">E4705&lt;G4705</x:f>
        <x:v>1</x:v>
      </x:c>
    </x:row>
    <x:row r="4706">
      <x:c r="A4706" s="31">
        <x:v>43881</x:v>
      </x:c>
      <x:c r="B4706" s="32">
        <x:v>933.69</x:v>
      </x:c>
      <x:c r="C4706" s="32">
        <x:v>938.13</x:v>
      </x:c>
      <x:c r="D4706" s="32">
        <x:v>928.76</x:v>
      </x:c>
      <x:c r="E4706" s="32">
        <x:v>938.13</x:v>
      </x:c>
      <x:c r="F4706" s="33">
        <x:v>183636850</x:v>
      </x:c>
      <x:c r="G4706" s="32" t="n">
        <x:f t="shared" si="210">AVERAGE(E4507:E4706)</x:f>
        <x:v>974.0475500000003</x:v>
      </x:c>
      <x:c r="H4706" s="37" t="n">
        <x:f t="shared" si="211">IFERROR(E4706/G4706-1,"")</x:f>
        <x:v>-0.0368745345132282</x:v>
      </x:c>
      <x:c r="I4706" s="38" t="b">
        <x:f t="shared" si="212">E4706&lt;G4706</x:f>
        <x:v>1</x:v>
      </x:c>
    </x:row>
    <x:row r="4707">
      <x:c r="A4707" s="31">
        <x:v>43882</x:v>
      </x:c>
      <x:c r="B4707" s="32">
        <x:v>938.13</x:v>
      </x:c>
      <x:c r="C4707" s="32">
        <x:v>940.53</x:v>
      </x:c>
      <x:c r="D4707" s="32">
        <x:v>932.32</x:v>
      </x:c>
      <x:c r="E4707" s="32">
        <x:v>933.09</x:v>
      </x:c>
      <x:c r="F4707" s="33">
        <x:v>179503790</x:v>
      </x:c>
      <x:c r="G4707" s="32" t="n">
        <x:f t="shared" si="210">AVERAGE(E4508:E4707)</x:f>
        <x:v>973.9569000000005</x:v>
      </x:c>
      <x:c r="H4707" s="37" t="n">
        <x:f t="shared" si="211">IFERROR(E4707/G4707-1,"")</x:f>
        <x:v>-0.04195965961122139</x:v>
      </x:c>
      <x:c r="I4707" s="38" t="b">
        <x:f t="shared" si="212">E4707&lt;G4707</x:f>
        <x:v>1</x:v>
      </x:c>
    </x:row>
    <x:row r="4708">
      <x:c r="A4708" s="31">
        <x:v>43885</x:v>
      </x:c>
      <x:c r="B4708" s="32">
        <x:v>917.49</x:v>
      </x:c>
      <x:c r="C4708" s="32">
        <x:v>917.49</x:v>
      </x:c>
      <x:c r="D4708" s="32">
        <x:v>903.34</x:v>
      </x:c>
      <x:c r="E4708" s="32">
        <x:v>903.34</x:v>
      </x:c>
      <x:c r="F4708" s="33">
        <x:v>255965410</x:v>
      </x:c>
      <x:c r="G4708" s="32" t="n">
        <x:f t="shared" si="210">AVERAGE(E4509:E4708)</x:f>
        <x:v>973.7385500000004</x:v>
      </x:c>
      <x:c r="H4708" s="37" t="n">
        <x:f t="shared" si="211">IFERROR(E4708/G4708-1,"")</x:f>
        <x:v>-0.0722971787447465</x:v>
      </x:c>
      <x:c r="I4708" s="38" t="b">
        <x:f t="shared" si="212">E4708&lt;G4708</x:f>
        <x:v>1</x:v>
      </x:c>
    </x:row>
    <x:row r="4709">
      <x:c r="A4709" s="31">
        <x:v>43886</x:v>
      </x:c>
      <x:c r="B4709" s="32">
        <x:v>893.95</x:v>
      </x:c>
      <x:c r="C4709" s="32">
        <x:v>909.67</x:v>
      </x:c>
      <x:c r="D4709" s="32">
        <x:v>893.95</x:v>
      </x:c>
      <x:c r="E4709" s="32">
        <x:v>909.67</x:v>
      </x:c>
      <x:c r="F4709" s="33">
        <x:v>186008510</x:v>
      </x:c>
      <x:c r="G4709" s="32" t="n">
        <x:f t="shared" si="210">AVERAGE(E4510:E4709)</x:f>
        <x:v>973.5241500000005</x:v>
      </x:c>
      <x:c r="H4709" s="37" t="n">
        <x:f t="shared" si="211">IFERROR(E4709/G4709-1,"")</x:f>
        <x:v>-0.06559072006585609</x:v>
      </x:c>
      <x:c r="I4709" s="38" t="b">
        <x:f t="shared" si="212">E4709&lt;G4709</x:f>
        <x:v>1</x:v>
      </x:c>
    </x:row>
    <x:row r="4710">
      <x:c r="A4710" s="31">
        <x:v>43887</x:v>
      </x:c>
      <x:c r="B4710" s="32">
        <x:v>901.51</x:v>
      </x:c>
      <x:c r="C4710" s="32">
        <x:v>903.27</x:v>
      </x:c>
      <x:c r="D4710" s="32">
        <x:v>894.25</x:v>
      </x:c>
      <x:c r="E4710" s="32">
        <x:v>895.97</x:v>
      </x:c>
      <x:c r="F4710" s="33">
        <x:v>131173700</x:v>
      </x:c>
      <x:c r="G4710" s="32" t="n">
        <x:f t="shared" si="210">AVERAGE(E4511:E4710)</x:f>
        <x:v>973.2113000000005</x:v>
      </x:c>
      <x:c r="H4710" s="37" t="n">
        <x:f t="shared" si="211">IFERROR(E4710/G4710-1,"")</x:f>
        <x:v>-0.07936745083005148</x:v>
      </x:c>
      <x:c r="I4710" s="38" t="b">
        <x:f t="shared" si="212">E4710&lt;G4710</x:f>
        <x:v>1</x:v>
      </x:c>
    </x:row>
    <x:row r="4711">
      <x:c r="A4711" s="31">
        <x:v>43888</x:v>
      </x:c>
      <x:c r="B4711" s="32">
        <x:v>892.15</x:v>
      </x:c>
      <x:c r="C4711" s="32">
        <x:v>899.34</x:v>
      </x:c>
      <x:c r="D4711" s="32">
        <x:v>889.14</x:v>
      </x:c>
      <x:c r="E4711" s="32">
        <x:v>898.44</x:v>
      </x:c>
      <x:c r="F4711" s="33">
        <x:v>135468580</x:v>
      </x:c>
      <x:c r="G4711" s="32" t="n">
        <x:f t="shared" si="210">AVERAGE(E4512:E4711)</x:f>
        <x:v>972.8768000000005</x:v>
      </x:c>
      <x:c r="H4711" s="37" t="n">
        <x:f t="shared" si="211">IFERROR(E4711/G4711-1,"")</x:f>
        <x:v>-0.07651205168013087</x:v>
      </x:c>
      <x:c r="I4711" s="38" t="b">
        <x:f t="shared" si="212">E4711&lt;G4711</x:f>
        <x:v>1</x:v>
      </x:c>
    </x:row>
    <x:row r="4712">
      <x:c r="A4712" s="31">
        <x:v>43889</x:v>
      </x:c>
      <x:c r="B4712" s="32">
        <x:v>885.47</x:v>
      </x:c>
      <x:c r="C4712" s="32">
        <x:v>898.44</x:v>
      </x:c>
      <x:c r="D4712" s="32">
        <x:v>872.46</x:v>
      </x:c>
      <x:c r="E4712" s="32">
        <x:v>882.19</x:v>
      </x:c>
      <x:c r="F4712" s="33">
        <x:v>184315860</x:v>
      </x:c>
      <x:c r="G4712" s="32" t="n">
        <x:f t="shared" si="210">AVERAGE(E4513:E4712)</x:f>
        <x:v>972.4095500000006</x:v>
      </x:c>
      <x:c r="H4712" s="37" t="n">
        <x:f t="shared" si="211">IFERROR(E4712/G4712-1,"")</x:f>
        <x:v>-0.09277937469865505</x:v>
      </x:c>
      <x:c r="I4712" s="38" t="b">
        <x:f t="shared" si="212">E4712&lt;G4712</x:f>
        <x:v>1</x:v>
      </x:c>
    </x:row>
    <x:row r="4713">
      <x:c r="A4713" s="31">
        <x:v>43892</x:v>
      </x:c>
      <x:c r="B4713" s="32">
        <x:v>878.43</x:v>
      </x:c>
      <x:c r="C4713" s="32">
        <x:v>886.45</x:v>
      </x:c>
      <x:c r="D4713" s="32">
        <x:v>877.31</x:v>
      </x:c>
      <x:c r="E4713" s="32">
        <x:v>884.43</x:v>
      </x:c>
      <x:c r="F4713" s="33">
        <x:v>173927240</x:v>
      </x:c>
      <x:c r="G4713" s="32" t="n">
        <x:f t="shared" si="210">AVERAGE(E4514:E4713)</x:f>
        <x:v>971.9532500000004</x:v>
      </x:c>
      <x:c r="H4713" s="37" t="n">
        <x:f t="shared" si="211">IFERROR(E4713/G4713-1,"")</x:f>
        <x:v>-0.09004882693689265</x:v>
      </x:c>
      <x:c r="I4713" s="38" t="b">
        <x:f t="shared" si="212">E4713&lt;G4713</x:f>
        <x:v>1</x:v>
      </x:c>
    </x:row>
    <x:row r="4714">
      <x:c r="A4714" s="31">
        <x:v>43893</x:v>
      </x:c>
      <x:c r="B4714" s="32">
        <x:v>895.39</x:v>
      </x:c>
      <x:c r="C4714" s="32">
        <x:v>896.39</x:v>
      </x:c>
      <x:c r="D4714" s="32">
        <x:v>884.43</x:v>
      </x:c>
      <x:c r="E4714" s="32">
        <x:v>890.61</x:v>
      </x:c>
      <x:c r="F4714" s="33">
        <x:v>176373200</x:v>
      </x:c>
      <x:c r="G4714" s="32" t="n">
        <x:f t="shared" si="210">AVERAGE(E4515:E4714)</x:f>
        <x:v>971.5239000000003</x:v>
      </x:c>
      <x:c r="H4714" s="37" t="n">
        <x:f t="shared" si="211">IFERROR(E4714/G4714-1,"")</x:f>
        <x:v>-0.08328554758148532</x:v>
      </x:c>
      <x:c r="I4714" s="38" t="b">
        <x:f t="shared" si="212">E4714&lt;G4714</x:f>
        <x:v>1</x:v>
      </x:c>
    </x:row>
    <x:row r="4715">
      <x:c r="A4715" s="31">
        <x:v>43894</x:v>
      </x:c>
      <x:c r="B4715" s="32">
        <x:v>887.85</x:v>
      </x:c>
      <x:c r="C4715" s="32">
        <x:v>890.61</x:v>
      </x:c>
      <x:c r="D4715" s="32">
        <x:v>882.83</x:v>
      </x:c>
      <x:c r="E4715" s="32">
        <x:v>889.37</x:v>
      </x:c>
      <x:c r="F4715" s="33">
        <x:v>195439390</x:v>
      </x:c>
      <x:c r="G4715" s="32" t="n">
        <x:f t="shared" si="210">AVERAGE(E4516:E4715)</x:f>
        <x:v>971.0351000000003</x:v>
      </x:c>
      <x:c r="H4715" s="37" t="n">
        <x:f t="shared" si="211">IFERROR(E4715/G4715-1,"")</x:f>
        <x:v>-0.08410107935336242</x:v>
      </x:c>
      <x:c r="I4715" s="38" t="b">
        <x:f t="shared" si="212">E4715&lt;G4715</x:f>
        <x:v>1</x:v>
      </x:c>
    </x:row>
    <x:row r="4716">
      <x:c r="A4716" s="31">
        <x:v>43895</x:v>
      </x:c>
      <x:c r="B4716" s="32">
        <x:v>892.71</x:v>
      </x:c>
      <x:c r="C4716" s="32">
        <x:v>898.43</x:v>
      </x:c>
      <x:c r="D4716" s="32">
        <x:v>889.37</x:v>
      </x:c>
      <x:c r="E4716" s="32">
        <x:v>893.31</x:v>
      </x:c>
      <x:c r="F4716" s="33">
        <x:v>209158850</x:v>
      </x:c>
      <x:c r="G4716" s="32" t="n">
        <x:f t="shared" si="210">AVERAGE(E4517:E4716)</x:f>
        <x:v>970.5702000000003</x:v>
      </x:c>
      <x:c r="H4716" s="37" t="n">
        <x:f t="shared" si="211">IFERROR(E4716/G4716-1,"")</x:f>
        <x:v>-0.07960289734838388</x:v>
      </x:c>
      <x:c r="I4716" s="38" t="b">
        <x:f t="shared" si="212">E4716&lt;G4716</x:f>
        <x:v>1</x:v>
      </x:c>
    </x:row>
    <x:row r="4717">
      <x:c r="A4717" s="31">
        <x:v>43896</x:v>
      </x:c>
      <x:c r="B4717" s="32">
        <x:v>888.96</x:v>
      </x:c>
      <x:c r="C4717" s="32">
        <x:v>893.31</x:v>
      </x:c>
      <x:c r="D4717" s="32">
        <x:v>882.71</x:v>
      </x:c>
      <x:c r="E4717" s="32">
        <x:v>891.44</x:v>
      </x:c>
      <x:c r="F4717" s="33">
        <x:v>175600680</x:v>
      </x:c>
      <x:c r="G4717" s="32" t="n">
        <x:f t="shared" si="210">AVERAGE(E4518:E4717)</x:f>
        <x:v>970.1085000000002</x:v>
      </x:c>
      <x:c r="H4717" s="37" t="n">
        <x:f t="shared" si="211">IFERROR(E4717/G4717-1,"")</x:f>
        <x:v>-0.08109247573853862</x:v>
      </x:c>
      <x:c r="I4717" s="38" t="b">
        <x:f t="shared" si="212">E4717&lt;G4717</x:f>
        <x:v>1</x:v>
      </x:c>
    </x:row>
    <x:row r="4718">
      <x:c r="A4718" s="31">
        <x:v>43899</x:v>
      </x:c>
      <x:c r="B4718" s="32">
        <x:v>875.8</x:v>
      </x:c>
      <x:c r="C4718" s="32">
        <x:v>891.44</x:v>
      </x:c>
      <x:c r="D4718" s="32">
        <x:v>834.67</x:v>
      </x:c>
      <x:c r="E4718" s="32">
        <x:v>835.49</x:v>
      </x:c>
      <x:c r="F4718" s="33">
        <x:v>273180820</x:v>
      </x:c>
      <x:c r="G4718" s="32" t="n">
        <x:f t="shared" si="210">AVERAGE(E4519:E4718)</x:f>
        <x:v>969.3724000000001</x:v>
      </x:c>
      <x:c r="H4718" s="37" t="n">
        <x:f t="shared" si="211">IFERROR(E4718/G4718-1,"")</x:f>
        <x:v>-0.13811245296441288</x:v>
      </x:c>
      <x:c r="I4718" s="38" t="b">
        <x:f t="shared" si="212">E4718&lt;G4718</x:f>
        <x:v>1</x:v>
      </x:c>
    </x:row>
    <x:row r="4719">
      <x:c r="A4719" s="31">
        <x:v>43900</x:v>
      </x:c>
      <x:c r="B4719" s="32">
        <x:v>813.83</x:v>
      </x:c>
      <x:c r="C4719" s="32">
        <x:v>843.28</x:v>
      </x:c>
      <x:c r="D4719" s="32">
        <x:v>806.63</x:v>
      </x:c>
      <x:c r="E4719" s="32">
        <x:v>837.5</x:v>
      </x:c>
      <x:c r="F4719" s="33">
        <x:v>242825240</x:v>
      </x:c>
      <x:c r="G4719" s="32" t="n">
        <x:f t="shared" si="210">AVERAGE(E4520:E4719)</x:f>
        <x:v>968.7097500000001</x:v>
      </x:c>
      <x:c r="H4719" s="37" t="n">
        <x:f t="shared" si="211">IFERROR(E4719/G4719-1,"")</x:f>
        <x:v>-0.13544795022451261</x:v>
      </x:c>
      <x:c r="I4719" s="38" t="b">
        <x:f t="shared" si="212">E4719&lt;G4719</x:f>
        <x:v>1</x:v>
      </x:c>
    </x:row>
    <x:row r="4720">
      <x:c r="A4720" s="31">
        <x:v>43901</x:v>
      </x:c>
      <x:c r="B4720" s="32">
        <x:v>843.52</x:v>
      </x:c>
      <x:c r="C4720" s="32">
        <x:v>844.94</x:v>
      </x:c>
      <x:c r="D4720" s="32">
        <x:v>794.54</x:v>
      </x:c>
      <x:c r="E4720" s="32">
        <x:v>811.35</x:v>
      </x:c>
      <x:c r="F4720" s="33">
        <x:v>278303370</x:v>
      </x:c>
      <x:c r="G4720" s="32" t="n">
        <x:f t="shared" si="210">AVERAGE(E4521:E4720)</x:f>
        <x:v>967.8908000000001</x:v>
      </x:c>
      <x:c r="H4720" s="37" t="n">
        <x:f t="shared" si="211">IFERROR(E4720/G4720-1,"")</x:f>
        <x:v>-0.1617339476726094</x:v>
      </x:c>
      <x:c r="I4720" s="38" t="b">
        <x:f t="shared" si="212">E4720&lt;G4720</x:f>
        <x:v>1</x:v>
      </x:c>
    </x:row>
    <x:row r="4721">
      <x:c r="A4721" s="31">
        <x:v>43902</x:v>
      </x:c>
      <x:c r="B4721" s="32">
        <x:v>778.06</x:v>
      </x:c>
      <x:c r="C4721" s="32">
        <x:v>811.35</x:v>
      </x:c>
      <x:c r="D4721" s="32">
        <x:v>762.12</x:v>
      </x:c>
      <x:c r="E4721" s="32">
        <x:v>769.25</x:v>
      </x:c>
      <x:c r="F4721" s="33">
        <x:v>311344630</x:v>
      </x:c>
      <x:c r="G4721" s="32" t="n">
        <x:f t="shared" si="210">AVERAGE(E4522:E4721)</x:f>
        <x:v>966.8770500000002</x:v>
      </x:c>
      <x:c r="H4721" s="37" t="n">
        <x:f t="shared" si="211">IFERROR(E4721/G4721-1,"")</x:f>
        <x:v>-0.2043972912584906</x:v>
      </x:c>
      <x:c r="I4721" s="38" t="b">
        <x:f t="shared" si="212">E4721&lt;G4721</x:f>
        <x:v>1</x:v>
      </x:c>
    </x:row>
    <x:row r="4722">
      <x:c r="A4722" s="31">
        <x:v>43903</x:v>
      </x:c>
      <x:c r="B4722" s="32">
        <x:v>750.56</x:v>
      </x:c>
      <x:c r="C4722" s="32">
        <x:v>769.25</x:v>
      </x:c>
      <x:c r="D4722" s="32">
        <x:v>723.42</x:v>
      </x:c>
      <x:c r="E4722" s="32">
        <x:v>761.78</x:v>
      </x:c>
      <x:c r="F4722" s="33">
        <x:v>289011560</x:v>
      </x:c>
      <x:c r="G4722" s="32" t="n">
        <x:f t="shared" si="210">AVERAGE(E4523:E4722)</x:f>
        <x:v>965.8282500000001</x:v>
      </x:c>
      <x:c r="H4722" s="37" t="n">
        <x:f t="shared" si="211">IFERROR(E4722/G4722-1,"")</x:f>
        <x:v>-0.21126763479945854</x:v>
      </x:c>
      <x:c r="I4722" s="38" t="b">
        <x:f t="shared" si="212">E4722&lt;G4722</x:f>
        <x:v>1</x:v>
      </x:c>
    </x:row>
    <x:row r="4723">
      <x:c r="A4723" s="31">
        <x:v>43906</x:v>
      </x:c>
      <x:c r="B4723" s="32">
        <x:v>758.28</x:v>
      </x:c>
      <x:c r="C4723" s="32">
        <x:v>758.59</x:v>
      </x:c>
      <x:c r="D4723" s="32">
        <x:v>737.58</x:v>
      </x:c>
      <x:c r="E4723" s="32">
        <x:v>747.86</x:v>
      </x:c>
      <x:c r="F4723" s="33">
        <x:v>222784370</x:v>
      </x:c>
      <x:c r="G4723" s="32" t="n">
        <x:f t="shared" si="210">AVERAGE(E4524:E4723)</x:f>
        <x:v>964.72085</x:v>
      </x:c>
      <x:c r="H4723" s="37" t="n">
        <x:f t="shared" si="211">IFERROR(E4723/G4723-1,"")</x:f>
        <x:v>-0.22479129584480317</x:v>
      </x:c>
      <x:c r="I4723" s="38" t="b">
        <x:f t="shared" si="212">E4723&lt;G4723</x:f>
        <x:v>1</x:v>
      </x:c>
    </x:row>
    <x:row r="4724">
      <x:c r="A4724" s="31">
        <x:v>43907</x:v>
      </x:c>
      <x:c r="B4724" s="32">
        <x:v>724.07</x:v>
      </x:c>
      <x:c r="C4724" s="32">
        <x:v>750.03</x:v>
      </x:c>
      <x:c r="D4724" s="32">
        <x:v>721.84</x:v>
      </x:c>
      <x:c r="E4724" s="32">
        <x:v>745.78</x:v>
      </x:c>
      <x:c r="F4724" s="33">
        <x:v>202420360</x:v>
      </x:c>
      <x:c r="G4724" s="32" t="n">
        <x:f t="shared" si="210">AVERAGE(E4525:E4724)</x:f>
        <x:v>963.6503500000002</x:v>
      </x:c>
      <x:c r="H4724" s="37" t="n">
        <x:f t="shared" si="211">IFERROR(E4724/G4724-1,"")</x:f>
        <x:v>-0.22608859115757096</x:v>
      </x:c>
      <x:c r="I4724" s="38" t="b">
        <x:f t="shared" si="212">E4724&lt;G4724</x:f>
        <x:v>1</x:v>
      </x:c>
    </x:row>
    <x:row r="4725">
      <x:c r="A4725" s="31">
        <x:v>43908</x:v>
      </x:c>
      <x:c r="B4725" s="32">
        <x:v>747.4</x:v>
      </x:c>
      <x:c r="C4725" s="32">
        <x:v>752.65</x:v>
      </x:c>
      <x:c r="D4725" s="32">
        <x:v>742.12</x:v>
      </x:c>
      <x:c r="E4725" s="32">
        <x:v>747.66</x:v>
      </x:c>
      <x:c r="F4725" s="33">
        <x:v>205460100</x:v>
      </x:c>
      <x:c r="G4725" s="32" t="n">
        <x:f t="shared" si="210">AVERAGE(E4526:E4725)</x:f>
        <x:v>962.6563000000002</x:v>
      </x:c>
      <x:c r="H4725" s="37" t="n">
        <x:f t="shared" si="211">IFERROR(E4725/G4725-1,"")</x:f>
        <x:v>-0.22333651169166002</x:v>
      </x:c>
      <x:c r="I4725" s="38" t="b">
        <x:f t="shared" si="212">E4725&lt;G4725</x:f>
        <x:v>1</x:v>
      </x:c>
    </x:row>
    <x:row r="4726">
      <x:c r="A4726" s="31">
        <x:v>43909</x:v>
      </x:c>
      <x:c r="B4726" s="32">
        <x:v>732.35</x:v>
      </x:c>
      <x:c r="C4726" s="32">
        <x:v>747.66</x:v>
      </x:c>
      <x:c r="D4726" s="32">
        <x:v>714.02</x:v>
      </x:c>
      <x:c r="E4726" s="32">
        <x:v>725.94</x:v>
      </x:c>
      <x:c r="F4726" s="33">
        <x:v>308921920</x:v>
      </x:c>
      <x:c r="G4726" s="32" t="n">
        <x:f t="shared" si="210">AVERAGE(E4527:E4726)</x:f>
        <x:v>961.5302000000001</x:v>
      </x:c>
      <x:c r="H4726" s="37" t="n">
        <x:f t="shared" si="211">IFERROR(E4726/G4726-1,"")</x:f>
        <x:v>-0.2450159131767261</x:v>
      </x:c>
      <x:c r="I4726" s="38" t="b">
        <x:f t="shared" si="212">E4726&lt;G4726</x:f>
        <x:v>1</x:v>
      </x:c>
    </x:row>
    <x:row r="4727">
      <x:c r="A4727" s="31">
        <x:v>43910</x:v>
      </x:c>
      <x:c r="B4727" s="32">
        <x:v>728.55</x:v>
      </x:c>
      <x:c r="C4727" s="32">
        <x:v>729.35</x:v>
      </x:c>
      <x:c r="D4727" s="32">
        <x:v>709.73</x:v>
      </x:c>
      <x:c r="E4727" s="32">
        <x:v>709.73</x:v>
      </x:c>
      <x:c r="F4727" s="33">
        <x:v>197474500</x:v>
      </x:c>
      <x:c r="G4727" s="32" t="n">
        <x:f t="shared" si="210">AVERAGE(E4528:E4727)</x:f>
        <x:v>960.3218000000004</x:v>
      </x:c>
      <x:c r="H4727" s="37" t="n">
        <x:f t="shared" si="211">IFERROR(E4727/G4727-1,"")</x:f>
        <x:v>-0.2609456538422852</x:v>
      </x:c>
      <x:c r="I4727" s="38" t="b">
        <x:f t="shared" si="212">E4727&lt;G4727</x:f>
        <x:v>1</x:v>
      </x:c>
    </x:row>
    <x:row r="4728">
      <x:c r="A4728" s="31">
        <x:v>43913</x:v>
      </x:c>
      <x:c r="B4728" s="32">
        <x:v>694.77</x:v>
      </x:c>
      <x:c r="C4728" s="32">
        <x:v>709.73</x:v>
      </x:c>
      <x:c r="D4728" s="32">
        <x:v>664.23</x:v>
      </x:c>
      <x:c r="E4728" s="32">
        <x:v>666.59</x:v>
      </x:c>
      <x:c r="F4728" s="33">
        <x:v>223310850</x:v>
      </x:c>
      <x:c r="G4728" s="32" t="n">
        <x:f t="shared" si="210">AVERAGE(E4529:E4728)</x:f>
        <x:v>958.9137000000004</x:v>
      </x:c>
      <x:c r="H4728" s="37" t="n">
        <x:f t="shared" si="211">IFERROR(E4728/G4728-1,"")</x:f>
        <x:v>-0.304848809647834</x:v>
      </x:c>
      <x:c r="I4728" s="38" t="b">
        <x:f t="shared" si="212">E4728&lt;G4728</x:f>
        <x:v>1</x:v>
      </x:c>
    </x:row>
    <x:row r="4729">
      <x:c r="A4729" s="31">
        <x:v>43914</x:v>
      </x:c>
      <x:c r="B4729" s="32">
        <x:v>666.59</x:v>
      </x:c>
      <x:c r="C4729" s="32">
        <x:v>666.59</x:v>
      </x:c>
      <x:c r="D4729" s="32">
        <x:v>652.27</x:v>
      </x:c>
      <x:c r="E4729" s="32">
        <x:v>659.21</x:v>
      </x:c>
      <x:c r="F4729" s="33">
        <x:v>212661260</x:v>
      </x:c>
      <x:c r="G4729" s="32" t="n">
        <x:f t="shared" si="210">AVERAGE(E4530:E4729)</x:f>
        <x:v>957.4183500000003</x:v>
      </x:c>
      <x:c r="H4729" s="37" t="n">
        <x:f t="shared" si="211">IFERROR(E4729/G4729-1,"")</x:f>
        <x:v>-0.3114713124100871</x:v>
      </x:c>
      <x:c r="I4729" s="38" t="b">
        <x:f t="shared" si="212">E4729&lt;G4729</x:f>
        <x:v>1</x:v>
      </x:c>
    </x:row>
    <x:row r="4730">
      <x:c r="A4730" s="31">
        <x:v>43915</x:v>
      </x:c>
      <x:c r="B4730" s="32">
        <x:v>669.76</x:v>
      </x:c>
      <x:c r="C4730" s="32">
        <x:v>690.25</x:v>
      </x:c>
      <x:c r="D4730" s="32">
        <x:v>659.21</x:v>
      </x:c>
      <x:c r="E4730" s="32">
        <x:v>690.25</x:v>
      </x:c>
      <x:c r="F4730" s="33">
        <x:v>209923920</x:v>
      </x:c>
      <x:c r="G4730" s="32" t="n">
        <x:f t="shared" si="210">AVERAGE(E4531:E4730)</x:f>
        <x:v>956.0551</x:v>
      </x:c>
      <x:c r="H4730" s="37" t="n">
        <x:f t="shared" si="211">IFERROR(E4730/G4730-1,"")</x:f>
        <x:v>-0.27802278341488895</x:v>
      </x:c>
      <x:c r="I4730" s="38" t="b">
        <x:f t="shared" si="212">E4730&lt;G4730</x:f>
        <x:v>1</x:v>
      </x:c>
    </x:row>
    <x:row r="4731">
      <x:c r="A4731" s="31">
        <x:v>43916</x:v>
      </x:c>
      <x:c r="B4731" s="32">
        <x:v>689</x:v>
      </x:c>
      <x:c r="C4731" s="32">
        <x:v>700.76</x:v>
      </x:c>
      <x:c r="D4731" s="32">
        <x:v>680.1</x:v>
      </x:c>
      <x:c r="E4731" s="32">
        <x:v>694.21</x:v>
      </x:c>
      <x:c r="F4731" s="33">
        <x:v>171216480</x:v>
      </x:c>
      <x:c r="G4731" s="32" t="n">
        <x:f t="shared" si="210">AVERAGE(E4532:E4731)</x:f>
        <x:v>954.7158000000002</x:v>
      </x:c>
      <x:c r="H4731" s="37" t="n">
        <x:f t="shared" si="211">IFERROR(E4731/G4731-1,"")</x:f>
        <x:v>-0.27286214389664454</x:v>
      </x:c>
      <x:c r="I4731" s="38" t="b">
        <x:f t="shared" si="212">E4731&lt;G4731</x:f>
        <x:v>1</x:v>
      </x:c>
    </x:row>
    <x:row r="4732">
      <x:c r="A4732" s="31">
        <x:v>43917</x:v>
      </x:c>
      <x:c r="B4732" s="32">
        <x:v>692.54</x:v>
      </x:c>
      <x:c r="C4732" s="32">
        <x:v>703.22</x:v>
      </x:c>
      <x:c r="D4732" s="32">
        <x:v>682.52</x:v>
      </x:c>
      <x:c r="E4732" s="32">
        <x:v>696.06</x:v>
      </x:c>
      <x:c r="F4732" s="33">
        <x:v>212339560</x:v>
      </x:c>
      <x:c r="G4732" s="32" t="n">
        <x:f t="shared" si="210">AVERAGE(E4533:E4732)</x:f>
        <x:v>953.4252500000001</x:v>
      </x:c>
      <x:c r="H4732" s="37" t="n">
        <x:f t="shared" si="211">IFERROR(E4732/G4732-1,"")</x:f>
        <x:v>-0.26993752263221493</x:v>
      </x:c>
      <x:c r="I4732" s="38" t="b">
        <x:f t="shared" si="212">E4732&lt;G4732</x:f>
        <x:v>1</x:v>
      </x:c>
    </x:row>
    <x:row r="4733">
      <x:c r="A4733" s="31">
        <x:v>43920</x:v>
      </x:c>
      <x:c r="B4733" s="32">
        <x:v>663.91</x:v>
      </x:c>
      <x:c r="C4733" s="32">
        <x:v>665.56</x:v>
      </x:c>
      <x:c r="D4733" s="32">
        <x:v>657.36</x:v>
      </x:c>
      <x:c r="E4733" s="32">
        <x:v>662.26</x:v>
      </x:c>
      <x:c r="F4733" s="33">
        <x:v>194282800</x:v>
      </x:c>
      <x:c r="G4733" s="32" t="n">
        <x:f t="shared" si="210">AVERAGE(E4534:E4733)</x:f>
        <x:v>951.9861500000002</x:v>
      </x:c>
      <x:c r="H4733" s="37" t="n">
        <x:f t="shared" si="211">IFERROR(E4733/G4733-1,"")</x:f>
        <x:v>-0.3043386187918806</x:v>
      </x:c>
      <x:c r="I4733" s="38" t="b">
        <x:f t="shared" si="212">E4733&lt;G4733</x:f>
        <x:v>1</x:v>
      </x:c>
    </x:row>
    <x:row r="4734">
      <x:c r="A4734" s="31">
        <x:v>43921</x:v>
      </x:c>
      <x:c r="B4734" s="32">
        <x:v>669.74</x:v>
      </x:c>
      <x:c r="C4734" s="32">
        <x:v>678.64</x:v>
      </x:c>
      <x:c r="D4734" s="32">
        <x:v>649.1</x:v>
      </x:c>
      <x:c r="E4734" s="32">
        <x:v>662.53</x:v>
      </x:c>
      <x:c r="F4734" s="33">
        <x:v>227893260</x:v>
      </x:c>
      <x:c r="G4734" s="32" t="n">
        <x:f t="shared" si="210">AVERAGE(E4535:E4734)</x:f>
        <x:v>950.53075</x:v>
      </x:c>
      <x:c r="H4734" s="37" t="n">
        <x:f t="shared" si="211">IFERROR(E4734/G4734-1,"")</x:f>
        <x:v>-0.3029894088118664</x:v>
      </x:c>
      <x:c r="I4734" s="38" t="b">
        <x:f t="shared" si="212">E4734&lt;G4734</x:f>
        <x:v>1</x:v>
      </x:c>
    </x:row>
    <x:row r="4735">
      <x:c r="A4735" s="31">
        <x:v>43922</x:v>
      </x:c>
      <x:c r="B4735" s="32">
        <x:v>658.8</x:v>
      </x:c>
      <x:c r="C4735" s="32">
        <x:v>684.96</x:v>
      </x:c>
      <x:c r="D4735" s="32">
        <x:v>657.41</x:v>
      </x:c>
      <x:c r="E4735" s="32">
        <x:v>680.23</x:v>
      </x:c>
      <x:c r="F4735" s="33">
        <x:v>203313080</x:v>
      </x:c>
      <x:c r="G4735" s="32" t="n">
        <x:f t="shared" si="210">AVERAGE(E4536:E4735)</x:f>
        <x:v>949.1971500000001</x:v>
      </x:c>
      <x:c r="H4735" s="37" t="n">
        <x:f t="shared" si="211">IFERROR(E4735/G4735-1,"")</x:f>
        <x:v>-0.2833627871722961</x:v>
      </x:c>
      <x:c r="I4735" s="38" t="b">
        <x:f t="shared" si="212">E4735&lt;G4735</x:f>
        <x:v>1</x:v>
      </x:c>
    </x:row>
    <x:row r="4736">
      <x:c r="A4736" s="31">
        <x:v>43924</x:v>
      </x:c>
      <x:c r="B4736" s="32">
        <x:v>687.92</x:v>
      </x:c>
      <x:c r="C4736" s="32">
        <x:v>701.8</x:v>
      </x:c>
      <x:c r="D4736" s="32">
        <x:v>680.23</x:v>
      </x:c>
      <x:c r="E4736" s="32">
        <x:v>701.8</x:v>
      </x:c>
      <x:c r="F4736" s="33">
        <x:v>197918250</x:v>
      </x:c>
      <x:c r="G4736" s="32" t="n">
        <x:f t="shared" si="210">AVERAGE(E4537:E4736)</x:f>
        <x:v>947.9861</x:v>
      </x:c>
      <x:c r="H4736" s="37" t="n">
        <x:f t="shared" si="211">IFERROR(E4736/G4736-1,"")</x:f>
        <x:v>-0.25969378664940346</x:v>
      </x:c>
      <x:c r="I4736" s="38" t="b">
        <x:f t="shared" si="212">E4736&lt;G4736</x:f>
        <x:v>1</x:v>
      </x:c>
    </x:row>
    <x:row r="4737">
      <x:c r="A4737" s="31">
        <x:v>43927</x:v>
      </x:c>
      <x:c r="B4737" s="32">
        <x:v>716.22</x:v>
      </x:c>
      <x:c r="C4737" s="32">
        <x:v>736.75</x:v>
      </x:c>
      <x:c r="D4737" s="32">
        <x:v>701.8</x:v>
      </x:c>
      <x:c r="E4737" s="32">
        <x:v>736.75</x:v>
      </x:c>
      <x:c r="F4737" s="33">
        <x:v>304964360</x:v>
      </x:c>
      <x:c r="G4737" s="32" t="n">
        <x:f t="shared" si="210">AVERAGE(E4538:E4737)</x:f>
        <x:v>946.9214</x:v>
      </x:c>
      <x:c r="H4737" s="37" t="n">
        <x:f t="shared" si="211">IFERROR(E4737/G4737-1,"")</x:f>
        <x:v>-0.22195231832335816</x:v>
      </x:c>
      <x:c r="I4737" s="38" t="b">
        <x:f t="shared" si="212">E4737&lt;G4737</x:f>
        <x:v>1</x:v>
      </x:c>
    </x:row>
    <x:row r="4738">
      <x:c r="A4738" s="31">
        <x:v>43928</x:v>
      </x:c>
      <x:c r="B4738" s="32">
        <x:v>744.97</x:v>
      </x:c>
      <x:c r="C4738" s="32">
        <x:v>749.13</x:v>
      </x:c>
      <x:c r="D4738" s="32">
        <x:v>730.28</x:v>
      </x:c>
      <x:c r="E4738" s="32">
        <x:v>746.69</x:v>
      </x:c>
      <x:c r="F4738" s="33">
        <x:v>276556810</x:v>
      </x:c>
      <x:c r="G4738" s="32" t="n">
        <x:f t="shared" si="210">AVERAGE(E4539:E4738)</x:f>
        <x:v>945.85895</x:v>
      </x:c>
      <x:c r="H4738" s="37" t="n">
        <x:f t="shared" si="211">IFERROR(E4738/G4738-1,"")</x:f>
        <x:v>-0.21056939832307975</x:v>
      </x:c>
      <x:c r="I4738" s="38" t="b">
        <x:f t="shared" si="212">E4738&lt;G4738</x:f>
        <x:v>1</x:v>
      </x:c>
    </x:row>
    <x:row r="4739">
      <x:c r="A4739" s="31">
        <x:v>43929</x:v>
      </x:c>
      <x:c r="B4739" s="32">
        <x:v>740.03</x:v>
      </x:c>
      <x:c r="C4739" s="32">
        <x:v>748.36</x:v>
      </x:c>
      <x:c r="D4739" s="32">
        <x:v>730.12</x:v>
      </x:c>
      <x:c r="E4739" s="32">
        <x:v>748.02</x:v>
      </x:c>
      <x:c r="F4739" s="33">
        <x:v>203416250</x:v>
      </x:c>
      <x:c r="G4739" s="32" t="n">
        <x:f t="shared" si="210">AVERAGE(E4540:E4739)</x:f>
        <x:v>944.8030499999998</x:v>
      </x:c>
      <x:c r="H4739" s="37" t="n">
        <x:f t="shared" si="211">IFERROR(E4739/G4739-1,"")</x:f>
        <x:v>-0.20827943982610964</x:v>
      </x:c>
      <x:c r="I4739" s="38" t="b">
        <x:f t="shared" si="212">E4739&lt;G4739</x:f>
        <x:v>1</x:v>
      </x:c>
    </x:row>
    <x:row r="4740">
      <x:c r="A4740" s="31">
        <x:v>43930</x:v>
      </x:c>
      <x:c r="B4740" s="32">
        <x:v>751.08</x:v>
      </x:c>
      <x:c r="C4740" s="32">
        <x:v>765.87</x:v>
      </x:c>
      <x:c r="D4740" s="32">
        <x:v>748.02</x:v>
      </x:c>
      <x:c r="E4740" s="32">
        <x:v>760.33</x:v>
      </x:c>
      <x:c r="F4740" s="33">
        <x:v>271131720</x:v>
      </x:c>
      <x:c r="G4740" s="32" t="n">
        <x:f t="shared" si="210">AVERAGE(E4541:E4740)</x:f>
        <x:v>943.7904499999999</x:v>
      </x:c>
      <x:c r="H4740" s="37" t="n">
        <x:f t="shared" si="211">IFERROR(E4740/G4740-1,"")</x:f>
        <x:v>-0.19438684720744936</x:v>
      </x:c>
      <x:c r="I4740" s="38" t="b">
        <x:f t="shared" si="212">E4740&lt;G4740</x:f>
        <x:v>1</x:v>
      </x:c>
    </x:row>
    <x:row r="4741">
      <x:c r="A4741" s="31">
        <x:v>43931</x:v>
      </x:c>
      <x:c r="B4741" s="32">
        <x:v>759.08</x:v>
      </x:c>
      <x:c r="C4741" s="32">
        <x:v>764.36</x:v>
      </x:c>
      <x:c r="D4741" s="32">
        <x:v>751.59</x:v>
      </x:c>
      <x:c r="E4741" s="32">
        <x:v>757.94</x:v>
      </x:c>
      <x:c r="F4741" s="33">
        <x:v>295263430</x:v>
      </x:c>
      <x:c r="G4741" s="32" t="n">
        <x:f t="shared" si="210">AVERAGE(E4542:E4741)</x:f>
        <x:v>942.7794999999999</x:v>
      </x:c>
      <x:c r="H4741" s="37" t="n">
        <x:f t="shared" si="211">IFERROR(E4741/G4741-1,"")</x:f>
        <x:v>-0.1960580390218496</x:v>
      </x:c>
      <x:c r="I4741" s="38" t="b">
        <x:f t="shared" si="212">E4741&lt;G4741</x:f>
        <x:v>1</x:v>
      </x:c>
    </x:row>
    <x:row r="4742">
      <x:c r="A4742" s="31">
        <x:v>43934</x:v>
      </x:c>
      <x:c r="B4742" s="32">
        <x:v>762.99</x:v>
      </x:c>
      <x:c r="C4742" s="32">
        <x:v>774.62</x:v>
      </x:c>
      <x:c r="D4742" s="32">
        <x:v>757.94</x:v>
      </x:c>
      <x:c r="E4742" s="32">
        <x:v>765.79</x:v>
      </x:c>
      <x:c r="F4742" s="33">
        <x:v>200195470</x:v>
      </x:c>
      <x:c r="G4742" s="32" t="n">
        <x:f t="shared" si="210">AVERAGE(E4543:E4742)</x:f>
        <x:v>941.8127999999998</x:v>
      </x:c>
      <x:c r="H4742" s="37" t="n">
        <x:f t="shared" si="211">IFERROR(E4742/G4742-1,"")</x:f>
        <x:v>-0.1868978633545858</x:v>
      </x:c>
      <x:c r="I4742" s="38" t="b">
        <x:f t="shared" si="212">E4742&lt;G4742</x:f>
        <x:v>1</x:v>
      </x:c>
    </x:row>
    <x:row r="4743">
      <x:c r="A4743" s="31">
        <x:v>43935</x:v>
      </x:c>
      <x:c r="B4743" s="32">
        <x:v>769.01</x:v>
      </x:c>
      <x:c r="C4743" s="32">
        <x:v>769.53</x:v>
      </x:c>
      <x:c r="D4743" s="32">
        <x:v>753.85</x:v>
      </x:c>
      <x:c r="E4743" s="32">
        <x:v>767.41</x:v>
      </x:c>
      <x:c r="F4743" s="33">
        <x:v>229143390</x:v>
      </x:c>
      <x:c r="G4743" s="32" t="n">
        <x:f t="shared" si="210">AVERAGE(E4544:E4743)</x:f>
        <x:v>940.9342999999998</x:v>
      </x:c>
      <x:c r="H4743" s="37" t="n">
        <x:f t="shared" si="211">IFERROR(E4743/G4743-1,"")</x:f>
        <x:v>-0.18441702040195562</x:v>
      </x:c>
      <x:c r="I4743" s="38" t="b">
        <x:f t="shared" si="212">E4743&lt;G4743</x:f>
        <x:v>1</x:v>
      </x:c>
    </x:row>
    <x:row r="4744">
      <x:c r="A4744" s="31">
        <x:v>43936</x:v>
      </x:c>
      <x:c r="B4744" s="32">
        <x:v>768.05</x:v>
      </x:c>
      <x:c r="C4744" s="32">
        <x:v>779.52</x:v>
      </x:c>
      <x:c r="D4744" s="32">
        <x:v>768.01</x:v>
      </x:c>
      <x:c r="E4744" s="32">
        <x:v>777.22</x:v>
      </x:c>
      <x:c r="F4744" s="33">
        <x:v>255468260</x:v>
      </x:c>
      <x:c r="G4744" s="32" t="n">
        <x:f t="shared" si="210">AVERAGE(E4545:E4744)</x:f>
        <x:v>940.0706999999998</x:v>
      </x:c>
      <x:c r="H4744" s="37" t="n">
        <x:f t="shared" si="211">IFERROR(E4744/G4744-1,"")</x:f>
        <x:v>-0.1732323962442397</x:v>
      </x:c>
      <x:c r="I4744" s="38" t="b">
        <x:f t="shared" si="212">E4744&lt;G4744</x:f>
        <x:v>1</x:v>
      </x:c>
    </x:row>
    <x:row r="4745">
      <x:c r="A4745" s="31">
        <x:v>43937</x:v>
      </x:c>
      <x:c r="B4745" s="32">
        <x:v>773.11</x:v>
      </x:c>
      <x:c r="C4745" s="32">
        <x:v>781.06</x:v>
      </x:c>
      <x:c r="D4745" s="32">
        <x:v>770.91</x:v>
      </x:c>
      <x:c r="E4745" s="32">
        <x:v>780.7</x:v>
      </x:c>
      <x:c r="F4745" s="33">
        <x:v>217009350</x:v>
      </x:c>
      <x:c r="G4745" s="32" t="n">
        <x:f t="shared" si="210">AVERAGE(E4546:E4745)</x:f>
        <x:v>939.1461499999998</x:v>
      </x:c>
      <x:c r="H4745" s="37" t="n">
        <x:f t="shared" si="211">IFERROR(E4745/G4745-1,"")</x:f>
        <x:v>-0.1687129846616523</x:v>
      </x:c>
      <x:c r="I4745" s="38" t="b">
        <x:f t="shared" si="212">E4745&lt;G4745</x:f>
        <x:v>1</x:v>
      </x:c>
    </x:row>
    <x:row r="4746">
      <x:c r="A4746" s="31">
        <x:v>43938</x:v>
      </x:c>
      <x:c r="B4746" s="32">
        <x:v>786.96</x:v>
      </x:c>
      <x:c r="C4746" s="32">
        <x:v>790.95</x:v>
      </x:c>
      <x:c r="D4746" s="32">
        <x:v>783.74</x:v>
      </x:c>
      <x:c r="E4746" s="32">
        <x:v>789.6</x:v>
      </x:c>
      <x:c r="F4746" s="33">
        <x:v>268469130</x:v>
      </x:c>
      <x:c r="G4746" s="32" t="n">
        <x:f t="shared" si="210">AVERAGE(E4547:E4746)</x:f>
        <x:v>938.2842499999997</x:v>
      </x:c>
      <x:c r="H4746" s="37" t="n">
        <x:f t="shared" si="211">IFERROR(E4746/G4746-1,"")</x:f>
        <x:v>-0.1584639729378381</x:v>
      </x:c>
      <x:c r="I4746" s="38" t="b">
        <x:f t="shared" si="212">E4746&lt;G4746</x:f>
        <x:v>1</x:v>
      </x:c>
    </x:row>
    <x:row r="4747">
      <x:c r="A4747" s="31">
        <x:v>43941</x:v>
      </x:c>
      <x:c r="B4747" s="32">
        <x:v>796.17</x:v>
      </x:c>
      <x:c r="C4747" s="32">
        <x:v>797.49</x:v>
      </x:c>
      <x:c r="D4747" s="32">
        <x:v>786.73</x:v>
      </x:c>
      <x:c r="E4747" s="32">
        <x:v>794.97</x:v>
      </x:c>
      <x:c r="F4747" s="33">
        <x:v>304592700</x:v>
      </x:c>
      <x:c r="G4747" s="32" t="n">
        <x:f t="shared" si="210">AVERAGE(E4548:E4747)</x:f>
        <x:v>937.4571499999998</x:v>
      </x:c>
      <x:c r="H4747" s="37" t="n">
        <x:f t="shared" si="211">IFERROR(E4747/G4747-1,"")</x:f>
        <x:v>-0.15199324043770945</x:v>
      </x:c>
      <x:c r="I4747" s="38" t="b">
        <x:f t="shared" si="212">E4747&lt;G4747</x:f>
        <x:v>1</x:v>
      </x:c>
    </x:row>
    <x:row r="4748">
      <x:c r="A4748" s="31">
        <x:v>43942</x:v>
      </x:c>
      <x:c r="B4748" s="32">
        <x:v>794.97</x:v>
      </x:c>
      <x:c r="C4748" s="32">
        <x:v>794.97</x:v>
      </x:c>
      <x:c r="D4748" s="32">
        <x:v>761.96</x:v>
      </x:c>
      <x:c r="E4748" s="32">
        <x:v>766.84</x:v>
      </x:c>
      <x:c r="F4748" s="33">
        <x:v>368523950</x:v>
      </x:c>
      <x:c r="G4748" s="32" t="n">
        <x:f t="shared" si="210">AVERAGE(E4549:E4748)</x:f>
        <x:v>936.4261499999998</x:v>
      </x:c>
      <x:c r="H4748" s="37" t="n">
        <x:f t="shared" si="211">IFERROR(E4748/G4748-1,"")</x:f>
        <x:v>-0.18109933175189497</x:v>
      </x:c>
      <x:c r="I4748" s="38" t="b">
        <x:f t="shared" si="212">E4748&lt;G4748</x:f>
        <x:v>1</x:v>
      </x:c>
    </x:row>
    <x:row r="4749">
      <x:c r="A4749" s="31">
        <x:v>43943</x:v>
      </x:c>
      <x:c r="B4749" s="32">
        <x:v>752.8</x:v>
      </x:c>
      <x:c r="C4749" s="32">
        <x:v>774.94</x:v>
      </x:c>
      <x:c r="D4749" s="32">
        <x:v>749.97</x:v>
      </x:c>
      <x:c r="E4749" s="32">
        <x:v>768.92</x:v>
      </x:c>
      <x:c r="F4749" s="33">
        <x:v>223471930</x:v>
      </x:c>
      <x:c r="G4749" s="32" t="n">
        <x:f t="shared" ref="G4749:G4812" si="213">AVERAGE(E4550:E4749)</x:f>
        <x:v>935.3940499999997</x:v>
      </x:c>
      <x:c r="H4749" s="37" t="n">
        <x:f t="shared" ref="H4749:H4812" si="214">IFERROR(E4749/G4749-1,"")</x:f>
        <x:v>-0.1779721070494299</x:v>
      </x:c>
      <x:c r="I4749" s="38" t="b">
        <x:f t="shared" ref="I4749:I4812" si="215">E4749&lt;G4749</x:f>
        <x:v>1</x:v>
      </x:c>
    </x:row>
    <x:row r="4750">
      <x:c r="A4750" s="31">
        <x:v>43944</x:v>
      </x:c>
      <x:c r="B4750" s="32">
        <x:v>768.92</x:v>
      </x:c>
      <x:c r="C4750" s="32">
        <x:v>785.6</x:v>
      </x:c>
      <x:c r="D4750" s="32">
        <x:v>768.92</x:v>
      </x:c>
      <x:c r="E4750" s="32">
        <x:v>773.91</x:v>
      </x:c>
      <x:c r="F4750" s="33">
        <x:v>189393000</x:v>
      </x:c>
      <x:c r="G4750" s="32" t="n">
        <x:f t="shared" si="213">AVERAGE(E4551:E4750)</x:f>
        <x:v>934.4318499999998</x:v>
      </x:c>
      <x:c r="H4750" s="37" t="n">
        <x:f t="shared" si="214">IFERROR(E4750/G4750-1,"")</x:f>
        <x:v>-0.1717855079533086</x:v>
      </x:c>
      <x:c r="I4750" s="38" t="b">
        <x:f t="shared" si="215">E4750&lt;G4750</x:f>
        <x:v>1</x:v>
      </x:c>
    </x:row>
    <x:row r="4751">
      <x:c r="A4751" s="31">
        <x:v>43945</x:v>
      </x:c>
      <x:c r="B4751" s="32">
        <x:v>777.28</x:v>
      </x:c>
      <x:c r="C4751" s="32">
        <x:v>778.3</x:v>
      </x:c>
      <x:c r="D4751" s="32">
        <x:v>767.31</x:v>
      </x:c>
      <x:c r="E4751" s="32">
        <x:v>776.66</x:v>
      </x:c>
      <x:c r="F4751" s="33">
        <x:v>226072090</x:v>
      </x:c>
      <x:c r="G4751" s="32" t="n">
        <x:f t="shared" si="213">AVERAGE(E4552:E4751)</x:f>
        <x:v>933.4698999999997</x:v>
      </x:c>
      <x:c r="H4751" s="37" t="n">
        <x:f t="shared" si="214">IFERROR(E4751/G4751-1,"")</x:f>
        <x:v>-0.16798602718737887</x:v>
      </x:c>
      <x:c r="I4751" s="38" t="b">
        <x:f t="shared" si="215">E4751&lt;G4751</x:f>
        <x:v>1</x:v>
      </x:c>
    </x:row>
    <x:row r="4752">
      <x:c r="A4752" s="31">
        <x:v>43948</x:v>
      </x:c>
      <x:c r="B4752" s="32">
        <x:v>780.65</x:v>
      </x:c>
      <x:c r="C4752" s="32">
        <x:v>785.74</x:v>
      </x:c>
      <x:c r="D4752" s="32">
        <x:v>770.77</x:v>
      </x:c>
      <x:c r="E4752" s="32">
        <x:v>770.77</x:v>
      </x:c>
      <x:c r="F4752" s="33">
        <x:v>256843490</x:v>
      </x:c>
      <x:c r="G4752" s="32" t="n">
        <x:f t="shared" si="213">AVERAGE(E4553:E4752)</x:f>
        <x:v>932.4554999999997</x:v>
      </x:c>
      <x:c r="H4752" s="37" t="n">
        <x:f t="shared" si="214">IFERROR(E4752/G4752-1,"")</x:f>
        <x:v>-0.17339755087508169</x:v>
      </x:c>
      <x:c r="I4752" s="38" t="b">
        <x:f t="shared" si="215">E4752&lt;G4752</x:f>
        <x:v>1</x:v>
      </x:c>
    </x:row>
    <x:row r="4753">
      <x:c r="A4753" s="31">
        <x:v>43949</x:v>
      </x:c>
      <x:c r="B4753" s="32">
        <x:v>773.31</x:v>
      </x:c>
      <x:c r="C4753" s="32">
        <x:v>776.13</x:v>
      </x:c>
      <x:c r="D4753" s="32">
        <x:v>763.66</x:v>
      </x:c>
      <x:c r="E4753" s="32">
        <x:v>767.21</x:v>
      </x:c>
      <x:c r="F4753" s="33">
        <x:v>197231630</x:v>
      </x:c>
      <x:c r="G4753" s="32" t="n">
        <x:f t="shared" si="213">AVERAGE(E4554:E4753)</x:f>
        <x:v>931.3983999999997</x:v>
      </x:c>
      <x:c r="H4753" s="37" t="n">
        <x:f t="shared" si="214">IFERROR(E4753/G4753-1,"")</x:f>
        <x:v>-0.17628159979660663</x:v>
      </x:c>
      <x:c r="I4753" s="38" t="b">
        <x:f t="shared" si="215">E4753&lt;G4753</x:f>
        <x:v>1</x:v>
      </x:c>
    </x:row>
    <x:row r="4754">
      <x:c r="A4754" s="31">
        <x:v>43950</x:v>
      </x:c>
      <x:c r="B4754" s="32">
        <x:v>768.59</x:v>
      </x:c>
      <x:c r="C4754" s="32">
        <x:v>772.62</x:v>
      </x:c>
      <x:c r="D4754" s="32">
        <x:v>767.21</x:v>
      </x:c>
      <x:c r="E4754" s="32">
        <x:v>769.11</x:v>
      </x:c>
      <x:c r="F4754" s="33">
        <x:v>210867100</x:v>
      </x:c>
      <x:c r="G4754" s="32" t="n">
        <x:f t="shared" si="213">AVERAGE(E4555:E4754)</x:f>
        <x:v>930.3669499999996</x:v>
      </x:c>
      <x:c r="H4754" s="37" t="n">
        <x:f t="shared" si="214">IFERROR(E4754/G4754-1,"")</x:f>
        <x:v>-0.1733261806000307</x:v>
      </x:c>
      <x:c r="I4754" s="38" t="b">
        <x:f t="shared" si="215">E4754&lt;G4754</x:f>
        <x:v>1</x:v>
      </x:c>
    </x:row>
    <x:row r="4755">
      <x:c r="A4755" s="31">
        <x:v>43955</x:v>
      </x:c>
      <x:c r="B4755" s="32">
        <x:v>766.14</x:v>
      </x:c>
      <x:c r="C4755" s="32">
        <x:v>769.73</x:v>
      </x:c>
      <x:c r="D4755" s="32">
        <x:v>761.64</x:v>
      </x:c>
      <x:c r="E4755" s="32">
        <x:v>762.47</x:v>
      </x:c>
      <x:c r="F4755" s="33">
        <x:v>253967720</x:v>
      </x:c>
      <x:c r="G4755" s="32" t="n">
        <x:f t="shared" si="213">AVERAGE(E4556:E4755)</x:f>
        <x:v>929.3166499999996</x:v>
      </x:c>
      <x:c r="H4755" s="37" t="n">
        <x:f t="shared" si="214">IFERROR(E4755/G4755-1,"")</x:f>
        <x:v>-0.1795369210268638</x:v>
      </x:c>
      <x:c r="I4755" s="38" t="b">
        <x:f t="shared" si="215">E4755&lt;G4755</x:f>
        <x:v>1</x:v>
      </x:c>
    </x:row>
    <x:row r="4756">
      <x:c r="A4756" s="31">
        <x:v>43956</x:v>
      </x:c>
      <x:c r="B4756" s="32">
        <x:v>763.22</x:v>
      </x:c>
      <x:c r="C4756" s="32">
        <x:v>767.03</x:v>
      </x:c>
      <x:c r="D4756" s="32">
        <x:v>760.04</x:v>
      </x:c>
      <x:c r="E4756" s="32">
        <x:v>764.16</x:v>
      </x:c>
      <x:c r="F4756" s="33">
        <x:v>168997250</x:v>
      </x:c>
      <x:c r="G4756" s="32" t="n">
        <x:f t="shared" si="213">AVERAGE(E4557:E4756)</x:f>
        <x:v>928.2268999999998</x:v>
      </x:c>
      <x:c r="H4756" s="37" t="n">
        <x:f t="shared" si="214">IFERROR(E4756/G4756-1,"")</x:f>
        <x:v>-0.17675301157507917</x:v>
      </x:c>
      <x:c r="I4756" s="38" t="b">
        <x:f t="shared" si="215">E4756&lt;G4756</x:f>
        <x:v>1</x:v>
      </x:c>
    </x:row>
    <x:row r="4757">
      <x:c r="A4757" s="31">
        <x:v>43957</x:v>
      </x:c>
      <x:c r="B4757" s="32">
        <x:v>767.3</x:v>
      </x:c>
      <x:c r="C4757" s="32">
        <x:v>782.59</x:v>
      </x:c>
      <x:c r="D4757" s="32">
        <x:v>765.37</x:v>
      </x:c>
      <x:c r="E4757" s="32">
        <x:v>782.59</x:v>
      </x:c>
      <x:c r="F4757" s="33">
        <x:v>209914330</x:v>
      </x:c>
      <x:c r="G4757" s="32" t="n">
        <x:f t="shared" si="213">AVERAGE(E4558:E4757)</x:f>
        <x:v>927.2269999999996</x:v>
      </x:c>
      <x:c r="H4757" s="37" t="n">
        <x:f t="shared" si="214">IFERROR(E4757/G4757-1,"")</x:f>
        <x:v>-0.15598877081879592</x:v>
      </x:c>
      <x:c r="I4757" s="38" t="b">
        <x:f t="shared" si="215">E4757&lt;G4757</x:f>
        <x:v>1</x:v>
      </x:c>
    </x:row>
    <x:row r="4758">
      <x:c r="A4758" s="31">
        <x:v>43958</x:v>
      </x:c>
      <x:c r="B4758" s="32">
        <x:v>785.08</x:v>
      </x:c>
      <x:c r="C4758" s="32">
        <x:v>796.54</x:v>
      </x:c>
      <x:c r="D4758" s="32">
        <x:v>782.59</x:v>
      </x:c>
      <x:c r="E4758" s="32">
        <x:v>796.54</x:v>
      </x:c>
      <x:c r="F4758" s="33">
        <x:v>214433830</x:v>
      </x:c>
      <x:c r="G4758" s="32" t="n">
        <x:f t="shared" si="213">AVERAGE(E4559:E4758)</x:f>
        <x:v>926.3294499999997</x:v>
      </x:c>
      <x:c r="H4758" s="37" t="n">
        <x:f t="shared" si="214">IFERROR(E4758/G4758-1,"")</x:f>
        <x:v>-0.1401115445482164</x:v>
      </x:c>
      <x:c r="I4758" s="38" t="b">
        <x:f t="shared" si="215">E4758&lt;G4758</x:f>
        <x:v>1</x:v>
      </x:c>
    </x:row>
    <x:row r="4759">
      <x:c r="A4759" s="31">
        <x:v>43959</x:v>
      </x:c>
      <x:c r="B4759" s="32">
        <x:v>800.32</x:v>
      </x:c>
      <x:c r="C4759" s="32">
        <x:v>825.72</x:v>
      </x:c>
      <x:c r="D4759" s="32">
        <x:v>800.2</x:v>
      </x:c>
      <x:c r="E4759" s="32">
        <x:v>813.73</x:v>
      </x:c>
      <x:c r="F4759" s="33">
        <x:v>340156270</x:v>
      </x:c>
      <x:c r="G4759" s="32" t="n">
        <x:f t="shared" si="213">AVERAGE(E4560:E4759)</x:f>
        <x:v>925.4863999999999</x:v>
      </x:c>
      <x:c r="H4759" s="37" t="n">
        <x:f t="shared" si="214">IFERROR(E4759/G4759-1,"")</x:f>
        <x:v>-0.12075423258515727</x:v>
      </x:c>
      <x:c r="I4759" s="38" t="b">
        <x:f t="shared" si="215">E4759&lt;G4759</x:f>
        <x:v>1</x:v>
      </x:c>
    </x:row>
    <x:row r="4760">
      <x:c r="A4760" s="31">
        <x:v>43962</x:v>
      </x:c>
      <x:c r="B4760" s="32">
        <x:v>818.26</x:v>
      </x:c>
      <x:c r="C4760" s="32">
        <x:v>828.33</x:v>
      </x:c>
      <x:c r="D4760" s="32">
        <x:v>812.48</x:v>
      </x:c>
      <x:c r="E4760" s="32">
        <x:v>828.33</x:v>
      </x:c>
      <x:c r="F4760" s="33">
        <x:v>268927930</x:v>
      </x:c>
      <x:c r="G4760" s="32" t="n">
        <x:f t="shared" si="213">AVERAGE(E4561:E4760)</x:f>
        <x:v>924.7178499999998</x:v>
      </x:c>
      <x:c r="H4760" s="37" t="n">
        <x:f t="shared" si="214">IFERROR(E4760/G4760-1,"")</x:f>
        <x:v>-0.10423487553527788</x:v>
      </x:c>
      <x:c r="I4760" s="38" t="b">
        <x:f t="shared" si="215">E4760&lt;G4760</x:f>
        <x:v>1</x:v>
      </x:c>
    </x:row>
    <x:row r="4761">
      <x:c r="A4761" s="31">
        <x:v>43963</x:v>
      </x:c>
      <x:c r="B4761" s="32">
        <x:v>827.29</x:v>
      </x:c>
      <x:c r="C4761" s="32">
        <x:v>835.95</x:v>
      </x:c>
      <x:c r="D4761" s="32">
        <x:v>819.66</x:v>
      </x:c>
      <x:c r="E4761" s="32">
        <x:v>835.32</x:v>
      </x:c>
      <x:c r="F4761" s="33">
        <x:v>290069940</x:v>
      </x:c>
      <x:c r="G4761" s="32" t="n">
        <x:f t="shared" si="213">AVERAGE(E4562:E4761)</x:f>
        <x:v>923.9471499999996</x:v>
      </x:c>
      <x:c r="H4761" s="37" t="n">
        <x:f t="shared" si="214">IFERROR(E4761/G4761-1,"")</x:f>
        <x:v>-0.09592231547009977</x:v>
      </x:c>
      <x:c r="I4761" s="38" t="b">
        <x:f t="shared" si="215">E4761&lt;G4761</x:f>
        <x:v>1</x:v>
      </x:c>
    </x:row>
    <x:row r="4762">
      <x:c r="A4762" s="31">
        <x:v>43964</x:v>
      </x:c>
      <x:c r="B4762" s="32">
        <x:v>835.32</x:v>
      </x:c>
      <x:c r="C4762" s="32">
        <x:v>839.59</x:v>
      </x:c>
      <x:c r="D4762" s="32">
        <x:v>815.13</x:v>
      </x:c>
      <x:c r="E4762" s="32">
        <x:v>834.21</x:v>
      </x:c>
      <x:c r="F4762" s="33">
        <x:v>338667310</x:v>
      </x:c>
      <x:c r="G4762" s="32" t="n">
        <x:f t="shared" si="213">AVERAGE(E4563:E4762)</x:f>
        <x:v>923.1761499999997</x:v>
      </x:c>
      <x:c r="H4762" s="37" t="n">
        <x:f t="shared" si="214">IFERROR(E4762/G4762-1,"")</x:f>
        <x:v>-0.09636963649894947</x:v>
      </x:c>
      <x:c r="I4762" s="38" t="b">
        <x:f t="shared" si="215">E4762&lt;G4762</x:f>
        <x:v>1</x:v>
      </x:c>
    </x:row>
    <x:row r="4763">
      <x:c r="A4763" s="31">
        <x:v>43965</x:v>
      </x:c>
      <x:c r="B4763" s="32">
        <x:v>830.97</x:v>
      </x:c>
      <x:c r="C4763" s="32">
        <x:v>836.19</x:v>
      </x:c>
      <x:c r="D4763" s="32">
        <x:v>826.17</x:v>
      </x:c>
      <x:c r="E4763" s="32">
        <x:v>832.4</x:v>
      </x:c>
      <x:c r="F4763" s="33">
        <x:v>273950180</x:v>
      </x:c>
      <x:c r="G4763" s="32" t="n">
        <x:f t="shared" si="213">AVERAGE(E4564:E4763)</x:f>
        <x:v>922.3633999999997</x:v>
      </x:c>
      <x:c r="H4763" s="37" t="n">
        <x:f t="shared" si="214">IFERROR(E4763/G4763-1,"")</x:f>
        <x:v>-0.09753574350413274</x:v>
      </x:c>
      <x:c r="I4763" s="38" t="b">
        <x:f t="shared" si="215">E4763&lt;G4763</x:f>
        <x:v>1</x:v>
      </x:c>
    </x:row>
    <x:row r="4764">
      <x:c r="A4764" s="31">
        <x:v>43966</x:v>
      </x:c>
      <x:c r="B4764" s="32">
        <x:v>835.42</x:v>
      </x:c>
      <x:c r="C4764" s="32">
        <x:v>838.47</x:v>
      </x:c>
      <x:c r="D4764" s="32">
        <x:v>824.59</x:v>
      </x:c>
      <x:c r="E4764" s="32">
        <x:v>827.03</x:v>
      </x:c>
      <x:c r="F4764" s="33">
        <x:v>258289700</x:v>
      </x:c>
      <x:c r="G4764" s="32" t="n">
        <x:f t="shared" si="213">AVERAGE(E4565:E4764)</x:f>
        <x:v>921.5317999999996</x:v>
      </x:c>
      <x:c r="H4764" s="37" t="n">
        <x:f t="shared" si="214">IFERROR(E4764/G4764-1,"")</x:f>
        <x:v>-0.10254860439976099</x:v>
      </x:c>
      <x:c r="I4764" s="38" t="b">
        <x:f t="shared" si="215">E4764&lt;G4764</x:f>
        <x:v>1</x:v>
      </x:c>
    </x:row>
    <x:row r="4765">
      <x:c r="A4765" s="31">
        <x:v>43969</x:v>
      </x:c>
      <x:c r="B4765" s="32">
        <x:v>827.49</x:v>
      </x:c>
      <x:c r="C4765" s="32">
        <x:v>837.61</x:v>
      </x:c>
      <x:c r="D4765" s="32">
        <x:v>823.08</x:v>
      </x:c>
      <x:c r="E4765" s="32">
        <x:v>837.01</x:v>
      </x:c>
      <x:c r="F4765" s="33">
        <x:v>224260950</x:v>
      </x:c>
      <x:c r="G4765" s="32" t="n">
        <x:f t="shared" si="213">AVERAGE(E4566:E4765)</x:f>
        <x:v>920.7271499999995</x:v>
      </x:c>
      <x:c r="H4765" s="37" t="n">
        <x:f t="shared" si="214">IFERROR(E4765/G4765-1,"")</x:f>
        <x:v>-0.09092503680379094</x:v>
      </x:c>
      <x:c r="I4765" s="38" t="b">
        <x:f t="shared" si="215">E4765&lt;G4765</x:f>
        <x:v>1</x:v>
      </x:c>
    </x:row>
    <x:row r="4766">
      <x:c r="A4766" s="31">
        <x:v>43970</x:v>
      </x:c>
      <x:c r="B4766" s="32">
        <x:v>852.14</x:v>
      </x:c>
      <x:c r="C4766" s="32">
        <x:v>854.25</x:v>
      </x:c>
      <x:c r="D4766" s="32">
        <x:v>844.15</x:v>
      </x:c>
      <x:c r="E4766" s="32">
        <x:v>845.92</x:v>
      </x:c>
      <x:c r="F4766" s="33">
        <x:v>293801450</x:v>
      </x:c>
      <x:c r="G4766" s="32" t="n">
        <x:f t="shared" si="213">AVERAGE(E4567:E4766)</x:f>
        <x:v>920.0266499999997</x:v>
      </x:c>
      <x:c r="H4766" s="37" t="n">
        <x:f t="shared" si="214">IFERROR(E4766/G4766-1,"")</x:f>
        <x:v>-0.08054837324549213</x:v>
      </x:c>
      <x:c r="I4766" s="38" t="b">
        <x:f t="shared" si="215">E4766&lt;G4766</x:f>
        <x:v>1</x:v>
      </x:c>
    </x:row>
    <x:row r="4767">
      <x:c r="A4767" s="31">
        <x:v>43971</x:v>
      </x:c>
      <x:c r="B4767" s="32">
        <x:v>843.26</x:v>
      </x:c>
      <x:c r="C4767" s="32">
        <x:v>852.91</x:v>
      </x:c>
      <x:c r="D4767" s="32">
        <x:v>842.21</x:v>
      </x:c>
      <x:c r="E4767" s="32">
        <x:v>852.91</x:v>
      </x:c>
      <x:c r="F4767" s="33">
        <x:v>235672860</x:v>
      </x:c>
      <x:c r="G4767" s="32" t="n">
        <x:f t="shared" si="213">AVERAGE(E4568:E4767)</x:f>
        <x:v>919.3328999999997</x:v>
      </x:c>
      <x:c r="H4767" s="37" t="n">
        <x:f t="shared" si="214">IFERROR(E4767/G4767-1,"")</x:f>
        <x:v>-0.07225119431709637</x:v>
      </x:c>
      <x:c r="I4767" s="38" t="b">
        <x:f t="shared" si="215">E4767&lt;G4767</x:f>
        <x:v>1</x:v>
      </x:c>
    </x:row>
    <x:row r="4768">
      <x:c r="A4768" s="31">
        <x:v>43972</x:v>
      </x:c>
      <x:c r="B4768" s="32">
        <x:v>854.93</x:v>
      </x:c>
      <x:c r="C4768" s="32">
        <x:v>862.73</x:v>
      </x:c>
      <x:c r="D4768" s="32">
        <x:v>854.04</x:v>
      </x:c>
      <x:c r="E4768" s="32">
        <x:v>862.73</x:v>
      </x:c>
      <x:c r="F4768" s="33">
        <x:v>301190730</x:v>
      </x:c>
      <x:c r="G4768" s="32" t="n">
        <x:f t="shared" si="213">AVERAGE(E4569:E4768)</x:f>
        <x:v>918.6595999999997</x:v>
      </x:c>
      <x:c r="H4768" s="37" t="n">
        <x:f t="shared" si="214">IFERROR(E4768/G4768-1,"")</x:f>
        <x:v>-0.0608817455344719</x:v>
      </x:c>
      <x:c r="I4768" s="38" t="b">
        <x:f t="shared" si="215">E4768&lt;G4768</x:f>
        <x:v>1</x:v>
      </x:c>
    </x:row>
    <x:row r="4769">
      <x:c r="A4769" s="31">
        <x:v>43973</x:v>
      </x:c>
      <x:c r="B4769" s="32">
        <x:v>859.29</x:v>
      </x:c>
      <x:c r="C4769" s="32">
        <x:v>860.65</x:v>
      </x:c>
      <x:c r="D4769" s="32">
        <x:v>852.08</x:v>
      </x:c>
      <x:c r="E4769" s="32">
        <x:v>852.74</x:v>
      </x:c>
      <x:c r="F4769" s="33">
        <x:v>265002610</x:v>
      </x:c>
      <x:c r="G4769" s="32" t="n">
        <x:f t="shared" si="213">AVERAGE(E4570:E4769)</x:f>
        <x:v>917.9677999999997</x:v>
      </x:c>
      <x:c r="H4769" s="37" t="n">
        <x:f t="shared" si="214">IFERROR(E4769/G4769-1,"")</x:f>
        <x:v>-0.07105674077020963</x:v>
      </x:c>
      <x:c r="I4769" s="38" t="b">
        <x:f t="shared" si="215">E4769&lt;G4769</x:f>
        <x:v>1</x:v>
      </x:c>
    </x:row>
    <x:row r="4770">
      <x:c r="A4770" s="31">
        <x:v>43976</x:v>
      </x:c>
      <x:c r="B4770" s="32">
        <x:v>852.9</x:v>
      </x:c>
      <x:c r="C4770" s="32">
        <x:v>860.45</x:v>
      </x:c>
      <x:c r="D4770" s="32">
        <x:v>849.12</x:v>
      </x:c>
      <x:c r="E4770" s="32">
        <x:v>859.04</x:v>
      </x:c>
      <x:c r="F4770" s="33">
        <x:v>259643410</x:v>
      </x:c>
      <x:c r="G4770" s="32" t="n">
        <x:f t="shared" si="213">AVERAGE(E4571:E4770)</x:f>
        <x:v>917.3972499999996</x:v>
      </x:c>
      <x:c r="H4770" s="37" t="n">
        <x:f t="shared" si="214">IFERROR(E4770/G4770-1,"")</x:f>
        <x:v>-0.06361175597594138</x:v>
      </x:c>
      <x:c r="I4770" s="38" t="b">
        <x:f t="shared" si="215">E4770&lt;G4770</x:f>
        <x:v>1</x:v>
      </x:c>
    </x:row>
    <x:row r="4771">
      <x:c r="A4771" s="31">
        <x:v>43977</x:v>
      </x:c>
      <x:c r="B4771" s="32">
        <x:v>861.47</x:v>
      </x:c>
      <x:c r="C4771" s="32">
        <x:v>869.65</x:v>
      </x:c>
      <x:c r="D4771" s="32">
        <x:v>859.04</x:v>
      </x:c>
      <x:c r="E4771" s="32">
        <x:v>869.13</x:v>
      </x:c>
      <x:c r="F4771" s="33">
        <x:v>306464080</x:v>
      </x:c>
      <x:c r="G4771" s="32" t="n">
        <x:f t="shared" si="213">AVERAGE(E4572:E4771)</x:f>
        <x:v>916.9198499999995</x:v>
      </x:c>
      <x:c r="H4771" s="37" t="n">
        <x:f t="shared" si="214">IFERROR(E4771/G4771-1,"")</x:f>
        <x:v>-0.05211998627797132</x:v>
      </x:c>
      <x:c r="I4771" s="38" t="b">
        <x:f t="shared" si="215">E4771&lt;G4771</x:f>
        <x:v>1</x:v>
      </x:c>
    </x:row>
    <x:row r="4772">
      <x:c r="A4772" s="31">
        <x:v>43978</x:v>
      </x:c>
      <x:c r="B4772" s="32">
        <x:v>873.42</x:v>
      </x:c>
      <x:c r="C4772" s="32">
        <x:v>875.35</x:v>
      </x:c>
      <x:c r="D4772" s="32">
        <x:v>857.48</x:v>
      </x:c>
      <x:c r="E4772" s="32">
        <x:v>857.48</x:v>
      </x:c>
      <x:c r="F4772" s="33">
        <x:v>354487370</x:v>
      </x:c>
      <x:c r="G4772" s="32" t="n">
        <x:f t="shared" si="213">AVERAGE(E4573:E4772)</x:f>
        <x:v>916.3775999999997</x:v>
      </x:c>
      <x:c r="H4772" s="37" t="n">
        <x:f t="shared" si="214">IFERROR(E4772/G4772-1,"")</x:f>
        <x:v>-0.0642721952173424</x:v>
      </x:c>
      <x:c r="I4772" s="38" t="b">
        <x:f t="shared" si="215">E4772&lt;G4772</x:f>
        <x:v>1</x:v>
      </x:c>
    </x:row>
    <x:row r="4773">
      <x:c r="A4773" s="31">
        <x:v>43979</x:v>
      </x:c>
      <x:c r="B4773" s="32">
        <x:v>858.97</x:v>
      </x:c>
      <x:c r="C4773" s="32">
        <x:v>866.17</x:v>
      </x:c>
      <x:c r="D4773" s="32">
        <x:v>856.48</x:v>
      </x:c>
      <x:c r="E4773" s="32">
        <x:v>861.39</x:v>
      </x:c>
      <x:c r="F4773" s="33">
        <x:v>261439230</x:v>
      </x:c>
      <x:c r="G4773" s="32" t="n">
        <x:f t="shared" si="213">AVERAGE(E4574:E4773)</x:f>
        <x:v>915.8083499999998</x:v>
      </x:c>
      <x:c r="H4773" s="37" t="n">
        <x:f t="shared" si="214">IFERROR(E4773/G4773-1,"")</x:f>
        <x:v>-0.05942111141484985</x:v>
      </x:c>
      <x:c r="I4773" s="38" t="b">
        <x:f t="shared" si="215">E4773&lt;G4773</x:f>
        <x:v>1</x:v>
      </x:c>
    </x:row>
    <x:row r="4774">
      <x:c r="A4774" s="31">
        <x:v>43980</x:v>
      </x:c>
      <x:c r="B4774" s="32">
        <x:v>861.59</x:v>
      </x:c>
      <x:c r="C4774" s="32">
        <x:v>866.95</x:v>
      </x:c>
      <x:c r="D4774" s="32">
        <x:v>859.26</x:v>
      </x:c>
      <x:c r="E4774" s="32">
        <x:v>864.47</x:v>
      </x:c>
      <x:c r="F4774" s="33">
        <x:v>281746500</x:v>
      </x:c>
      <x:c r="G4774" s="32" t="n">
        <x:f t="shared" si="213">AVERAGE(E4575:E4774)</x:f>
        <x:v>915.2589999999997</x:v>
      </x:c>
      <x:c r="H4774" s="37" t="n">
        <x:f t="shared" si="214">IFERROR(E4774/G4774-1,"")</x:f>
        <x:v>-0.05549139642439971</x:v>
      </x:c>
      <x:c r="I4774" s="38" t="b">
        <x:f t="shared" si="215">E4774&lt;G4774</x:f>
        <x:v>1</x:v>
      </x:c>
    </x:row>
    <x:row r="4775">
      <x:c r="A4775" s="31">
        <x:v>43983</x:v>
      </x:c>
      <x:c r="B4775" s="32">
        <x:v>868.97</x:v>
      </x:c>
      <x:c r="C4775" s="32">
        <x:v>878.67</x:v>
      </x:c>
      <x:c r="D4775" s="32">
        <x:v>864.47</x:v>
      </x:c>
      <x:c r="E4775" s="32">
        <x:v>878.67</x:v>
      </x:c>
      <x:c r="F4775" s="33">
        <x:v>418333970</x:v>
      </x:c>
      <x:c r="G4775" s="32" t="n">
        <x:f t="shared" si="213">AVERAGE(E4576:E4775)</x:f>
        <x:v>914.7757999999998</x:v>
      </x:c>
      <x:c r="H4775" s="37" t="n">
        <x:f t="shared" si="214">IFERROR(E4775/G4775-1,"")</x:f>
        <x:v>-0.03946956183143435</x:v>
      </x:c>
      <x:c r="I4775" s="38" t="b">
        <x:f t="shared" si="215">E4775&lt;G4775</x:f>
        <x:v>1</x:v>
      </x:c>
    </x:row>
    <x:row r="4776">
      <x:c r="A4776" s="31">
        <x:v>43984</x:v>
      </x:c>
      <x:c r="B4776" s="32">
        <x:v>879.23</x:v>
      </x:c>
      <x:c r="C4776" s="32">
        <x:v>882.73</x:v>
      </x:c>
      <x:c r="D4776" s="32">
        <x:v>874.53</x:v>
      </x:c>
      <x:c r="E4776" s="32">
        <x:v>874.8</x:v>
      </x:c>
      <x:c r="F4776" s="33">
        <x:v>442308030</x:v>
      </x:c>
      <x:c r="G4776" s="32" t="n">
        <x:f t="shared" si="213">AVERAGE(E4577:E4776)</x:f>
        <x:v>914.3156499999998</x:v>
      </x:c>
      <x:c r="H4776" s="37" t="n">
        <x:f t="shared" si="214">IFERROR(E4776/G4776-1,"")</x:f>
        <x:v>-0.043218827108559066</x:v>
      </x:c>
      <x:c r="I4776" s="38" t="b">
        <x:f t="shared" si="215">E4776&lt;G4776</x:f>
        <x:v>1</x:v>
      </x:c>
    </x:row>
    <x:row r="4777">
      <x:c r="A4777" s="31">
        <x:v>43985</x:v>
      </x:c>
      <x:c r="B4777" s="32">
        <x:v>876.73</x:v>
      </x:c>
      <x:c r="C4777" s="32">
        <x:v>881.17</x:v>
      </x:c>
      <x:c r="D4777" s="32">
        <x:v>874.01</x:v>
      </x:c>
      <x:c r="E4777" s="32">
        <x:v>881.17</x:v>
      </x:c>
      <x:c r="F4777" s="33">
        <x:v>320477690</x:v>
      </x:c>
      <x:c r="G4777" s="32" t="n">
        <x:f t="shared" si="213">AVERAGE(E4578:E4777)</x:f>
        <x:v>913.8769499999996</x:v>
      </x:c>
      <x:c r="H4777" s="37" t="n">
        <x:f t="shared" si="214">IFERROR(E4777/G4777-1,"")</x:f>
        <x:v>-0.035789227422794334</x:v>
      </x:c>
      <x:c r="I4777" s="38" t="b">
        <x:f t="shared" si="215">E4777&lt;G4777</x:f>
        <x:v>1</x:v>
      </x:c>
    </x:row>
    <x:row r="4778">
      <x:c r="A4778" s="31">
        <x:v>43986</x:v>
      </x:c>
      <x:c r="B4778" s="32">
        <x:v>883.22</x:v>
      </x:c>
      <x:c r="C4778" s="32">
        <x:v>888.32</x:v>
      </x:c>
      <x:c r="D4778" s="32">
        <x:v>883.22</x:v>
      </x:c>
      <x:c r="E4778" s="32">
        <x:v>883.9</x:v>
      </x:c>
      <x:c r="F4778" s="33">
        <x:v>394395400</x:v>
      </x:c>
      <x:c r="G4778" s="32" t="n">
        <x:f t="shared" si="213">AVERAGE(E4579:E4778)</x:f>
        <x:v>913.3995499999997</x:v>
      </x:c>
      <x:c r="H4778" s="37" t="n">
        <x:f t="shared" si="214">IFERROR(E4778/G4778-1,"")</x:f>
        <x:v>-0.03229643588066122</x:v>
      </x:c>
      <x:c r="I4778" s="38" t="b">
        <x:f t="shared" si="215">E4778&lt;G4778</x:f>
        <x:v>1</x:v>
      </x:c>
    </x:row>
    <x:row r="4779">
      <x:c r="A4779" s="31">
        <x:v>43987</x:v>
      </x:c>
      <x:c r="B4779" s="32">
        <x:v>883.4</x:v>
      </x:c>
      <x:c r="C4779" s="32">
        <x:v>886.59</x:v>
      </x:c>
      <x:c r="D4779" s="32">
        <x:v>878.5</x:v>
      </x:c>
      <x:c r="E4779" s="32">
        <x:v>886.22</x:v>
      </x:c>
      <x:c r="F4779" s="33">
        <x:v>451411820</x:v>
      </x:c>
      <x:c r="G4779" s="32" t="n">
        <x:f t="shared" si="213">AVERAGE(E4580:E4779)</x:f>
        <x:v>912.9306499999998</x:v>
      </x:c>
      <x:c r="H4779" s="37" t="n">
        <x:f t="shared" si="214">IFERROR(E4779/G4779-1,"")</x:f>
        <x:v>-0.029258136968015824</x:v>
      </x:c>
      <x:c r="I4779" s="38" t="b">
        <x:f t="shared" si="215">E4779&lt;G4779</x:f>
        <x:v>1</x:v>
      </x:c>
    </x:row>
    <x:row r="4780">
      <x:c r="A4780" s="31">
        <x:v>43990</x:v>
      </x:c>
      <x:c r="B4780" s="32">
        <x:v>888.7</x:v>
      </x:c>
      <x:c r="C4780" s="32">
        <x:v>905.65</x:v>
      </x:c>
      <x:c r="D4780" s="32">
        <x:v>886.22</x:v>
      </x:c>
      <x:c r="E4780" s="32">
        <x:v>899.92</x:v>
      </x:c>
      <x:c r="F4780" s="33">
        <x:v>509361980</x:v>
      </x:c>
      <x:c r="G4780" s="32" t="n">
        <x:f t="shared" si="213">AVERAGE(E4581:E4780)</x:f>
        <x:v>912.5251</x:v>
      </x:c>
      <x:c r="H4780" s="37" t="n">
        <x:f t="shared" si="214">IFERROR(E4780/G4780-1,"")</x:f>
        <x:v>-0.013813428255288529</x:v>
      </x:c>
      <x:c r="I4780" s="38" t="b">
        <x:f t="shared" si="215">E4780&lt;G4780</x:f>
        <x:v>1</x:v>
      </x:c>
    </x:row>
    <x:row r="4781">
      <x:c r="A4781" s="31">
        <x:v>43991</x:v>
      </x:c>
      <x:c r="B4781" s="32">
        <x:v>902.26</x:v>
      </x:c>
      <x:c r="C4781" s="32">
        <x:v>904.89</x:v>
      </x:c>
      <x:c r="D4781" s="32">
        <x:v>898.87</x:v>
      </x:c>
      <x:c r="E4781" s="32">
        <x:v>899.43</x:v>
      </x:c>
      <x:c r="F4781" s="33">
        <x:v>450504980</x:v>
      </x:c>
      <x:c r="G4781" s="32" t="n">
        <x:f t="shared" si="213">AVERAGE(E4582:E4781)</x:f>
        <x:v>912.0988999999998</x:v>
      </x:c>
      <x:c r="H4781" s="37" t="n">
        <x:f t="shared" si="214">IFERROR(E4781/G4781-1,"")</x:f>
        <x:v>-0.013889831464548252</x:v>
      </x:c>
      <x:c r="I4781" s="38" t="b">
        <x:f t="shared" si="215">E4781&lt;G4781</x:f>
        <x:v>1</x:v>
      </x:c>
    </x:row>
    <x:row r="4782">
      <x:c r="A4782" s="31">
        <x:v>43992</x:v>
      </x:c>
      <x:c r="B4782" s="32">
        <x:v>898.78</x:v>
      </x:c>
      <x:c r="C4782" s="32">
        <x:v>902.69</x:v>
      </x:c>
      <x:c r="D4782" s="32">
        <x:v>890.3</x:v>
      </x:c>
      <x:c r="E4782" s="32">
        <x:v>900.68</x:v>
      </x:c>
      <x:c r="F4782" s="33">
        <x:v>514286390</x:v>
      </x:c>
      <x:c r="G4782" s="32" t="n">
        <x:f t="shared" si="213">AVERAGE(E4583:E4782)</x:f>
        <x:v>911.6303999999998</x:v>
      </x:c>
      <x:c r="H4782" s="37" t="n">
        <x:f t="shared" si="214">IFERROR(E4782/G4782-1,"")</x:f>
        <x:v>-0.012011885518516952</x:v>
      </x:c>
      <x:c r="I4782" s="38" t="b">
        <x:f t="shared" si="215">E4782&lt;G4782</x:f>
        <x:v>1</x:v>
      </x:c>
    </x:row>
    <x:row r="4783">
      <x:c r="A4783" s="31">
        <x:v>43993</x:v>
      </x:c>
      <x:c r="B4783" s="32">
        <x:v>900.48</x:v>
      </x:c>
      <x:c r="C4783" s="32">
        <x:v>903.7</x:v>
      </x:c>
      <x:c r="D4783" s="32">
        <x:v>867.37</x:v>
      </x:c>
      <x:c r="E4783" s="32">
        <x:v>867.37</x:v>
      </x:c>
      <x:c r="F4783" s="33">
        <x:v>665612130</x:v>
      </x:c>
      <x:c r="G4783" s="32" t="n">
        <x:f t="shared" si="213">AVERAGE(E4584:E4783)</x:f>
        <x:v>910.9809499999999</x:v>
      </x:c>
      <x:c r="H4783" s="37" t="n">
        <x:f t="shared" si="214">IFERROR(E4783/G4783-1,"")</x:f>
        <x:v>-0.04787251588521135</x:v>
      </x:c>
      <x:c r="I4783" s="38" t="b">
        <x:f t="shared" si="215">E4783&lt;G4783</x:f>
        <x:v>1</x:v>
      </x:c>
    </x:row>
    <x:row r="4784">
      <x:c r="A4784" s="31">
        <x:v>43994</x:v>
      </x:c>
      <x:c r="B4784" s="32">
        <x:v>841.85</x:v>
      </x:c>
      <x:c r="C4784" s="32">
        <x:v>863.52</x:v>
      </x:c>
      <x:c r="D4784" s="32">
        <x:v>841.44</x:v>
      </x:c>
      <x:c r="E4784" s="32">
        <x:v>863.52</x:v>
      </x:c>
      <x:c r="F4784" s="33">
        <x:v>582432110</x:v>
      </x:c>
      <x:c r="G4784" s="32" t="n">
        <x:f t="shared" si="213">AVERAGE(E4585:E4784)</x:f>
        <x:v>910.3362999999997</x:v>
      </x:c>
      <x:c r="H4784" s="37" t="n">
        <x:f t="shared" si="214">IFERROR(E4784/G4784-1,"")</x:f>
        <x:v>-0.0514274779551247</x:v>
      </x:c>
      <x:c r="I4784" s="38" t="b">
        <x:f t="shared" si="215">E4784&lt;G4784</x:f>
        <x:v>1</x:v>
      </x:c>
    </x:row>
    <x:row r="4785">
      <x:c r="A4785" s="31">
        <x:v>43997</x:v>
      </x:c>
      <x:c r="B4785" s="32">
        <x:v>867.52</x:v>
      </x:c>
      <x:c r="C4785" s="32">
        <x:v>868.16</x:v>
      </x:c>
      <x:c r="D4785" s="32">
        <x:v>832.47</x:v>
      </x:c>
      <x:c r="E4785" s="32">
        <x:v>832.47</x:v>
      </x:c>
      <x:c r="F4785" s="33">
        <x:v>470372440</x:v>
      </x:c>
      <x:c r="G4785" s="32" t="n">
        <x:f t="shared" si="213">AVERAGE(E4586:E4785)</x:f>
        <x:v>909.5842499999999</x:v>
      </x:c>
      <x:c r="H4785" s="37" t="n">
        <x:f t="shared" si="214">IFERROR(E4785/G4785-1,"")</x:f>
        <x:v>-0.08477966719410535</x:v>
      </x:c>
      <x:c r="I4785" s="38" t="b">
        <x:f t="shared" si="215">E4785&lt;G4785</x:f>
        <x:v>1</x:v>
      </x:c>
    </x:row>
    <x:row r="4786">
      <x:c r="A4786" s="31">
        <x:v>43998</x:v>
      </x:c>
      <x:c r="B4786" s="32">
        <x:v>848.86</x:v>
      </x:c>
      <x:c r="C4786" s="32">
        <x:v>858.7</x:v>
      </x:c>
      <x:c r="D4786" s="32">
        <x:v>832.47</x:v>
      </x:c>
      <x:c r="E4786" s="32">
        <x:v>856.13</x:v>
      </x:c>
      <x:c r="F4786" s="33">
        <x:v>359812660</x:v>
      </x:c>
      <x:c r="G4786" s="32" t="n">
        <x:f t="shared" si="213">AVERAGE(E4587:E4786)</x:f>
        <x:v>908.9809499999999</x:v>
      </x:c>
      <x:c r="H4786" s="37" t="n">
        <x:f t="shared" si="214">IFERROR(E4786/G4786-1,"")</x:f>
        <x:v>-0.05814307769596261</x:v>
      </x:c>
      <x:c r="I4786" s="38" t="b">
        <x:f t="shared" si="215">E4786&lt;G4786</x:f>
        <x:v>1</x:v>
      </x:c>
    </x:row>
    <x:row r="4787">
      <x:c r="A4787" s="31">
        <x:v>43999</x:v>
      </x:c>
      <x:c r="B4787" s="32">
        <x:v>861.05</x:v>
      </x:c>
      <x:c r="C4787" s="32">
        <x:v>861.05</x:v>
      </x:c>
      <x:c r="D4787" s="32">
        <x:v>852.27</x:v>
      </x:c>
      <x:c r="E4787" s="32">
        <x:v>854.44</x:v>
      </x:c>
      <x:c r="F4787" s="33">
        <x:v>311400140</x:v>
      </x:c>
      <x:c r="G4787" s="32" t="n">
        <x:f t="shared" si="213">AVERAGE(E4588:E4787)</x:f>
        <x:v>908.36685</x:v>
      </x:c>
      <x:c r="H4787" s="37" t="n">
        <x:f t="shared" si="214">IFERROR(E4787/G4787-1,"")</x:f>
        <x:v>-0.05936681859317072</x:v>
      </x:c>
      <x:c r="I4787" s="38" t="b">
        <x:f t="shared" si="215">E4787&lt;G4787</x:f>
        <x:v>1</x:v>
      </x:c>
    </x:row>
    <x:row r="4788">
      <x:c r="A4788" s="31">
        <x:v>44000</x:v>
      </x:c>
      <x:c r="B4788" s="32">
        <x:v>850.92</x:v>
      </x:c>
      <x:c r="C4788" s="32">
        <x:v>858.03</x:v>
      </x:c>
      <x:c r="D4788" s="32">
        <x:v>847.49</x:v>
      </x:c>
      <x:c r="E4788" s="32">
        <x:v>855.27</x:v>
      </x:c>
      <x:c r="F4788" s="33">
        <x:v>234958560</x:v>
      </x:c>
      <x:c r="G4788" s="32" t="n">
        <x:f t="shared" si="213">AVERAGE(E4589:E4788)</x:f>
        <x:v>907.7502499999998</x:v>
      </x:c>
      <x:c r="H4788" s="37" t="n">
        <x:f t="shared" si="214">IFERROR(E4788/G4788-1,"")</x:f>
        <x:v>-0.057813534064022454</x:v>
      </x:c>
      <x:c r="I4788" s="38" t="b">
        <x:f t="shared" si="215">E4788&lt;G4788</x:f>
        <x:v>1</x:v>
      </x:c>
    </x:row>
    <x:row r="4789">
      <x:c r="A4789" s="31">
        <x:v>44001</x:v>
      </x:c>
      <x:c r="B4789" s="32">
        <x:v>857.77</x:v>
      </x:c>
      <x:c r="C4789" s="32">
        <x:v>868.56</x:v>
      </x:c>
      <x:c r="D4789" s="32">
        <x:v>857.77</x:v>
      </x:c>
      <x:c r="E4789" s="32">
        <x:v>868.56</x:v>
      </x:c>
      <x:c r="F4789" s="33">
        <x:v>372261840</x:v>
      </x:c>
      <x:c r="G4789" s="32" t="n">
        <x:f t="shared" si="213">AVERAGE(E4590:E4789)</x:f>
        <x:v>907.17275</x:v>
      </x:c>
      <x:c r="H4789" s="37" t="n">
        <x:f t="shared" si="214">IFERROR(E4789/G4789-1,"")</x:f>
        <x:v>-0.04256383362485261</x:v>
      </x:c>
      <x:c r="I4789" s="38" t="b">
        <x:f t="shared" si="215">E4789&lt;G4789</x:f>
        <x:v>1</x:v>
      </x:c>
    </x:row>
    <x:row r="4790">
      <x:c r="A4790" s="31">
        <x:v>44004</x:v>
      </x:c>
      <x:c r="B4790" s="32">
        <x:v>871.56</x:v>
      </x:c>
      <x:c r="C4790" s="32">
        <x:v>872.94</x:v>
      </x:c>
      <x:c r="D4790" s="32">
        <x:v>867.37</x:v>
      </x:c>
      <x:c r="E4790" s="32">
        <x:v>871.28</x:v>
      </x:c>
      <x:c r="F4790" s="33">
        <x:v>330561410</x:v>
      </x:c>
      <x:c r="G4790" s="32" t="n">
        <x:f t="shared" si="213">AVERAGE(E4591:E4790)</x:f>
        <x:v>906.6323499999999</x:v>
      </x:c>
      <x:c r="H4790" s="37" t="n">
        <x:f t="shared" si="214">IFERROR(E4790/G4790-1,"")</x:f>
        <x:v>-0.03899303835783041</x:v>
      </x:c>
      <x:c r="I4790" s="38" t="b">
        <x:f t="shared" si="215">E4790&lt;G4790</x:f>
        <x:v>1</x:v>
      </x:c>
    </x:row>
    <x:row r="4791">
      <x:c r="A4791" s="31">
        <x:v>44005</x:v>
      </x:c>
      <x:c r="B4791" s="32">
        <x:v>871.12</x:v>
      </x:c>
      <x:c r="C4791" s="32">
        <x:v>873.2</x:v>
      </x:c>
      <x:c r="D4791" s="32">
        <x:v>864.02</x:v>
      </x:c>
      <x:c r="E4791" s="32">
        <x:v>868.2</x:v>
      </x:c>
      <x:c r="F4791" s="33">
        <x:v>400635460</x:v>
      </x:c>
      <x:c r="G4791" s="32" t="n">
        <x:f t="shared" si="213">AVERAGE(E4592:E4791)</x:f>
        <x:v>906.0851999999999</x:v>
      </x:c>
      <x:c r="H4791" s="37" t="n">
        <x:f t="shared" si="214">IFERROR(E4791/G4791-1,"")</x:f>
        <x:v>-0.041811962053899365</x:v>
      </x:c>
      <x:c r="I4791" s="38" t="b">
        <x:f t="shared" si="215">E4791&lt;G4791</x:f>
        <x:v>1</x:v>
      </x:c>
    </x:row>
    <x:row r="4792">
      <x:c r="A4792" s="31">
        <x:v>44006</x:v>
      </x:c>
      <x:c r="B4792" s="32">
        <x:v>868.2</x:v>
      </x:c>
      <x:c r="C4792" s="32">
        <x:v>873.13</x:v>
      </x:c>
      <x:c r="D4792" s="32">
        <x:v>857.58</x:v>
      </x:c>
      <x:c r="E4792" s="32">
        <x:v>859.71</x:v>
      </x:c>
      <x:c r="F4792" s="33">
        <x:v>340026770</x:v>
      </x:c>
      <x:c r="G4792" s="32" t="n">
        <x:f t="shared" si="213">AVERAGE(E4593:E4792)</x:f>
        <x:v>905.4997999999999</x:v>
      </x:c>
      <x:c r="H4792" s="37" t="n">
        <x:f t="shared" si="214">IFERROR(E4792/G4792-1,"")</x:f>
        <x:v>-0.05056853684561824</x:v>
      </x:c>
      <x:c r="I4792" s="38" t="b">
        <x:f t="shared" si="215">E4792&lt;G4792</x:f>
        <x:v>1</x:v>
      </x:c>
    </x:row>
    <x:row r="4793">
      <x:c r="A4793" s="31">
        <x:v>44007</x:v>
      </x:c>
      <x:c r="B4793" s="32">
        <x:v>851.09</x:v>
      </x:c>
      <x:c r="C4793" s="32">
        <x:v>856.23</x:v>
      </x:c>
      <x:c r="D4793" s="32">
        <x:v>849.65</x:v>
      </x:c>
      <x:c r="E4793" s="32">
        <x:v>854.59</x:v>
      </x:c>
      <x:c r="F4793" s="33">
        <x:v>285078310</x:v>
      </x:c>
      <x:c r="G4793" s="32" t="n">
        <x:f t="shared" si="213">AVERAGE(E4594:E4793)</x:f>
        <x:v>904.90235</x:v>
      </x:c>
      <x:c r="H4793" s="37" t="n">
        <x:f t="shared" si="214">IFERROR(E4793/G4793-1,"")</x:f>
        <x:v>-0.05559975615048396</x:v>
      </x:c>
      <x:c r="I4793" s="38" t="b">
        <x:f t="shared" si="215">E4793&lt;G4793</x:f>
        <x:v>1</x:v>
      </x:c>
    </x:row>
    <x:row r="4794">
      <x:c r="A4794" s="31">
        <x:v>44008</x:v>
      </x:c>
      <x:c r="B4794" s="32">
        <x:v>859.07</x:v>
      </x:c>
      <x:c r="C4794" s="32">
        <x:v>862.59</x:v>
      </x:c>
      <x:c r="D4794" s="32">
        <x:v>850.66</x:v>
      </x:c>
      <x:c r="E4794" s="32">
        <x:v>851.98</x:v>
      </x:c>
      <x:c r="F4794" s="33">
        <x:v>258644960</x:v>
      </x:c>
      <x:c r="G4794" s="32" t="n">
        <x:f t="shared" si="213">AVERAGE(E4595:E4794)</x:f>
        <x:v>904.2916499999999</x:v>
      </x:c>
      <x:c r="H4794" s="37" t="n">
        <x:f t="shared" si="214">IFERROR(E4794/G4794-1,"")</x:f>
        <x:v>-0.057848206383416145</x:v>
      </x:c>
      <x:c r="I4794" s="38" t="b">
        <x:f t="shared" si="215">E4794&lt;G4794</x:f>
        <x:v>1</x:v>
      </x:c>
    </x:row>
    <x:row r="4795">
      <x:c r="A4795" s="31">
        <x:v>44011</x:v>
      </x:c>
      <x:c r="B4795" s="32">
        <x:v>846.26</x:v>
      </x:c>
      <x:c r="C4795" s="32">
        <x:v>851.98</x:v>
      </x:c>
      <x:c r="D4795" s="32">
        <x:v>826</x:v>
      </x:c>
      <x:c r="E4795" s="32">
        <x:v>829.36</x:v>
      </x:c>
      <x:c r="F4795" s="33">
        <x:v>335622750</x:v>
      </x:c>
      <x:c r="G4795" s="32" t="n">
        <x:f t="shared" si="213">AVERAGE(E4596:E4795)</x:f>
        <x:v>903.5871499999998</x:v>
      </x:c>
      <x:c r="H4795" s="37" t="n">
        <x:f t="shared" si="214">IFERROR(E4795/G4795-1,"")</x:f>
        <x:v>-0.08214719520967051</x:v>
      </x:c>
      <x:c r="I4795" s="38" t="b">
        <x:f t="shared" si="215">E4795&lt;G4795</x:f>
        <x:v>1</x:v>
      </x:c>
    </x:row>
    <x:row r="4796">
      <x:c r="A4796" s="31">
        <x:v>44012</x:v>
      </x:c>
      <x:c r="B4796" s="32">
        <x:v>836.72</x:v>
      </x:c>
      <x:c r="C4796" s="32">
        <x:v>840.31</x:v>
      </x:c>
      <x:c r="D4796" s="32">
        <x:v>821.92</x:v>
      </x:c>
      <x:c r="E4796" s="32">
        <x:v>825.11</x:v>
      </x:c>
      <x:c r="F4796" s="33">
        <x:v>308543890</x:v>
      </x:c>
      <x:c r="G4796" s="32" t="n">
        <x:f t="shared" si="213">AVERAGE(E4597:E4796)</x:f>
        <x:v>902.8661499999997</x:v>
      </x:c>
      <x:c r="H4796" s="37" t="n">
        <x:f t="shared" si="214">IFERROR(E4796/G4796-1,"")</x:f>
        <x:v>-0.08612145886740763</x:v>
      </x:c>
      <x:c r="I4796" s="38" t="b">
        <x:f t="shared" si="215">E4796&lt;G4796</x:f>
        <x:v>1</x:v>
      </x:c>
    </x:row>
    <x:row r="4797">
      <x:c r="A4797" s="31">
        <x:v>44013</x:v>
      </x:c>
      <x:c r="B4797" s="32">
        <x:v>827.67</x:v>
      </x:c>
      <x:c r="C4797" s="32">
        <x:v>844.26</x:v>
      </x:c>
      <x:c r="D4797" s="32">
        <x:v>826.38</x:v>
      </x:c>
      <x:c r="E4797" s="32">
        <x:v>843.49</x:v>
      </x:c>
      <x:c r="F4797" s="33">
        <x:v>251635370</x:v>
      </x:c>
      <x:c r="G4797" s="32" t="n">
        <x:f t="shared" si="213">AVERAGE(E4598:E4797)</x:f>
        <x:v>902.2032499999997</x:v>
      </x:c>
      <x:c r="H4797" s="37" t="n">
        <x:f t="shared" si="214">IFERROR(E4797/G4797-1,"")</x:f>
        <x:v>-0.0650776307888491</x:v>
      </x:c>
      <x:c r="I4797" s="38" t="b">
        <x:f t="shared" si="215">E4797&lt;G4797</x:f>
        <x:v>1</x:v>
      </x:c>
    </x:row>
    <x:row r="4798">
      <x:c r="A4798" s="31">
        <x:v>44014</x:v>
      </x:c>
      <x:c r="B4798" s="32">
        <x:v>845.66</x:v>
      </x:c>
      <x:c r="C4798" s="32">
        <x:v>845.66</x:v>
      </x:c>
      <x:c r="D4798" s="32">
        <x:v>838.48</x:v>
      </x:c>
      <x:c r="E4798" s="32">
        <x:v>842.38</x:v>
      </x:c>
      <x:c r="F4798" s="33">
        <x:v>190900470</x:v>
      </x:c>
      <x:c r="G4798" s="32" t="n">
        <x:f t="shared" si="213">AVERAGE(E4599:E4798)</x:f>
        <x:v>901.4790499999998</x:v>
      </x:c>
      <x:c r="H4798" s="37" t="n">
        <x:f t="shared" si="214">IFERROR(E4798/G4798-1,"")</x:f>
        <x:v>-0.06555787402935187</x:v>
      </x:c>
      <x:c r="I4798" s="38" t="b">
        <x:f t="shared" si="215">E4798&lt;G4798</x:f>
        <x:v>1</x:v>
      </x:c>
    </x:row>
    <x:row r="4799">
      <x:c r="A4799" s="31">
        <x:v>44015</x:v>
      </x:c>
      <x:c r="B4799" s="32">
        <x:v>845.26</x:v>
      </x:c>
      <x:c r="C4799" s="32">
        <x:v>848.16</x:v>
      </x:c>
      <x:c r="D4799" s="32">
        <x:v>842.38</x:v>
      </x:c>
      <x:c r="E4799" s="32">
        <x:v>847.61</x:v>
      </x:c>
      <x:c r="F4799" s="33">
        <x:v>172688260</x:v>
      </x:c>
      <x:c r="G4799" s="32" t="n">
        <x:f t="shared" si="213">AVERAGE(E4600:E4799)</x:f>
        <x:v>900.7677999999999</x:v>
      </x:c>
      <x:c r="H4799" s="37" t="n">
        <x:f t="shared" si="214">IFERROR(E4799/G4799-1,"")</x:f>
        <x:v>-0.05901387682819015</x:v>
      </x:c>
      <x:c r="I4799" s="38" t="b">
        <x:f t="shared" si="215">E4799&lt;G4799</x:f>
        <x:v>1</x:v>
      </x:c>
    </x:row>
    <x:row r="4800">
      <x:c r="A4800" s="31">
        <x:v>44018</x:v>
      </x:c>
      <x:c r="B4800" s="32">
        <x:v>851.47</x:v>
      </x:c>
      <x:c r="C4800" s="32">
        <x:v>861.85</x:v>
      </x:c>
      <x:c r="D4800" s="32">
        <x:v>847.61</x:v>
      </x:c>
      <x:c r="E4800" s="32">
        <x:v>861.16</x:v>
      </x:c>
      <x:c r="F4800" s="33">
        <x:v>194421760</x:v>
      </x:c>
      <x:c r="G4800" s="32" t="n">
        <x:f t="shared" si="213">AVERAGE(E4601:E4800)</x:f>
        <x:v>900.0898999999997</x:v>
      </x:c>
      <x:c r="H4800" s="37" t="n">
        <x:f t="shared" si="214">IFERROR(E4800/G4800-1,"")</x:f>
        <x:v>-0.04325112413771082</x:v>
      </x:c>
      <x:c r="I4800" s="38" t="b">
        <x:f t="shared" si="215">E4800&lt;G4800</x:f>
        <x:v>1</x:v>
      </x:c>
    </x:row>
    <x:row r="4801">
      <x:c r="A4801" s="31">
        <x:v>44019</x:v>
      </x:c>
      <x:c r="B4801" s="32">
        <x:v>865.46</x:v>
      </x:c>
      <x:c r="C4801" s="32">
        <x:v>870.63</x:v>
      </x:c>
      <x:c r="D4801" s="32">
        <x:v>861.16</x:v>
      </x:c>
      <x:c r="E4801" s="32">
        <x:v>863.42</x:v>
      </x:c>
      <x:c r="F4801" s="33">
        <x:v>284435650</x:v>
      </x:c>
      <x:c r="G4801" s="32" t="n">
        <x:f t="shared" si="213">AVERAGE(E4602:E4801)</x:f>
        <x:v>899.4312499999999</x:v>
      </x:c>
      <x:c r="H4801" s="37" t="n">
        <x:f t="shared" si="214">IFERROR(E4801/G4801-1,"")</x:f>
        <x:v>-0.04003780166633075</x:v>
      </x:c>
      <x:c r="I4801" s="38" t="b">
        <x:f t="shared" si="215">E4801&lt;G4801</x:f>
        <x:v>1</x:v>
      </x:c>
    </x:row>
    <x:row r="4802">
      <x:c r="A4802" s="31">
        <x:v>44020</x:v>
      </x:c>
      <x:c r="B4802" s="32">
        <x:v>861.75</x:v>
      </x:c>
      <x:c r="C4802" s="32">
        <x:v>865.58</x:v>
      </x:c>
      <x:c r="D4802" s="32">
        <x:v>859.98</x:v>
      </x:c>
      <x:c r="E4802" s="32">
        <x:v>864.5</x:v>
      </x:c>
      <x:c r="F4802" s="33">
        <x:v>184014420</x:v>
      </x:c>
      <x:c r="G4802" s="32" t="n">
        <x:f t="shared" si="213">AVERAGE(E4603:E4802)</x:f>
        <x:v>898.7682499999999</x:v>
      </x:c>
      <x:c r="H4802" s="37" t="n">
        <x:f t="shared" si="214">IFERROR(E4802/G4802-1,"")</x:f>
        <x:v>-0.03812801575934599</x:v>
      </x:c>
      <x:c r="I4802" s="38" t="b">
        <x:f t="shared" si="215">E4802&lt;G4802</x:f>
        <x:v>1</x:v>
      </x:c>
    </x:row>
    <x:row r="4803">
      <x:c r="A4803" s="31">
        <x:v>44021</x:v>
      </x:c>
      <x:c r="B4803" s="32">
        <x:v>867.66</x:v>
      </x:c>
      <x:c r="C4803" s="32">
        <x:v>878.36</x:v>
      </x:c>
      <x:c r="D4803" s="32">
        <x:v>864.5</x:v>
      </x:c>
      <x:c r="E4803" s="32">
        <x:v>876.46</x:v>
      </x:c>
      <x:c r="F4803" s="33">
        <x:v>259149310</x:v>
      </x:c>
      <x:c r="G4803" s="32" t="n">
        <x:f t="shared" si="213">AVERAGE(E4604:E4803)</x:f>
        <x:v>898.1987499999997</x:v>
      </x:c>
      <x:c r="H4803" s="37" t="n">
        <x:f t="shared" si="214">IFERROR(E4803/G4803-1,"")</x:f>
        <x:v>-0.024202605492380846</x:v>
      </x:c>
      <x:c r="I4803" s="38" t="b">
        <x:f t="shared" si="215">E4803&lt;G4803</x:f>
        <x:v>1</x:v>
      </x:c>
    </x:row>
    <x:row r="4804">
      <x:c r="A4804" s="31">
        <x:v>44022</x:v>
      </x:c>
      <x:c r="B4804" s="32">
        <x:v>873.7</x:v>
      </x:c>
      <x:c r="C4804" s="32">
        <x:v>878.53</x:v>
      </x:c>
      <x:c r="D4804" s="32">
        <x:v>867.59</x:v>
      </x:c>
      <x:c r="E4804" s="32">
        <x:v>871.21</x:v>
      </x:c>
      <x:c r="F4804" s="33">
        <x:v>254910040</x:v>
      </x:c>
      <x:c r="G4804" s="32" t="n">
        <x:f t="shared" si="213">AVERAGE(E4605:E4804)</x:f>
        <x:v>897.6260499999996</x:v>
      </x:c>
      <x:c r="H4804" s="37" t="n">
        <x:f t="shared" si="214">IFERROR(E4804/G4804-1,"")</x:f>
        <x:v>-0.029428791644359742</x:v>
      </x:c>
      <x:c r="I4804" s="38" t="b">
        <x:f t="shared" si="215">E4804&lt;G4804</x:f>
        <x:v>1</x:v>
      </x:c>
    </x:row>
    <x:row r="4805">
      <x:c r="A4805" s="31">
        <x:v>44025</x:v>
      </x:c>
      <x:c r="B4805" s="32">
        <x:v>874.85</x:v>
      </x:c>
      <x:c r="C4805" s="32">
        <x:v>876.83</x:v>
      </x:c>
      <x:c r="D4805" s="32">
        <x:v>866.99</x:v>
      </x:c>
      <x:c r="E4805" s="32">
        <x:v>868.72</x:v>
      </x:c>
      <x:c r="F4805" s="33">
        <x:v>203912630</x:v>
      </x:c>
      <x:c r="G4805" s="32" t="n">
        <x:f t="shared" si="213">AVERAGE(E4606:E4805)</x:f>
        <x:v>897.0289999999998</x:v>
      </x:c>
      <x:c r="H4805" s="37" t="n">
        <x:f t="shared" si="214">IFERROR(E4805/G4805-1,"")</x:f>
        <x:v>-0.03155862296536649</x:v>
      </x:c>
      <x:c r="I4805" s="38" t="b">
        <x:f t="shared" si="215">E4805&lt;G4805</x:f>
        <x:v>1</x:v>
      </x:c>
    </x:row>
    <x:row r="4806">
      <x:c r="A4806" s="31">
        <x:v>44026</x:v>
      </x:c>
      <x:c r="B4806" s="32">
        <x:v>865.01</x:v>
      </x:c>
      <x:c r="C4806" s="32">
        <x:v>868.72</x:v>
      </x:c>
      <x:c r="D4806" s="32">
        <x:v>860.28</x:v>
      </x:c>
      <x:c r="E4806" s="32">
        <x:v>868.11</x:v>
      </x:c>
      <x:c r="F4806" s="33">
        <x:v>204647390</x:v>
      </x:c>
      <x:c r="G4806" s="32" t="n">
        <x:f t="shared" si="213">AVERAGE(E4607:E4806)</x:f>
        <x:v>896.4330499999996</x:v>
      </x:c>
      <x:c r="H4806" s="37" t="n">
        <x:f t="shared" si="214">IFERROR(E4806/G4806-1,"")</x:f>
        <x:v>-0.03159527641244331</x:v>
      </x:c>
      <x:c r="I4806" s="38" t="b">
        <x:f t="shared" si="215">E4806&lt;G4806</x:f>
        <x:v>1</x:v>
      </x:c>
    </x:row>
    <x:row r="4807">
      <x:c r="A4807" s="31">
        <x:v>44027</x:v>
      </x:c>
      <x:c r="B4807" s="32">
        <x:v>872.8</x:v>
      </x:c>
      <x:c r="C4807" s="32">
        <x:v>876.69</x:v>
      </x:c>
      <x:c r="D4807" s="32">
        <x:v>868.11</x:v>
      </x:c>
      <x:c r="E4807" s="32">
        <x:v>869.91</x:v>
      </x:c>
      <x:c r="F4807" s="33">
        <x:v>223490580</x:v>
      </x:c>
      <x:c r="G4807" s="32" t="n">
        <x:f t="shared" si="213">AVERAGE(E4608:E4807)</x:f>
        <x:v>895.8288499999996</x:v>
      </x:c>
      <x:c r="H4807" s="37" t="n">
        <x:f t="shared" si="214">IFERROR(E4807/G4807-1,"")</x:f>
        <x:v>-0.02893281456608554</x:v>
      </x:c>
      <x:c r="I4807" s="38" t="b">
        <x:f t="shared" si="215">E4807&lt;G4807</x:f>
        <x:v>1</x:v>
      </x:c>
    </x:row>
    <x:row r="4808">
      <x:c r="A4808" s="31">
        <x:v>44028</x:v>
      </x:c>
      <x:c r="B4808" s="32">
        <x:v>871.81</x:v>
      </x:c>
      <x:c r="C4808" s="32">
        <x:v>876.83</x:v>
      </x:c>
      <x:c r="D4808" s="32">
        <x:v>869.25</x:v>
      </x:c>
      <x:c r="E4808" s="32">
        <x:v>876.83</x:v>
      </x:c>
      <x:c r="F4808" s="33">
        <x:v>220943960</x:v>
      </x:c>
      <x:c r="G4808" s="32" t="n">
        <x:f t="shared" si="213">AVERAGE(E4609:E4808)</x:f>
        <x:v>895.2237999999996</x:v>
      </x:c>
      <x:c r="H4808" s="37" t="n">
        <x:f t="shared" si="214">IFERROR(E4808/G4808-1,"")</x:f>
        <x:v>-0.02054659404720871</x:v>
      </x:c>
      <x:c r="I4808" s="38" t="b">
        <x:f t="shared" si="215">E4808&lt;G4808</x:f>
        <x:v>1</x:v>
      </x:c>
    </x:row>
    <x:row r="4809">
      <x:c r="A4809" s="31">
        <x:v>44029</x:v>
      </x:c>
      <x:c r="B4809" s="32">
        <x:v>873.48</x:v>
      </x:c>
      <x:c r="C4809" s="32">
        <x:v>875.07</x:v>
      </x:c>
      <x:c r="D4809" s="32">
        <x:v>871.89</x:v>
      </x:c>
      <x:c r="E4809" s="32">
        <x:v>872.02</x:v>
      </x:c>
      <x:c r="F4809" s="33">
        <x:v>238997770</x:v>
      </x:c>
      <x:c r="G4809" s="32" t="n">
        <x:f t="shared" si="213">AVERAGE(E4610:E4809)</x:f>
        <x:v>894.6010999999995</x:v>
      </x:c>
      <x:c r="H4809" s="37" t="n">
        <x:f t="shared" si="214">IFERROR(E4809/G4809-1,"")</x:f>
        <x:v>-0.02524152943697422</x:v>
      </x:c>
      <x:c r="I4809" s="38" t="b">
        <x:f t="shared" si="215">E4809&lt;G4809</x:f>
        <x:v>1</x:v>
      </x:c>
    </x:row>
    <x:row r="4810">
      <x:c r="A4810" s="31">
        <x:v>44032</x:v>
      </x:c>
      <x:c r="B4810" s="32">
        <x:v>870.66</x:v>
      </x:c>
      <x:c r="C4810" s="32">
        <x:v>872.02</x:v>
      </x:c>
      <x:c r="D4810" s="32">
        <x:v>861.4</x:v>
      </x:c>
      <x:c r="E4810" s="32">
        <x:v>861.4</x:v>
      </x:c>
      <x:c r="F4810" s="33">
        <x:v>256105460</x:v>
      </x:c>
      <x:c r="G4810" s="32" t="n">
        <x:f t="shared" si="213">AVERAGE(E4611:E4810)</x:f>
        <x:v>893.9101499999997</x:v>
      </x:c>
      <x:c r="H4810" s="37" t="n">
        <x:f t="shared" si="214">IFERROR(E4810/G4810-1,"")</x:f>
        <x:v>-0.03636847618298078</x:v>
      </x:c>
      <x:c r="I4810" s="38" t="b">
        <x:f t="shared" si="215">E4810&lt;G4810</x:f>
        <x:v>1</x:v>
      </x:c>
    </x:row>
    <x:row r="4811">
      <x:c r="A4811" s="31">
        <x:v>44033</x:v>
      </x:c>
      <x:c r="B4811" s="32">
        <x:v>863.94</x:v>
      </x:c>
      <x:c r="C4811" s="32">
        <x:v>864.7</x:v>
      </x:c>
      <x:c r="D4811" s="32">
        <x:v>856.94</x:v>
      </x:c>
      <x:c r="E4811" s="32">
        <x:v>861.69</x:v>
      </x:c>
      <x:c r="F4811" s="33">
        <x:v>216046880</x:v>
      </x:c>
      <x:c r="G4811" s="32" t="n">
        <x:f t="shared" si="213">AVERAGE(E4612:E4811)</x:f>
        <x:v>893.2626499999997</x:v>
      </x:c>
      <x:c r="H4811" s="37" t="n">
        <x:f t="shared" si="214">IFERROR(E4811/G4811-1,"")</x:f>
        <x:v>-0.035345315288845436</x:v>
      </x:c>
      <x:c r="I4811" s="38" t="b">
        <x:f t="shared" si="215">E4811&lt;G4811</x:f>
        <x:v>1</x:v>
      </x:c>
    </x:row>
    <x:row r="4812">
      <x:c r="A4812" s="31">
        <x:v>44034</x:v>
      </x:c>
      <x:c r="B4812" s="32">
        <x:v>862.8</x:v>
      </x:c>
      <x:c r="C4812" s="32">
        <x:v>864</x:v>
      </x:c>
      <x:c r="D4812" s="32">
        <x:v>854.97</x:v>
      </x:c>
      <x:c r="E4812" s="32">
        <x:v>855.08</x:v>
      </x:c>
      <x:c r="F4812" s="33">
        <x:v>207218280</x:v>
      </x:c>
      <x:c r="G4812" s="32" t="n">
        <x:f t="shared" si="213">AVERAGE(E4613:E4812)</x:f>
        <x:v>892.5757999999997</x:v>
      </x:c>
      <x:c r="H4812" s="37" t="n">
        <x:f t="shared" si="214">IFERROR(E4812/G4812-1,"")</x:f>
        <x:v>-0.04200853305679997</x:v>
      </x:c>
      <x:c r="I4812" s="38" t="b">
        <x:f t="shared" si="215">E4812&lt;G4812</x:f>
        <x:v>1</x:v>
      </x:c>
    </x:row>
    <x:row r="4813">
      <x:c r="A4813" s="31">
        <x:v>44035</x:v>
      </x:c>
      <x:c r="B4813" s="32">
        <x:v>854.92</x:v>
      </x:c>
      <x:c r="C4813" s="32">
        <x:v>857.22</x:v>
      </x:c>
      <x:c r="D4813" s="32">
        <x:v>851.97</x:v>
      </x:c>
      <x:c r="E4813" s="32">
        <x:v>856.75</x:v>
      </x:c>
      <x:c r="F4813" s="33">
        <x:v>221114760</x:v>
      </x:c>
      <x:c r="G4813" s="32" t="n">
        <x:f t="shared" ref="G4813:G4876" si="216">AVERAGE(E4614:E4813)</x:f>
        <x:v>891.9215999999996</x:v>
      </x:c>
      <x:c r="H4813" s="37" t="n">
        <x:f t="shared" ref="H4813:H4876" si="217">IFERROR(E4813/G4813-1,"")</x:f>
        <x:v>-0.039433510748029366</x:v>
      </x:c>
      <x:c r="I4813" s="38" t="b">
        <x:f t="shared" ref="I4813:I4876" si="218">E4813&lt;G4813</x:f>
        <x:v>1</x:v>
      </x:c>
    </x:row>
    <x:row r="4814">
      <x:c r="A4814" s="31">
        <x:v>44036</x:v>
      </x:c>
      <x:c r="B4814" s="32">
        <x:v>854.23</x:v>
      </x:c>
      <x:c r="C4814" s="32">
        <x:v>856.75</x:v>
      </x:c>
      <x:c r="D4814" s="32">
        <x:v>816.65</x:v>
      </x:c>
      <x:c r="E4814" s="32">
        <x:v>829.16</x:v>
      </x:c>
      <x:c r="F4814" s="33">
        <x:v>436845540</x:v>
      </x:c>
      <x:c r="G4814" s="32" t="n">
        <x:f t="shared" si="216">AVERAGE(E4615:E4814)</x:f>
        <x:v>891.1519499999996</x:v>
      </x:c>
      <x:c r="H4814" s="37" t="n">
        <x:f t="shared" si="217">IFERROR(E4814/G4814-1,"")</x:f>
        <x:v>-0.0695638381310838</x:v>
      </x:c>
      <x:c r="I4814" s="38" t="b">
        <x:f t="shared" si="218">E4814&lt;G4814</x:f>
        <x:v>1</x:v>
      </x:c>
    </x:row>
    <x:row r="4815">
      <x:c r="A4815" s="31">
        <x:v>44039</x:v>
      </x:c>
      <x:c r="B4815" s="32">
        <x:v>794.14</x:v>
      </x:c>
      <x:c r="C4815" s="32">
        <x:v>808.74</x:v>
      </x:c>
      <x:c r="D4815" s="32">
        <x:v>780.64</x:v>
      </x:c>
      <x:c r="E4815" s="32">
        <x:v>785.17</x:v>
      </x:c>
      <x:c r="F4815" s="33">
        <x:v>374271440</x:v>
      </x:c>
      <x:c r="G4815" s="32" t="n">
        <x:f t="shared" si="216">AVERAGE(E4616:E4815)</x:f>
        <x:v>890.1366999999997</x:v>
      </x:c>
      <x:c r="H4815" s="37" t="n">
        <x:f t="shared" si="217">IFERROR(E4815/G4815-1,"")</x:f>
        <x:v>-0.11792200007032605</x:v>
      </x:c>
      <x:c r="I4815" s="38" t="b">
        <x:f t="shared" si="218">E4815&lt;G4815</x:f>
        <x:v>1</x:v>
      </x:c>
    </x:row>
    <x:row r="4816">
      <x:c r="A4816" s="31">
        <x:v>44040</x:v>
      </x:c>
      <x:c r="B4816" s="32">
        <x:v>786.72</x:v>
      </x:c>
      <x:c r="C4816" s="32">
        <x:v>814.4</x:v>
      </x:c>
      <x:c r="D4816" s="32">
        <x:v>786.67</x:v>
      </x:c>
      <x:c r="E4816" s="32">
        <x:v>813.36</x:v>
      </x:c>
      <x:c r="F4816" s="33">
        <x:v>310645950</x:v>
      </x:c>
      <x:c r="G4816" s="32" t="n">
        <x:f t="shared" si="216">AVERAGE(E4617:E4816)</x:f>
        <x:v>889.2643499999998</x:v>
      </x:c>
      <x:c r="H4816" s="37" t="n">
        <x:f t="shared" si="217">IFERROR(E4816/G4816-1,"")</x:f>
        <x:v>-0.0853563397655599</x:v>
      </x:c>
      <x:c r="I4816" s="38" t="b">
        <x:f t="shared" si="218">E4816&lt;G4816</x:f>
        <x:v>1</x:v>
      </x:c>
    </x:row>
    <x:row r="4817">
      <x:c r="A4817" s="31">
        <x:v>44041</x:v>
      </x:c>
      <x:c r="B4817" s="32">
        <x:v>800.39</x:v>
      </x:c>
      <x:c r="C4817" s="32">
        <x:v>800.39</x:v>
      </x:c>
      <x:c r="D4817" s="32">
        <x:v>779.82</x:v>
      </x:c>
      <x:c r="E4817" s="32">
        <x:v>790.84</x:v>
      </x:c>
      <x:c r="F4817" s="33">
        <x:v>311001410</x:v>
      </x:c>
      <x:c r="G4817" s="32" t="n">
        <x:f t="shared" si="216">AVERAGE(E4618:E4817)</x:f>
        <x:v>888.2816499999998</x:v>
      </x:c>
      <x:c r="H4817" s="37" t="n">
        <x:f t="shared" si="217">IFERROR(E4817/G4817-1,"")</x:f>
        <x:v>-0.10969679492985107</x:v>
      </x:c>
      <x:c r="I4817" s="38" t="b">
        <x:f t="shared" si="218">E4817&lt;G4817</x:f>
        <x:v>1</x:v>
      </x:c>
    </x:row>
    <x:row r="4818">
      <x:c r="A4818" s="31">
        <x:v>44042</x:v>
      </x:c>
      <x:c r="B4818" s="32">
        <x:v>796.22</x:v>
      </x:c>
      <x:c r="C4818" s="32">
        <x:v>802.97</x:v>
      </x:c>
      <x:c r="D4818" s="32">
        <x:v>794.88</x:v>
      </x:c>
      <x:c r="E4818" s="32">
        <x:v>801.13</x:v>
      </x:c>
      <x:c r="F4818" s="33">
        <x:v>163227530</x:v>
      </x:c>
      <x:c r="G4818" s="32" t="n">
        <x:f t="shared" si="216">AVERAGE(E4619:E4818)</x:f>
        <x:v>887.3280999999998</x:v>
      </x:c>
      <x:c r="H4818" s="37" t="n">
        <x:f t="shared" si="217">IFERROR(E4818/G4818-1,"")</x:f>
        <x:v>-0.09714343544400306</x:v>
      </x:c>
      <x:c r="I4818" s="38" t="b">
        <x:f t="shared" si="218">E4818&lt;G4818</x:f>
        <x:v>1</x:v>
      </x:c>
    </x:row>
    <x:row r="4819">
      <x:c r="A4819" s="31">
        <x:v>44043</x:v>
      </x:c>
      <x:c r="B4819" s="32">
        <x:v>787.78</x:v>
      </x:c>
      <x:c r="C4819" s="32">
        <x:v>803.55</x:v>
      </x:c>
      <x:c r="D4819" s="32">
        <x:v>786.98</x:v>
      </x:c>
      <x:c r="E4819" s="32">
        <x:v>798.39</x:v>
      </x:c>
      <x:c r="F4819" s="33">
        <x:v>219670740</x:v>
      </x:c>
      <x:c r="G4819" s="32" t="n">
        <x:f t="shared" si="216">AVERAGE(E4620:E4819)</x:f>
        <x:v>886.3521999999997</x:v>
      </x:c>
      <x:c r="H4819" s="37" t="n">
        <x:f t="shared" si="217">IFERROR(E4819/G4819-1,"")</x:f>
        <x:v>-0.0992406855875122</x:v>
      </x:c>
      <x:c r="I4819" s="38" t="b">
        <x:f t="shared" si="218">E4819&lt;G4819</x:f>
        <x:v>1</x:v>
      </x:c>
    </x:row>
    <x:row r="4820">
      <x:c r="A4820" s="31">
        <x:v>44046</x:v>
      </x:c>
      <x:c r="B4820" s="32">
        <x:v>796.86</x:v>
      </x:c>
      <x:c r="C4820" s="32">
        <x:v>814.84</x:v>
      </x:c>
      <x:c r="D4820" s="32">
        <x:v>796.47</x:v>
      </x:c>
      <x:c r="E4820" s="32">
        <x:v>814.65</x:v>
      </x:c>
      <x:c r="F4820" s="33">
        <x:v>244789940</x:v>
      </x:c>
      <x:c r="G4820" s="32" t="n">
        <x:f t="shared" si="216">AVERAGE(E4621:E4820)</x:f>
        <x:v>885.4601999999996</x:v>
      </x:c>
      <x:c r="H4820" s="37" t="n">
        <x:f t="shared" si="217">IFERROR(E4820/G4820-1,"")</x:f>
        <x:v>-0.07996994105438016</x:v>
      </x:c>
      <x:c r="I4820" s="38" t="b">
        <x:f t="shared" si="218">E4820&lt;G4820</x:f>
        <x:v>1</x:v>
      </x:c>
    </x:row>
    <x:row r="4821">
      <x:c r="A4821" s="31">
        <x:v>44047</x:v>
      </x:c>
      <x:c r="B4821" s="32">
        <x:v>822.86</x:v>
      </x:c>
      <x:c r="C4821" s="32">
        <x:v>827.57</x:v>
      </x:c>
      <x:c r="D4821" s="32">
        <x:v>820.2</x:v>
      </x:c>
      <x:c r="E4821" s="32">
        <x:v>827.57</x:v>
      </x:c>
      <x:c r="F4821" s="33">
        <x:v>251465920</x:v>
      </x:c>
      <x:c r="G4821" s="32" t="n">
        <x:f t="shared" si="216">AVERAGE(E4622:E4821)</x:f>
        <x:v>884.6257499999997</x:v>
      </x:c>
      <x:c r="H4821" s="37" t="n">
        <x:f t="shared" si="217">IFERROR(E4821/G4821-1,"")</x:f>
        <x:v>-0.06449704861066918</x:v>
      </x:c>
      <x:c r="I4821" s="38" t="b">
        <x:f t="shared" si="218">E4821&lt;G4821</x:f>
        <x:v>1</x:v>
      </x:c>
    </x:row>
    <x:row r="4822">
      <x:c r="A4822" s="31">
        <x:v>44048</x:v>
      </x:c>
      <x:c r="B4822" s="32">
        <x:v>827.54</x:v>
      </x:c>
      <x:c r="C4822" s="32">
        <x:v>839.52</x:v>
      </x:c>
      <x:c r="D4822" s="32">
        <x:v>820.74</x:v>
      </x:c>
      <x:c r="E4822" s="32">
        <x:v>837.8</x:v>
      </x:c>
      <x:c r="F4822" s="33">
        <x:v>264841620</x:v>
      </x:c>
      <x:c r="G4822" s="32" t="n">
        <x:f t="shared" si="216">AVERAGE(E4623:E4822)</x:f>
        <x:v>883.8656499999996</x:v>
      </x:c>
      <x:c r="H4822" s="37" t="n">
        <x:f t="shared" si="217">IFERROR(E4822/G4822-1,"")</x:f>
        <x:v>-0.05211838473415009</x:v>
      </x:c>
      <x:c r="I4822" s="38" t="b">
        <x:f t="shared" si="218">E4822&lt;G4822</x:f>
        <x:v>1</x:v>
      </x:c>
    </x:row>
    <x:row r="4823">
      <x:c r="A4823" s="31">
        <x:v>44049</x:v>
      </x:c>
      <x:c r="B4823" s="32">
        <x:v>838.01</x:v>
      </x:c>
      <x:c r="C4823" s="32">
        <x:v>844.16</x:v>
      </x:c>
      <x:c r="D4823" s="32">
        <x:v>833.56</x:v>
      </x:c>
      <x:c r="E4823" s="32">
        <x:v>840.04</x:v>
      </x:c>
      <x:c r="F4823" s="33">
        <x:v>233729360</x:v>
      </x:c>
      <x:c r="G4823" s="32" t="n">
        <x:f t="shared" si="216">AVERAGE(E4624:E4823)</x:f>
        <x:v>883.1198499999996</x:v>
      </x:c>
      <x:c r="H4823" s="37" t="n">
        <x:f t="shared" si="217">IFERROR(E4823/G4823-1,"")</x:f>
        <x:v>-0.0487814309688539</x:v>
      </x:c>
      <x:c r="I4823" s="38" t="b">
        <x:f t="shared" si="218">E4823&lt;G4823</x:f>
        <x:v>1</x:v>
      </x:c>
    </x:row>
    <x:row r="4824">
      <x:c r="A4824" s="31">
        <x:v>44050</x:v>
      </x:c>
      <x:c r="B4824" s="32">
        <x:v>840.65</x:v>
      </x:c>
      <x:c r="C4824" s="32">
        <x:v>844.33</x:v>
      </x:c>
      <x:c r="D4824" s="32">
        <x:v>836.84</x:v>
      </x:c>
      <x:c r="E4824" s="32">
        <x:v>841.46</x:v>
      </x:c>
      <x:c r="F4824" s="33">
        <x:v>230026640</x:v>
      </x:c>
      <x:c r="G4824" s="32" t="n">
        <x:f t="shared" si="216">AVERAGE(E4625:E4824)</x:f>
        <x:v>882.4093499999994</x:v>
      </x:c>
      <x:c r="H4824" s="37" t="n">
        <x:f t="shared" si="217">IFERROR(E4824/G4824-1,"")</x:f>
        <x:v>-0.04640629657879236</x:v>
      </x:c>
      <x:c r="I4824" s="38" t="b">
        <x:f t="shared" si="218">E4824&lt;G4824</x:f>
        <x:v>1</x:v>
      </x:c>
    </x:row>
    <x:row r="4825">
      <x:c r="A4825" s="31">
        <x:v>44053</x:v>
      </x:c>
      <x:c r="B4825" s="32">
        <x:v>845.11</x:v>
      </x:c>
      <x:c r="C4825" s="32">
        <x:v>849.52</x:v>
      </x:c>
      <x:c r="D4825" s="32">
        <x:v>843.2</x:v>
      </x:c>
      <x:c r="E4825" s="32">
        <x:v>843.2</x:v>
      </x:c>
      <x:c r="F4825" s="33">
        <x:v>277423110</x:v>
      </x:c>
      <x:c r="G4825" s="32" t="n">
        <x:f t="shared" si="216">AVERAGE(E4626:E4825)</x:f>
        <x:v>881.6893999999996</x:v>
      </x:c>
      <x:c r="H4825" s="37" t="n">
        <x:f t="shared" si="217">IFERROR(E4825/G4825-1,"")</x:f>
        <x:v>-0.04365414850172822</x:v>
      </x:c>
      <x:c r="I4825" s="38" t="b">
        <x:f t="shared" si="218">E4825&lt;G4825</x:f>
        <x:v>1</x:v>
      </x:c>
    </x:row>
    <x:row r="4826">
      <x:c r="A4826" s="31">
        <x:v>44054</x:v>
      </x:c>
      <x:c r="B4826" s="32">
        <x:v>847.61</x:v>
      </x:c>
      <x:c r="C4826" s="32">
        <x:v>847.61</x:v>
      </x:c>
      <x:c r="D4826" s="32">
        <x:v>840.35</x:v>
      </x:c>
      <x:c r="E4826" s="32">
        <x:v>843.08</x:v>
      </x:c>
      <x:c r="F4826" s="33">
        <x:v>226765520</x:v>
      </x:c>
      <x:c r="G4826" s="32" t="n">
        <x:f t="shared" si="216">AVERAGE(E4627:E4826)</x:f>
        <x:v>880.9658499999995</x:v>
      </x:c>
      <x:c r="H4826" s="37" t="n">
        <x:f t="shared" si="217">IFERROR(E4826/G4826-1,"")</x:f>
        <x:v>-0.043004901949376895</x:v>
      </x:c>
      <x:c r="I4826" s="38" t="b">
        <x:f t="shared" si="218">E4826&lt;G4826</x:f>
        <x:v>1</x:v>
      </x:c>
    </x:row>
    <x:row r="4827">
      <x:c r="A4827" s="31">
        <x:v>44055</x:v>
      </x:c>
      <x:c r="B4827" s="32">
        <x:v>844.19</x:v>
      </x:c>
      <x:c r="C4827" s="32">
        <x:v>848.54</x:v>
      </x:c>
      <x:c r="D4827" s="32">
        <x:v>842.88</x:v>
      </x:c>
      <x:c r="E4827" s="32">
        <x:v>846.92</x:v>
      </x:c>
      <x:c r="F4827" s="33">
        <x:v>238422860</x:v>
      </x:c>
      <x:c r="G4827" s="32" t="n">
        <x:f t="shared" si="216">AVERAGE(E4628:E4827)</x:f>
        <x:v>880.2324499999995</x:v>
      </x:c>
      <x:c r="H4827" s="37" t="n">
        <x:f t="shared" si="217">IFERROR(E4827/G4827-1,"")</x:f>
        <x:v>-0.03784506013155908</x:v>
      </x:c>
      <x:c r="I4827" s="38" t="b">
        <x:f t="shared" si="218">E4827&lt;G4827</x:f>
        <x:v>1</x:v>
      </x:c>
    </x:row>
    <x:row r="4828">
      <x:c r="A4828" s="31">
        <x:v>44056</x:v>
      </x:c>
      <x:c r="B4828" s="32">
        <x:v>849.96</x:v>
      </x:c>
      <x:c r="C4828" s="32">
        <x:v>855.19</x:v>
      </x:c>
      <x:c r="D4828" s="32">
        <x:v>849.86</x:v>
      </x:c>
      <x:c r="E4828" s="32">
        <x:v>855.05</x:v>
      </x:c>
      <x:c r="F4828" s="33">
        <x:v>236129250</x:v>
      </x:c>
      <x:c r="G4828" s="32" t="n">
        <x:f t="shared" si="216">AVERAGE(E4629:E4828)</x:f>
        <x:v>879.5248499999994</x:v>
      </x:c>
      <x:c r="H4828" s="37" t="n">
        <x:f t="shared" si="217">IFERROR(E4828/G4828-1,"")</x:f>
        <x:v>-0.02782735473591169</x:v>
      </x:c>
      <x:c r="I4828" s="38" t="b">
        <x:f t="shared" si="218">E4828&lt;G4828</x:f>
        <x:v>1</x:v>
      </x:c>
    </x:row>
    <x:row r="4829">
      <x:c r="A4829" s="31">
        <x:v>44057</x:v>
      </x:c>
      <x:c r="B4829" s="32">
        <x:v>854.29</x:v>
      </x:c>
      <x:c r="C4829" s="32">
        <x:v>860.32</x:v>
      </x:c>
      <x:c r="D4829" s="32">
        <x:v>848.38</x:v>
      </x:c>
      <x:c r="E4829" s="32">
        <x:v>850.74</x:v>
      </x:c>
      <x:c r="F4829" s="33">
        <x:v>285091480</x:v>
      </x:c>
      <x:c r="G4829" s="32" t="n">
        <x:f t="shared" si="216">AVERAGE(E4630:E4829)</x:f>
        <x:v>878.7961499999993</x:v>
      </x:c>
      <x:c r="H4829" s="37" t="n">
        <x:f t="shared" si="217">IFERROR(E4829/G4829-1,"")</x:f>
        <x:v>-0.03192566330655788</x:v>
      </x:c>
      <x:c r="I4829" s="38" t="b">
        <x:f t="shared" si="218">E4829&lt;G4829</x:f>
        <x:v>1</x:v>
      </x:c>
    </x:row>
    <x:row r="4830">
      <x:c r="A4830" s="31">
        <x:v>44060</x:v>
      </x:c>
      <x:c r="B4830" s="32">
        <x:v>848.08</x:v>
      </x:c>
      <x:c r="C4830" s="32">
        <x:v>852.05</x:v>
      </x:c>
      <x:c r="D4830" s="32">
        <x:v>841.62</x:v>
      </x:c>
      <x:c r="E4830" s="32">
        <x:v>850.15</x:v>
      </x:c>
      <x:c r="F4830" s="33">
        <x:v>215893300</x:v>
      </x:c>
      <x:c r="G4830" s="32" t="n">
        <x:f t="shared" si="216">AVERAGE(E4631:E4830)</x:f>
        <x:v>878.0675499999993</x:v>
      </x:c>
      <x:c r="H4830" s="37" t="n">
        <x:f t="shared" si="217">IFERROR(E4830/G4830-1,"")</x:f>
        <x:v>-0.03179430785251014</x:v>
      </x:c>
      <x:c r="I4830" s="38" t="b">
        <x:f t="shared" si="218">E4830&lt;G4830</x:f>
        <x:v>1</x:v>
      </x:c>
    </x:row>
    <x:row r="4831">
      <x:c r="A4831" s="31">
        <x:v>44061</x:v>
      </x:c>
      <x:c r="B4831" s="32">
        <x:v>846.43</x:v>
      </x:c>
      <x:c r="C4831" s="32">
        <x:v>851.06</x:v>
      </x:c>
      <x:c r="D4831" s="32">
        <x:v>845</x:v>
      </x:c>
      <x:c r="E4831" s="32">
        <x:v>846.43</x:v>
      </x:c>
      <x:c r="F4831" s="33">
        <x:v>183415680</x:v>
      </x:c>
      <x:c r="G4831" s="32" t="n">
        <x:f t="shared" si="216">AVERAGE(E4632:E4831)</x:f>
        <x:v>877.2952499999993</x:v>
      </x:c>
      <x:c r="H4831" s="37" t="n">
        <x:f t="shared" si="217">IFERROR(E4831/G4831-1,"")</x:f>
        <x:v>-0.03518228327350392</x:v>
      </x:c>
      <x:c r="I4831" s="38" t="b">
        <x:f t="shared" si="218">E4831&lt;G4831</x:f>
        <x:v>1</x:v>
      </x:c>
    </x:row>
    <x:row r="4832">
      <x:c r="A4832" s="31">
        <x:v>44062</x:v>
      </x:c>
      <x:c r="B4832" s="32">
        <x:v>847.19</x:v>
      </x:c>
      <x:c r="C4832" s="32">
        <x:v>853.15</x:v>
      </x:c>
      <x:c r="D4832" s="32">
        <x:v>846.22</x:v>
      </x:c>
      <x:c r="E4832" s="32">
        <x:v>851.21</x:v>
      </x:c>
      <x:c r="F4832" s="33">
        <x:v>214883630</x:v>
      </x:c>
      <x:c r="G4832" s="32" t="n">
        <x:f t="shared" si="216">AVERAGE(E4633:E4832)</x:f>
        <x:v>876.5571999999993</x:v>
      </x:c>
      <x:c r="H4832" s="37" t="n">
        <x:f t="shared" si="217">IFERROR(E4832/G4832-1,"")</x:f>
        <x:v>-0.028916766641126523</x:v>
      </x:c>
      <x:c r="I4832" s="38" t="b">
        <x:f t="shared" si="218">E4832&lt;G4832</x:f>
        <x:v>1</x:v>
      </x:c>
    </x:row>
    <x:row r="4833">
      <x:c r="A4833" s="31">
        <x:v>44063</x:v>
      </x:c>
      <x:c r="B4833" s="32">
        <x:v>851.21</x:v>
      </x:c>
      <x:c r="C4833" s="32">
        <x:v>856.99</x:v>
      </x:c>
      <x:c r="D4833" s="32">
        <x:v>847.44</x:v>
      </x:c>
      <x:c r="E4833" s="32">
        <x:v>848.21</x:v>
      </x:c>
      <x:c r="F4833" s="33">
        <x:v>232011660</x:v>
      </x:c>
      <x:c r="G4833" s="32" t="n">
        <x:f t="shared" si="216">AVERAGE(E4634:E4833)</x:f>
        <x:v>875.7202999999993</x:v>
      </x:c>
      <x:c r="H4833" s="37" t="n">
        <x:f t="shared" si="217">IFERROR(E4833/G4833-1,"")</x:f>
        <x:v>-0.031414482455184856</x:v>
      </x:c>
      <x:c r="I4833" s="38" t="b">
        <x:f t="shared" si="218">E4833&lt;G4833</x:f>
        <x:v>1</x:v>
      </x:c>
    </x:row>
    <x:row r="4834">
      <x:c r="A4834" s="31">
        <x:v>44064</x:v>
      </x:c>
      <x:c r="B4834" s="32">
        <x:v>849.99</x:v>
      </x:c>
      <x:c r="C4834" s="32">
        <x:v>856.45</x:v>
      </x:c>
      <x:c r="D4834" s="32">
        <x:v>848.21</x:v>
      </x:c>
      <x:c r="E4834" s="32">
        <x:v>854.78</x:v>
      </x:c>
      <x:c r="F4834" s="33">
        <x:v>262789870</x:v>
      </x:c>
      <x:c r="G4834" s="32" t="n">
        <x:f t="shared" si="216">AVERAGE(E4635:E4834)</x:f>
        <x:v>874.8820499999993</x:v>
      </x:c>
      <x:c r="H4834" s="37" t="n">
        <x:f t="shared" si="217">IFERROR(E4834/G4834-1,"")</x:f>
        <x:v>-0.022976868710472775</x:v>
      </x:c>
      <x:c r="I4834" s="38" t="b">
        <x:f t="shared" si="218">E4834&lt;G4834</x:f>
        <x:v>1</x:v>
      </x:c>
    </x:row>
    <x:row r="4835">
      <x:c r="A4835" s="31">
        <x:v>44067</x:v>
      </x:c>
      <x:c r="B4835" s="32">
        <x:v>860.35</x:v>
      </x:c>
      <x:c r="C4835" s="32">
        <x:v>868.68</x:v>
      </x:c>
      <x:c r="D4835" s="32">
        <x:v>854.78</x:v>
      </x:c>
      <x:c r="E4835" s="32">
        <x:v>868.68</x:v>
      </x:c>
      <x:c r="F4835" s="33">
        <x:v>345727410</x:v>
      </x:c>
      <x:c r="G4835" s="32" t="n">
        <x:f t="shared" si="216">AVERAGE(E4636:E4835)</x:f>
        <x:v>874.1037499999991</x:v>
      </x:c>
      <x:c r="H4835" s="37" t="n">
        <x:f t="shared" si="217">IFERROR(E4835/G4835-1,"")</x:f>
        <x:v>-0.006204927046702613</x:v>
      </x:c>
      <x:c r="I4835" s="38" t="b">
        <x:f t="shared" si="218">E4835&lt;G4835</x:f>
        <x:v>1</x:v>
      </x:c>
    </x:row>
    <x:row r="4836">
      <x:c r="A4836" s="31">
        <x:v>44068</x:v>
      </x:c>
      <x:c r="B4836" s="32">
        <x:v>870.92</x:v>
      </x:c>
      <x:c r="C4836" s="32">
        <x:v>877.57</x:v>
      </x:c>
      <x:c r="D4836" s="32">
        <x:v>870.92</x:v>
      </x:c>
      <x:c r="E4836" s="32">
        <x:v>874.12</x:v>
      </x:c>
      <x:c r="F4836" s="33">
        <x:v>342448420</x:v>
      </x:c>
      <x:c r="G4836" s="32" t="n">
        <x:f t="shared" si="216">AVERAGE(E4637:E4836)</x:f>
        <x:v>873.349799999999</x:v>
      </x:c>
      <x:c r="H4836" s="37" t="n">
        <x:f t="shared" si="217">IFERROR(E4836/G4836-1,"")</x:f>
        <x:v>0.0008818917689119576</x:v>
      </x:c>
      <x:c r="I4836" s="38" t="b">
        <x:f t="shared" si="218">E4836&lt;G4836</x:f>
        <x:v>0</x:v>
      </x:c>
    </x:row>
    <x:row r="4837">
      <x:c r="A4837" s="31">
        <x:v>44069</x:v>
      </x:c>
      <x:c r="B4837" s="32">
        <x:v>873.62</x:v>
      </x:c>
      <x:c r="C4837" s="32">
        <x:v>876.97</x:v>
      </x:c>
      <x:c r="D4837" s="32">
        <x:v>871.78</x:v>
      </x:c>
      <x:c r="E4837" s="32">
        <x:v>873.47</x:v>
      </x:c>
      <x:c r="F4837" s="33">
        <x:v>320824630</x:v>
      </x:c>
      <x:c r="G4837" s="32" t="n">
        <x:f t="shared" si="216">AVERAGE(E4638:E4837)</x:f>
        <x:v>872.5969999999993</x:v>
      </x:c>
      <x:c r="H4837" s="37" t="n">
        <x:f t="shared" si="217">IFERROR(E4837/G4837-1,"")</x:f>
        <x:v>0.0010004618397734255</x:v>
      </x:c>
      <x:c r="I4837" s="38" t="b">
        <x:f t="shared" si="218">E4837&lt;G4837</x:f>
        <x:v>0</x:v>
      </x:c>
    </x:row>
    <x:row r="4838">
      <x:c r="A4838" s="31">
        <x:v>44070</x:v>
      </x:c>
      <x:c r="B4838" s="32">
        <x:v>872.38</x:v>
      </x:c>
      <x:c r="C4838" s="32">
        <x:v>875.71</x:v>
      </x:c>
      <x:c r="D4838" s="32">
        <x:v>871.93</x:v>
      </x:c>
      <x:c r="E4838" s="32">
        <x:v>874.71</x:v>
      </x:c>
      <x:c r="F4838" s="33">
        <x:v>279106260</x:v>
      </x:c>
      <x:c r="G4838" s="32" t="n">
        <x:f t="shared" si="216">AVERAGE(E4639:E4838)</x:f>
        <x:v>871.8580999999992</x:v>
      </x:c>
      <x:c r="H4838" s="37" t="n">
        <x:f t="shared" si="217">IFERROR(E4838/G4838-1,"")</x:f>
        <x:v>0.003271059820400657</x:v>
      </x:c>
      <x:c r="I4838" s="38" t="b">
        <x:f t="shared" si="218">E4838&lt;G4838</x:f>
        <x:v>0</x:v>
      </x:c>
    </x:row>
    <x:row r="4839">
      <x:c r="A4839" s="31">
        <x:v>44071</x:v>
      </x:c>
      <x:c r="B4839" s="32">
        <x:v>878.79</x:v>
      </x:c>
      <x:c r="C4839" s="32">
        <x:v>885.86</x:v>
      </x:c>
      <x:c r="D4839" s="32">
        <x:v>874.71</x:v>
      </x:c>
      <x:c r="E4839" s="32">
        <x:v>878.98</x:v>
      </x:c>
      <x:c r="F4839" s="33">
        <x:v>328738170</x:v>
      </x:c>
      <x:c r="G4839" s="32" t="n">
        <x:f t="shared" si="216">AVERAGE(E4640:E4839)</x:f>
        <x:v>871.1692499999994</x:v>
      </x:c>
      <x:c r="H4839" s="37" t="n">
        <x:f t="shared" si="217">IFERROR(E4839/G4839-1,"")</x:f>
        <x:v>0.008965823805191286</x:v>
      </x:c>
      <x:c r="I4839" s="38" t="b">
        <x:f t="shared" si="218">E4839&lt;G4839</x:f>
        <x:v>0</x:v>
      </x:c>
    </x:row>
    <x:row r="4840">
      <x:c r="A4840" s="31">
        <x:v>44074</x:v>
      </x:c>
      <x:c r="B4840" s="32">
        <x:v>882.13</x:v>
      </x:c>
      <x:c r="C4840" s="32">
        <x:v>888.44</x:v>
      </x:c>
      <x:c r="D4840" s="32">
        <x:v>879.26</x:v>
      </x:c>
      <x:c r="E4840" s="32">
        <x:v>881.65</x:v>
      </x:c>
      <x:c r="F4840" s="33">
        <x:v>333312960</x:v>
      </x:c>
      <x:c r="G4840" s="32" t="n">
        <x:f t="shared" si="216">AVERAGE(E4641:E4840)</x:f>
        <x:v>870.4858499999993</x:v>
      </x:c>
      <x:c r="H4840" s="37" t="n">
        <x:f t="shared" si="217">IFERROR(E4840/G4840-1,"")</x:f>
        <x:v>0.012825194114299165</x:v>
      </x:c>
      <x:c r="I4840" s="38" t="b">
        <x:f t="shared" si="218">E4840&lt;G4840</x:f>
        <x:v>0</x:v>
      </x:c>
    </x:row>
    <x:row r="4841">
      <x:c r="A4841" s="31">
        <x:v>44075</x:v>
      </x:c>
      <x:c r="B4841" s="32">
        <x:v>882.4</x:v>
      </x:c>
      <x:c r="C4841" s="32">
        <x:v>892.51</x:v>
      </x:c>
      <x:c r="D4841" s="32">
        <x:v>880.79</x:v>
      </x:c>
      <x:c r="E4841" s="32">
        <x:v>891.73</x:v>
      </x:c>
      <x:c r="F4841" s="33">
        <x:v>285412810</x:v>
      </x:c>
      <x:c r="G4841" s="32" t="n">
        <x:f t="shared" si="216">AVERAGE(E4642:E4841)</x:f>
        <x:v>869.8806499999993</x:v>
      </x:c>
      <x:c r="H4841" s="37" t="n">
        <x:f t="shared" si="217">IFERROR(E4841/G4841-1,"")</x:f>
        <x:v>0.025117641138471924</x:v>
      </x:c>
      <x:c r="I4841" s="38" t="b">
        <x:f t="shared" si="218">E4841&lt;G4841</x:f>
        <x:v>0</x:v>
      </x:c>
    </x:row>
    <x:row r="4842">
      <x:c r="A4842" s="31">
        <x:v>44077</x:v>
      </x:c>
      <x:c r="B4842" s="32">
        <x:v>898.25</x:v>
      </x:c>
      <x:c r="C4842" s="32">
        <x:v>904.32</x:v>
      </x:c>
      <x:c r="D4842" s="32">
        <x:v>896.26</x:v>
      </x:c>
      <x:c r="E4842" s="32">
        <x:v>903.97</x:v>
      </x:c>
      <x:c r="F4842" s="33">
        <x:v>323223440</x:v>
      </x:c>
      <x:c r="G4842" s="32" t="n">
        <x:f t="shared" si="216">AVERAGE(E4643:E4842)</x:f>
        <x:v>869.3389999999993</x:v>
      </x:c>
      <x:c r="H4842" s="37" t="n">
        <x:f t="shared" si="217">IFERROR(E4842/G4842-1,"")</x:f>
        <x:v>0.0398360133388711</x:v>
      </x:c>
      <x:c r="I4842" s="38" t="b">
        <x:f t="shared" si="218">E4842&lt;G4842</x:f>
        <x:v>0</x:v>
      </x:c>
    </x:row>
    <x:row r="4843">
      <x:c r="A4843" s="31">
        <x:v>44078</x:v>
      </x:c>
      <x:c r="B4843" s="32">
        <x:v>896.02</x:v>
      </x:c>
      <x:c r="C4843" s="32">
        <x:v>903.97</x:v>
      </x:c>
      <x:c r="D4843" s="32">
        <x:v>893.86</x:v>
      </x:c>
      <x:c r="E4843" s="32">
        <x:v>901.54</x:v>
      </x:c>
      <x:c r="F4843" s="33">
        <x:v>316184660</x:v>
      </x:c>
      <x:c r="G4843" s="32" t="n">
        <x:f t="shared" si="216">AVERAGE(E4644:E4843)</x:f>
        <x:v>868.7965499999995</x:v>
      </x:c>
      <x:c r="H4843" s="37" t="n">
        <x:f t="shared" si="217">IFERROR(E4843/G4843-1,"")</x:f>
        <x:v>0.03768828271705327</x:v>
      </x:c>
      <x:c r="I4843" s="38" t="b">
        <x:f t="shared" si="218">E4843&lt;G4843</x:f>
        <x:v>0</x:v>
      </x:c>
    </x:row>
    <x:row r="4844">
      <x:c r="A4844" s="31">
        <x:v>44081</x:v>
      </x:c>
      <x:c r="B4844" s="32">
        <x:v>903.85</x:v>
      </x:c>
      <x:c r="C4844" s="32">
        <x:v>905.8</x:v>
      </x:c>
      <x:c r="D4844" s="32">
        <x:v>888.25</x:v>
      </x:c>
      <x:c r="E4844" s="32">
        <x:v>888.25</x:v>
      </x:c>
      <x:c r="F4844" s="33">
        <x:v>382825000</x:v>
      </x:c>
      <x:c r="G4844" s="32" t="n">
        <x:f t="shared" si="216">AVERAGE(E4645:E4844)</x:f>
        <x:v>868.2232499999994</x:v>
      </x:c>
      <x:c r="H4844" s="37" t="n">
        <x:f t="shared" si="217">IFERROR(E4844/G4844-1,"")</x:f>
        <x:v>0.023066359948320514</x:v>
      </x:c>
      <x:c r="I4844" s="38" t="b">
        <x:f t="shared" si="218">E4844&lt;G4844</x:f>
        <x:v>0</x:v>
      </x:c>
    </x:row>
    <x:row r="4845">
      <x:c r="A4845" s="31">
        <x:v>44082</x:v>
      </x:c>
      <x:c r="B4845" s="32">
        <x:v>891.61</x:v>
      </x:c>
      <x:c r="C4845" s="32">
        <x:v>894.58</x:v>
      </x:c>
      <x:c r="D4845" s="32">
        <x:v>884.88</x:v>
      </x:c>
      <x:c r="E4845" s="32">
        <x:v>890.14</x:v>
      </x:c>
      <x:c r="F4845" s="33">
        <x:v>266880030</x:v>
      </x:c>
      <x:c r="G4845" s="32" t="n">
        <x:f t="shared" si="216">AVERAGE(E4646:E4845)</x:f>
        <x:v>867.6321999999996</x:v>
      </x:c>
      <x:c r="H4845" s="37" t="n">
        <x:f t="shared" si="217">IFERROR(E4845/G4845-1,"")</x:f>
        <x:v>0.025941637481873503</x:v>
      </x:c>
      <x:c r="I4845" s="38" t="b">
        <x:f t="shared" si="218">E4845&lt;G4845</x:f>
        <x:v>0</x:v>
      </x:c>
    </x:row>
    <x:row r="4846">
      <x:c r="A4846" s="31">
        <x:v>44083</x:v>
      </x:c>
      <x:c r="B4846" s="32">
        <x:v>883.68</x:v>
      </x:c>
      <x:c r="C4846" s="32">
        <x:v>892.4</x:v>
      </x:c>
      <x:c r="D4846" s="32">
        <x:v>881.57</x:v>
      </x:c>
      <x:c r="E4846" s="32">
        <x:v>889.32</x:v>
      </x:c>
      <x:c r="F4846" s="33">
        <x:v>282232270</x:v>
      </x:c>
      <x:c r="G4846" s="32" t="n">
        <x:f t="shared" si="216">AVERAGE(E4647:E4846)</x:f>
        <x:v>867.0759999999996</x:v>
      </x:c>
      <x:c r="H4846" s="37" t="n">
        <x:f t="shared" si="217">IFERROR(E4846/G4846-1,"")</x:f>
        <x:v>0.025654037247023975</x:v>
      </x:c>
      <x:c r="I4846" s="38" t="b">
        <x:f t="shared" si="218">E4846&lt;G4846</x:f>
        <x:v>0</x:v>
      </x:c>
    </x:row>
    <x:row r="4847">
      <x:c r="A4847" s="31">
        <x:v>44084</x:v>
      </x:c>
      <x:c r="B4847" s="32">
        <x:v>895.29</x:v>
      </x:c>
      <x:c r="C4847" s="32">
        <x:v>896.78</x:v>
      </x:c>
      <x:c r="D4847" s="32">
        <x:v>888.82</x:v>
      </x:c>
      <x:c r="E4847" s="32">
        <x:v>888.82</x:v>
      </x:c>
      <x:c r="F4847" s="33">
        <x:v>283019010</x:v>
      </x:c>
      <x:c r="G4847" s="32" t="n">
        <x:f t="shared" si="216">AVERAGE(E4648:E4847)</x:f>
        <x:v>866.5806499999998</x:v>
      </x:c>
      <x:c r="H4847" s="37" t="n">
        <x:f t="shared" si="217">IFERROR(E4847/G4847-1,"")</x:f>
        <x:v>0.025663335547591926</x:v>
      </x:c>
      <x:c r="I4847" s="38" t="b">
        <x:f t="shared" si="218">E4847&lt;G4847</x:f>
        <x:v>0</x:v>
      </x:c>
    </x:row>
    <x:row r="4848">
      <x:c r="A4848" s="31">
        <x:v>44085</x:v>
      </x:c>
      <x:c r="B4848" s="32">
        <x:v>888.82</x:v>
      </x:c>
      <x:c r="C4848" s="32">
        <x:v>890.98</x:v>
      </x:c>
      <x:c r="D4848" s="32">
        <x:v>884.67</x:v>
      </x:c>
      <x:c r="E4848" s="32">
        <x:v>888.97</x:v>
      </x:c>
      <x:c r="F4848" s="33">
        <x:v>269585440</x:v>
      </x:c>
      <x:c r="G4848" s="32" t="n">
        <x:f t="shared" si="216">AVERAGE(E4649:E4848)</x:f>
        <x:v>866.1365999999997</x:v>
      </x:c>
      <x:c r="H4848" s="37" t="n">
        <x:f t="shared" si="217">IFERROR(E4848/G4848-1,"")</x:f>
        <x:v>0.026362354390751186</x:v>
      </x:c>
      <x:c r="I4848" s="38" t="b">
        <x:f t="shared" si="218">E4848&lt;G4848</x:f>
        <x:v>0</x:v>
      </x:c>
    </x:row>
    <x:row r="4849">
      <x:c r="A4849" s="31">
        <x:v>44088</x:v>
      </x:c>
      <x:c r="B4849" s="32">
        <x:v>891.89</x:v>
      </x:c>
      <x:c r="C4849" s="32">
        <x:v>895.31</x:v>
      </x:c>
      <x:c r="D4849" s="32">
        <x:v>888.97</x:v>
      </x:c>
      <x:c r="E4849" s="32">
        <x:v>894.57</x:v>
      </x:c>
      <x:c r="F4849" s="33">
        <x:v>318768720</x:v>
      </x:c>
      <x:c r="G4849" s="32" t="n">
        <x:f t="shared" si="216">AVERAGE(E4650:E4849)</x:f>
        <x:v>865.7276999999998</x:v>
      </x:c>
      <x:c r="H4849" s="37" t="n">
        <x:f t="shared" si="217">IFERROR(E4849/G4849-1,"")</x:f>
        <x:v>0.03331567189082696</x:v>
      </x:c>
      <x:c r="I4849" s="38" t="b">
        <x:f t="shared" si="218">E4849&lt;G4849</x:f>
        <x:v>0</x:v>
      </x:c>
    </x:row>
    <x:row r="4850">
      <x:c r="A4850" s="31">
        <x:v>44089</x:v>
      </x:c>
      <x:c r="B4850" s="32">
        <x:v>896.61</x:v>
      </x:c>
      <x:c r="C4850" s="32">
        <x:v>898.74</x:v>
      </x:c>
      <x:c r="D4850" s="32">
        <x:v>894.57</x:v>
      </x:c>
      <x:c r="E4850" s="32">
        <x:v>896.26</x:v>
      </x:c>
      <x:c r="F4850" s="33">
        <x:v>343362100</x:v>
      </x:c>
      <x:c r="G4850" s="32" t="n">
        <x:f t="shared" si="216">AVERAGE(E4651:E4850)</x:f>
        <x:v>865.3250499999998</x:v>
      </x:c>
      <x:c r="H4850" s="37" t="n">
        <x:f t="shared" si="217">IFERROR(E4850/G4850-1,"")</x:f>
        <x:v>0.03574951401210469</x:v>
      </x:c>
      <x:c r="I4850" s="38" t="b">
        <x:f t="shared" si="218">E4850&lt;G4850</x:f>
        <x:v>0</x:v>
      </x:c>
    </x:row>
    <x:row r="4851">
      <x:c r="A4851" s="31">
        <x:v>44090</x:v>
      </x:c>
      <x:c r="B4851" s="32">
        <x:v>897.43</x:v>
      </x:c>
      <x:c r="C4851" s="32">
        <x:v>897.58</x:v>
      </x:c>
      <x:c r="D4851" s="32">
        <x:v>894.63</x:v>
      </x:c>
      <x:c r="E4851" s="32">
        <x:v>897.47</x:v>
      </x:c>
      <x:c r="F4851" s="33">
        <x:v>262872740</x:v>
      </x:c>
      <x:c r="G4851" s="32" t="n">
        <x:f t="shared" si="216">AVERAGE(E4652:E4851)</x:f>
        <x:v>864.9215499999998</x:v>
      </x:c>
      <x:c r="H4851" s="37" t="n">
        <x:f t="shared" si="217">IFERROR(E4851/G4851-1,"")</x:f>
        <x:v>0.03763167884994911</x:v>
      </x:c>
      <x:c r="I4851" s="38" t="b">
        <x:f t="shared" si="218">E4851&lt;G4851</x:f>
        <x:v>0</x:v>
      </x:c>
    </x:row>
    <x:row r="4852">
      <x:c r="A4852" s="31">
        <x:v>44091</x:v>
      </x:c>
      <x:c r="B4852" s="32">
        <x:v>897.47</x:v>
      </x:c>
      <x:c r="C4852" s="32">
        <x:v>899.41</x:v>
      </x:c>
      <x:c r="D4852" s="32">
        <x:v>890.93</x:v>
      </x:c>
      <x:c r="E4852" s="32">
        <x:v>894.04</x:v>
      </x:c>
      <x:c r="F4852" s="33">
        <x:v>371114920</x:v>
      </x:c>
      <x:c r="G4852" s="32" t="n">
        <x:f t="shared" si="216">AVERAGE(E4653:E4852)</x:f>
        <x:v>864.5398</x:v>
      </x:c>
      <x:c r="H4852" s="37" t="n">
        <x:f t="shared" si="217">IFERROR(E4852/G4852-1,"")</x:f>
        <x:v>0.03412243137909887</x:v>
      </x:c>
      <x:c r="I4852" s="38" t="b">
        <x:f t="shared" si="218">E4852&lt;G4852</x:f>
        <x:v>0</x:v>
      </x:c>
    </x:row>
    <x:row r="4853">
      <x:c r="A4853" s="31">
        <x:v>44092</x:v>
      </x:c>
      <x:c r="B4853" s="32">
        <x:v>896.08</x:v>
      </x:c>
      <x:c r="C4853" s="32">
        <x:v>902.11</x:v>
      </x:c>
      <x:c r="D4853" s="32">
        <x:v>894.04</x:v>
      </x:c>
      <x:c r="E4853" s="32">
        <x:v>900.95</x:v>
      </x:c>
      <x:c r="F4853" s="33">
        <x:v>303725090</x:v>
      </x:c>
      <x:c r="G4853" s="32" t="n">
        <x:f t="shared" si="216">AVERAGE(E4654:E4853)</x:f>
        <x:v>864.1908</x:v>
      </x:c>
      <x:c r="H4853" s="37" t="n">
        <x:f t="shared" si="217">IFERROR(E4853/G4853-1,"")</x:f>
        <x:v>0.04253597700878098</x:v>
      </x:c>
      <x:c r="I4853" s="38" t="b">
        <x:f t="shared" si="218">E4853&lt;G4853</x:f>
        <x:v>0</x:v>
      </x:c>
    </x:row>
    <x:row r="4854">
      <x:c r="A4854" s="31">
        <x:v>44095</x:v>
      </x:c>
      <x:c r="B4854" s="32">
        <x:v>904.5</x:v>
      </x:c>
      <x:c r="C4854" s="32">
        <x:v>909.78</x:v>
      </x:c>
      <x:c r="D4854" s="32">
        <x:v>900.95</x:v>
      </x:c>
      <x:c r="E4854" s="32">
        <x:v>907.94</x:v>
      </x:c>
      <x:c r="F4854" s="33">
        <x:v>349431690</x:v>
      </x:c>
      <x:c r="G4854" s="32" t="n">
        <x:f t="shared" si="216">AVERAGE(E4655:E4854)</x:f>
        <x:v>863.9339500000001</x:v>
      </x:c>
      <x:c r="H4854" s="37" t="n">
        <x:f t="shared" si="217">IFERROR(E4854/G4854-1,"")</x:f>
        <x:v>0.050936822195724485</x:v>
      </x:c>
      <x:c r="I4854" s="38" t="b">
        <x:f t="shared" si="218">E4854&lt;G4854</x:f>
        <x:v>0</x:v>
      </x:c>
    </x:row>
    <x:row r="4855">
      <x:c r="A4855" s="31">
        <x:v>44096</x:v>
      </x:c>
      <x:c r="B4855" s="32">
        <x:v>905.9</x:v>
      </x:c>
      <x:c r="C4855" s="32">
        <x:v>909.69</x:v>
      </x:c>
      <x:c r="D4855" s="32">
        <x:v>902.47</x:v>
      </x:c>
      <x:c r="E4855" s="32">
        <x:v>906.19</x:v>
      </x:c>
      <x:c r="F4855" s="33">
        <x:v>367748340</x:v>
      </x:c>
      <x:c r="G4855" s="32" t="n">
        <x:f t="shared" si="216">AVERAGE(E4656:E4855)</x:f>
        <x:v>863.69775</x:v>
      </x:c>
      <x:c r="H4855" s="37" t="n">
        <x:f t="shared" si="217">IFERROR(E4855/G4855-1,"")</x:f>
        <x:v>0.04919805568556823</x:v>
      </x:c>
      <x:c r="I4855" s="38" t="b">
        <x:f t="shared" si="218">E4855&lt;G4855</x:f>
        <x:v>0</x:v>
      </x:c>
    </x:row>
    <x:row r="4856">
      <x:c r="A4856" s="31">
        <x:v>44097</x:v>
      </x:c>
      <x:c r="B4856" s="32">
        <x:v>908.97</x:v>
      </x:c>
      <x:c r="C4856" s="32">
        <x:v>913.52</x:v>
      </x:c>
      <x:c r="D4856" s="32">
        <x:v>906.19</x:v>
      </x:c>
      <x:c r="E4856" s="32">
        <x:v>912.5</x:v>
      </x:c>
      <x:c r="F4856" s="33">
        <x:v>324674020</x:v>
      </x:c>
      <x:c r="G4856" s="32" t="n">
        <x:f t="shared" si="216">AVERAGE(E4657:E4856)</x:f>
        <x:v>863.4307500000002</x:v>
      </x:c>
      <x:c r="H4856" s="37" t="n">
        <x:f t="shared" si="217">IFERROR(E4856/G4856-1,"")</x:f>
        <x:v>0.05683055647485302</x:v>
      </x:c>
      <x:c r="I4856" s="38" t="b">
        <x:f t="shared" si="218">E4856&lt;G4856</x:f>
        <x:v>0</x:v>
      </x:c>
    </x:row>
    <x:row r="4857">
      <x:c r="A4857" s="31">
        <x:v>44098</x:v>
      </x:c>
      <x:c r="B4857" s="32">
        <x:v>910.53</x:v>
      </x:c>
      <x:c r="C4857" s="32">
        <x:v>914.51</x:v>
      </x:c>
      <x:c r="D4857" s="32">
        <x:v>907.32</x:v>
      </x:c>
      <x:c r="E4857" s="32">
        <x:v>908.58</x:v>
      </x:c>
      <x:c r="F4857" s="33">
        <x:v>357987680</x:v>
      </x:c>
      <x:c r="G4857" s="32" t="n">
        <x:f t="shared" si="216">AVERAGE(E4658:E4857)</x:f>
        <x:v>863.1573000000003</x:v>
      </x:c>
      <x:c r="H4857" s="37" t="n">
        <x:f t="shared" si="217">IFERROR(E4857/G4857-1,"")</x:f>
        <x:v>0.0526238960152452</x:v>
      </x:c>
      <x:c r="I4857" s="38" t="b">
        <x:f t="shared" si="218">E4857&lt;G4857</x:f>
        <x:v>0</x:v>
      </x:c>
    </x:row>
    <x:row r="4858">
      <x:c r="A4858" s="31">
        <x:v>44099</x:v>
      </x:c>
      <x:c r="B4858" s="32">
        <x:v>910.78</x:v>
      </x:c>
      <x:c r="C4858" s="32">
        <x:v>911.3</x:v>
      </x:c>
      <x:c r="D4858" s="32">
        <x:v>905.56</x:v>
      </x:c>
      <x:c r="E4858" s="32">
        <x:v>908.27</x:v>
      </x:c>
      <x:c r="F4858" s="33">
        <x:v>326126870</x:v>
      </x:c>
      <x:c r="G4858" s="32" t="n">
        <x:f t="shared" si="216">AVERAGE(E4659:E4858)</x:f>
        <x:v>862.8808500000002</x:v>
      </x:c>
      <x:c r="H4858" s="37" t="n">
        <x:f t="shared" si="217">IFERROR(E4858/G4858-1,"")</x:f>
        <x:v>0.05260187429121843</x:v>
      </x:c>
      <x:c r="I4858" s="38" t="b">
        <x:f t="shared" si="218">E4858&lt;G4858</x:f>
        <x:v>0</x:v>
      </x:c>
    </x:row>
    <x:row r="4859">
      <x:c r="A4859" s="31">
        <x:v>44102</x:v>
      </x:c>
      <x:c r="B4859" s="32">
        <x:v>911.2</x:v>
      </x:c>
      <x:c r="C4859" s="32">
        <x:v>913.6</x:v>
      </x:c>
      <x:c r="D4859" s="32">
        <x:v>908.27</x:v>
      </x:c>
      <x:c r="E4859" s="32">
        <x:v>912.5</x:v>
      </x:c>
      <x:c r="F4859" s="33">
        <x:v>378529100</x:v>
      </x:c>
      <x:c r="G4859" s="32" t="n">
        <x:f t="shared" si="216">AVERAGE(E4660:E4859)</x:f>
        <x:v>862.6130500000003</x:v>
      </x:c>
      <x:c r="H4859" s="37" t="n">
        <x:f t="shared" si="217">IFERROR(E4859/G4859-1,"")</x:f>
        <x:v>0.05783236179883877</x:v>
      </x:c>
      <x:c r="I4859" s="38" t="b">
        <x:f t="shared" si="218">E4859&lt;G4859</x:f>
        <x:v>0</x:v>
      </x:c>
    </x:row>
    <x:row r="4860">
      <x:c r="A4860" s="31">
        <x:v>44103</x:v>
      </x:c>
      <x:c r="B4860" s="32">
        <x:v>916.63</x:v>
      </x:c>
      <x:c r="C4860" s="32">
        <x:v>917.49</x:v>
      </x:c>
      <x:c r="D4860" s="32">
        <x:v>903.98</x:v>
      </x:c>
      <x:c r="E4860" s="32">
        <x:v>903.98</x:v>
      </x:c>
      <x:c r="F4860" s="33">
        <x:v>438172690</x:v>
      </x:c>
      <x:c r="G4860" s="32" t="n">
        <x:f t="shared" si="216">AVERAGE(E4661:E4860)</x:f>
        <x:v>862.3314500000004</x:v>
      </x:c>
      <x:c r="H4860" s="37" t="n">
        <x:f t="shared" si="217">IFERROR(E4860/G4860-1,"")</x:f>
        <x:v>0.04829761224642759</x:v>
      </x:c>
      <x:c r="I4860" s="38" t="b">
        <x:f t="shared" si="218">E4860&lt;G4860</x:f>
        <x:v>0</x:v>
      </x:c>
    </x:row>
    <x:row r="4861">
      <x:c r="A4861" s="31">
        <x:v>44104</x:v>
      </x:c>
      <x:c r="B4861" s="32">
        <x:v>904.34</x:v>
      </x:c>
      <x:c r="C4861" s="32">
        <x:v>907</x:v>
      </x:c>
      <x:c r="D4861" s="32">
        <x:v>900.44</x:v>
      </x:c>
      <x:c r="E4861" s="32">
        <x:v>905.21</x:v>
      </x:c>
      <x:c r="F4861" s="33">
        <x:v>310162690</x:v>
      </x:c>
      <x:c r="G4861" s="32" t="n">
        <x:f t="shared" si="216">AVERAGE(E4662:E4861)</x:f>
        <x:v>862.0486000000003</x:v>
      </x:c>
      <x:c r="H4861" s="37" t="n">
        <x:f t="shared" si="217">IFERROR(E4861/G4861-1,"")</x:f>
        <x:v>0.05006840681604219</x:v>
      </x:c>
      <x:c r="I4861" s="38" t="b">
        <x:f t="shared" si="218">E4861&lt;G4861</x:f>
        <x:v>0</x:v>
      </x:c>
    </x:row>
    <x:row r="4862">
      <x:c r="A4862" s="31">
        <x:v>44105</x:v>
      </x:c>
      <x:c r="B4862" s="32">
        <x:v>910.13</x:v>
      </x:c>
      <x:c r="C4862" s="32">
        <x:v>914.09</x:v>
      </x:c>
      <x:c r="D4862" s="32">
        <x:v>905.21</x:v>
      </x:c>
      <x:c r="E4862" s="32">
        <x:v>914.09</x:v>
      </x:c>
      <x:c r="F4862" s="33">
        <x:v>330218020</x:v>
      </x:c>
      <x:c r="G4862" s="32" t="n">
        <x:f t="shared" si="216">AVERAGE(E4663:E4862)</x:f>
        <x:v>861.7782000000002</x:v>
      </x:c>
      <x:c r="H4862" s="37" t="n">
        <x:f t="shared" si="217">IFERROR(E4862/G4862-1,"")</x:f>
        <x:v>0.060702162110853886</x:v>
      </x:c>
      <x:c r="I4862" s="38" t="b">
        <x:f t="shared" si="218">E4862&lt;G4862</x:f>
        <x:v>0</x:v>
      </x:c>
    </x:row>
    <x:row r="4863">
      <x:c r="A4863" s="31">
        <x:v>44106</x:v>
      </x:c>
      <x:c r="B4863" s="32">
        <x:v>914.09</x:v>
      </x:c>
      <x:c r="C4863" s="32">
        <x:v>916.67</x:v>
      </x:c>
      <x:c r="D4863" s="32">
        <x:v>897.72</x:v>
      </x:c>
      <x:c r="E4863" s="32">
        <x:v>909.91</x:v>
      </x:c>
      <x:c r="F4863" s="33">
        <x:v>501297560</x:v>
      </x:c>
      <x:c r="G4863" s="32" t="n">
        <x:f t="shared" si="216">AVERAGE(E4664:E4863)</x:f>
        <x:v>861.4968500000002</x:v>
      </x:c>
      <x:c r="H4863" s="37" t="n">
        <x:f t="shared" si="217">IFERROR(E4863/G4863-1,"")</x:f>
        <x:v>0.05619654906457261</x:v>
      </x:c>
      <x:c r="I4863" s="38" t="b">
        <x:f t="shared" si="218">E4863&lt;G4863</x:f>
        <x:v>0</x:v>
      </x:c>
    </x:row>
    <x:row r="4864">
      <x:c r="A4864" s="31">
        <x:v>44109</x:v>
      </x:c>
      <x:c r="B4864" s="32">
        <x:v>913.77</x:v>
      </x:c>
      <x:c r="C4864" s="32">
        <x:v>915.55</x:v>
      </x:c>
      <x:c r="D4864" s="32">
        <x:v>910.96</x:v>
      </x:c>
      <x:c r="E4864" s="32">
        <x:v>914.68</x:v>
      </x:c>
      <x:c r="F4864" s="33">
        <x:v>420759580</x:v>
      </x:c>
      <x:c r="G4864" s="32" t="n">
        <x:f t="shared" si="216">AVERAGE(E4665:E4864)</x:f>
        <x:v>861.2629000000002</x:v>
      </x:c>
      <x:c r="H4864" s="37" t="n">
        <x:f t="shared" si="217">IFERROR(E4864/G4864-1,"")</x:f>
        <x:v>0.062021828642566446</x:v>
      </x:c>
      <x:c r="I4864" s="38" t="b">
        <x:f t="shared" si="218">E4864&lt;G4864</x:f>
        <x:v>0</x:v>
      </x:c>
    </x:row>
    <x:row r="4865">
      <x:c r="A4865" s="31">
        <x:v>44110</x:v>
      </x:c>
      <x:c r="B4865" s="32">
        <x:v>918.11</x:v>
      </x:c>
      <x:c r="C4865" s="32">
        <x:v>918.93</x:v>
      </x:c>
      <x:c r="D4865" s="32">
        <x:v>912.77</x:v>
      </x:c>
      <x:c r="E4865" s="32">
        <x:v>915.67</x:v>
      </x:c>
      <x:c r="F4865" s="33">
        <x:v>472545310</x:v>
      </x:c>
      <x:c r="G4865" s="32" t="n">
        <x:f t="shared" si="216">AVERAGE(E4666:E4865)</x:f>
        <x:v>861.0711000000001</x:v>
      </x:c>
      <x:c r="H4865" s="37" t="n">
        <x:f t="shared" si="217">IFERROR(E4865/G4865-1,"")</x:f>
        <x:v>0.06340812042118227</x:v>
      </x:c>
      <x:c r="I4865" s="38" t="b">
        <x:f t="shared" si="218">E4865&lt;G4865</x:f>
        <x:v>0</x:v>
      </x:c>
    </x:row>
    <x:row r="4866">
      <x:c r="A4866" s="31">
        <x:v>44111</x:v>
      </x:c>
      <x:c r="B4866" s="32">
        <x:v>913.62</x:v>
      </x:c>
      <x:c r="C4866" s="32">
        <x:v>923.57</x:v>
      </x:c>
      <x:c r="D4866" s="32">
        <x:v>912.69</x:v>
      </x:c>
      <x:c r="E4866" s="32">
        <x:v>919.72</x:v>
      </x:c>
      <x:c r="F4866" s="33">
        <x:v>496266530</x:v>
      </x:c>
      <x:c r="G4866" s="32" t="n">
        <x:f t="shared" si="216">AVERAGE(E4667:E4866)</x:f>
        <x:v>860.9140500000003</x:v>
      </x:c>
      <x:c r="H4866" s="37" t="n">
        <x:f t="shared" si="217">IFERROR(E4866/G4866-1,"")</x:f>
        <x:v>0.06830641223708644</x:v>
      </x:c>
      <x:c r="I4866" s="38" t="b">
        <x:f t="shared" si="218">E4866&lt;G4866</x:f>
        <x:v>0</x:v>
      </x:c>
    </x:row>
    <x:row r="4867">
      <x:c r="A4867" s="31">
        <x:v>44112</x:v>
      </x:c>
      <x:c r="B4867" s="32">
        <x:v>922.08</x:v>
      </x:c>
      <x:c r="C4867" s="32">
        <x:v>922.08</x:v>
      </x:c>
      <x:c r="D4867" s="32">
        <x:v>913.89</x:v>
      </x:c>
      <x:c r="E4867" s="32">
        <x:v>918.84</x:v>
      </x:c>
      <x:c r="F4867" s="33">
        <x:v>446311540</x:v>
      </x:c>
      <x:c r="G4867" s="32" t="n">
        <x:f t="shared" si="216">AVERAGE(E4668:E4867)</x:f>
        <x:v>860.7469500000002</x:v>
      </x:c>
      <x:c r="H4867" s="37" t="n">
        <x:f t="shared" si="217">IFERROR(E4867/G4867-1,"")</x:f>
        <x:v>0.06749143868589935</x:v>
      </x:c>
      <x:c r="I4867" s="38" t="b">
        <x:f t="shared" si="218">E4867&lt;G4867</x:f>
        <x:v>0</x:v>
      </x:c>
    </x:row>
    <x:row r="4868">
      <x:c r="A4868" s="31">
        <x:v>44113</x:v>
      </x:c>
      <x:c r="B4868" s="32">
        <x:v>919.48</x:v>
      </x:c>
      <x:c r="C4868" s="32">
        <x:v>924</x:v>
      </x:c>
      <x:c r="D4868" s="32">
        <x:v>917.7</x:v>
      </x:c>
      <x:c r="E4868" s="32">
        <x:v>924</x:v>
      </x:c>
      <x:c r="F4868" s="33">
        <x:v>343796560</x:v>
      </x:c>
      <x:c r="G4868" s="32" t="n">
        <x:f t="shared" si="216">AVERAGE(E4669:E4868)</x:f>
        <x:v>860.5849000000002</x:v>
      </x:c>
      <x:c r="H4868" s="37" t="n">
        <x:f t="shared" si="217">IFERROR(E4868/G4868-1,"")</x:f>
        <x:v>0.07368837171091402</x:v>
      </x:c>
      <x:c r="I4868" s="38" t="b">
        <x:f t="shared" si="218">E4868&lt;G4868</x:f>
        <x:v>0</x:v>
      </x:c>
    </x:row>
    <x:row r="4869">
      <x:c r="A4869" s="31">
        <x:v>44116</x:v>
      </x:c>
      <x:c r="B4869" s="32">
        <x:v>930.78</x:v>
      </x:c>
      <x:c r="C4869" s="32">
        <x:v>933.13</x:v>
      </x:c>
      <x:c r="D4869" s="32">
        <x:v>923.28</x:v>
      </x:c>
      <x:c r="E4869" s="32">
        <x:v>925.83</x:v>
      </x:c>
      <x:c r="F4869" s="33">
        <x:v>414162820</x:v>
      </x:c>
      <x:c r="G4869" s="32" t="n">
        <x:f t="shared" si="216">AVERAGE(E4670:E4869)</x:f>
        <x:v>860.4169000000002</x:v>
      </x:c>
      <x:c r="H4869" s="37" t="n">
        <x:f t="shared" si="217">IFERROR(E4869/G4869-1,"")</x:f>
        <x:v>0.0760248897947029</x:v>
      </x:c>
      <x:c r="I4869" s="38" t="b">
        <x:f t="shared" si="218">E4869&lt;G4869</x:f>
        <x:v>0</x:v>
      </x:c>
    </x:row>
    <x:row r="4870">
      <x:c r="A4870" s="31">
        <x:v>44117</x:v>
      </x:c>
      <x:c r="B4870" s="32">
        <x:v>926.76</x:v>
      </x:c>
      <x:c r="C4870" s="32">
        <x:v>930.96</x:v>
      </x:c>
      <x:c r="D4870" s="32">
        <x:v>923.78</x:v>
      </x:c>
      <x:c r="E4870" s="32">
        <x:v>929.86</x:v>
      </x:c>
      <x:c r="F4870" s="33">
        <x:v>322972210</x:v>
      </x:c>
      <x:c r="G4870" s="32" t="n">
        <x:f t="shared" si="216">AVERAGE(E4671:E4870)</x:f>
        <x:v>860.2718000000001</x:v>
      </x:c>
      <x:c r="H4870" s="37" t="n">
        <x:f t="shared" si="217">IFERROR(E4870/G4870-1,"")</x:f>
        <x:v>0.08089094632649818</x:v>
      </x:c>
      <x:c r="I4870" s="38" t="b">
        <x:f t="shared" si="218">E4870&lt;G4870</x:f>
        <x:v>0</x:v>
      </x:c>
    </x:row>
    <x:row r="4871">
      <x:c r="A4871" s="31">
        <x:v>44118</x:v>
      </x:c>
      <x:c r="B4871" s="32">
        <x:v>931.89</x:v>
      </x:c>
      <x:c r="C4871" s="32">
        <x:v>940.18</x:v>
      </x:c>
      <x:c r="D4871" s="32">
        <x:v>931.89</x:v>
      </x:c>
      <x:c r="E4871" s="32">
        <x:v>940.18</x:v>
      </x:c>
      <x:c r="F4871" s="33">
        <x:v>386750560</x:v>
      </x:c>
      <x:c r="G4871" s="32" t="n">
        <x:f t="shared" si="216">AVERAGE(E4672:E4871)</x:f>
        <x:v>860.1681000000001</x:v>
      </x:c>
      <x:c r="H4871" s="37" t="n">
        <x:f t="shared" si="217">IFERROR(E4871/G4871-1,"")</x:f>
        <x:v>0.09301891107098692</x:v>
      </x:c>
      <x:c r="I4871" s="38" t="b">
        <x:f t="shared" si="218">E4871&lt;G4871</x:f>
        <x:v>0</x:v>
      </x:c>
    </x:row>
    <x:row r="4872">
      <x:c r="A4872" s="31">
        <x:v>44119</x:v>
      </x:c>
      <x:c r="B4872" s="32">
        <x:v>945.28</x:v>
      </x:c>
      <x:c r="C4872" s="32">
        <x:v>945.93</x:v>
      </x:c>
      <x:c r="D4872" s="32">
        <x:v>938.7</x:v>
      </x:c>
      <x:c r="E4872" s="32">
        <x:v>942.76</x:v>
      </x:c>
      <x:c r="F4872" s="33">
        <x:v>439631740</x:v>
      </x:c>
      <x:c r="G4872" s="32" t="n">
        <x:f t="shared" si="216">AVERAGE(E4673:E4872)</x:f>
        <x:v>860.0889500000002</x:v>
      </x:c>
      <x:c r="H4872" s="37" t="n">
        <x:f t="shared" si="217">IFERROR(E4872/G4872-1,"")</x:f>
        <x:v>0.09611918627718663</x:v>
      </x:c>
      <x:c r="I4872" s="38" t="b">
        <x:f t="shared" si="218">E4872&lt;G4872</x:f>
        <x:v>0</x:v>
      </x:c>
    </x:row>
    <x:row r="4873">
      <x:c r="A4873" s="31">
        <x:v>44120</x:v>
      </x:c>
      <x:c r="B4873" s="32">
        <x:v>944.03</x:v>
      </x:c>
      <x:c r="C4873" s="32">
        <x:v>946.23</x:v>
      </x:c>
      <x:c r="D4873" s="32">
        <x:v>935.98</x:v>
      </x:c>
      <x:c r="E4873" s="32">
        <x:v>943.3</x:v>
      </x:c>
      <x:c r="F4873" s="33">
        <x:v>395580380</x:v>
      </x:c>
      <x:c r="G4873" s="32" t="n">
        <x:f t="shared" si="216">AVERAGE(E4674:E4873)</x:f>
        <x:v>859.9879000000001</x:v>
      </x:c>
      <x:c r="H4873" s="37" t="n">
        <x:f t="shared" si="217">IFERROR(E4873/G4873-1,"")</x:f>
        <x:v>0.096875897905075</x:v>
      </x:c>
      <x:c r="I4873" s="38" t="b">
        <x:f t="shared" si="218">E4873&lt;G4873</x:f>
        <x:v>0</x:v>
      </x:c>
    </x:row>
    <x:row r="4874">
      <x:c r="A4874" s="31">
        <x:v>44123</x:v>
      </x:c>
      <x:c r="B4874" s="32">
        <x:v>945.01</x:v>
      </x:c>
      <x:c r="C4874" s="32">
        <x:v>946.29</x:v>
      </x:c>
      <x:c r="D4874" s="32">
        <x:v>941.92</x:v>
      </x:c>
      <x:c r="E4874" s="32">
        <x:v>943.69</x:v>
      </x:c>
      <x:c r="F4874" s="33">
        <x:v>353154450</x:v>
      </x:c>
      <x:c r="G4874" s="32" t="n">
        <x:f t="shared" si="216">AVERAGE(E4675:E4874)</x:f>
        <x:v>859.8812000000003</x:v>
      </x:c>
      <x:c r="H4874" s="37" t="n">
        <x:f t="shared" si="217">IFERROR(E4874/G4874-1,"")</x:f>
        <x:v>0.09746555686994873</x:v>
      </x:c>
      <x:c r="I4874" s="38" t="b">
        <x:f t="shared" si="218">E4874&lt;G4874</x:f>
        <x:v>0</x:v>
      </x:c>
    </x:row>
    <x:row r="4875">
      <x:c r="A4875" s="31">
        <x:v>44124</x:v>
      </x:c>
      <x:c r="B4875" s="32">
        <x:v>941</x:v>
      </x:c>
      <x:c r="C4875" s="32">
        <x:v>944.54</x:v>
      </x:c>
      <x:c r="D4875" s="32">
        <x:v>937.32</x:v>
      </x:c>
      <x:c r="E4875" s="32">
        <x:v>944.42</x:v>
      </x:c>
      <x:c r="F4875" s="33">
        <x:v>385659020</x:v>
      </x:c>
      <x:c r="G4875" s="32" t="n">
        <x:f t="shared" si="216">AVERAGE(E4676:E4875)</x:f>
        <x:v>859.7983500000003</x:v>
      </x:c>
      <x:c r="H4875" s="37" t="n">
        <x:f t="shared" si="217">IFERROR(E4875/G4875-1,"")</x:f>
        <x:v>0.09842034472385253</x:v>
      </x:c>
      <x:c r="I4875" s="38" t="b">
        <x:f t="shared" si="218">E4875&lt;G4875</x:f>
        <x:v>0</x:v>
      </x:c>
    </x:row>
    <x:row r="4876">
      <x:c r="A4876" s="31">
        <x:v>44125</x:v>
      </x:c>
      <x:c r="B4876" s="32">
        <x:v>947.16</x:v>
      </x:c>
      <x:c r="C4876" s="32">
        <x:v>948.2</x:v>
      </x:c>
      <x:c r="D4876" s="32">
        <x:v>939</x:v>
      </x:c>
      <x:c r="E4876" s="32">
        <x:v>939.03</x:v>
      </x:c>
      <x:c r="F4876" s="33">
        <x:v>372347380</x:v>
      </x:c>
      <x:c r="G4876" s="32" t="n">
        <x:f t="shared" si="216">AVERAGE(E4677:E4876)</x:f>
        <x:v>859.6601500000003</x:v>
      </x:c>
      <x:c r="H4876" s="37" t="n">
        <x:f t="shared" si="217">IFERROR(E4876/G4876-1,"")</x:f>
        <x:v>0.09232700852773013</x:v>
      </x:c>
      <x:c r="I4876" s="38" t="b">
        <x:f t="shared" si="218">E4876&lt;G4876</x:f>
        <x:v>0</x:v>
      </x:c>
    </x:row>
    <x:row r="4877">
      <x:c r="A4877" s="31">
        <x:v>44126</x:v>
      </x:c>
      <x:c r="B4877" s="32">
        <x:v>938.06</x:v>
      </x:c>
      <x:c r="C4877" s="32">
        <x:v>949.9</x:v>
      </x:c>
      <x:c r="D4877" s="32">
        <x:v>933.78</x:v>
      </x:c>
      <x:c r="E4877" s="32">
        <x:v>949.9</x:v>
      </x:c>
      <x:c r="F4877" s="33">
        <x:v>316297780</x:v>
      </x:c>
      <x:c r="G4877" s="32" t="n">
        <x:f t="shared" ref="G4877:G4940" si="219">AVERAGE(E4678:E4877)</x:f>
        <x:v>859.5839500000002</x:v>
      </x:c>
      <x:c r="H4877" s="37" t="n">
        <x:f t="shared" ref="H4877:H4940" si="220">IFERROR(E4877/G4877-1,"")</x:f>
        <x:v>0.10506949321238457</x:v>
      </x:c>
      <x:c r="I4877" s="38" t="b">
        <x:f t="shared" ref="I4877:I4940" si="221">E4877&lt;G4877</x:f>
        <x:v>0</x:v>
      </x:c>
    </x:row>
    <x:row r="4878">
      <x:c r="A4878" s="31">
        <x:v>44127</x:v>
      </x:c>
      <x:c r="B4878" s="32">
        <x:v>953.45</x:v>
      </x:c>
      <x:c r="C4878" s="32">
        <x:v>961.26</x:v>
      </x:c>
      <x:c r="D4878" s="32">
        <x:v>949.9</x:v>
      </x:c>
      <x:c r="E4878" s="32">
        <x:v>961.26</x:v>
      </x:c>
      <x:c r="F4878" s="33">
        <x:v>392430900</x:v>
      </x:c>
      <x:c r="G4878" s="32" t="n">
        <x:f t="shared" si="219">AVERAGE(E4679:E4878)</x:f>
        <x:v>859.6113000000004</x:v>
      </x:c>
      <x:c r="H4878" s="37" t="n">
        <x:f t="shared" si="220">IFERROR(E4878/G4878-1,"")</x:f>
        <x:v>0.11824960886391267</x:v>
      </x:c>
      <x:c r="I4878" s="38" t="b">
        <x:f t="shared" si="221">E4878&lt;G4878</x:f>
        <x:v>0</x:v>
      </x:c>
    </x:row>
    <x:row r="4879">
      <x:c r="A4879" s="31">
        <x:v>44130</x:v>
      </x:c>
      <x:c r="B4879" s="32">
        <x:v>967.52</x:v>
      </x:c>
      <x:c r="C4879" s="32">
        <x:v>970.15</x:v>
      </x:c>
      <x:c r="D4879" s="32">
        <x:v>950.8</x:v>
      </x:c>
      <x:c r="E4879" s="32">
        <x:v>950.8</x:v>
      </x:c>
      <x:c r="F4879" s="33">
        <x:v>404773940</x:v>
      </x:c>
      <x:c r="G4879" s="32" t="n">
        <x:f t="shared" si="219">AVERAGE(E4680:E4879)</x:f>
        <x:v>859.5709000000004</x:v>
      </x:c>
      <x:c r="H4879" s="37" t="n">
        <x:f t="shared" si="220">IFERROR(E4879/G4879-1,"")</x:f>
        <x:v>0.1061333044196815</x:v>
      </x:c>
      <x:c r="I4879" s="38" t="b">
        <x:f t="shared" si="221">E4879&lt;G4879</x:f>
        <x:v>0</x:v>
      </x:c>
    </x:row>
    <x:row r="4880">
      <x:c r="A4880" s="31">
        <x:v>44131</x:v>
      </x:c>
      <x:c r="B4880" s="32">
        <x:v>950.8</x:v>
      </x:c>
      <x:c r="C4880" s="32">
        <x:v>954.72</x:v>
      </x:c>
      <x:c r="D4880" s="32">
        <x:v>946.28</x:v>
      </x:c>
      <x:c r="E4880" s="32">
        <x:v>946.47</x:v>
      </x:c>
      <x:c r="F4880" s="33">
        <x:v>414913610</x:v>
      </x:c>
      <x:c r="G4880" s="32" t="n">
        <x:f t="shared" si="219">AVERAGE(E4681:E4880)</x:f>
        <x:v>859.5583500000004</x:v>
      </x:c>
      <x:c r="H4880" s="37" t="n">
        <x:f t="shared" si="220">IFERROR(E4880/G4880-1,"")</x:f>
        <x:v>0.1011119838461223</x:v>
      </x:c>
      <x:c r="I4880" s="38" t="b">
        <x:f t="shared" si="221">E4880&lt;G4880</x:f>
        <x:v>0</x:v>
      </x:c>
    </x:row>
    <x:row r="4881">
      <x:c r="A4881" s="31">
        <x:v>44132</x:v>
      </x:c>
      <x:c r="B4881" s="32">
        <x:v>942.82</x:v>
      </x:c>
      <x:c r="C4881" s="32">
        <x:v>946.91</x:v>
      </x:c>
      <x:c r="D4881" s="32">
        <x:v>921.05</x:v>
      </x:c>
      <x:c r="E4881" s="32">
        <x:v>921.05</x:v>
      </x:c>
      <x:c r="F4881" s="33">
        <x:v>433068340</x:v>
      </x:c>
      <x:c r="G4881" s="32" t="n">
        <x:f t="shared" si="219">AVERAGE(E4682:E4881)</x:f>
        <x:v>859.3628500000002</x:v>
      </x:c>
      <x:c r="H4881" s="37" t="n">
        <x:f t="shared" si="220">IFERROR(E4881/G4881-1,"")</x:f>
        <x:v>0.07178242578207761</x:v>
      </x:c>
      <x:c r="I4881" s="38" t="b">
        <x:f t="shared" si="221">E4881&lt;G4881</x:f>
        <x:v>0</x:v>
      </x:c>
    </x:row>
    <x:row r="4882">
      <x:c r="A4882" s="31">
        <x:v>44133</x:v>
      </x:c>
      <x:c r="B4882" s="32">
        <x:v>916.49</x:v>
      </x:c>
      <x:c r="C4882" s="32">
        <x:v>925.84</x:v>
      </x:c>
      <x:c r="D4882" s="32">
        <x:v>914.33</x:v>
      </x:c>
      <x:c r="E4882" s="32">
        <x:v>919.08</x:v>
      </x:c>
      <x:c r="F4882" s="33">
        <x:v>355910070</x:v>
      </x:c>
      <x:c r="G4882" s="32" t="n">
        <x:f t="shared" si="219">AVERAGE(E4683:E4882)</x:f>
        <x:v>859.1155500000002</x:v>
      </x:c>
      <x:c r="H4882" s="37" t="n">
        <x:f t="shared" si="220">IFERROR(E4882/G4882-1,"")</x:f>
        <x:v>0.06979788690822764</x:v>
      </x:c>
      <x:c r="I4882" s="38" t="b">
        <x:f t="shared" si="221">E4882&lt;G4882</x:f>
        <x:v>0</x:v>
      </x:c>
    </x:row>
    <x:row r="4883">
      <x:c r="A4883" s="31">
        <x:v>44134</x:v>
      </x:c>
      <x:c r="B4883" s="32">
        <x:v>925.41</x:v>
      </x:c>
      <x:c r="C4883" s="32">
        <x:v>926.32</x:v>
      </x:c>
      <x:c r="D4883" s="32">
        <x:v>911.2</x:v>
      </x:c>
      <x:c r="E4883" s="32">
        <x:v>925.47</x:v>
      </x:c>
      <x:c r="F4883" s="33">
        <x:v>297619160</x:v>
      </x:c>
      <x:c r="G4883" s="32" t="n">
        <x:f t="shared" si="219">AVERAGE(E4684:E4883)</x:f>
        <x:v>858.9137000000003</x:v>
      </x:c>
      <x:c r="H4883" s="37" t="n">
        <x:f t="shared" si="220">IFERROR(E4883/G4883-1,"")</x:f>
        <x:v>0.07748892583736833</x:v>
      </x:c>
      <x:c r="I4883" s="38" t="b">
        <x:f t="shared" si="221">E4883&lt;G4883</x:f>
        <x:v>0</x:v>
      </x:c>
    </x:row>
    <x:row r="4884">
      <x:c r="A4884" s="31">
        <x:v>44137</x:v>
      </x:c>
      <x:c r="B4884" s="32">
        <x:v>926.09</x:v>
      </x:c>
      <x:c r="C4884" s="32">
        <x:v>933.68</x:v>
      </x:c>
      <x:c r="D4884" s="32">
        <x:v>924.14</x:v>
      </x:c>
      <x:c r="E4884" s="32">
        <x:v>933.68</x:v>
      </x:c>
      <x:c r="F4884" s="33">
        <x:v>273082480</x:v>
      </x:c>
      <x:c r="G4884" s="32" t="n">
        <x:f t="shared" si="219">AVERAGE(E4685:E4884)</x:f>
        <x:v>858.7471000000002</x:v>
      </x:c>
      <x:c r="H4884" s="37" t="n">
        <x:f t="shared" si="220">IFERROR(E4884/G4884-1,"")</x:f>
        <x:v>0.0872584023864531</x:v>
      </x:c>
      <x:c r="I4884" s="38" t="b">
        <x:f t="shared" si="221">E4884&lt;G4884</x:f>
        <x:v>0</x:v>
      </x:c>
    </x:row>
    <x:row r="4885">
      <x:c r="A4885" s="31">
        <x:v>44138</x:v>
      </x:c>
      <x:c r="B4885" s="32">
        <x:v>936.73</x:v>
      </x:c>
      <x:c r="C4885" s="32">
        <x:v>937.57</x:v>
      </x:c>
      <x:c r="D4885" s="32">
        <x:v>932.18</x:v>
      </x:c>
      <x:c r="E4885" s="32">
        <x:v>935.41</x:v>
      </x:c>
      <x:c r="F4885" s="33">
        <x:v>302847830</x:v>
      </x:c>
      <x:c r="G4885" s="32" t="n">
        <x:f t="shared" si="219">AVERAGE(E4686:E4885)</x:f>
        <x:v>858.5863500000003</x:v>
      </x:c>
      <x:c r="H4885" s="37" t="n">
        <x:f t="shared" si="220">IFERROR(E4885/G4885-1,"")</x:f>
        <x:v>0.08947690584645285</x:v>
      </x:c>
      <x:c r="I4885" s="38" t="b">
        <x:f t="shared" si="221">E4885&lt;G4885</x:f>
        <x:v>0</x:v>
      </x:c>
    </x:row>
    <x:row r="4886">
      <x:c r="A4886" s="31">
        <x:v>44139</x:v>
      </x:c>
      <x:c r="B4886" s="32">
        <x:v>935.41</x:v>
      </x:c>
      <x:c r="C4886" s="32">
        <x:v>943.56</x:v>
      </x:c>
      <x:c r="D4886" s="32">
        <x:v>933.86</x:v>
      </x:c>
      <x:c r="E4886" s="32">
        <x:v>939.76</x:v>
      </x:c>
      <x:c r="F4886" s="33">
        <x:v>327410490</x:v>
      </x:c>
      <x:c r="G4886" s="32" t="n">
        <x:f t="shared" si="219">AVERAGE(E4687:E4886)</x:f>
        <x:v>858.4136000000002</x:v>
      </x:c>
      <x:c r="H4886" s="37" t="n">
        <x:f t="shared" si="220">IFERROR(E4886/G4886-1,"")</x:f>
        <x:v>0.09476364307368823</x:v>
      </x:c>
      <x:c r="I4886" s="38" t="b">
        <x:f t="shared" si="221">E4886&lt;G4886</x:f>
        <x:v>0</x:v>
      </x:c>
    </x:row>
    <x:row r="4887">
      <x:c r="A4887" s="31">
        <x:v>44140</x:v>
      </x:c>
      <x:c r="B4887" s="32">
        <x:v>940.32</x:v>
      </x:c>
      <x:c r="C4887" s="32">
        <x:v>945.51</x:v>
      </x:c>
      <x:c r="D4887" s="32">
        <x:v>937.75</x:v>
      </x:c>
      <x:c r="E4887" s="32">
        <x:v>937.75</x:v>
      </x:c>
      <x:c r="F4887" s="33">
        <x:v>270446750</x:v>
      </x:c>
      <x:c r="G4887" s="32" t="n">
        <x:f t="shared" si="219">AVERAGE(E4688:E4887)</x:f>
        <x:v>858.2075500000002</x:v>
      </x:c>
      <x:c r="H4887" s="37" t="n">
        <x:f t="shared" si="220">IFERROR(E4887/G4887-1,"")</x:f>
        <x:v>0.09268439784758331</x:v>
      </x:c>
      <x:c r="I4887" s="38" t="b">
        <x:f t="shared" si="221">E4887&lt;G4887</x:f>
        <x:v>0</x:v>
      </x:c>
    </x:row>
    <x:row r="4888">
      <x:c r="A4888" s="31">
        <x:v>44141</x:v>
      </x:c>
      <x:c r="B4888" s="32">
        <x:v>939.73</x:v>
      </x:c>
      <x:c r="C4888" s="32">
        <x:v>941.2</x:v>
      </x:c>
      <x:c r="D4888" s="32">
        <x:v>934.63</x:v>
      </x:c>
      <x:c r="E4888" s="32">
        <x:v>938.29</x:v>
      </x:c>
      <x:c r="F4888" s="33">
        <x:v>249258850</x:v>
      </x:c>
      <x:c r="G4888" s="32" t="n">
        <x:f t="shared" si="219">AVERAGE(E4689:E4888)</x:f>
        <x:v>858.0058500000002</x:v>
      </x:c>
      <x:c r="H4888" s="37" t="n">
        <x:f t="shared" si="220">IFERROR(E4888/G4888-1,"")</x:f>
        <x:v>0.09357063241468544</x:v>
      </x:c>
      <x:c r="I4888" s="38" t="b">
        <x:f t="shared" si="221">E4888&lt;G4888</x:f>
        <x:v>0</x:v>
      </x:c>
    </x:row>
    <x:row r="4889">
      <x:c r="A4889" s="31">
        <x:v>44144</x:v>
      </x:c>
      <x:c r="B4889" s="32">
        <x:v>942.15</x:v>
      </x:c>
      <x:c r="C4889" s="32">
        <x:v>951.99</x:v>
      </x:c>
      <x:c r="D4889" s="32">
        <x:v>938.29</x:v>
      </x:c>
      <x:c r="E4889" s="32">
        <x:v>951.99</x:v>
      </x:c>
      <x:c r="F4889" s="33">
        <x:v>369592050</x:v>
      </x:c>
      <x:c r="G4889" s="32" t="n">
        <x:f t="shared" si="219">AVERAGE(E4690:E4889)</x:f>
        <x:v>857.8339500000001</x:v>
      </x:c>
      <x:c r="H4889" s="37" t="n">
        <x:f t="shared" si="220">IFERROR(E4889/G4889-1,"")</x:f>
        <x:v>0.10976022807211105</x:v>
      </x:c>
      <x:c r="I4889" s="38" t="b">
        <x:f t="shared" si="221">E4889&lt;G4889</x:f>
        <x:v>0</x:v>
      </x:c>
    </x:row>
    <x:row r="4890">
      <x:c r="A4890" s="31">
        <x:v>44145</x:v>
      </x:c>
      <x:c r="B4890" s="32">
        <x:v>962.68</x:v>
      </x:c>
      <x:c r="C4890" s="32">
        <x:v>963.47</x:v>
      </x:c>
      <x:c r="D4890" s="32">
        <x:v>951.9</x:v>
      </x:c>
      <x:c r="E4890" s="32">
        <x:v>951.9</x:v>
      </x:c>
      <x:c r="F4890" s="33">
        <x:v>422041040</x:v>
      </x:c>
      <x:c r="G4890" s="32" t="n">
        <x:f t="shared" si="219">AVERAGE(E4691:E4890)</x:f>
        <x:v>857.6361499999999</x:v>
      </x:c>
      <x:c r="H4890" s="37" t="n">
        <x:f t="shared" si="220">IFERROR(E4890/G4890-1,"")</x:f>
        <x:v>0.10991123683394188</x:v>
      </x:c>
      <x:c r="I4890" s="38" t="b">
        <x:f t="shared" si="221">E4890&lt;G4890</x:f>
        <x:v>0</x:v>
      </x:c>
    </x:row>
    <x:row r="4891">
      <x:c r="A4891" s="31">
        <x:v>44146</x:v>
      </x:c>
      <x:c r="B4891" s="32">
        <x:v>954.46</x:v>
      </x:c>
      <x:c r="C4891" s="32">
        <x:v>956.65</x:v>
      </x:c>
      <x:c r="D4891" s="32">
        <x:v>947.61</x:v>
      </x:c>
      <x:c r="E4891" s="32">
        <x:v>952.22</x:v>
      </x:c>
      <x:c r="F4891" s="33">
        <x:v>353735780</x:v>
      </x:c>
      <x:c r="G4891" s="32" t="n">
        <x:f t="shared" si="219">AVERAGE(E4692:E4891)</x:f>
        <x:v>857.59935</x:v>
      </x:c>
      <x:c r="H4891" s="37" t="n">
        <x:f t="shared" si="220">IFERROR(E4891/G4891-1,"")</x:f>
        <x:v>0.11033199826935514</x:v>
      </x:c>
      <x:c r="I4891" s="38" t="b">
        <x:f t="shared" si="221">E4891&lt;G4891</x:f>
        <x:v>0</x:v>
      </x:c>
    </x:row>
    <x:row r="4892">
      <x:c r="A4892" s="31">
        <x:v>44147</x:v>
      </x:c>
      <x:c r="B4892" s="32">
        <x:v>953.97</x:v>
      </x:c>
      <x:c r="C4892" s="32">
        <x:v>959.28</x:v>
      </x:c>
      <x:c r="D4892" s="32">
        <x:v>952.22</x:v>
      </x:c>
      <x:c r="E4892" s="32">
        <x:v>959.28</x:v>
      </x:c>
      <x:c r="F4892" s="33">
        <x:v>320081130</x:v>
      </x:c>
      <x:c r="G4892" s="32" t="n">
        <x:f t="shared" si="219">AVERAGE(E4693:E4892)</x:f>
        <x:v>857.7126499999999</x:v>
      </x:c>
      <x:c r="H4892" s="37" t="n">
        <x:f t="shared" si="220">IFERROR(E4892/G4892-1,"")</x:f>
        <x:v>0.11841652329600127</x:v>
      </x:c>
      <x:c r="I4892" s="38" t="b">
        <x:f t="shared" si="221">E4892&lt;G4892</x:f>
        <x:v>0</x:v>
      </x:c>
    </x:row>
    <x:row r="4893">
      <x:c r="A4893" s="31">
        <x:v>44148</x:v>
      </x:c>
      <x:c r="B4893" s="32">
        <x:v>959.56</x:v>
      </x:c>
      <x:c r="C4893" s="32">
        <x:v>966.29</x:v>
      </x:c>
      <x:c r="D4893" s="32">
        <x:v>959.13</x:v>
      </x:c>
      <x:c r="E4893" s="32">
        <x:v>966.29</x:v>
      </x:c>
      <x:c r="F4893" s="33">
        <x:v>419678370</x:v>
      </x:c>
      <x:c r="G4893" s="32" t="n">
        <x:f t="shared" si="219">AVERAGE(E4694:E4893)</x:f>
        <x:v>857.9033999999999</x:v>
      </x:c>
      <x:c r="H4893" s="37" t="n">
        <x:f t="shared" si="220">IFERROR(E4893/G4893-1,"")</x:f>
        <x:v>0.12633893279826158</x:v>
      </x:c>
      <x:c r="I4893" s="38" t="b">
        <x:f t="shared" si="221">E4893&lt;G4893</x:f>
        <x:v>0</x:v>
      </x:c>
    </x:row>
    <x:row r="4894">
      <x:c r="A4894" s="31">
        <x:v>44151</x:v>
      </x:c>
      <x:c r="B4894" s="32">
        <x:v>970.11</x:v>
      </x:c>
      <x:c r="C4894" s="32">
        <x:v>972.98</x:v>
      </x:c>
      <x:c r="D4894" s="32">
        <x:v>950.5</x:v>
      </x:c>
      <x:c r="E4894" s="32">
        <x:v>950.79</x:v>
      </x:c>
      <x:c r="F4894" s="33">
        <x:v>484179810</x:v>
      </x:c>
      <x:c r="G4894" s="32" t="n">
        <x:f t="shared" si="219">AVERAGE(E4695:E4894)</x:f>
        <x:v>858.0119</x:v>
      </x:c>
      <x:c r="H4894" s="37" t="n">
        <x:f t="shared" si="220">IFERROR(E4894/G4894-1,"")</x:f>
        <x:v>0.10813148395727379</x:v>
      </x:c>
      <x:c r="I4894" s="38" t="b">
        <x:f t="shared" si="221">E4894&lt;G4894</x:f>
        <x:v>0</x:v>
      </x:c>
    </x:row>
    <x:row r="4895">
      <x:c r="A4895" s="31">
        <x:v>44152</x:v>
      </x:c>
      <x:c r="B4895" s="32">
        <x:v>955.52</x:v>
      </x:c>
      <x:c r="C4895" s="32">
        <x:v>968.9</x:v>
      </x:c>
      <x:c r="D4895" s="32">
        <x:v>950.79</x:v>
      </x:c>
      <x:c r="E4895" s="32">
        <x:v>968.9</x:v>
      </x:c>
      <x:c r="F4895" s="33">
        <x:v>371415910</x:v>
      </x:c>
      <x:c r="G4895" s="32" t="n">
        <x:f t="shared" si="219">AVERAGE(E4696:E4895)</x:f>
        <x:v>858.22685</x:v>
      </x:c>
      <x:c r="H4895" s="37" t="n">
        <x:f t="shared" si="220">IFERROR(E4895/G4895-1,"")</x:f>
        <x:v>0.12895559023817538</x:v>
      </x:c>
      <x:c r="I4895" s="38" t="b">
        <x:f t="shared" si="221">E4895&lt;G4895</x:f>
        <x:v>0</x:v>
      </x:c>
    </x:row>
    <x:row r="4896">
      <x:c r="A4896" s="31">
        <x:v>44153</x:v>
      </x:c>
      <x:c r="B4896" s="32">
        <x:v>969.48</x:v>
      </x:c>
      <x:c r="C4896" s="32">
        <x:v>974.3</x:v>
      </x:c>
      <x:c r="D4896" s="32">
        <x:v>966.32</x:v>
      </x:c>
      <x:c r="E4896" s="32">
        <x:v>973.53</x:v>
      </x:c>
      <x:c r="F4896" s="33">
        <x:v>446206150</x:v>
      </x:c>
      <x:c r="G4896" s="32" t="n">
        <x:f t="shared" si="219">AVERAGE(E4697:E4896)</x:f>
        <x:v>858.4018</x:v>
      </x:c>
      <x:c r="H4896" s="37" t="n">
        <x:f t="shared" si="220">IFERROR(E4896/G4896-1,"")</x:f>
        <x:v>0.13411924345918202</x:v>
      </x:c>
      <x:c r="I4896" s="38" t="b">
        <x:f t="shared" si="221">E4896&lt;G4896</x:f>
        <x:v>0</x:v>
      </x:c>
    </x:row>
    <x:row r="4897">
      <x:c r="A4897" s="31">
        <x:v>44154</x:v>
      </x:c>
      <x:c r="B4897" s="32">
        <x:v>975.32</x:v>
      </x:c>
      <x:c r="C4897" s="32">
        <x:v>983.26</x:v>
      </x:c>
      <x:c r="D4897" s="32">
        <x:v>973.53</x:v>
      </x:c>
      <x:c r="E4897" s="32">
        <x:v>983.26</x:v>
      </x:c>
      <x:c r="F4897" s="33">
        <x:v>473474550</x:v>
      </x:c>
      <x:c r="G4897" s="32" t="n">
        <x:f t="shared" si="219">AVERAGE(E4698:E4897)</x:f>
        <x:v>858.6143499999998</x:v>
      </x:c>
      <x:c r="H4897" s="37" t="n">
        <x:f t="shared" si="220">IFERROR(E4897/G4897-1,"")</x:f>
        <x:v>0.1451707044029722</x:v>
      </x:c>
      <x:c r="I4897" s="38" t="b">
        <x:f t="shared" si="221">E4897&lt;G4897</x:f>
        <x:v>0</x:v>
      </x:c>
    </x:row>
    <x:row r="4898">
      <x:c r="A4898" s="31">
        <x:v>44155</x:v>
      </x:c>
      <x:c r="B4898" s="32">
        <x:v>984.71</x:v>
      </x:c>
      <x:c r="C4898" s="32">
        <x:v>990</x:v>
      </x:c>
      <x:c r="D4898" s="32">
        <x:v>980.72</x:v>
      </x:c>
      <x:c r="E4898" s="32">
        <x:v>990</x:v>
      </x:c>
      <x:c r="F4898" s="33">
        <x:v>471526920</x:v>
      </x:c>
      <x:c r="G4898" s="32" t="n">
        <x:f t="shared" si="219">AVERAGE(E4699:E4898)</x:f>
        <x:v>858.9106999999999</x:v>
      </x:c>
      <x:c r="H4898" s="37" t="n">
        <x:f t="shared" si="220">IFERROR(E4898/G4898-1,"")</x:f>
        <x:v>0.15262273481981325</x:v>
      </x:c>
      <x:c r="I4898" s="38" t="b">
        <x:f t="shared" si="221">E4898&lt;G4898</x:f>
        <x:v>0</x:v>
      </x:c>
    </x:row>
    <x:row r="4899">
      <x:c r="A4899" s="31">
        <x:v>44158</x:v>
      </x:c>
      <x:c r="B4899" s="32">
        <x:v>991.87</x:v>
      </x:c>
      <x:c r="C4899" s="32">
        <x:v>995.9</x:v>
      </x:c>
      <x:c r="D4899" s="32">
        <x:v>985.38</x:v>
      </x:c>
      <x:c r="E4899" s="32">
        <x:v>994.19</x:v>
      </x:c>
      <x:c r="F4899" s="33">
        <x:v>450110750</x:v>
      </x:c>
      <x:c r="G4899" s="32" t="n">
        <x:f t="shared" si="219">AVERAGE(E4700:E4899)</x:f>
        <x:v>859.2083</x:v>
      </x:c>
      <x:c r="H4899" s="37" t="n">
        <x:f t="shared" si="220">IFERROR(E4899/G4899-1,"")</x:f>
        <x:v>0.15710008853499202</x:v>
      </x:c>
      <x:c r="I4899" s="38" t="b">
        <x:f t="shared" si="221">E4899&lt;G4899</x:f>
        <x:v>0</x:v>
      </x:c>
    </x:row>
    <x:row r="4900">
      <x:c r="A4900" s="31">
        <x:v>44159</x:v>
      </x:c>
      <x:c r="B4900" s="32">
        <x:v>996.55</x:v>
      </x:c>
      <x:c r="C4900" s="32">
        <x:v>997.99</x:v>
      </x:c>
      <x:c r="D4900" s="32">
        <x:v>984.92</x:v>
      </x:c>
      <x:c r="E4900" s="32">
        <x:v>995.76</x:v>
      </x:c>
      <x:c r="F4900" s="33">
        <x:v>511566140</x:v>
      </x:c>
      <x:c r="G4900" s="32" t="n">
        <x:f t="shared" si="219">AVERAGE(E4701:E4900)</x:f>
        <x:v>859.4987</x:v>
      </x:c>
      <x:c r="H4900" s="37" t="n">
        <x:f t="shared" si="220">IFERROR(E4900/G4900-1,"")</x:f>
        <x:v>0.15853578370740995</x:v>
      </x:c>
      <x:c r="I4900" s="38" t="b">
        <x:f t="shared" si="221">E4900&lt;G4900</x:f>
        <x:v>0</x:v>
      </x:c>
    </x:row>
    <x:row r="4901">
      <x:c r="A4901" s="31">
        <x:v>44160</x:v>
      </x:c>
      <x:c r="B4901" s="32">
        <x:v>1000.39</x:v>
      </x:c>
      <x:c r="C4901" s="32">
        <x:v>1002.31</x:v>
      </x:c>
      <x:c r="D4901" s="32">
        <x:v>995.76</x:v>
      </x:c>
      <x:c r="E4901" s="32">
        <x:v>999.94</x:v>
      </x:c>
      <x:c r="F4901" s="33">
        <x:v>445346780</x:v>
      </x:c>
      <x:c r="G4901" s="32" t="n">
        <x:f t="shared" si="219">AVERAGE(E4702:E4901)</x:f>
        <x:v>859.8072000000002</x:v>
      </x:c>
      <x:c r="H4901" s="37" t="n">
        <x:f t="shared" si="220">IFERROR(E4901/G4901-1,"")</x:f>
        <x:v>0.1629816544918441</x:v>
      </x:c>
      <x:c r="I4901" s="38" t="b">
        <x:f t="shared" si="221">E4901&lt;G4901</x:f>
        <x:v>0</x:v>
      </x:c>
    </x:row>
    <x:row r="4902">
      <x:c r="A4902" s="31">
        <x:v>44161</x:v>
      </x:c>
      <x:c r="B4902" s="32">
        <x:v>999.24</x:v>
      </x:c>
      <x:c r="C4902" s="32">
        <x:v>1005.97</x:v>
      </x:c>
      <x:c r="D4902" s="32">
        <x:v>994.91</x:v>
      </x:c>
      <x:c r="E4902" s="32">
        <x:v>1005.97</x:v>
      </x:c>
      <x:c r="F4902" s="33">
        <x:v>411338400</x:v>
      </x:c>
      <x:c r="G4902" s="32" t="n">
        <x:f t="shared" si="219">AVERAGE(E4703:E4902)</x:f>
        <x:v>860.1498000000001</x:v>
      </x:c>
      <x:c r="H4902" s="37" t="n">
        <x:f t="shared" si="220">IFERROR(E4902/G4902-1,"")</x:f>
        <x:v>0.16952884253417233</x:v>
      </x:c>
      <x:c r="I4902" s="38" t="b">
        <x:f t="shared" si="221">E4902&lt;G4902</x:f>
        <x:v>0</x:v>
      </x:c>
    </x:row>
    <x:row r="4903">
      <x:c r="A4903" s="31">
        <x:v>44162</x:v>
      </x:c>
      <x:c r="B4903" s="32">
        <x:v>1006.68</x:v>
      </x:c>
      <x:c r="C4903" s="32">
        <x:v>1010.22</x:v>
      </x:c>
      <x:c r="D4903" s="32">
        <x:v>1004</x:v>
      </x:c>
      <x:c r="E4903" s="32">
        <x:v>1010.22</x:v>
      </x:c>
      <x:c r="F4903" s="33">
        <x:v>381723340</x:v>
      </x:c>
      <x:c r="G4903" s="32" t="n">
        <x:f t="shared" si="219">AVERAGE(E4704:E4903)</x:f>
        <x:v>860.5270500000001</x:v>
      </x:c>
      <x:c r="H4903" s="37" t="n">
        <x:f t="shared" si="220">IFERROR(E4903/G4903-1,"")</x:f>
        <x:v>0.17395496167145463</x:v>
      </x:c>
      <x:c r="I4903" s="38" t="b">
        <x:f t="shared" si="221">E4903&lt;G4903</x:f>
        <x:v>0</x:v>
      </x:c>
    </x:row>
    <x:row r="4904">
      <x:c r="A4904" s="31">
        <x:v>44165</x:v>
      </x:c>
      <x:c r="B4904" s="32">
        <x:v>1011.82</x:v>
      </x:c>
      <x:c r="C4904" s="32">
        <x:v>1012.5</x:v>
      </x:c>
      <x:c r="D4904" s="32">
        <x:v>1002.61</x:v>
      </x:c>
      <x:c r="E4904" s="32">
        <x:v>1003.08</x:v>
      </x:c>
      <x:c r="F4904" s="33">
        <x:v>450045450</x:v>
      </x:c>
      <x:c r="G4904" s="32" t="n">
        <x:f t="shared" si="219">AVERAGE(E4705:E4904)</x:f>
        <x:v>860.9028000000002</x:v>
      </x:c>
      <x:c r="H4904" s="37" t="n">
        <x:f t="shared" si="220">IFERROR(E4904/G4904-1,"")</x:f>
        <x:v>0.16514895758266768</x:v>
      </x:c>
      <x:c r="I4904" s="38" t="b">
        <x:f t="shared" si="221">E4904&lt;G4904</x:f>
        <x:v>0</x:v>
      </x:c>
    </x:row>
    <x:row r="4905">
      <x:c r="A4905" s="31">
        <x:v>44166</x:v>
      </x:c>
      <x:c r="B4905" s="32">
        <x:v>988.71</x:v>
      </x:c>
      <x:c r="C4905" s="32">
        <x:v>1008.87</x:v>
      </x:c>
      <x:c r="D4905" s="32">
        <x:v>988.71</x:v>
      </x:c>
      <x:c r="E4905" s="32">
        <x:v>1008.87</x:v>
      </x:c>
      <x:c r="F4905" s="33">
        <x:v>536207660</x:v>
      </x:c>
      <x:c r="G4905" s="32" t="n">
        <x:f t="shared" si="219">AVERAGE(E4706:E4905)</x:f>
        <x:v>861.3033500000003</x:v>
      </x:c>
      <x:c r="H4905" s="37" t="n">
        <x:f t="shared" si="220">IFERROR(E4905/G4905-1,"")</x:f>
        <x:v>0.17132947410456456</x:v>
      </x:c>
      <x:c r="I4905" s="38" t="b">
        <x:f t="shared" si="221">E4905&lt;G4905</x:f>
        <x:v>0</x:v>
      </x:c>
    </x:row>
    <x:row r="4906">
      <x:c r="A4906" s="31">
        <x:v>44167</x:v>
      </x:c>
      <x:c r="B4906" s="32">
        <x:v>1008.77</x:v>
      </x:c>
      <x:c r="C4906" s="32">
        <x:v>1015.86</x:v>
      </x:c>
      <x:c r="D4906" s="32">
        <x:v>1007.91</x:v>
      </x:c>
      <x:c r="E4906" s="32">
        <x:v>1014.32</x:v>
      </x:c>
      <x:c r="F4906" s="33">
        <x:v>484658120</x:v>
      </x:c>
      <x:c r="G4906" s="32" t="n">
        <x:f t="shared" si="219">AVERAGE(E4707:E4906)</x:f>
        <x:v>861.6843000000001</x:v>
      </x:c>
      <x:c r="H4906" s="37" t="n">
        <x:f t="shared" si="220">IFERROR(E4906/G4906-1,"")</x:f>
        <x:v>0.17713645241070308</x:v>
      </x:c>
      <x:c r="I4906" s="38" t="b">
        <x:f t="shared" si="221">E4906&lt;G4906</x:f>
        <x:v>0</x:v>
      </x:c>
    </x:row>
    <x:row r="4907">
      <x:c r="A4907" s="31">
        <x:v>44168</x:v>
      </x:c>
      <x:c r="B4907" s="32">
        <x:v>1016.73</x:v>
      </x:c>
      <x:c r="C4907" s="32">
        <x:v>1020.35</x:v>
      </x:c>
      <x:c r="D4907" s="32">
        <x:v>1014.06</x:v>
      </x:c>
      <x:c r="E4907" s="32">
        <x:v>1019.8</x:v>
      </x:c>
      <x:c r="F4907" s="33">
        <x:v>496771120</x:v>
      </x:c>
      <x:c r="G4907" s="32" t="n">
        <x:f t="shared" si="219">AVERAGE(E4708:E4907)</x:f>
        <x:v>862.1178500000002</x:v>
      </x:c>
      <x:c r="H4907" s="37" t="n">
        <x:f t="shared" si="220">IFERROR(E4907/G4907-1,"")</x:f>
        <x:v>0.18290092242029288</x:v>
      </x:c>
      <x:c r="I4907" s="38" t="b">
        <x:f t="shared" si="221">E4907&lt;G4907</x:f>
        <x:v>0</x:v>
      </x:c>
    </x:row>
    <x:row r="4908">
      <x:c r="A4908" s="31">
        <x:v>44169</x:v>
      </x:c>
      <x:c r="B4908" s="32">
        <x:v>1019.8</x:v>
      </x:c>
      <x:c r="C4908" s="32">
        <x:v>1025.17</x:v>
      </x:c>
      <x:c r="D4908" s="32">
        <x:v>1018.67</x:v>
      </x:c>
      <x:c r="E4908" s="32">
        <x:v>1021.49</x:v>
      </x:c>
      <x:c r="F4908" s="33">
        <x:v>527019060</x:v>
      </x:c>
      <x:c r="G4908" s="32" t="n">
        <x:f t="shared" si="219">AVERAGE(E4709:E4908)</x:f>
        <x:v>862.7086</x:v>
      </x:c>
      <x:c r="H4908" s="37" t="n">
        <x:f t="shared" si="220">IFERROR(E4908/G4908-1,"")</x:f>
        <x:v>0.18404986341854013</x:v>
      </x:c>
      <x:c r="I4908" s="38" t="b">
        <x:f t="shared" si="221">E4908&lt;G4908</x:f>
        <x:v>0</x:v>
      </x:c>
    </x:row>
    <x:row r="4909">
      <x:c r="A4909" s="31">
        <x:v>44172</x:v>
      </x:c>
      <x:c r="B4909" s="32">
        <x:v>1024.3399999999999</x:v>
      </x:c>
      <x:c r="C4909" s="32">
        <x:v>1030.4100000000001</x:v>
      </x:c>
      <x:c r="D4909" s="32">
        <x:v>1022.14</x:v>
      </x:c>
      <x:c r="E4909" s="32">
        <x:v>1029.98</x:v>
      </x:c>
      <x:c r="F4909" s="33">
        <x:v>473554480</x:v>
      </x:c>
      <x:c r="G4909" s="32" t="n">
        <x:f t="shared" si="219">AVERAGE(E4710:E4909)</x:f>
        <x:v>863.31015</x:v>
      </x:c>
      <x:c r="H4909" s="37" t="n">
        <x:f t="shared" si="220">IFERROR(E4909/G4909-1,"")</x:f>
        <x:v>0.19305906457835564</x:v>
      </x:c>
      <x:c r="I4909" s="38" t="b">
        <x:f t="shared" si="221">E4909&lt;G4909</x:f>
        <x:v>0</x:v>
      </x:c>
    </x:row>
    <x:row r="4910">
      <x:c r="A4910" s="31">
        <x:v>44173</x:v>
      </x:c>
      <x:c r="B4910" s="32">
        <x:v>1029.98</x:v>
      </x:c>
      <x:c r="C4910" s="32">
        <x:v>1032.58</x:v>
      </x:c>
      <x:c r="D4910" s="32">
        <x:v>1025.6300000000001</x:v>
      </x:c>
      <x:c r="E4910" s="32">
        <x:v>1029.26</x:v>
      </x:c>
      <x:c r="F4910" s="33">
        <x:v>501250780</x:v>
      </x:c>
      <x:c r="G4910" s="32" t="n">
        <x:f t="shared" si="219">AVERAGE(E4711:E4910)</x:f>
        <x:v>863.9766000000001</x:v>
      </x:c>
      <x:c r="H4910" s="37" t="n">
        <x:f t="shared" si="220">IFERROR(E4910/G4910-1,"")</x:f>
        <x:v>0.1913054126697411</x:v>
      </x:c>
      <x:c r="I4910" s="38" t="b">
        <x:f t="shared" si="221">E4910&lt;G4910</x:f>
        <x:v>0</x:v>
      </x:c>
    </x:row>
    <x:row r="4911">
      <x:c r="A4911" s="31">
        <x:v>44174</x:v>
      </x:c>
      <x:c r="B4911" s="32">
        <x:v>1031.19</x:v>
      </x:c>
      <x:c r="C4911" s="32">
        <x:v>1039.55</x:v>
      </x:c>
      <x:c r="D4911" s="32">
        <x:v>1030.24</x:v>
      </x:c>
      <x:c r="E4911" s="32">
        <x:v>1039.1300000000001</x:v>
      </x:c>
      <x:c r="F4911" s="33">
        <x:v>554755640</x:v>
      </x:c>
      <x:c r="G4911" s="32" t="n">
        <x:f t="shared" si="219">AVERAGE(E4712:E4911)</x:f>
        <x:v>864.68005</x:v>
      </x:c>
      <x:c r="H4911" s="37" t="n">
        <x:f t="shared" si="220">IFERROR(E4911/G4911-1,"")</x:f>
        <x:v>0.20175086727165725</x:v>
      </x:c>
      <x:c r="I4911" s="38" t="b">
        <x:f t="shared" si="221">E4911&lt;G4911</x:f>
        <x:v>0</x:v>
      </x:c>
    </x:row>
    <x:row r="4912">
      <x:c r="A4912" s="31">
        <x:v>44175</x:v>
      </x:c>
      <x:c r="B4912" s="32">
        <x:v>1041.6500000000001</x:v>
      </x:c>
      <x:c r="C4912" s="32">
        <x:v>1044.0999999999999</x:v>
      </x:c>
      <x:c r="D4912" s="32">
        <x:v>1030.9100000000001</x:v>
      </x:c>
      <x:c r="E4912" s="32">
        <x:v>1030.9100000000001</x:v>
      </x:c>
      <x:c r="F4912" s="33">
        <x:v>566339280</x:v>
      </x:c>
      <x:c r="G4912" s="32" t="n">
        <x:f t="shared" si="219">AVERAGE(E4713:E4912)</x:f>
        <x:v>865.4236500000001</x:v>
      </x:c>
      <x:c r="H4912" s="37" t="n">
        <x:f t="shared" si="220">IFERROR(E4912/G4912-1,"")</x:f>
        <x:v>0.1912200458122446</x:v>
      </x:c>
      <x:c r="I4912" s="38" t="b">
        <x:f t="shared" si="221">E4912&lt;G4912</x:f>
        <x:v>0</x:v>
      </x:c>
    </x:row>
    <x:row r="4913">
      <x:c r="A4913" s="31">
        <x:v>44176</x:v>
      </x:c>
      <x:c r="B4913" s="32">
        <x:v>1033.19</x:v>
      </x:c>
      <x:c r="C4913" s="32">
        <x:v>1045.96</x:v>
      </x:c>
      <x:c r="D4913" s="32">
        <x:v>1030.06</x:v>
      </x:c>
      <x:c r="E4913" s="32">
        <x:v>1045.96</x:v>
      </x:c>
      <x:c r="F4913" s="33">
        <x:v>413852370</x:v>
      </x:c>
      <x:c r="G4913" s="32" t="n">
        <x:f t="shared" si="219">AVERAGE(E4714:E4913)</x:f>
        <x:v>866.2313000000001</x:v>
      </x:c>
      <x:c r="H4913" s="37" t="n">
        <x:f t="shared" si="220">IFERROR(E4913/G4913-1,"")</x:f>
        <x:v>0.20748349776785924</x:v>
      </x:c>
      <x:c r="I4913" s="38" t="b">
        <x:f t="shared" si="221">E4913&lt;G4913</x:f>
        <x:v>0</x:v>
      </x:c>
    </x:row>
    <x:row r="4914">
      <x:c r="A4914" s="31">
        <x:v>44179</x:v>
      </x:c>
      <x:c r="B4914" s="32">
        <x:v>1048.97</x:v>
      </x:c>
      <x:c r="C4914" s="32">
        <x:v>1064.0899999999999</x:v>
      </x:c>
      <x:c r="D4914" s="32">
        <x:v>1045.96</x:v>
      </x:c>
      <x:c r="E4914" s="32">
        <x:v>1064.0899999999999</x:v>
      </x:c>
      <x:c r="F4914" s="33">
        <x:v>506310660</x:v>
      </x:c>
      <x:c r="G4914" s="32" t="n">
        <x:f t="shared" si="219">AVERAGE(E4715:E4914)</x:f>
        <x:v>867.0987000000001</x:v>
      </x:c>
      <x:c r="H4914" s="37" t="n">
        <x:f t="shared" si="220">IFERROR(E4914/G4914-1,"")</x:f>
        <x:v>0.22718440242154636</x:v>
      </x:c>
      <x:c r="I4914" s="38" t="b">
        <x:f t="shared" si="221">E4914&lt;G4914</x:f>
        <x:v>0</x:v>
      </x:c>
    </x:row>
    <x:row r="4915">
      <x:c r="A4915" s="31">
        <x:v>44180</x:v>
      </x:c>
      <x:c r="B4915" s="32">
        <x:v>1062.02</x:v>
      </x:c>
      <x:c r="C4915" s="32">
        <x:v>1067.45</x:v>
      </x:c>
      <x:c r="D4915" s="32">
        <x:v>1052.01</x:v>
      </x:c>
      <x:c r="E4915" s="32">
        <x:v>1055.27</x:v>
      </x:c>
      <x:c r="F4915" s="33">
        <x:v>621133560</x:v>
      </x:c>
      <x:c r="G4915" s="32" t="n">
        <x:f t="shared" si="219">AVERAGE(E4716:E4915)</x:f>
        <x:v>867.9282000000001</x:v>
      </x:c>
      <x:c r="H4915" s="37" t="n">
        <x:f t="shared" si="220">IFERROR(E4915/G4915-1,"")</x:f>
        <x:v>0.21584942164570742</x:v>
      </x:c>
      <x:c r="I4915" s="38" t="b">
        <x:f t="shared" si="221">E4915&lt;G4915</x:f>
        <x:v>0</x:v>
      </x:c>
    </x:row>
    <x:row r="4916">
      <x:c r="A4916" s="31">
        <x:v>44181</x:v>
      </x:c>
      <x:c r="B4916" s="32">
        <x:v>1058.3399999999999</x:v>
      </x:c>
      <x:c r="C4916" s="32">
        <x:v>1066.99</x:v>
      </x:c>
      <x:c r="D4916" s="32">
        <x:v>1055.27</x:v>
      </x:c>
      <x:c r="E4916" s="32">
        <x:v>1066.99</x:v>
      </x:c>
      <x:c r="F4916" s="33">
        <x:v>556546890</x:v>
      </x:c>
      <x:c r="G4916" s="32" t="n">
        <x:f t="shared" si="219">AVERAGE(E4717:E4916)</x:f>
        <x:v>868.7965999999999</x:v>
      </x:c>
      <x:c r="H4916" s="37" t="n">
        <x:f t="shared" si="220">IFERROR(E4916/G4916-1,"")</x:f>
        <x:v>0.22812405113003442</x:v>
      </x:c>
      <x:c r="I4916" s="38" t="b">
        <x:f t="shared" si="221">E4916&lt;G4916</x:f>
        <x:v>0</x:v>
      </x:c>
    </x:row>
    <x:row r="4917">
      <x:c r="A4917" s="31">
        <x:v>44182</x:v>
      </x:c>
      <x:c r="B4917" s="32">
        <x:v>1065.8499999999999</x:v>
      </x:c>
      <x:c r="C4917" s="32">
        <x:v>1066.99</x:v>
      </x:c>
      <x:c r="D4917" s="32">
        <x:v>1051.42</x:v>
      </x:c>
      <x:c r="E4917" s="32">
        <x:v>1051.77</x:v>
      </x:c>
      <x:c r="F4917" s="33">
        <x:v>634682600</x:v>
      </x:c>
      <x:c r="G4917" s="32" t="n">
        <x:f t="shared" si="219">AVERAGE(E4718:E4917)</x:f>
        <x:v>869.5982499999998</x:v>
      </x:c>
      <x:c r="H4917" s="37" t="n">
        <x:f t="shared" si="220">IFERROR(E4917/G4917-1,"")</x:f>
        <x:v>0.20948955451554818</x:v>
      </x:c>
      <x:c r="I4917" s="38" t="b">
        <x:f t="shared" si="221">E4917&lt;G4917</x:f>
        <x:v>0</x:v>
      </x:c>
    </x:row>
    <x:row r="4918">
      <x:c r="A4918" s="31">
        <x:v>44183</x:v>
      </x:c>
      <x:c r="B4918" s="32">
        <x:v>1055.75</x:v>
      </x:c>
      <x:c r="C4918" s="32">
        <x:v>1068.56</x:v>
      </x:c>
      <x:c r="D4918" s="32">
        <x:v>1051.77</x:v>
      </x:c>
      <x:c r="E4918" s="32">
        <x:v>1067.46</x:v>
      </x:c>
      <x:c r="F4918" s="33">
        <x:v>560068250</x:v>
      </x:c>
      <x:c r="G4918" s="32" t="n">
        <x:f t="shared" si="219">AVERAGE(E4719:E4918)</x:f>
        <x:v>870.7580999999998</x:v>
      </x:c>
      <x:c r="H4918" s="37" t="n">
        <x:f t="shared" si="220">IFERROR(E4918/G4918-1,"")</x:f>
        <x:v>0.2258972957012979</x:v>
      </x:c>
      <x:c r="I4918" s="38" t="b">
        <x:f t="shared" si="221">E4918&lt;G4918</x:f>
        <x:v>0</x:v>
      </x:c>
    </x:row>
    <x:row r="4919">
      <x:c r="A4919" s="31">
        <x:v>44186</x:v>
      </x:c>
      <x:c r="B4919" s="32">
        <x:v>1071.6199999999999</x:v>
      </x:c>
      <x:c r="C4919" s="32">
        <x:v>1081.5999999999999</x:v>
      </x:c>
      <x:c r="D4919" s="32">
        <x:v>1067.46</x:v>
      </x:c>
      <x:c r="E4919" s="32">
        <x:v>1081.08</x:v>
      </x:c>
      <x:c r="F4919" s="33">
        <x:v>660479750</x:v>
      </x:c>
      <x:c r="G4919" s="32" t="n">
        <x:f t="shared" si="219">AVERAGE(E4720:E4919)</x:f>
        <x:v>871.9759999999998</x:v>
      </x:c>
      <x:c r="H4919" s="37" t="n">
        <x:f t="shared" si="220">IFERROR(E4919/G4919-1,"")</x:f>
        <x:v>0.23980476526876915</x:v>
      </x:c>
      <x:c r="I4919" s="38" t="b">
        <x:f t="shared" si="221">E4919&lt;G4919</x:f>
        <x:v>0</x:v>
      </x:c>
    </x:row>
    <x:row r="4920">
      <x:c r="A4920" s="31">
        <x:v>44187</x:v>
      </x:c>
      <x:c r="B4920" s="32">
        <x:v>1081.8499999999999</x:v>
      </x:c>
      <x:c r="C4920" s="32">
        <x:v>1084.23</x:v>
      </x:c>
      <x:c r="D4920" s="32">
        <x:v>1077.06</x:v>
      </x:c>
      <x:c r="E4920" s="32">
        <x:v>1083.45</x:v>
      </x:c>
      <x:c r="F4920" s="33">
        <x:v>695860800</x:v>
      </x:c>
      <x:c r="G4920" s="32" t="n">
        <x:f t="shared" si="219">AVERAGE(E4721:E4920)</x:f>
        <x:v>873.3364999999998</x:v>
      </x:c>
      <x:c r="H4920" s="37" t="n">
        <x:f t="shared" si="220">IFERROR(E4920/G4920-1,"")</x:f>
        <x:v>0.24058710474141454</x:v>
      </x:c>
      <x:c r="I4920" s="38" t="b">
        <x:f t="shared" si="221">E4920&lt;G4920</x:f>
        <x:v>0</x:v>
      </x:c>
    </x:row>
    <x:row r="4921">
      <x:c r="A4921" s="31">
        <x:v>44188</x:v>
      </x:c>
      <x:c r="B4921" s="32">
        <x:v>1087.8900000000001</x:v>
      </x:c>
      <x:c r="C4921" s="32">
        <x:v>1094.0899999999999</x:v>
      </x:c>
      <x:c r="D4921" s="32">
        <x:v>1077.92</x:v>
      </x:c>
      <x:c r="E4921" s="32">
        <x:v>1078.9000000000001</x:v>
      </x:c>
      <x:c r="F4921" s="33">
        <x:v>742856110</x:v>
      </x:c>
      <x:c r="G4921" s="32" t="n">
        <x:f t="shared" si="219">AVERAGE(E4722:E4921)</x:f>
        <x:v>874.8847499999997</x:v>
      </x:c>
      <x:c r="H4921" s="37" t="n">
        <x:f t="shared" si="220">IFERROR(E4921/G4921-1,"")</x:f>
        <x:v>0.2331910003003257</x:v>
      </x:c>
      <x:c r="I4921" s="38" t="b">
        <x:f t="shared" si="221">E4921&lt;G4921</x:f>
        <x:v>0</x:v>
      </x:c>
    </x:row>
    <x:row r="4922">
      <x:c r="A4922" s="31">
        <x:v>44189</x:v>
      </x:c>
      <x:c r="B4922" s="32">
        <x:v>1083.83</x:v>
      </x:c>
      <x:c r="C4922" s="32">
        <x:v>1084.76</x:v>
      </x:c>
      <x:c r="D4922" s="32">
        <x:v>1046.8900000000001</x:v>
      </x:c>
      <x:c r="E4922" s="32">
        <x:v>1067.52</x:v>
      </x:c>
      <x:c r="F4922" s="33">
        <x:v>686557640</x:v>
      </x:c>
      <x:c r="G4922" s="32" t="n">
        <x:f t="shared" si="219">AVERAGE(E4723:E4922)</x:f>
        <x:v>876.4134499999996</x:v>
      </x:c>
      <x:c r="H4922" s="37" t="n">
        <x:f t="shared" si="220">IFERROR(E4922/G4922-1,"")</x:f>
        <x:v>0.2180552455008542</x:v>
      </x:c>
      <x:c r="I4922" s="38" t="b">
        <x:f t="shared" si="221">E4922&lt;G4922</x:f>
        <x:v>0</x:v>
      </x:c>
    </x:row>
    <x:row r="4923">
      <x:c r="A4923" s="31">
        <x:v>44190</x:v>
      </x:c>
      <x:c r="B4923" s="32">
        <x:v>1068.83</x:v>
      </x:c>
      <x:c r="C4923" s="32">
        <x:v>1084.42</x:v>
      </x:c>
      <x:c r="D4923" s="32">
        <x:v>1061.83</x:v>
      </x:c>
      <x:c r="E4923" s="32">
        <x:v>1084.42</x:v>
      </x:c>
      <x:c r="F4923" s="33">
        <x:v>592212900</x:v>
      </x:c>
      <x:c r="G4923" s="32" t="n">
        <x:f t="shared" si="219">AVERAGE(E4724:E4923)</x:f>
        <x:v>878.0962499999996</x:v>
      </x:c>
      <x:c r="H4923" s="37" t="n">
        <x:f t="shared" si="220">IFERROR(E4923/G4923-1,"")</x:f>
        <x:v>0.23496712347877646</x:v>
      </x:c>
      <x:c r="I4923" s="38" t="b">
        <x:f t="shared" si="221">E4923&lt;G4923</x:f>
        <x:v>0</x:v>
      </x:c>
    </x:row>
    <x:row r="4924">
      <x:c r="A4924" s="31">
        <x:v>44193</x:v>
      </x:c>
      <x:c r="B4924" s="32">
        <x:v>1094.3699999999999</x:v>
      </x:c>
      <x:c r="C4924" s="32">
        <x:v>1096.1099999999999</x:v>
      </x:c>
      <x:c r="D4924" s="32">
        <x:v>1083.9000000000001</x:v>
      </x:c>
      <x:c r="E4924" s="32">
        <x:v>1091.33</x:v>
      </x:c>
      <x:c r="F4924" s="33">
        <x:v>663869090</x:v>
      </x:c>
      <x:c r="G4924" s="32" t="n">
        <x:f t="shared" si="219">AVERAGE(E4725:E4924)</x:f>
        <x:v>879.8239999999995</x:v>
      </x:c>
      <x:c r="H4924" s="37" t="n">
        <x:f t="shared" si="220">IFERROR(E4924/G4924-1,"")</x:f>
        <x:v>0.2403958064340146</x:v>
      </x:c>
      <x:c r="I4924" s="38" t="b">
        <x:f t="shared" si="221">E4924&lt;G4924</x:f>
        <x:v>0</x:v>
      </x:c>
    </x:row>
    <x:row r="4925">
      <x:c r="A4925" s="31">
        <x:v>44194</x:v>
      </x:c>
      <x:c r="B4925" s="32">
        <x:v>1090.49</x:v>
      </x:c>
      <x:c r="C4925" s="32">
        <x:v>1102.79</x:v>
      </x:c>
      <x:c r="D4925" s="32">
        <x:v>1087.93</x:v>
      </x:c>
      <x:c r="E4925" s="32">
        <x:v>1099.49</x:v>
      </x:c>
      <x:c r="F4925" s="33">
        <x:v>618010510</x:v>
      </x:c>
      <x:c r="G4925" s="32" t="n">
        <x:f t="shared" si="219">AVERAGE(E4726:E4925)</x:f>
        <x:v>881.5831499999995</x:v>
      </x:c>
      <x:c r="H4925" s="37" t="n">
        <x:f t="shared" si="220">IFERROR(E4925/G4925-1,"")</x:f>
        <x:v>0.24717674107087984</x:v>
      </x:c>
      <x:c r="I4925" s="38" t="b">
        <x:f t="shared" si="221">E4925&lt;G4925</x:f>
        <x:v>0</x:v>
      </x:c>
    </x:row>
    <x:row r="4926">
      <x:c r="A4926" s="31">
        <x:v>44195</x:v>
      </x:c>
      <x:c r="B4926" s="32">
        <x:v>1099.78</x:v>
      </x:c>
      <x:c r="C4926" s="32">
        <x:v>1108.83</x:v>
      </x:c>
      <x:c r="D4926" s="32">
        <x:v>1094.9100000000001</x:v>
      </x:c>
      <x:c r="E4926" s="32">
        <x:v>1097.54</x:v>
      </x:c>
      <x:c r="F4926" s="33">
        <x:v>619802880</x:v>
      </x:c>
      <x:c r="G4926" s="32" t="n">
        <x:f t="shared" si="219">AVERAGE(E4727:E4926)</x:f>
        <x:v>883.4411499999997</x:v>
      </x:c>
      <x:c r="H4926" s="37" t="n">
        <x:f t="shared" si="220">IFERROR(E4926/G4926-1,"")</x:f>
        <x:v>0.2423464766159018</x:v>
      </x:c>
      <x:c r="I4926" s="38" t="b">
        <x:f t="shared" si="221">E4926&lt;G4926</x:f>
        <x:v>0</x:v>
      </x:c>
    </x:row>
    <x:row r="4927">
      <x:c r="A4927" s="31">
        <x:v>44196</x:v>
      </x:c>
      <x:c r="B4927" s="32">
        <x:v>1098.25</x:v>
      </x:c>
      <x:c r="C4927" s="32">
        <x:v>1105.33</x:v>
      </x:c>
      <x:c r="D4927" s="32">
        <x:v>1096.27</x:v>
      </x:c>
      <x:c r="E4927" s="32">
        <x:v>1103.8699999999999</x:v>
      </x:c>
      <x:c r="F4927" s="33">
        <x:v>500978800</x:v>
      </x:c>
      <x:c r="G4927" s="32" t="n">
        <x:f t="shared" si="219">AVERAGE(E4728:E4927)</x:f>
        <x:v>885.4118499999997</x:v>
      </x:c>
      <x:c r="H4927" s="37" t="n">
        <x:f t="shared" si="220">IFERROR(E4927/G4927-1,"")</x:f>
        <x:v>0.2467305469200578</x:v>
      </x:c>
      <x:c r="I4927" s="38" t="b">
        <x:f t="shared" si="221">E4927&lt;G4927</x:f>
        <x:v>0</x:v>
      </x:c>
    </x:row>
    <x:row r="4928">
      <x:c r="A4928" s="31">
        <x:v>44200</x:v>
      </x:c>
      <x:c r="B4928" s="32">
        <x:v>1113.77</x:v>
      </x:c>
      <x:c r="C4928" s="32">
        <x:v>1126.43</x:v>
      </x:c>
      <x:c r="D4928" s="32">
        <x:v>1113.5899999999999</x:v>
      </x:c>
      <x:c r="E4928" s="32">
        <x:v>1120.47</x:v>
      </x:c>
      <x:c r="F4928" s="33">
        <x:v>709701600</x:v>
      </x:c>
      <x:c r="G4928" s="32" t="n">
        <x:f t="shared" si="219">AVERAGE(E4729:E4928)</x:f>
        <x:v>887.6812499999997</x:v>
      </x:c>
      <x:c r="H4928" s="37" t="n">
        <x:f t="shared" si="220">IFERROR(E4928/G4928-1,"")</x:f>
        <x:v>0.2622436263016712</x:v>
      </x:c>
      <x:c r="I4928" s="38" t="b">
        <x:f t="shared" si="221">E4928&lt;G4928</x:f>
        <x:v>0</x:v>
      </x:c>
    </x:row>
    <x:row r="4929">
      <x:c r="A4929" s="31">
        <x:v>44201</x:v>
      </x:c>
      <x:c r="B4929" s="32">
        <x:v>1116.96</x:v>
      </x:c>
      <x:c r="C4929" s="32">
        <x:v>1133.1600000000001</x:v>
      </x:c>
      <x:c r="D4929" s="32">
        <x:v>1116.49</x:v>
      </x:c>
      <x:c r="E4929" s="32">
        <x:v>1132.55</x:v>
      </x:c>
      <x:c r="F4929" s="33">
        <x:v>710226500</x:v>
      </x:c>
      <x:c r="G4929" s="32" t="n">
        <x:f t="shared" si="219">AVERAGE(E4730:E4929)</x:f>
        <x:v>890.0479499999997</x:v>
      </x:c>
      <x:c r="H4929" s="37" t="n">
        <x:f t="shared" si="220">IFERROR(E4929/G4929-1,"")</x:f>
        <x:v>0.2724595343430658</x:v>
      </x:c>
      <x:c r="I4929" s="38" t="b">
        <x:f t="shared" si="221">E4929&lt;G4929</x:f>
        <x:v>0</x:v>
      </x:c>
    </x:row>
    <x:row r="4930">
      <x:c r="A4930" s="31">
        <x:v>44202</x:v>
      </x:c>
      <x:c r="B4930" s="32">
        <x:v>1139.1199999999999</x:v>
      </x:c>
      <x:c r="C4930" s="32">
        <x:v>1152.8499999999999</x:v>
      </x:c>
      <x:c r="D4930" s="32">
        <x:v>1133.7</x:v>
      </x:c>
      <x:c r="E4930" s="32">
        <x:v>1143.21</x:v>
      </x:c>
      <x:c r="F4930" s="33">
        <x:v>725414800</x:v>
      </x:c>
      <x:c r="G4930" s="32" t="n">
        <x:f t="shared" si="219">AVERAGE(E4731:E4930)</x:f>
        <x:v>892.3127499999996</x:v>
      </x:c>
      <x:c r="H4930" s="37" t="n">
        <x:f t="shared" si="220">IFERROR(E4930/G4930-1,"")</x:f>
        <x:v>0.2811763588495184</x:v>
      </x:c>
      <x:c r="I4930" s="38" t="b">
        <x:f t="shared" si="221">E4930&lt;G4930</x:f>
        <x:v>0</x:v>
      </x:c>
    </x:row>
    <x:row r="4931">
      <x:c r="A4931" s="31">
        <x:v>44203</x:v>
      </x:c>
      <x:c r="B4931" s="32">
        <x:v>1147.26</x:v>
      </x:c>
      <x:c r="C4931" s="32">
        <x:v>1156.49</x:v>
      </x:c>
      <x:c r="D4931" s="32">
        <x:v>1143.44</x:v>
      </x:c>
      <x:c r="E4931" s="32">
        <x:v>1156.49</x:v>
      </x:c>
      <x:c r="F4931" s="33">
        <x:v>719527100</x:v>
      </x:c>
      <x:c r="G4931" s="32" t="n">
        <x:f t="shared" si="219">AVERAGE(E4732:E4931)</x:f>
        <x:v>894.6241499999995</x:v>
      </x:c>
      <x:c r="H4931" s="37" t="n">
        <x:f t="shared" si="220">IFERROR(E4931/G4931-1,"")</x:f>
        <x:v>0.2927104639417577</x:v>
      </x:c>
      <x:c r="I4931" s="38" t="b">
        <x:f t="shared" si="221">E4931&lt;G4931</x:f>
        <x:v>0</x:v>
      </x:c>
    </x:row>
    <x:row r="4932">
      <x:c r="A4932" s="31">
        <x:v>44204</x:v>
      </x:c>
      <x:c r="B4932" s="32">
        <x:v>1164.0999999999999</x:v>
      </x:c>
      <x:c r="C4932" s="32">
        <x:v>1176.33</x:v>
      </x:c>
      <x:c r="D4932" s="32">
        <x:v>1160.48</x:v>
      </x:c>
      <x:c r="E4932" s="32">
        <x:v>1167.69</x:v>
      </x:c>
      <x:c r="F4932" s="33">
        <x:v>763095900</x:v>
      </x:c>
      <x:c r="G4932" s="32" t="n">
        <x:f t="shared" si="219">AVERAGE(E4733:E4932)</x:f>
        <x:v>896.9822999999996</x:v>
      </x:c>
      <x:c r="H4932" s="37" t="n">
        <x:f t="shared" si="220">IFERROR(E4932/G4932-1,"")</x:f>
        <x:v>0.3017982629088676</x:v>
      </x:c>
      <x:c r="I4932" s="38" t="b">
        <x:f t="shared" si="221">E4932&lt;G4932</x:f>
        <x:v>0</x:v>
      </x:c>
    </x:row>
    <x:row r="4933">
      <x:c r="A4933" s="31">
        <x:v>44207</x:v>
      </x:c>
      <x:c r="B4933" s="32">
        <x:v>1176.47</x:v>
      </x:c>
      <x:c r="C4933" s="32">
        <x:v>1186.45</x:v>
      </x:c>
      <x:c r="D4933" s="32">
        <x:v>1175</x:v>
      </x:c>
      <x:c r="E4933" s="32">
        <x:v>1184.8900000000001</x:v>
      </x:c>
      <x:c r="F4933" s="33">
        <x:v>776321700</x:v>
      </x:c>
      <x:c r="G4933" s="32" t="n">
        <x:f t="shared" si="219">AVERAGE(E4734:E4933)</x:f>
        <x:v>899.5954499999997</x:v>
      </x:c>
      <x:c r="H4933" s="37" t="n">
        <x:f t="shared" si="220">IFERROR(E4933/G4933-1,"")</x:f>
        <x:v>0.3171364972999813</x:v>
      </x:c>
      <x:c r="I4933" s="38" t="b">
        <x:f t="shared" si="221">E4933&lt;G4933</x:f>
        <x:v>0</x:v>
      </x:c>
    </x:row>
    <x:row r="4934">
      <x:c r="A4934" s="31">
        <x:v>44208</x:v>
      </x:c>
      <x:c r="B4934" s="32">
        <x:v>1190.3800000000001</x:v>
      </x:c>
      <x:c r="C4934" s="32">
        <x:v>1192.28</x:v>
      </x:c>
      <x:c r="D4934" s="32">
        <x:v>1179.24</x:v>
      </x:c>
      <x:c r="E4934" s="32">
        <x:v>1192.28</x:v>
      </x:c>
      <x:c r="F4934" s="33">
        <x:v>683329700</x:v>
      </x:c>
      <x:c r="G4934" s="32" t="n">
        <x:f t="shared" si="219">AVERAGE(E4735:E4934)</x:f>
        <x:v>902.2441999999995</x:v>
      </x:c>
      <x:c r="H4934" s="37" t="n">
        <x:f t="shared" si="220">IFERROR(E4934/G4934-1,"")</x:f>
        <x:v>0.32146042058236635</x:v>
      </x:c>
      <x:c r="I4934" s="38" t="b">
        <x:f t="shared" si="221">E4934&lt;G4934</x:f>
        <x:v>0</x:v>
      </x:c>
    </x:row>
    <x:row r="4935">
      <x:c r="A4935" s="31">
        <x:v>44209</x:v>
      </x:c>
      <x:c r="B4935" s="32">
        <x:v>1197.32</x:v>
      </x:c>
      <x:c r="C4935" s="32">
        <x:v>1200.82</x:v>
      </x:c>
      <x:c r="D4935" s="32">
        <x:v>1183.18</x:v>
      </x:c>
      <x:c r="E4935" s="32">
        <x:v>1186.05</x:v>
      </x:c>
      <x:c r="F4935" s="33">
        <x:v>747161400</x:v>
      </x:c>
      <x:c r="G4935" s="32" t="n">
        <x:f t="shared" si="219">AVERAGE(E4736:E4935)</x:f>
        <x:v>904.7732999999994</x:v>
      </x:c>
      <x:c r="H4935" s="37" t="n">
        <x:f t="shared" si="220">IFERROR(E4935/G4935-1,"")</x:f>
        <x:v>0.31088085822161293</x:v>
      </x:c>
      <x:c r="I4935" s="38" t="b">
        <x:f t="shared" si="221">E4935&lt;G4935</x:f>
        <x:v>0</x:v>
      </x:c>
    </x:row>
    <x:row r="4936">
      <x:c r="A4936" s="31">
        <x:v>44210</x:v>
      </x:c>
      <x:c r="B4936" s="32">
        <x:v>1189.48</x:v>
      </x:c>
      <x:c r="C4936" s="32">
        <x:v>1190.5</x:v>
      </x:c>
      <x:c r="D4936" s="32">
        <x:v>1178.8399999999999</x:v>
      </x:c>
      <x:c r="E4936" s="32">
        <x:v>1187.4000000000001</x:v>
      </x:c>
      <x:c r="F4936" s="33">
        <x:v>737417900</x:v>
      </x:c>
      <x:c r="G4936" s="32" t="n">
        <x:f t="shared" si="219">AVERAGE(E4737:E4936)</x:f>
        <x:v>907.2012999999995</x:v>
      </x:c>
      <x:c r="H4936" s="37" t="n">
        <x:f t="shared" si="220">IFERROR(E4936/G4936-1,"")</x:f>
        <x:v>0.30886055829064696</x:v>
      </x:c>
      <x:c r="I4936" s="38" t="b">
        <x:f t="shared" si="221">E4936&lt;G4936</x:f>
        <x:v>0</x:v>
      </x:c>
    </x:row>
    <x:row r="4937">
      <x:c r="A4937" s="31">
        <x:v>44211</x:v>
      </x:c>
      <x:c r="B4937" s="32">
        <x:v>1188.8399999999999</x:v>
      </x:c>
      <x:c r="C4937" s="32">
        <x:v>1197.74</x:v>
      </x:c>
      <x:c r="D4937" s="32">
        <x:v>1188.8399999999999</x:v>
      </x:c>
      <x:c r="E4937" s="32">
        <x:v>1194.2</x:v>
      </x:c>
      <x:c r="F4937" s="33">
        <x:v>746215900</x:v>
      </x:c>
      <x:c r="G4937" s="32" t="n">
        <x:f t="shared" si="219">AVERAGE(E4738:E4937)</x:f>
        <x:v>909.4885499999996</x:v>
      </x:c>
      <x:c r="H4937" s="37" t="n">
        <x:f t="shared" si="220">IFERROR(E4937/G4937-1,"")</x:f>
        <x:v>0.3130456672599129</x:v>
      </x:c>
      <x:c r="I4937" s="38" t="b">
        <x:f t="shared" si="221">E4937&lt;G4937</x:f>
        <x:v>0</x:v>
      </x:c>
    </x:row>
    <x:row r="4938">
      <x:c r="A4938" s="31">
        <x:v>44214</x:v>
      </x:c>
      <x:c r="B4938" s="32">
        <x:v>1198.79</x:v>
      </x:c>
      <x:c r="C4938" s="32">
        <x:v>1200.8499999999999</x:v>
      </x:c>
      <x:c r="D4938" s="32">
        <x:v>1190.33</x:v>
      </x:c>
      <x:c r="E4938" s="32">
        <x:v>1191.94</x:v>
      </x:c>
      <x:c r="F4938" s="33">
        <x:v>711741000</x:v>
      </x:c>
      <x:c r="G4938" s="32" t="n">
        <x:f t="shared" si="219">AVERAGE(E4739:E4938)</x:f>
        <x:v>911.7147999999995</x:v>
      </x:c>
      <x:c r="H4938" s="37" t="n">
        <x:f t="shared" si="220">IFERROR(E4938/G4938-1,"")</x:f>
        <x:v>0.3073605912726225</x:v>
      </x:c>
      <x:c r="I4938" s="38" t="b">
        <x:f t="shared" si="221">E4938&lt;G4938</x:f>
        <x:v>0</x:v>
      </x:c>
    </x:row>
    <x:row r="4939">
      <x:c r="A4939" s="31">
        <x:v>44215</x:v>
      </x:c>
      <x:c r="B4939" s="32">
        <x:v>1189.9100000000001</x:v>
      </x:c>
      <x:c r="C4939" s="32">
        <x:v>1191.94</x:v>
      </x:c>
      <x:c r="D4939" s="32">
        <x:v>1117.17</x:v>
      </x:c>
      <x:c r="E4939" s="32">
        <x:v>1131</x:v>
      </x:c>
      <x:c r="F4939" s="33">
        <x:v>923105700</x:v>
      </x:c>
      <x:c r="G4939" s="32" t="n">
        <x:f t="shared" si="219">AVERAGE(E4740:E4939)</x:f>
        <x:v>913.6296999999994</x:v>
      </x:c>
      <x:c r="H4939" s="37" t="n">
        <x:f t="shared" si="220">IFERROR(E4939/G4939-1,"")</x:f>
        <x:v>0.23791947656692947</x:v>
      </x:c>
      <x:c r="I4939" s="38" t="b">
        <x:f t="shared" si="221">E4939&lt;G4939</x:f>
        <x:v>0</x:v>
      </x:c>
    </x:row>
    <x:row r="4940">
      <x:c r="A4940" s="31">
        <x:v>44216</x:v>
      </x:c>
      <x:c r="B4940" s="32">
        <x:v>1136.5</x:v>
      </x:c>
      <x:c r="C4940" s="32">
        <x:v>1142.48</x:v>
      </x:c>
      <x:c r="D4940" s="32">
        <x:v>1098.05</x:v>
      </x:c>
      <x:c r="E4940" s="32">
        <x:v>1134.68</x:v>
      </x:c>
      <x:c r="F4940" s="33">
        <x:v>802789200</x:v>
      </x:c>
      <x:c r="G4940" s="32" t="n">
        <x:f t="shared" si="219">AVERAGE(E4741:E4940)</x:f>
        <x:v>915.5014499999996</x:v>
      </x:c>
      <x:c r="H4940" s="37" t="n">
        <x:f t="shared" si="220">IFERROR(E4940/G4940-1,"")</x:f>
        <x:v>0.23940819536659452</x:v>
      </x:c>
      <x:c r="I4940" s="38" t="b">
        <x:f t="shared" si="221">E4940&lt;G4940</x:f>
        <x:v>0</x:v>
      </x:c>
    </x:row>
    <x:row r="4941">
      <x:c r="A4941" s="31">
        <x:v>44217</x:v>
      </x:c>
      <x:c r="B4941" s="32">
        <x:v>1146.8599999999999</x:v>
      </x:c>
      <x:c r="C4941" s="32">
        <x:v>1164.21</x:v>
      </x:c>
      <x:c r="D4941" s="32">
        <x:v>1132.6600000000001</x:v>
      </x:c>
      <x:c r="E4941" s="32">
        <x:v>1164.21</x:v>
      </x:c>
      <x:c r="F4941" s="33">
        <x:v>666008100</x:v>
      </x:c>
      <x:c r="G4941" s="32" t="n">
        <x:f t="shared" ref="G4941:G5004" si="222">AVERAGE(E4742:E4941)</x:f>
        <x:v>917.5327999999994</x:v>
      </x:c>
      <x:c r="H4941" s="37" t="n">
        <x:f t="shared" ref="H4941:H5004" si="223">IFERROR(E4941/G4941-1,"")</x:f>
        <x:v>0.2688483725050492</x:v>
      </x:c>
      <x:c r="I4941" s="38" t="b">
        <x:f t="shared" ref="I4941:I5004" si="224">E4941&lt;G4941</x:f>
        <x:v>0</x:v>
      </x:c>
    </x:row>
    <x:row r="4942">
      <x:c r="A4942" s="31">
        <x:v>44218</x:v>
      </x:c>
      <x:c r="B4942" s="32">
        <x:v>1166.77</x:v>
      </x:c>
      <x:c r="C4942" s="32">
        <x:v>1175.72</x:v>
      </x:c>
      <x:c r="D4942" s="32">
        <x:v>1161.43</x:v>
      </x:c>
      <x:c r="E4942" s="32">
        <x:v>1166.78</x:v>
      </x:c>
      <x:c r="F4942" s="33">
        <x:v>716238000</x:v>
      </x:c>
      <x:c r="G4942" s="32" t="n">
        <x:f t="shared" si="222">AVERAGE(E4743:E4942)</x:f>
        <x:v>919.5377499999994</x:v>
      </x:c>
      <x:c r="H4942" s="37" t="n">
        <x:f t="shared" si="223">IFERROR(E4942/G4942-1,"")</x:f>
        <x:v>0.2688766720017757</x:v>
      </x:c>
      <x:c r="I4942" s="38" t="b">
        <x:f t="shared" si="224">E4942&lt;G4942</x:f>
        <x:v>0</x:v>
      </x:c>
    </x:row>
    <x:row r="4943">
      <x:c r="A4943" s="31">
        <x:v>44221</x:v>
      </x:c>
      <x:c r="B4943" s="32">
        <x:v>1164.2</x:v>
      </x:c>
      <x:c r="C4943" s="32">
        <x:v>1172.18</x:v>
      </x:c>
      <x:c r="D4943" s="32">
        <x:v>1162.8</x:v>
      </x:c>
      <x:c r="E4943" s="32">
        <x:v>1166.05</x:v>
      </x:c>
      <x:c r="F4943" s="33">
        <x:v>665737500</x:v>
      </x:c>
      <x:c r="G4943" s="32" t="n">
        <x:f t="shared" si="222">AVERAGE(E4744:E4943)</x:f>
        <x:v>921.5309499999993</x:v>
      </x:c>
      <x:c r="H4943" s="37" t="n">
        <x:f t="shared" si="223">IFERROR(E4943/G4943-1,"")</x:f>
        <x:v>0.2653400300879758</x:v>
      </x:c>
      <x:c r="I4943" s="38" t="b">
        <x:f t="shared" si="224">E4943&lt;G4943</x:f>
        <x:v>0</x:v>
      </x:c>
    </x:row>
    <x:row r="4944">
      <x:c r="A4944" s="31">
        <x:v>44222</x:v>
      </x:c>
      <x:c r="B4944" s="32">
        <x:v>1164.97</x:v>
      </x:c>
      <x:c r="C4944" s="32">
        <x:v>1166.05</x:v>
      </x:c>
      <x:c r="D4944" s="32">
        <x:v>1121.03</x:v>
      </x:c>
      <x:c r="E4944" s="32">
        <x:v>1136.1199999999999</x:v>
      </x:c>
      <x:c r="F4944" s="33">
        <x:v>743159100</x:v>
      </x:c>
      <x:c r="G4944" s="32" t="n">
        <x:f t="shared" si="222">AVERAGE(E4745:E4944)</x:f>
        <x:v>923.3254499999993</x:v>
      </x:c>
      <x:c r="H4944" s="37" t="n">
        <x:f t="shared" si="223">IFERROR(E4944/G4944-1,"")</x:f>
        <x:v>0.23046537924412336</x:v>
      </x:c>
      <x:c r="I4944" s="38" t="b">
        <x:f t="shared" si="224">E4944&lt;G4944</x:f>
        <x:v>0</x:v>
      </x:c>
    </x:row>
    <x:row r="4945">
      <x:c r="A4945" s="31">
        <x:v>44223</x:v>
      </x:c>
      <x:c r="B4945" s="32">
        <x:v>1122.4100000000001</x:v>
      </x:c>
      <x:c r="C4945" s="32">
        <x:v>1136.1199999999999</x:v>
      </x:c>
      <x:c r="D4945" s="32">
        <x:v>1088.8599999999999</x:v>
      </x:c>
      <x:c r="E4945" s="32">
        <x:v>1097.17</x:v>
      </x:c>
      <x:c r="F4945" s="33">
        <x:v>745071300</x:v>
      </x:c>
      <x:c r="G4945" s="32" t="n">
        <x:f t="shared" si="222">AVERAGE(E4746:E4945)</x:f>
        <x:v>924.9077999999993</x:v>
      </x:c>
      <x:c r="H4945" s="37" t="n">
        <x:f t="shared" si="223">IFERROR(E4945/G4945-1,"")</x:f>
        <x:v>0.18624796979763913</x:v>
      </x:c>
      <x:c r="I4945" s="38" t="b">
        <x:f t="shared" si="224">E4945&lt;G4945</x:f>
        <x:v>0</x:v>
      </x:c>
    </x:row>
    <x:row r="4946">
      <x:c r="A4946" s="31">
        <x:v>44224</x:v>
      </x:c>
      <x:c r="B4946" s="32">
        <x:v>1041.71</x:v>
      </x:c>
      <x:c r="C4946" s="32">
        <x:v>1052.1600000000001</x:v>
      </x:c>
      <x:c r="D4946" s="32">
        <x:v>1022.77</x:v>
      </x:c>
      <x:c r="E4946" s="32">
        <x:v>1023.94</x:v>
      </x:c>
      <x:c r="F4946" s="33">
        <x:v>698605600</x:v>
      </x:c>
      <x:c r="G4946" s="32" t="n">
        <x:f t="shared" si="222">AVERAGE(E4747:E4946)</x:f>
        <x:v>926.0794999999993</x:v>
      </x:c>
      <x:c r="H4946" s="37" t="n">
        <x:f t="shared" si="223">IFERROR(E4946/G4946-1,"")</x:f>
        <x:v>0.10567181327305142</x:v>
      </x:c>
      <x:c r="I4946" s="38" t="b">
        <x:f t="shared" si="224">E4946&lt;G4946</x:f>
        <x:v>0</x:v>
      </x:c>
    </x:row>
    <x:row r="4947">
      <x:c r="A4947" s="31">
        <x:v>44225</x:v>
      </x:c>
      <x:c r="B4947" s="32">
        <x:v>998.33</x:v>
      </x:c>
      <x:c r="C4947" s="32">
        <x:v>1076.1099999999999</x:v>
      </x:c>
      <x:c r="D4947" s="32">
        <x:v>998.33</x:v>
      </x:c>
      <x:c r="E4947" s="32">
        <x:v>1056.6099999999999</x:v>
      </x:c>
      <x:c r="F4947" s="33">
        <x:v>743995900</x:v>
      </x:c>
      <x:c r="G4947" s="32" t="n">
        <x:f t="shared" si="222">AVERAGE(E4748:E4947)</x:f>
        <x:v>927.3876999999992</x:v>
      </x:c>
      <x:c r="H4947" s="37" t="n">
        <x:f t="shared" si="223">IFERROR(E4947/G4947-1,"")</x:f>
        <x:v>0.1393401055459338</x:v>
      </x:c>
      <x:c r="I4947" s="38" t="b">
        <x:f t="shared" si="224">E4947&lt;G4947</x:f>
        <x:v>0</x:v>
      </x:c>
    </x:row>
    <x:row r="4948">
      <x:c r="A4948" s="31">
        <x:v>44228</x:v>
      </x:c>
      <x:c r="B4948" s="32">
        <x:v>1062.1300000000001</x:v>
      </x:c>
      <x:c r="C4948" s="32">
        <x:v>1074.52</x:v>
      </x:c>
      <x:c r="D4948" s="32">
        <x:v>1035.51</x:v>
      </x:c>
      <x:c r="E4948" s="32">
        <x:v>1035.51</x:v>
      </x:c>
      <x:c r="F4948" s="33">
        <x:v>588446500</x:v>
      </x:c>
      <x:c r="G4948" s="32" t="n">
        <x:f t="shared" si="222">AVERAGE(E4749:E4948)</x:f>
        <x:v>928.7310499999991</x:v>
      </x:c>
      <x:c r="H4948" s="37" t="n">
        <x:f t="shared" si="223">IFERROR(E4948/G4948-1,"")</x:f>
        <x:v>0.11497295153424769</x:v>
      </x:c>
      <x:c r="I4948" s="38" t="b">
        <x:f t="shared" si="224">E4948&lt;G4948</x:f>
        <x:v>0</x:v>
      </x:c>
    </x:row>
    <x:row r="4949">
      <x:c r="A4949" s="31">
        <x:v>44229</x:v>
      </x:c>
      <x:c r="B4949" s="32">
        <x:v>1036.95</x:v>
      </x:c>
      <x:c r="C4949" s="32">
        <x:v>1075.53</x:v>
      </x:c>
      <x:c r="D4949" s="32">
        <x:v>1029.3599999999999</x:v>
      </x:c>
      <x:c r="E4949" s="32">
        <x:v>1075.53</x:v>
      </x:c>
      <x:c r="F4949" s="33">
        <x:v>554905500</x:v>
      </x:c>
      <x:c r="G4949" s="32" t="n">
        <x:f t="shared" si="222">AVERAGE(E4750:E4949)</x:f>
        <x:v>930.2640999999992</x:v>
      </x:c>
      <x:c r="H4949" s="37" t="n">
        <x:f t="shared" si="223">IFERROR(E4949/G4949-1,"")</x:f>
        <x:v>0.15615554765576878</x:v>
      </x:c>
      <x:c r="I4949" s="38" t="b">
        <x:f t="shared" si="224">E4949&lt;G4949</x:f>
        <x:v>0</x:v>
      </x:c>
    </x:row>
    <x:row r="4950">
      <x:c r="A4950" s="31">
        <x:v>44230</x:v>
      </x:c>
      <x:c r="B4950" s="32">
        <x:v>1084.8699999999999</x:v>
      </x:c>
      <x:c r="C4950" s="32">
        <x:v>1113.24</x:v>
      </x:c>
      <x:c r="D4950" s="32">
        <x:v>1075.53</x:v>
      </x:c>
      <x:c r="E4950" s="32">
        <x:v>1111.29</x:v>
      </x:c>
      <x:c r="F4950" s="33">
        <x:v>635966100</x:v>
      </x:c>
      <x:c r="G4950" s="32" t="n">
        <x:f t="shared" si="222">AVERAGE(E4751:E4950)</x:f>
        <x:v>931.9509999999992</x:v>
      </x:c>
      <x:c r="H4950" s="37" t="n">
        <x:f t="shared" si="223">IFERROR(E4950/G4950-1,"")</x:f>
        <x:v>0.1924339369773742</x:v>
      </x:c>
      <x:c r="I4950" s="38" t="b">
        <x:f t="shared" si="224">E4950&lt;G4950</x:f>
        <x:v>0</x:v>
      </x:c>
    </x:row>
    <x:row r="4951">
      <x:c r="A4951" s="31">
        <x:v>44231</x:v>
      </x:c>
      <x:c r="B4951" s="32">
        <x:v>1112.97</x:v>
      </x:c>
      <x:c r="C4951" s="32">
        <x:v>1117.8800000000001</x:v>
      </x:c>
      <x:c r="D4951" s="32">
        <x:v>1098.8499999999999</x:v>
      </x:c>
      <x:c r="E4951" s="32">
        <x:v>1112.19</x:v>
      </x:c>
      <x:c r="F4951" s="33">
        <x:v>471356200</x:v>
      </x:c>
      <x:c r="G4951" s="32" t="n">
        <x:f t="shared" si="222">AVERAGE(E4752:E4951)</x:f>
        <x:v>933.6286499999992</x:v>
      </x:c>
      <x:c r="H4951" s="37" t="n">
        <x:f t="shared" si="223">IFERROR(E4951/G4951-1,"")</x:f>
        <x:v>0.19125521694305436</x:v>
      </x:c>
      <x:c r="I4951" s="38" t="b">
        <x:f t="shared" si="224">E4951&lt;G4951</x:f>
        <x:v>0</x:v>
      </x:c>
    </x:row>
    <x:row r="4952">
      <x:c r="A4952" s="31">
        <x:v>44232</x:v>
      </x:c>
      <x:c r="B4952" s="32">
        <x:v>1114.79</x:v>
      </x:c>
      <x:c r="C4952" s="32">
        <x:v>1126.9100000000001</x:v>
      </x:c>
      <x:c r="D4952" s="32">
        <x:v>1112.19</x:v>
      </x:c>
      <x:c r="E4952" s="32">
        <x:v>1126.9100000000001</x:v>
      </x:c>
      <x:c r="F4952" s="33">
        <x:v>458710000</x:v>
      </x:c>
      <x:c r="G4952" s="32" t="n">
        <x:f t="shared" si="222">AVERAGE(E4753:E4952)</x:f>
        <x:v>935.4093499999991</x:v>
      </x:c>
      <x:c r="H4952" s="37" t="n">
        <x:f t="shared" si="223">IFERROR(E4952/G4952-1,"")</x:f>
        <x:v>0.20472389975576055</x:v>
      </x:c>
      <x:c r="I4952" s="38" t="b">
        <x:f t="shared" si="224">E4952&lt;G4952</x:f>
        <x:v>0</x:v>
      </x:c>
    </x:row>
    <x:row r="4953">
      <x:c r="A4953" s="31">
        <x:v>44235</x:v>
      </x:c>
      <x:c r="B4953" s="32">
        <x:v>1127.06</x:v>
      </x:c>
      <x:c r="C4953" s="32">
        <x:v>1127.06</x:v>
      </x:c>
      <x:c r="D4953" s="32">
        <x:v>1075.0999999999999</x:v>
      </x:c>
      <x:c r="E4953" s="32">
        <x:v>1083.18</x:v>
      </x:c>
      <x:c r="F4953" s="33">
        <x:v>635387600</x:v>
      </x:c>
      <x:c r="G4953" s="32" t="n">
        <x:f t="shared" si="222">AVERAGE(E4754:E4953)</x:f>
        <x:v>936.9891999999991</x:v>
      </x:c>
      <x:c r="H4953" s="37" t="n">
        <x:f t="shared" si="223">IFERROR(E4953/G4953-1,"")</x:f>
        <x:v>0.15602186236511706</x:v>
      </x:c>
      <x:c r="I4953" s="38" t="b">
        <x:f t="shared" si="224">E4953&lt;G4953</x:f>
        <x:v>0</x:v>
      </x:c>
    </x:row>
    <x:row r="4954">
      <x:c r="A4954" s="31">
        <x:v>44236</x:v>
      </x:c>
      <x:c r="B4954" s="32">
        <x:v>1090.8800000000001</x:v>
      </x:c>
      <x:c r="C4954" s="32">
        <x:v>1114.93</x:v>
      </x:c>
      <x:c r="D4954" s="32">
        <x:v>1078.98</x:v>
      </x:c>
      <x:c r="E4954" s="32">
        <x:v>1114.93</x:v>
      </x:c>
      <x:c r="F4954" s="33">
        <x:v>490182000</x:v>
      </x:c>
      <x:c r="G4954" s="32" t="n">
        <x:f t="shared" si="222">AVERAGE(E4755:E4954)</x:f>
        <x:v>938.7182999999991</x:v>
      </x:c>
      <x:c r="H4954" s="37" t="n">
        <x:f t="shared" si="223">IFERROR(E4954/G4954-1,"")</x:f>
        <x:v>0.18771520700086608</x:v>
      </x:c>
      <x:c r="I4954" s="38" t="b">
        <x:f t="shared" si="224">E4954&lt;G4954</x:f>
        <x:v>0</x:v>
      </x:c>
    </x:row>
    <x:row r="4955">
      <x:c r="A4955" s="31">
        <x:v>44244</x:v>
      </x:c>
      <x:c r="B4955" s="32">
        <x:v>1127.46</x:v>
      </x:c>
      <x:c r="C4955" s="32">
        <x:v>1155.78</x:v>
      </x:c>
      <x:c r="D4955" s="32">
        <x:v>1114.93</x:v>
      </x:c>
      <x:c r="E4955" s="32">
        <x:v>1155.78</x:v>
      </x:c>
      <x:c r="F4955" s="33">
        <x:v>510971700</x:v>
      </x:c>
      <x:c r="G4955" s="32" t="n">
        <x:f t="shared" si="222">AVERAGE(E4756:E4955)</x:f>
        <x:v>940.6848499999992</x:v>
      </x:c>
      <x:c r="H4955" s="37" t="n">
        <x:f t="shared" si="223">IFERROR(E4955/G4955-1,"")</x:f>
        <x:v>0.2286580356853849</x:v>
      </x:c>
      <x:c r="I4955" s="38" t="b">
        <x:f t="shared" si="224">E4955&lt;G4955</x:f>
        <x:v>0</x:v>
      </x:c>
    </x:row>
    <x:row r="4956">
      <x:c r="A4956" s="31">
        <x:v>44245</x:v>
      </x:c>
      <x:c r="B4956" s="32">
        <x:v>1157.0999999999999</x:v>
      </x:c>
      <x:c r="C4956" s="32">
        <x:v>1174.3800000000001</x:v>
      </x:c>
      <x:c r="D4956" s="32">
        <x:v>1148.6600000000001</x:v>
      </x:c>
      <x:c r="E4956" s="32">
        <x:v>1174.3800000000001</x:v>
      </x:c>
      <x:c r="F4956" s="33">
        <x:v>585040700</x:v>
      </x:c>
      <x:c r="G4956" s="32" t="n">
        <x:f t="shared" si="222">AVERAGE(E4757:E4956)</x:f>
        <x:v>942.7359499999991</x:v>
      </x:c>
      <x:c r="H4956" s="37" t="n">
        <x:f t="shared" si="223">IFERROR(E4956/G4956-1,"")</x:f>
        <x:v>0.24571466697541466</x:v>
      </x:c>
      <x:c r="I4956" s="38" t="b">
        <x:f t="shared" si="224">E4956&lt;G4956</x:f>
        <x:v>0</x:v>
      </x:c>
    </x:row>
    <x:row r="4957">
      <x:c r="A4957" s="31">
        <x:v>44246</x:v>
      </x:c>
      <x:c r="B4957" s="32">
        <x:v>1160.6500000000001</x:v>
      </x:c>
      <x:c r="C4957" s="32">
        <x:v>1178.18</x:v>
      </x:c>
      <x:c r="D4957" s="32">
        <x:v>1157.5999999999999</x:v>
      </x:c>
      <x:c r="E4957" s="32">
        <x:v>1173.5</x:v>
      </x:c>
      <x:c r="F4957" s="33">
        <x:v>547575400</x:v>
      </x:c>
      <x:c r="G4957" s="32" t="n">
        <x:f t="shared" si="222">AVERAGE(E4758:E4957)</x:f>
        <x:v>944.6904999999992</x:v>
      </x:c>
      <x:c r="H4957" s="37" t="n">
        <x:f t="shared" si="223">IFERROR(E4957/G4957-1,"")</x:f>
        <x:v>0.24220578062339038</x:v>
      </x:c>
      <x:c r="I4957" s="38" t="b">
        <x:f t="shared" si="224">E4957&lt;G4957</x:f>
        <x:v>0</x:v>
      </x:c>
    </x:row>
    <x:row r="4958">
      <x:c r="A4958" s="31">
        <x:v>44249</x:v>
      </x:c>
      <x:c r="B4958" s="32">
        <x:v>1173.57</x:v>
      </x:c>
      <x:c r="C4958" s="32">
        <x:v>1182.67</x:v>
      </x:c>
      <x:c r="D4958" s="32">
        <x:v>1169.1199999999999</x:v>
      </x:c>
      <x:c r="E4958" s="32">
        <x:v>1175.04</x:v>
      </x:c>
      <x:c r="F4958" s="33">
        <x:v>571176900</x:v>
      </x:c>
      <x:c r="G4958" s="32" t="n">
        <x:f t="shared" si="222">AVERAGE(E4759:E4958)</x:f>
        <x:v>946.5829999999993</x:v>
      </x:c>
      <x:c r="H4958" s="37" t="n">
        <x:f t="shared" si="223">IFERROR(E4958/G4958-1,"")</x:f>
        <x:v>0.24134914740704283</x:v>
      </x:c>
      <x:c r="I4958" s="38" t="b">
        <x:f t="shared" si="224">E4958&lt;G4958</x:f>
        <x:v>0</x:v>
      </x:c>
    </x:row>
    <x:row r="4959">
      <x:c r="A4959" s="31">
        <x:v>44250</x:v>
      </x:c>
      <x:c r="B4959" s="32">
        <x:v>1174.57</x:v>
      </x:c>
      <x:c r="C4959" s="32">
        <x:v>1184.32</x:v>
      </x:c>
      <x:c r="D4959" s="32">
        <x:v>1168.32</x:v>
      </x:c>
      <x:c r="E4959" s="32">
        <x:v>1177.6400000000001</x:v>
      </x:c>
      <x:c r="F4959" s="33">
        <x:v>571704900</x:v>
      </x:c>
      <x:c r="G4959" s="32" t="n">
        <x:f t="shared" si="222">AVERAGE(E4760:E4959)</x:f>
        <x:v>948.4025499999995</x:v>
      </x:c>
      <x:c r="H4959" s="37" t="n">
        <x:f t="shared" si="223">IFERROR(E4959/G4959-1,"")</x:f>
        <x:v>0.24170901902362107</x:v>
      </x:c>
      <x:c r="I4959" s="38" t="b">
        <x:f t="shared" si="224">E4959&lt;G4959</x:f>
        <x:v>0</x:v>
      </x:c>
    </x:row>
    <x:row r="4960">
      <x:c r="A4960" s="31">
        <x:v>44251</x:v>
      </x:c>
      <x:c r="B4960" s="32">
        <x:v>1184.32</x:v>
      </x:c>
      <x:c r="C4960" s="32">
        <x:v>1185.58</x:v>
      </x:c>
      <x:c r="D4960" s="32">
        <x:v>1154.3599999999999</x:v>
      </x:c>
      <x:c r="E4960" s="32">
        <x:v>1162.01</x:v>
      </x:c>
      <x:c r="F4960" s="33">
        <x:v>572631700</x:v>
      </x:c>
      <x:c r="G4960" s="32" t="n">
        <x:f t="shared" si="222">AVERAGE(E4761:E4960)</x:f>
        <x:v>950.0709499999995</x:v>
      </x:c>
      <x:c r="H4960" s="37" t="n">
        <x:f t="shared" si="223">IFERROR(E4960/G4960-1,"")</x:f>
        <x:v>0.22307707650676045</x:v>
      </x:c>
      <x:c r="I4960" s="38" t="b">
        <x:f t="shared" si="224">E4960&lt;G4960</x:f>
        <x:v>0</x:v>
      </x:c>
    </x:row>
    <x:row r="4961">
      <x:c r="A4961" s="31">
        <x:v>44252</x:v>
      </x:c>
      <x:c r="B4961" s="32">
        <x:v>1169.97</x:v>
      </x:c>
      <x:c r="C4961" s="32">
        <x:v>1169.97</x:v>
      </x:c>
      <x:c r="D4961" s="32">
        <x:v>1155.74</x:v>
      </x:c>
      <x:c r="E4961" s="32">
        <x:v>1165.43</x:v>
      </x:c>
      <x:c r="F4961" s="33">
        <x:v>493051100</x:v>
      </x:c>
      <x:c r="G4961" s="32" t="n">
        <x:f t="shared" si="222">AVERAGE(E4762:E4961)</x:f>
        <x:v>951.7214999999995</x:v>
      </x:c>
      <x:c r="H4961" s="37" t="n">
        <x:f t="shared" si="223">IFERROR(E4961/G4961-1,"")</x:f>
        <x:v>0.22454940862426742</x:v>
      </x:c>
      <x:c r="I4961" s="38" t="b">
        <x:f t="shared" si="224">E4961&lt;G4961</x:f>
        <x:v>0</x:v>
      </x:c>
    </x:row>
    <x:row r="4962">
      <x:c r="A4962" s="31">
        <x:v>44253</x:v>
      </x:c>
      <x:c r="B4962" s="32">
        <x:v>1148.8800000000001</x:v>
      </x:c>
      <x:c r="C4962" s="32">
        <x:v>1169.28</x:v>
      </x:c>
      <x:c r="D4962" s="32">
        <x:v>1148.8800000000001</x:v>
      </x:c>
      <x:c r="E4962" s="32">
        <x:v>1168.47</x:v>
      </x:c>
      <x:c r="F4962" s="33">
        <x:v>528150000</x:v>
      </x:c>
      <x:c r="G4962" s="32" t="n">
        <x:f t="shared" si="222">AVERAGE(E4763:E4962)</x:f>
        <x:v>953.3927999999995</x:v>
      </x:c>
      <x:c r="H4962" s="37" t="n">
        <x:f t="shared" si="223">IFERROR(E4962/G4962-1,"")</x:f>
        <x:v>0.22559138269137402</x:v>
      </x:c>
      <x:c r="I4962" s="38" t="b">
        <x:f t="shared" si="224">E4962&lt;G4962</x:f>
        <x:v>0</x:v>
      </x:c>
    </x:row>
    <x:row r="4963">
      <x:c r="A4963" s="31">
        <x:v>44256</x:v>
      </x:c>
      <x:c r="B4963" s="32">
        <x:v>1176.93</x:v>
      </x:c>
      <x:c r="C4963" s="32">
        <x:v>1186.82</x:v>
      </x:c>
      <x:c r="D4963" s="32">
        <x:v>1174.45</x:v>
      </x:c>
      <x:c r="E4963" s="32">
        <x:v>1186.17</x:v>
      </x:c>
      <x:c r="F4963" s="33">
        <x:v>593011800</x:v>
      </x:c>
      <x:c r="G4963" s="32" t="n">
        <x:f t="shared" si="222">AVERAGE(E4764:E4963)</x:f>
        <x:v>955.1616499999996</x:v>
      </x:c>
      <x:c r="H4963" s="37" t="n">
        <x:f t="shared" si="223">IFERROR(E4963/G4963-1,"")</x:f>
        <x:v>0.24185262253776685</x:v>
      </x:c>
      <x:c r="I4963" s="38" t="b">
        <x:f t="shared" si="224">E4963&lt;G4963</x:f>
        <x:v>0</x:v>
      </x:c>
    </x:row>
    <x:row r="4964">
      <x:c r="A4964" s="31">
        <x:v>44257</x:v>
      </x:c>
      <x:c r="B4964" s="32">
        <x:v>1196.1600000000001</x:v>
      </x:c>
      <x:c r="C4964" s="32">
        <x:v>1196.1600000000001</x:v>
      </x:c>
      <x:c r="D4964" s="32">
        <x:v>1181.99</x:v>
      </x:c>
      <x:c r="E4964" s="32">
        <x:v>1186.6099999999999</x:v>
      </x:c>
      <x:c r="F4964" s="33">
        <x:v>533302200</x:v>
      </x:c>
      <x:c r="G4964" s="32" t="n">
        <x:f t="shared" si="222">AVERAGE(E4765:E4964)</x:f>
        <x:v>956.9595499999995</x:v>
      </x:c>
      <x:c r="H4964" s="37" t="n">
        <x:f t="shared" si="223">IFERROR(E4964/G4964-1,"")</x:f>
        <x:v>0.23997926558128868</x:v>
      </x:c>
      <x:c r="I4964" s="38" t="b">
        <x:f t="shared" si="224">E4964&lt;G4964</x:f>
        <x:v>0</x:v>
      </x:c>
    </x:row>
    <x:row r="4965">
      <x:c r="A4965" s="31">
        <x:v>44258</x:v>
      </x:c>
      <x:c r="B4965" s="32">
        <x:v>1184.73</x:v>
      </x:c>
      <x:c r="C4965" s="32">
        <x:v>1189.18</x:v>
      </x:c>
      <x:c r="D4965" s="32">
        <x:v>1180.25</x:v>
      </x:c>
      <x:c r="E4965" s="32">
        <x:v>1186.95</x:v>
      </x:c>
      <x:c r="F4965" s="33">
        <x:v>584537200</x:v>
      </x:c>
      <x:c r="G4965" s="32" t="n">
        <x:f t="shared" si="222">AVERAGE(E4766:E4965)</x:f>
        <x:v>958.7092499999995</x:v>
      </x:c>
      <x:c r="H4965" s="37" t="n">
        <x:f t="shared" si="223">IFERROR(E4965/G4965-1,"")</x:f>
        <x:v>0.23807087498112756</x:v>
      </x:c>
      <x:c r="I4965" s="38" t="b">
        <x:f t="shared" si="224">E4965&lt;G4965</x:f>
        <x:v>0</x:v>
      </x:c>
    </x:row>
    <x:row r="4966">
      <x:c r="A4966" s="31">
        <x:v>44259</x:v>
      </x:c>
      <x:c r="B4966" s="32">
        <x:v>1191.78</x:v>
      </x:c>
      <x:c r="C4966" s="32">
        <x:v>1191.9000000000001</x:v>
      </x:c>
      <x:c r="D4966" s="32">
        <x:v>1159.48</x:v>
      </x:c>
      <x:c r="E4966" s="32">
        <x:v>1168.52</x:v>
      </x:c>
      <x:c r="F4966" s="33">
        <x:v>629649100</x:v>
      </x:c>
      <x:c r="G4966" s="32" t="n">
        <x:f t="shared" si="222">AVERAGE(E4767:E4966)</x:f>
        <x:v>960.3222499999995</x:v>
      </x:c>
      <x:c r="H4966" s="37" t="n">
        <x:f t="shared" si="223">IFERROR(E4966/G4966-1,"")</x:f>
        <x:v>0.21679988149811225</x:v>
      </x:c>
      <x:c r="I4966" s="38" t="b">
        <x:f t="shared" si="224">E4966&lt;G4966</x:f>
        <x:v>0</x:v>
      </x:c>
    </x:row>
    <x:row r="4967">
      <x:c r="A4967" s="31">
        <x:v>44260</x:v>
      </x:c>
      <x:c r="B4967" s="32">
        <x:v>1164.19</x:v>
      </x:c>
      <x:c r="C4967" s="32">
        <x:v>1169.56</x:v>
      </x:c>
      <x:c r="D4967" s="32">
        <x:v>1155.5999999999999</x:v>
      </x:c>
      <x:c r="E4967" s="32">
        <x:v>1168.69</x:v>
      </x:c>
      <x:c r="F4967" s="33">
        <x:v>568265900</x:v>
      </x:c>
      <x:c r="G4967" s="32" t="n">
        <x:f t="shared" si="222">AVERAGE(E4768:E4967)</x:f>
        <x:v>961.9011499999996</x:v>
      </x:c>
      <x:c r="H4967" s="37" t="n">
        <x:f t="shared" si="223">IFERROR(E4967/G4967-1,"")</x:f>
        <x:v>0.21497931466242726</x:v>
      </x:c>
      <x:c r="I4967" s="38" t="b">
        <x:f t="shared" si="224">E4967&lt;G4967</x:f>
        <x:v>0</x:v>
      </x:c>
    </x:row>
    <x:row r="4968">
      <x:c r="A4968" s="31">
        <x:v>44263</x:v>
      </x:c>
      <x:c r="B4968" s="32">
        <x:v>1180.33</x:v>
      </x:c>
      <x:c r="C4968" s="32">
        <x:v>1181.25</x:v>
      </x:c>
      <x:c r="D4968" s="32">
        <x:v>1164.02</x:v>
      </x:c>
      <x:c r="E4968" s="32">
        <x:v>1168.27</x:v>
      </x:c>
      <x:c r="F4968" s="33">
        <x:v>627495500</x:v>
      </x:c>
      <x:c r="G4968" s="32" t="n">
        <x:f t="shared" si="222">AVERAGE(E4769:E4968)</x:f>
        <x:v>963.4288499999997</x:v>
      </x:c>
      <x:c r="H4968" s="37" t="n">
        <x:f t="shared" si="223">IFERROR(E4968/G4968-1,"")</x:f>
        <x:v>0.2126167905393328</x:v>
      </x:c>
      <x:c r="I4968" s="38" t="b">
        <x:f t="shared" si="224">E4968&lt;G4968</x:f>
        <x:v>0</x:v>
      </x:c>
    </x:row>
    <x:row r="4969">
      <x:c r="A4969" s="31">
        <x:v>44264</x:v>
      </x:c>
      <x:c r="B4969" s="32">
        <x:v>1160.96</x:v>
      </x:c>
      <x:c r="C4969" s="32">
        <x:v>1168.27</x:v>
      </x:c>
      <x:c r="D4969" s="32">
        <x:v>1150.94</x:v>
      </x:c>
      <x:c r="E4969" s="32">
        <x:v>1161.97</x:v>
      </x:c>
      <x:c r="F4969" s="33">
        <x:v>613096200</x:v>
      </x:c>
      <x:c r="G4969" s="32" t="n">
        <x:f t="shared" si="222">AVERAGE(E4770:E4969)</x:f>
        <x:v>964.9749999999996</x:v>
      </x:c>
      <x:c r="H4969" s="37" t="n">
        <x:f t="shared" si="223">IFERROR(E4969/G4969-1,"")</x:f>
        <x:v>0.20414518510842306</x:v>
      </x:c>
      <x:c r="I4969" s="38" t="b">
        <x:f t="shared" si="224">E4969&lt;G4969</x:f>
        <x:v>0</x:v>
      </x:c>
    </x:row>
    <x:row r="4970">
      <x:c r="A4970" s="31">
        <x:v>44265</x:v>
      </x:c>
      <x:c r="B4970" s="32">
        <x:v>1163.8599999999999</x:v>
      </x:c>
      <x:c r="C4970" s="32">
        <x:v>1170.5899999999999</x:v>
      </x:c>
      <x:c r="D4970" s="32">
        <x:v>1154.8900000000001</x:v>
      </x:c>
      <x:c r="E4970" s="32">
        <x:v>1170.08</x:v>
      </x:c>
      <x:c r="F4970" s="33">
        <x:v>569498400</x:v>
      </x:c>
      <x:c r="G4970" s="32" t="n">
        <x:f t="shared" si="222">AVERAGE(E4771:E4970)</x:f>
        <x:v>966.5301999999996</x:v>
      </x:c>
      <x:c r="H4970" s="37" t="n">
        <x:f t="shared" si="223">IFERROR(E4970/G4970-1,"")</x:f>
        <x:v>0.21059848931776837</x:v>
      </x:c>
      <x:c r="I4970" s="38" t="b">
        <x:f t="shared" si="224">E4970&lt;G4970</x:f>
        <x:v>0</x:v>
      </x:c>
    </x:row>
    <x:row r="4971">
      <x:c r="A4971" s="31">
        <x:v>44266</x:v>
      </x:c>
      <x:c r="B4971" s="32">
        <x:v>1170.08</x:v>
      </x:c>
      <x:c r="C4971" s="32">
        <x:v>1183.73</x:v>
      </x:c>
      <x:c r="D4971" s="32">
        <x:v>1170.08</x:v>
      </x:c>
      <x:c r="E4971" s="32">
        <x:v>1181.73</x:v>
      </x:c>
      <x:c r="F4971" s="33">
        <x:v>586252400</x:v>
      </x:c>
      <x:c r="G4971" s="32" t="n">
        <x:f t="shared" si="222">AVERAGE(E4772:E4971)</x:f>
        <x:v>968.0931999999997</x:v>
      </x:c>
      <x:c r="H4971" s="37" t="n">
        <x:f t="shared" si="223">IFERROR(E4971/G4971-1,"")</x:f>
        <x:v>0.22067792646410522</x:v>
      </x:c>
      <x:c r="I4971" s="38" t="b">
        <x:f t="shared" si="224">E4971&lt;G4971</x:f>
        <x:v>0</x:v>
      </x:c>
    </x:row>
    <x:row r="4972">
      <x:c r="A4972" s="31">
        <x:v>44267</x:v>
      </x:c>
      <x:c r="B4972" s="32">
        <x:v>1185.21</x:v>
      </x:c>
      <x:c r="C4972" s="32">
        <x:v>1186.52</x:v>
      </x:c>
      <x:c r="D4972" s="32">
        <x:v>1178.1400000000001</x:v>
      </x:c>
      <x:c r="E4972" s="32">
        <x:v>1181.56</x:v>
      </x:c>
      <x:c r="F4972" s="33">
        <x:v>595631800</x:v>
      </x:c>
      <x:c r="G4972" s="32" t="n">
        <x:f t="shared" si="222">AVERAGE(E4773:E4972)</x:f>
        <x:v>969.7135999999996</x:v>
      </x:c>
      <x:c r="H4972" s="37" t="n">
        <x:f t="shared" si="223">IFERROR(E4972/G4972-1,"")</x:f>
        <x:v>0.2184628533620654</x:v>
      </x:c>
      <x:c r="I4972" s="38" t="b">
        <x:f t="shared" si="224">E4972&lt;G4972</x:f>
        <x:v>0</x:v>
      </x:c>
    </x:row>
    <x:row r="4973">
      <x:c r="A4973" s="31">
        <x:v>44270</x:v>
      </x:c>
      <x:c r="B4973" s="32">
        <x:v>1183.8900000000001</x:v>
      </x:c>
      <x:c r="C4973" s="32">
        <x:v>1186.06</x:v>
      </x:c>
      <x:c r="D4973" s="32">
        <x:v>1178.8</x:v>
      </x:c>
      <x:c r="E4973" s="32">
        <x:v>1184.56</x:v>
      </x:c>
      <x:c r="F4973" s="33">
        <x:v>634609700</x:v>
      </x:c>
      <x:c r="G4973" s="32" t="n">
        <x:f t="shared" si="222">AVERAGE(E4774:E4973)</x:f>
        <x:v>971.3294499999997</x:v>
      </x:c>
      <x:c r="H4973" s="37" t="n">
        <x:f t="shared" si="223">IFERROR(E4973/G4973-1,"")</x:f>
        <x:v>0.21952443632796292</x:v>
      </x:c>
      <x:c r="I4973" s="38" t="b">
        <x:f t="shared" si="224">E4973&lt;G4973</x:f>
        <x:v>0</x:v>
      </x:c>
    </x:row>
    <x:row r="4974">
      <x:c r="A4974" s="31">
        <x:v>44271</x:v>
      </x:c>
      <x:c r="B4974" s="32">
        <x:v>1184.9100000000001</x:v>
      </x:c>
      <x:c r="C4974" s="32">
        <x:v>1184.9100000000001</x:v>
      </x:c>
      <x:c r="D4974" s="32">
        <x:v>1171.76</x:v>
      </x:c>
      <x:c r="E4974" s="32">
        <x:v>1179.9000000000001</x:v>
      </x:c>
      <x:c r="F4974" s="33">
        <x:v>629617900</x:v>
      </x:c>
      <x:c r="G4974" s="32" t="n">
        <x:f t="shared" si="222">AVERAGE(E4775:E4974)</x:f>
        <x:v>972.9065999999998</x:v>
      </x:c>
      <x:c r="H4974" s="37" t="n">
        <x:f t="shared" si="223">IFERROR(E4974/G4974-1,"")</x:f>
        <x:v>0.2127577302898349</x:v>
      </x:c>
      <x:c r="I4974" s="38" t="b">
        <x:f t="shared" si="224">E4974&lt;G4974</x:f>
        <x:v>0</x:v>
      </x:c>
    </x:row>
    <x:row r="4975">
      <x:c r="A4975" s="31">
        <x:v>44272</x:v>
      </x:c>
      <x:c r="B4975" s="32">
        <x:v>1178.6400000000001</x:v>
      </x:c>
      <x:c r="C4975" s="32">
        <x:v>1186.0899999999999</x:v>
      </x:c>
      <x:c r="D4975" s="32">
        <x:v>1176.26</x:v>
      </x:c>
      <x:c r="E4975" s="32">
        <x:v>1186.0899999999999</x:v>
      </x:c>
      <x:c r="F4975" s="33">
        <x:v>648766800</x:v>
      </x:c>
      <x:c r="G4975" s="32" t="n">
        <x:f t="shared" si="222">AVERAGE(E4776:E4975)</x:f>
        <x:v>974.4436999999998</x:v>
      </x:c>
      <x:c r="H4975" s="37" t="n">
        <x:f t="shared" si="223">IFERROR(E4975/G4975-1,"")</x:f>
        <x:v>0.2171970530467795</x:v>
      </x:c>
      <x:c r="I4975" s="38" t="b">
        <x:f t="shared" si="224">E4975&lt;G4975</x:f>
        <x:v>0</x:v>
      </x:c>
    </x:row>
    <x:row r="4976">
      <x:c r="A4976" s="31">
        <x:v>44273</x:v>
      </x:c>
      <x:c r="B4976" s="32">
        <x:v>1196.5999999999999</x:v>
      </x:c>
      <x:c r="C4976" s="32">
        <x:v>1200.94</x:v>
      </x:c>
      <x:c r="D4976" s="32">
        <x:v>1186.0899999999999</x:v>
      </x:c>
      <x:c r="E4976" s="32">
        <x:v>1200.94</x:v>
      </x:c>
      <x:c r="F4976" s="33">
        <x:v>570101600</x:v>
      </x:c>
      <x:c r="G4976" s="32" t="n">
        <x:f t="shared" si="222">AVERAGE(E4777:E4976)</x:f>
        <x:v>976.0743999999999</x:v>
      </x:c>
      <x:c r="H4976" s="37" t="n">
        <x:f t="shared" si="223">IFERROR(E4976/G4976-1,"")</x:f>
        <x:v>0.23037752040213344</x:v>
      </x:c>
      <x:c r="I4976" s="38" t="b">
        <x:f t="shared" si="224">E4976&lt;G4976</x:f>
        <x:v>0</x:v>
      </x:c>
    </x:row>
    <x:row r="4977">
      <x:c r="A4977" s="31">
        <x:v>44274</x:v>
      </x:c>
      <x:c r="B4977" s="32">
        <x:v>1195.47</x:v>
      </x:c>
      <x:c r="C4977" s="32">
        <x:v>1199.67</x:v>
      </x:c>
      <x:c r="D4977" s="32">
        <x:v>1191.96</x:v>
      </x:c>
      <x:c r="E4977" s="32">
        <x:v>1194.05</x:v>
      </x:c>
      <x:c r="F4977" s="33">
        <x:v>600925800</x:v>
      </x:c>
      <x:c r="G4977" s="32" t="n">
        <x:f t="shared" si="222">AVERAGE(E4778:E4977)</x:f>
        <x:v>977.6387999999997</x:v>
      </x:c>
      <x:c r="H4977" s="37" t="n">
        <x:f t="shared" si="223">IFERROR(E4977/G4977-1,"")</x:f>
        <x:v>0.2213610998254163</x:v>
      </x:c>
      <x:c r="I4977" s="38" t="b">
        <x:f t="shared" si="224">E4977&lt;G4977</x:f>
        <x:v>0</x:v>
      </x:c>
    </x:row>
    <x:row r="4978">
      <x:c r="A4978" s="31">
        <x:v>44277</x:v>
      </x:c>
      <x:c r="B4978" s="32">
        <x:v>1200.05</x:v>
      </x:c>
      <x:c r="C4978" s="32">
        <x:v>1200.21</x:v>
      </x:c>
      <x:c r="D4978" s="32">
        <x:v>1189.31</x:v>
      </x:c>
      <x:c r="E4978" s="32">
        <x:v>1194.43</x:v>
      </x:c>
      <x:c r="F4978" s="33">
        <x:v>626610700</x:v>
      </x:c>
      <x:c r="G4978" s="32" t="n">
        <x:f t="shared" si="222">AVERAGE(E4779:E4978)</x:f>
        <x:v>979.1914499999996</x:v>
      </x:c>
      <x:c r="H4978" s="37" t="n">
        <x:f t="shared" si="223">IFERROR(E4978/G4978-1,"")</x:f>
        <x:v>0.2198125300215812</x:v>
      </x:c>
      <x:c r="I4978" s="38" t="b">
        <x:f t="shared" si="224">E4978&lt;G4978</x:f>
        <x:v>0</x:v>
      </x:c>
    </x:row>
    <x:row r="4979">
      <x:c r="A4979" s="31">
        <x:v>44278</x:v>
      </x:c>
      <x:c r="B4979" s="32">
        <x:v>1190.28</x:v>
      </x:c>
      <x:c r="C4979" s="32">
        <x:v>1191.47</x:v>
      </x:c>
      <x:c r="D4979" s="32">
        <x:v>1177.0999999999999</x:v>
      </x:c>
      <x:c r="E4979" s="32">
        <x:v>1183.45</x:v>
      </x:c>
      <x:c r="F4979" s="33">
        <x:v>643583000</x:v>
      </x:c>
      <x:c r="G4979" s="32" t="n">
        <x:f t="shared" si="222">AVERAGE(E4780:E4979)</x:f>
        <x:v>980.6775999999998</x:v>
      </x:c>
      <x:c r="H4979" s="37" t="n">
        <x:f t="shared" si="223">IFERROR(E4979/G4979-1,"")</x:f>
        <x:v>0.20676764718598695</x:v>
      </x:c>
      <x:c r="I4979" s="38" t="b">
        <x:f t="shared" si="224">E4979&lt;G4979</x:f>
        <x:v>0</x:v>
      </x:c>
    </x:row>
    <x:row r="4980">
      <x:c r="A4980" s="31">
        <x:v>44279</x:v>
      </x:c>
      <x:c r="B4980" s="32">
        <x:v>1169.42</x:v>
      </x:c>
      <x:c r="C4980" s="32">
        <x:v>1183.45</x:v>
      </x:c>
      <x:c r="D4980" s="32">
        <x:v>1154.22</x:v>
      </x:c>
      <x:c r="E4980" s="32">
        <x:v>1161.81</x:v>
      </x:c>
      <x:c r="F4980" s="33">
        <x:v>649741100</x:v>
      </x:c>
      <x:c r="G4980" s="32" t="n">
        <x:f t="shared" si="222">AVERAGE(E4781:E4980)</x:f>
        <x:v>981.9870499999997</x:v>
      </x:c>
      <x:c r="H4980" s="37" t="n">
        <x:f t="shared" si="223">IFERROR(E4980/G4980-1,"")</x:f>
        <x:v>0.18312150857793918</x:v>
      </x:c>
      <x:c r="I4980" s="38" t="b">
        <x:f t="shared" si="224">E4980&lt;G4980</x:f>
        <x:v>0</x:v>
      </x:c>
    </x:row>
    <x:row r="4981">
      <x:c r="A4981" s="31">
        <x:v>44280</x:v>
      </x:c>
      <x:c r="B4981" s="32">
        <x:v>1164.4100000000001</x:v>
      </x:c>
      <x:c r="C4981" s="32">
        <x:v>1170.76</x:v>
      </x:c>
      <x:c r="D4981" s="32">
        <x:v>1154.44</x:v>
      </x:c>
      <x:c r="E4981" s="32">
        <x:v>1163.0999999999999</x:v>
      </x:c>
      <x:c r="F4981" s="33">
        <x:v>613916000</x:v>
      </x:c>
      <x:c r="G4981" s="32" t="n">
        <x:f t="shared" si="222">AVERAGE(E4782:E4981)</x:f>
        <x:v>983.3053999999997</x:v>
      </x:c>
      <x:c r="H4981" s="37" t="n">
        <x:f t="shared" si="223">IFERROR(E4981/G4981-1,"")</x:f>
        <x:v>0.1828471602006867</x:v>
      </x:c>
      <x:c r="I4981" s="38" t="b">
        <x:f t="shared" si="224">E4981&lt;G4981</x:f>
        <x:v>0</x:v>
      </x:c>
    </x:row>
    <x:row r="4982">
      <x:c r="A4982" s="31">
        <x:v>44281</x:v>
      </x:c>
      <x:c r="B4982" s="32">
        <x:v>1162.71</x:v>
      </x:c>
      <x:c r="C4982" s="32">
        <x:v>1165.76</x:v>
      </x:c>
      <x:c r="D4982" s="32">
        <x:v>1137.9000000000001</x:v>
      </x:c>
      <x:c r="E4982" s="32">
        <x:v>1162.21</x:v>
      </x:c>
      <x:c r="F4982" s="33">
        <x:v>630516500</x:v>
      </x:c>
      <x:c r="G4982" s="32" t="n">
        <x:f t="shared" si="222">AVERAGE(E4783:E4982)</x:f>
        <x:v>984.6130499999998</x:v>
      </x:c>
      <x:c r="H4982" s="37" t="n">
        <x:f t="shared" si="223">IFERROR(E4982/G4982-1,"")</x:f>
        <x:v>0.18037233002345454</x:v>
      </x:c>
      <x:c r="I4982" s="38" t="b">
        <x:f t="shared" si="224">E4982&lt;G4982</x:f>
        <x:v>0</x:v>
      </x:c>
    </x:row>
    <x:row r="4983">
      <x:c r="A4983" s="31">
        <x:v>44284</x:v>
      </x:c>
      <x:c r="B4983" s="32">
        <x:v>1169.6500000000001</x:v>
      </x:c>
      <x:c r="C4983" s="32">
        <x:v>1175.77</x:v>
      </x:c>
      <x:c r="D4983" s="32">
        <x:v>1165.78</x:v>
      </x:c>
      <x:c r="E4983" s="32">
        <x:v>1175.68</x:v>
      </x:c>
      <x:c r="F4983" s="33">
        <x:v>592790900</x:v>
      </x:c>
      <x:c r="G4983" s="32" t="n">
        <x:f t="shared" si="222">AVERAGE(E4784:E4983)</x:f>
        <x:v>986.1545999999997</x:v>
      </x:c>
      <x:c r="H4983" s="37" t="n">
        <x:f t="shared" si="223">IFERROR(E4983/G4983-1,"")</x:f>
        <x:v>0.19218629614464144</x:v>
      </x:c>
      <x:c r="I4983" s="38" t="b">
        <x:f t="shared" si="224">E4983&lt;G4983</x:f>
        <x:v>0</x:v>
      </x:c>
    </x:row>
    <x:row r="4984">
      <x:c r="A4984" s="31">
        <x:v>44285</x:v>
      </x:c>
      <x:c r="B4984" s="32">
        <x:v>1179.6400000000001</x:v>
      </x:c>
      <x:c r="C4984" s="32">
        <x:v>1187.29</x:v>
      </x:c>
      <x:c r="D4984" s="32">
        <x:v>1172.8499999999999</x:v>
      </x:c>
      <x:c r="E4984" s="32">
        <x:v>1186.3599999999999</x:v>
      </x:c>
      <x:c r="F4984" s="33">
        <x:v>707543000</x:v>
      </x:c>
      <x:c r="G4984" s="32" t="n">
        <x:f t="shared" si="222">AVERAGE(E4785:E4984)</x:f>
        <x:v>987.7687999999996</x:v>
      </x:c>
      <x:c r="H4984" s="37" t="n">
        <x:f t="shared" si="223">IFERROR(E4984/G4984-1,"")</x:f>
        <x:v>0.20105028626131993</x:v>
      </x:c>
      <x:c r="I4984" s="38" t="b">
        <x:f t="shared" si="224">E4984&lt;G4984</x:f>
        <x:v>0</x:v>
      </x:c>
    </x:row>
    <x:row r="4985">
      <x:c r="A4985" s="31">
        <x:v>44286</x:v>
      </x:c>
      <x:c r="B4985" s="32">
        <x:v>1187.44</x:v>
      </x:c>
      <x:c r="C4985" s="32">
        <x:v>1196.45</x:v>
      </x:c>
      <x:c r="D4985" s="32">
        <x:v>1186.4000000000001</x:v>
      </x:c>
      <x:c r="E4985" s="32">
        <x:v>1191.44</x:v>
      </x:c>
      <x:c r="F4985" s="33">
        <x:v>670504300</x:v>
      </x:c>
      <x:c r="G4985" s="32" t="n">
        <x:f t="shared" si="222">AVERAGE(E4786:E4985)</x:f>
        <x:v>989.5636499999996</x:v>
      </x:c>
      <x:c r="H4985" s="37" t="n">
        <x:f t="shared" si="223">IFERROR(E4985/G4985-1,"")</x:f>
        <x:v>0.20400542198574145</x:v>
      </x:c>
      <x:c r="I4985" s="38" t="b">
        <x:f t="shared" si="224">E4985&lt;G4985</x:f>
        <x:v>0</x:v>
      </x:c>
    </x:row>
    <x:row r="4986">
      <x:c r="A4986" s="31">
        <x:v>44287</x:v>
      </x:c>
      <x:c r="B4986" s="32">
        <x:v>1194.5899999999999</x:v>
      </x:c>
      <x:c r="C4986" s="32">
        <x:v>1217.26</x:v>
      </x:c>
      <x:c r="D4986" s="32">
        <x:v>1191.44</x:v>
      </x:c>
      <x:c r="E4986" s="32">
        <x:v>1216.0999999999999</x:v>
      </x:c>
      <x:c r="F4986" s="33">
        <x:v>637059200</x:v>
      </x:c>
      <x:c r="G4986" s="32" t="n">
        <x:f t="shared" si="222">AVERAGE(E4787:E4986)</x:f>
        <x:v>991.3634999999996</x:v>
      </x:c>
      <x:c r="H4986" s="37" t="n">
        <x:f t="shared" si="223">IFERROR(E4986/G4986-1,"")</x:f>
        <x:v>0.22669434571678337</x:v>
      </x:c>
      <x:c r="I4986" s="38" t="b">
        <x:f t="shared" si="224">E4986&lt;G4986</x:f>
        <x:v>0</x:v>
      </x:c>
    </x:row>
    <x:row r="4987">
      <x:c r="A4987" s="31">
        <x:v>44288</x:v>
      </x:c>
      <x:c r="B4987" s="32">
        <x:v>1225.76</x:v>
      </x:c>
      <x:c r="C4987" s="32">
        <x:v>1228.29</x:v>
      </x:c>
      <x:c r="D4987" s="32">
        <x:v>1221.07</x:v>
      </x:c>
      <x:c r="E4987" s="32">
        <x:v>1224.45</x:v>
      </x:c>
      <x:c r="F4987" s="33">
        <x:v>608762900</x:v>
      </x:c>
      <x:c r="G4987" s="32" t="n">
        <x:f t="shared" si="222">AVERAGE(E4788:E4987)</x:f>
        <x:v>993.2135499999997</x:v>
      </x:c>
      <x:c r="H4987" s="37" t="n">
        <x:f t="shared" si="223">IFERROR(E4987/G4987-1,"")</x:f>
        <x:v>0.23281644717795125</x:v>
      </x:c>
      <x:c r="I4987" s="38" t="b">
        <x:f t="shared" si="224">E4987&lt;G4987</x:f>
        <x:v>0</x:v>
      </x:c>
    </x:row>
    <x:row r="4988">
      <x:c r="A4988" s="31">
        <x:v>44291</x:v>
      </x:c>
      <x:c r="B4988" s="32">
        <x:v>1245.28</x:v>
      </x:c>
      <x:c r="C4988" s="32">
        <x:v>1245.28</x:v>
      </x:c>
      <x:c r="D4988" s="32">
        <x:v>1228.18</x:v>
      </x:c>
      <x:c r="E4988" s="32">
        <x:v>1236.05</x:v>
      </x:c>
      <x:c r="F4988" s="33">
        <x:v>635303500</x:v>
      </x:c>
      <x:c r="G4988" s="32" t="n">
        <x:f t="shared" si="222">AVERAGE(E4789:E4988)</x:f>
        <x:v>995.1174499999998</x:v>
      </x:c>
      <x:c r="H4988" s="37" t="n">
        <x:f t="shared" si="223">IFERROR(E4988/G4988-1,"")</x:f>
        <x:v>0.242114687065331</x:v>
      </x:c>
      <x:c r="I4988" s="38" t="b">
        <x:f t="shared" si="224">E4988&lt;G4988</x:f>
        <x:v>0</x:v>
      </x:c>
    </x:row>
    <x:row r="4989">
      <x:c r="A4989" s="31">
        <x:v>44292</x:v>
      </x:c>
      <x:c r="B4989" s="32">
        <x:v>1233.3699999999999</x:v>
      </x:c>
      <x:c r="C4989" s="32">
        <x:v>1244.6300000000001</x:v>
      </x:c>
      <x:c r="D4989" s="32">
        <x:v>1231.1400000000001</x:v>
      </x:c>
      <x:c r="E4989" s="32">
        <x:v>1239.96</x:v>
      </x:c>
      <x:c r="F4989" s="33">
        <x:v>656481800</x:v>
      </x:c>
      <x:c r="G4989" s="32" t="n">
        <x:f t="shared" si="222">AVERAGE(E4790:E4989)</x:f>
        <x:v>996.9744499999998</x:v>
      </x:c>
      <x:c r="H4989" s="37" t="n">
        <x:f t="shared" si="223">IFERROR(E4989/G4989-1,"")</x:f>
        <x:v>0.243722945959147</x:v>
      </x:c>
      <x:c r="I4989" s="38" t="b">
        <x:f t="shared" si="224">E4989&lt;G4989</x:f>
        <x:v>0</x:v>
      </x:c>
    </x:row>
    <x:row r="4990">
      <x:c r="A4990" s="31">
        <x:v>44293</x:v>
      </x:c>
      <x:c r="B4990" s="32">
        <x:v>1237.3900000000001</x:v>
      </x:c>
      <x:c r="C4990" s="32">
        <x:v>1242.3800000000001</x:v>
      </x:c>
      <x:c r="D4990" s="32">
        <x:v>1232.52</x:v>
      </x:c>
      <x:c r="E4990" s="32">
        <x:v>1242.3800000000001</x:v>
      </x:c>
      <x:c r="F4990" s="33">
        <x:v>676166500</x:v>
      </x:c>
      <x:c r="G4990" s="32" t="n">
        <x:f t="shared" si="222">AVERAGE(E4791:E4990)</x:f>
        <x:v>998.8299499999998</x:v>
      </x:c>
      <x:c r="H4990" s="37" t="n">
        <x:f t="shared" si="223">IFERROR(E4990/G4990-1,"")</x:f>
        <x:v>0.24383534955074215</x:v>
      </x:c>
      <x:c r="I4990" s="38" t="b">
        <x:f t="shared" si="224">E4990&lt;G4990</x:f>
        <x:v>0</x:v>
      </x:c>
    </x:row>
    <x:row r="4991">
      <x:c r="A4991" s="31">
        <x:v>44294</x:v>
      </x:c>
      <x:c r="B4991" s="32">
        <x:v>1242.3800000000001</x:v>
      </x:c>
      <x:c r="C4991" s="32">
        <x:v>1246.4000000000001</x:v>
      </x:c>
      <x:c r="D4991" s="32">
        <x:v>1232.26</x:v>
      </x:c>
      <x:c r="E4991" s="32">
        <x:v>1234.8900000000001</x:v>
      </x:c>
      <x:c r="F4991" s="33">
        <x:v>633566500</x:v>
      </x:c>
      <x:c r="G4991" s="32" t="n">
        <x:f t="shared" si="222">AVERAGE(E4792:E4991)</x:f>
        <x:v>1000.6633999999999</x:v>
      </x:c>
      <x:c r="H4991" s="37" t="n">
        <x:f t="shared" si="223">IFERROR(E4991/G4991-1,"")</x:f>
        <x:v>0.2340713170882438</x:v>
      </x:c>
      <x:c r="I4991" s="38" t="b">
        <x:f t="shared" si="224">E4991&lt;G4991</x:f>
        <x:v>0</x:v>
      </x:c>
    </x:row>
    <x:row r="4992">
      <x:c r="A4992" s="31">
        <x:v>44295</x:v>
      </x:c>
      <x:c r="B4992" s="32">
        <x:v>1231.51</x:v>
      </x:c>
      <x:c r="C4992" s="32">
        <x:v>1234.98</x:v>
      </x:c>
      <x:c r="D4992" s="32">
        <x:v>1227.5999999999999</x:v>
      </x:c>
      <x:c r="E4992" s="32">
        <x:v>1231.6600000000001</x:v>
      </x:c>
      <x:c r="F4992" s="33">
        <x:v>655839000</x:v>
      </x:c>
      <x:c r="G4992" s="32" t="n">
        <x:f t="shared" si="222">AVERAGE(E4793:E4992)</x:f>
        <x:v>1002.52315</x:v>
      </x:c>
      <x:c r="H4992" s="37" t="n">
        <x:f t="shared" si="223">IFERROR(E4992/G4992-1,"")</x:f>
        <x:v>0.22856015843624178</x:v>
      </x:c>
      <x:c r="I4992" s="38" t="b">
        <x:f t="shared" si="224">E4992&lt;G4992</x:f>
        <x:v>0</x:v>
      </x:c>
    </x:row>
    <x:row r="4993">
      <x:c r="A4993" s="31">
        <x:v>44298</x:v>
      </x:c>
      <x:c r="B4993" s="32">
        <x:v>1236.79</x:v>
      </x:c>
      <x:c r="C4993" s="32">
        <x:v>1252.45</x:v>
      </x:c>
      <x:c r="D4993" s="32">
        <x:v>1231.6600000000001</x:v>
      </x:c>
      <x:c r="E4993" s="32">
        <x:v>1252.45</x:v>
      </x:c>
      <x:c r="F4993" s="33">
        <x:v>857647000</x:v>
      </x:c>
      <x:c r="G4993" s="32" t="n">
        <x:f t="shared" si="222">AVERAGE(E4794:E4993)</x:f>
        <x:v>1004.51245</x:v>
      </x:c>
      <x:c r="H4993" s="37" t="n">
        <x:f t="shared" si="223">IFERROR(E4993/G4993-1,"")</x:f>
        <x:v>0.24682377007870837</x:v>
      </x:c>
      <x:c r="I4993" s="38" t="b">
        <x:f t="shared" si="224">E4993&lt;G4993</x:f>
        <x:v>0</x:v>
      </x:c>
    </x:row>
    <x:row r="4994">
      <x:c r="A4994" s="31">
        <x:v>44299</x:v>
      </x:c>
      <x:c r="B4994" s="32">
        <x:v>1262.44</x:v>
      </x:c>
      <x:c r="C4994" s="32">
        <x:v>1268.02</x:v>
      </x:c>
      <x:c r="D4994" s="32">
        <x:v>1247.6600000000001</x:v>
      </x:c>
      <x:c r="E4994" s="32">
        <x:v>1248.33</x:v>
      </x:c>
      <x:c r="F4994" s="33">
        <x:v>977605500</x:v>
      </x:c>
      <x:c r="G4994" s="32" t="n">
        <x:f t="shared" si="222">AVERAGE(E4795:E4994)</x:f>
        <x:v>1006.4942</x:v>
      </x:c>
      <x:c r="H4994" s="37" t="n">
        <x:f t="shared" si="223">IFERROR(E4994/G4994-1,"")</x:f>
        <x:v>0.2402754034747543</x:v>
      </x:c>
      <x:c r="I4994" s="38" t="b">
        <x:f t="shared" si="224">E4994&lt;G4994</x:f>
        <x:v>0</x:v>
      </x:c>
    </x:row>
    <x:row r="4995">
      <x:c r="A4995" s="31">
        <x:v>44300</x:v>
      </x:c>
      <x:c r="B4995" s="32">
        <x:v>1240.9000000000001</x:v>
      </x:c>
      <x:c r="C4995" s="32">
        <x:v>1255.8699999999999</x:v>
      </x:c>
      <x:c r="D4995" s="32">
        <x:v>1233.01</x:v>
      </x:c>
      <x:c r="E4995" s="32">
        <x:v>1255.8699999999999</x:v>
      </x:c>
      <x:c r="F4995" s="33">
        <x:v>813503500</x:v>
      </x:c>
      <x:c r="G4995" s="32" t="n">
        <x:f t="shared" si="222">AVERAGE(E4796:E4995)</x:f>
        <x:v>1008.6267499999999</x:v>
      </x:c>
      <x:c r="H4995" s="37" t="n">
        <x:f t="shared" si="223">IFERROR(E4995/G4995-1,"")</x:f>
        <x:v>0.245128586962422</x:v>
      </x:c>
      <x:c r="I4995" s="38" t="b">
        <x:f t="shared" si="224">E4995&lt;G4995</x:f>
        <x:v>0</x:v>
      </x:c>
    </x:row>
    <x:row r="4996">
      <x:c r="A4996" s="31">
        <x:v>44301</x:v>
      </x:c>
      <x:c r="B4996" s="32">
        <x:v>1262.25</x:v>
      </x:c>
      <x:c r="C4996" s="32">
        <x:v>1265.8699999999999</x:v>
      </x:c>
      <x:c r="D4996" s="32">
        <x:v>1247.25</x:v>
      </x:c>
      <x:c r="E4996" s="32">
        <x:v>1247.25</x:v>
      </x:c>
      <x:c r="F4996" s="33">
        <x:v>771443700</x:v>
      </x:c>
      <x:c r="G4996" s="32" t="n">
        <x:f t="shared" si="222">AVERAGE(E4797:E4996)</x:f>
        <x:v>1010.7374500000001</x:v>
      </x:c>
      <x:c r="H4996" s="37" t="n">
        <x:f t="shared" si="223">IFERROR(E4996/G4996-1,"")</x:f>
        <x:v>0.23399998684129097</x:v>
      </x:c>
      <x:c r="I4996" s="38" t="b">
        <x:f t="shared" si="224">E4996&lt;G4996</x:f>
        <x:v>0</x:v>
      </x:c>
    </x:row>
    <x:row r="4997">
      <x:c r="A4997" s="31">
        <x:v>44302</x:v>
      </x:c>
      <x:c r="B4997" s="32">
        <x:v>1245.06</x:v>
      </x:c>
      <x:c r="C4997" s="32">
        <x:v>1254.6099999999999</x:v>
      </x:c>
      <x:c r="D4997" s="32">
        <x:v>1227.1400000000001</x:v>
      </x:c>
      <x:c r="E4997" s="32">
        <x:v>1238.71</x:v>
      </x:c>
      <x:c r="F4997" s="33">
        <x:v>948989400</x:v>
      </x:c>
      <x:c r="G4997" s="32" t="n">
        <x:f t="shared" si="222">AVERAGE(E4798:E4997)</x:f>
        <x:v>1012.7135499999999</x:v>
      </x:c>
      <x:c r="H4997" s="37" t="n">
        <x:f t="shared" si="223">IFERROR(E4997/G4997-1,"")</x:f>
        <x:v>0.2231593030428003</x:v>
      </x:c>
      <x:c r="I4997" s="38" t="b">
        <x:f t="shared" si="224">E4997&lt;G4997</x:f>
        <x:v>0</x:v>
      </x:c>
    </x:row>
    <x:row r="4998">
      <x:c r="A4998" s="31">
        <x:v>44305</x:v>
      </x:c>
      <x:c r="B4998" s="32">
        <x:v>1243.58</x:v>
      </x:c>
      <x:c r="C4998" s="32">
        <x:v>1260.58</x:v>
      </x:c>
      <x:c r="D4998" s="32">
        <x:v>1233.77</x:v>
      </x:c>
      <x:c r="E4998" s="32">
        <x:v>1260.58</x:v>
      </x:c>
      <x:c r="F4998" s="33">
        <x:v>773047000</x:v>
      </x:c>
      <x:c r="G4998" s="32" t="n">
        <x:f t="shared" si="222">AVERAGE(E4799:E4998)</x:f>
        <x:v>1014.8045499999998</x:v>
      </x:c>
      <x:c r="H4998" s="37" t="n">
        <x:f t="shared" si="223">IFERROR(E4998/G4998-1,"")</x:f>
        <x:v>0.24218993696865088</x:v>
      </x:c>
      <x:c r="I4998" s="38" t="b">
        <x:f t="shared" si="224">E4998&lt;G4998</x:f>
        <x:v>0</x:v>
      </x:c>
    </x:row>
    <x:row r="4999">
      <x:c r="A4999" s="31">
        <x:v>44306</x:v>
      </x:c>
      <x:c r="B4999" s="32">
        <x:v>1267.74</x:v>
      </x:c>
      <x:c r="C4999" s="32">
        <x:v>1286.32</x:v>
      </x:c>
      <x:c r="D4999" s="32">
        <x:v>1261.28</x:v>
      </x:c>
      <x:c r="E4999" s="32">
        <x:v>1268.28</x:v>
      </x:c>
      <x:c r="F4999" s="33">
        <x:v>798483500</x:v>
      </x:c>
      <x:c r="G4999" s="32" t="n">
        <x:f t="shared" si="222">AVERAGE(E4800:E4999)</x:f>
        <x:v>1016.9078999999998</x:v>
      </x:c>
      <x:c r="H4999" s="37" t="n">
        <x:f t="shared" si="223">IFERROR(E4999/G4999-1,"")</x:f>
        <x:v>0.24719259236750957</x:v>
      </x:c>
      <x:c r="I4999" s="38" t="b">
        <x:f t="shared" si="224">E4999&lt;G4999</x:f>
        <x:v>0</x:v>
      </x:c>
    </x:row>
    <x:row r="5000">
      <x:c r="A5000" s="31">
        <x:v>44308</x:v>
      </x:c>
      <x:c r="B5000" s="32">
        <x:v>1264.31</x:v>
      </x:c>
      <x:c r="C5000" s="32">
        <x:v>1271.98</x:v>
      </x:c>
      <x:c r="D5000" s="32">
        <x:v>1227.82</x:v>
      </x:c>
      <x:c r="E5000" s="32">
        <x:v>1227.82</x:v>
      </x:c>
      <x:c r="F5000" s="33">
        <x:v>732254600</x:v>
      </x:c>
      <x:c r="G5000" s="32" t="n">
        <x:f t="shared" si="222">AVERAGE(E4801:E5000)</x:f>
        <x:v>1018.7411999999999</x:v>
      </x:c>
      <x:c r="H5000" s="37" t="n">
        <x:f t="shared" si="223">IFERROR(E5000/G5000-1,"")</x:f>
        <x:v>0.20523249673224164</x:v>
      </x:c>
      <x:c r="I5000" s="38" t="b">
        <x:f t="shared" si="224">E5000&lt;G5000</x:f>
        <x:v>0</x:v>
      </x:c>
    </x:row>
    <x:row r="5001">
      <x:c r="A5001" s="31">
        <x:v>44309</x:v>
      </x:c>
      <x:c r="B5001" s="32">
        <x:v>1227.18</x:v>
      </x:c>
      <x:c r="C5001" s="32">
        <x:v>1248.53</x:v>
      </x:c>
      <x:c r="D5001" s="32">
        <x:v>1216.1500000000001</x:v>
      </x:c>
      <x:c r="E5001" s="32">
        <x:v>1248.53</x:v>
      </x:c>
      <x:c r="F5001" s="33">
        <x:v>684222800</x:v>
      </x:c>
      <x:c r="G5001" s="32" t="n">
        <x:f t="shared" si="222">AVERAGE(E4802:E5001)</x:f>
        <x:v>1020.6667499999998</x:v>
      </x:c>
      <x:c r="H5001" s="37" t="n">
        <x:f t="shared" si="223">IFERROR(E5001/G5001-1,"")</x:f>
        <x:v>0.22324941025070166</x:v>
      </x:c>
      <x:c r="I5001" s="38" t="b">
        <x:f t="shared" si="224">E5001&lt;G5001</x:f>
        <x:v>0</x:v>
      </x:c>
    </x:row>
    <x:row r="5002">
      <x:c r="A5002" s="31">
        <x:v>44312</x:v>
      </x:c>
      <x:c r="B5002" s="32">
        <x:v>1251.25</x:v>
      </x:c>
      <x:c r="C5002" s="32">
        <x:v>1251.25</x:v>
      </x:c>
      <x:c r="D5002" s="32">
        <x:v>1214.1400000000001</x:v>
      </x:c>
      <x:c r="E5002" s="32">
        <x:v>1215.77</x:v>
      </x:c>
      <x:c r="F5002" s="33">
        <x:v>685386500</x:v>
      </x:c>
      <x:c r="G5002" s="32" t="n">
        <x:f t="shared" si="222">AVERAGE(E4803:E5002)</x:f>
        <x:v>1022.4230999999999</x:v>
      </x:c>
      <x:c r="H5002" s="37" t="n">
        <x:f t="shared" si="223">IFERROR(E5002/G5002-1,"")</x:f>
        <x:v>0.18910654503013502</x:v>
      </x:c>
      <x:c r="I5002" s="38" t="b">
        <x:f t="shared" si="224">E5002&lt;G5002</x:f>
        <x:v>0</x:v>
      </x:c>
    </x:row>
    <x:row r="5003">
      <x:c r="A5003" s="31">
        <x:v>44313</x:v>
      </x:c>
      <x:c r="B5003" s="32">
        <x:v>1213.8399999999999</x:v>
      </x:c>
      <x:c r="C5003" s="32">
        <x:v>1220.96</x:v>
      </x:c>
      <x:c r="D5003" s="32">
        <x:v>1204.1400000000001</x:v>
      </x:c>
      <x:c r="E5003" s="32">
        <x:v>1219.75</x:v>
      </x:c>
      <x:c r="F5003" s="33">
        <x:v>544650900</x:v>
      </x:c>
      <x:c r="G5003" s="32" t="n">
        <x:f t="shared" si="222">AVERAGE(E4804:E5003)</x:f>
        <x:v>1024.1395499999999</x:v>
      </x:c>
      <x:c r="H5003" s="37" t="n">
        <x:f t="shared" si="223">IFERROR(E5003/G5003-1,"")</x:f>
        <x:v>0.19099980075957435</x:v>
      </x:c>
      <x:c r="I5003" s="38" t="b">
        <x:f t="shared" si="224">E5003&lt;G5003</x:f>
        <x:v>0</x:v>
      </x:c>
    </x:row>
    <x:row r="5004">
      <x:c r="A5004" s="31">
        <x:v>44314</x:v>
      </x:c>
      <x:c r="B5004" s="32">
        <x:v>1220.26</x:v>
      </x:c>
      <x:c r="C5004" s="32">
        <x:v>1230.9100000000001</x:v>
      </x:c>
      <x:c r="D5004" s="32">
        <x:v>1217.49</x:v>
      </x:c>
      <x:c r="E5004" s="32">
        <x:v>1229.55</x:v>
      </x:c>
      <x:c r="F5004" s="33">
        <x:v>589498400</x:v>
      </x:c>
      <x:c r="G5004" s="32" t="n">
        <x:f t="shared" si="222">AVERAGE(E4805:E5004)</x:f>
        <x:v>1025.9312499999999</x:v>
      </x:c>
      <x:c r="H5004" s="37" t="n">
        <x:f t="shared" si="223">IFERROR(E5004/G5004-1,"")</x:f>
        <x:v>0.19847211984233848</x:v>
      </x:c>
      <x:c r="I5004" s="38" t="b">
        <x:f t="shared" si="224">E5004&lt;G5004</x:f>
        <x:v>0</x:v>
      </x:c>
    </x:row>
    <x:row r="5005">
      <x:c r="A5005" s="31">
        <x:v>44315</x:v>
      </x:c>
      <x:c r="B5005" s="32">
        <x:v>1234.9100000000001</x:v>
      </x:c>
      <x:c r="C5005" s="32">
        <x:v>1239.3900000000001</x:v>
      </x:c>
      <x:c r="D5005" s="32">
        <x:v>1231.25</x:v>
      </x:c>
      <x:c r="E5005" s="32">
        <x:v>1239.3900000000001</x:v>
      </x:c>
      <x:c r="F5005" s="33">
        <x:v>614232800</x:v>
      </x:c>
      <x:c r="G5005" s="32" t="n">
        <x:f t="shared" ref="G5005:G5068" si="225">AVERAGE(E4806:E5005)</x:f>
        <x:v>1027.7846</x:v>
      </x:c>
      <x:c r="H5005" s="37" t="n">
        <x:f t="shared" ref="H5005:H5068" si="226">IFERROR(E5005/G5005-1,"")</x:f>
        <x:v>0.2058849685041011</x:v>
      </x:c>
      <x:c r="I5005" s="38" t="b">
        <x:f t="shared" ref="I5005:I5068" si="227">E5005&lt;G5005</x:f>
        <x:v>0</x:v>
      </x:c>
    </x:row>
    <x:row r="5006">
      <x:c r="A5006" s="31">
        <x:v>44320</x:v>
      </x:c>
      <x:c r="B5006" s="32">
        <x:v>1222.08</x:v>
      </x:c>
      <x:c r="C5006" s="32">
        <x:v>1242.8</x:v>
      </x:c>
      <x:c r="D5006" s="32">
        <x:v>1212.56</x:v>
      </x:c>
      <x:c r="E5006" s="32">
        <x:v>1242.2</x:v>
      </x:c>
      <x:c r="F5006" s="33">
        <x:v>712632600</x:v>
      </x:c>
      <x:c r="G5006" s="32" t="n">
        <x:f t="shared" si="225">AVERAGE(E4807:E5006)</x:f>
        <x:v>1029.65505</x:v>
      </x:c>
      <x:c r="H5006" s="37" t="n">
        <x:f t="shared" si="226">IFERROR(E5006/G5006-1,"")</x:f>
        <x:v>0.20642345220372582</x:v>
      </x:c>
      <x:c r="I5006" s="38" t="b">
        <x:f t="shared" si="227">E5006&lt;G5006</x:f>
        <x:v>0</x:v>
      </x:c>
    </x:row>
    <x:row r="5007">
      <x:c r="A5007" s="31">
        <x:v>44321</x:v>
      </x:c>
      <x:c r="B5007" s="32">
        <x:v>1244.69</x:v>
      </x:c>
      <x:c r="C5007" s="32">
        <x:v>1265.93</x:v>
      </x:c>
      <x:c r="D5007" s="32">
        <x:v>1242.2</x:v>
      </x:c>
      <x:c r="E5007" s="32">
        <x:v>1256.43</x:v>
      </x:c>
      <x:c r="F5007" s="33">
        <x:v>685433600</x:v>
      </x:c>
      <x:c r="G5007" s="32" t="n">
        <x:f t="shared" si="225">AVERAGE(E4808:E5007)</x:f>
        <x:v>1031.58765</x:v>
      </x:c>
      <x:c r="H5007" s="37" t="n">
        <x:f t="shared" si="226">IFERROR(E5007/G5007-1,"")</x:f>
        <x:v>0.21795758217927497</x:v>
      </x:c>
      <x:c r="I5007" s="38" t="b">
        <x:f t="shared" si="227">E5007&lt;G5007</x:f>
        <x:v>0</x:v>
      </x:c>
    </x:row>
    <x:row r="5008">
      <x:c r="A5008" s="31">
        <x:v>44322</x:v>
      </x:c>
      <x:c r="B5008" s="32">
        <x:v>1255.42</x:v>
      </x:c>
      <x:c r="C5008" s="32">
        <x:v>1261.49</x:v>
      </x:c>
      <x:c r="D5008" s="32">
        <x:v>1246.6400000000001</x:v>
      </x:c>
      <x:c r="E5008" s="32">
        <x:v>1250.57</x:v>
      </x:c>
      <x:c r="F5008" s="33">
        <x:v>672398700</x:v>
      </x:c>
      <x:c r="G5008" s="32" t="n">
        <x:f t="shared" si="225">AVERAGE(E4809:E5008)</x:f>
        <x:v>1033.45635</x:v>
      </x:c>
      <x:c r="H5008" s="37" t="n">
        <x:f t="shared" si="226">IFERROR(E5008/G5008-1,"")</x:f>
        <x:v>0.21008497359370826</x:v>
      </x:c>
      <x:c r="I5008" s="38" t="b">
        <x:f t="shared" si="227">E5008&lt;G5008</x:f>
        <x:v>0</x:v>
      </x:c>
    </x:row>
    <x:row r="5009">
      <x:c r="A5009" s="31">
        <x:v>44323</x:v>
      </x:c>
      <x:c r="B5009" s="32">
        <x:v>1245.48</x:v>
      </x:c>
      <x:c r="C5009" s="32">
        <x:v>1250.5</x:v>
      </x:c>
      <x:c r="D5009" s="32">
        <x:v>1231.92</x:v>
      </x:c>
      <x:c r="E5009" s="32">
        <x:v>1241.81</x:v>
      </x:c>
      <x:c r="F5009" s="33">
        <x:v>745215600</x:v>
      </x:c>
      <x:c r="G5009" s="32" t="n">
        <x:f t="shared" si="225">AVERAGE(E4810:E5009)</x:f>
        <x:v>1035.3053</x:v>
      </x:c>
      <x:c r="H5009" s="37" t="n">
        <x:f t="shared" si="226">IFERROR(E5009/G5009-1,"")</x:f>
        <x:v>0.19946261262257603</x:v>
      </x:c>
      <x:c r="I5009" s="38" t="b">
        <x:f t="shared" si="227">E5009&lt;G5009</x:f>
        <x:v>0</x:v>
      </x:c>
    </x:row>
    <x:row r="5010">
      <x:c r="A5010" s="31">
        <x:v>44326</x:v>
      </x:c>
      <x:c r="B5010" s="32">
        <x:v>1239.96</x:v>
      </x:c>
      <x:c r="C5010" s="32">
        <x:v>1259.58</x:v>
      </x:c>
      <x:c r="D5010" s="32">
        <x:v>1236.8499999999999</x:v>
      </x:c>
      <x:c r="E5010" s="32">
        <x:v>1259.58</x:v>
      </x:c>
      <x:c r="F5010" s="33">
        <x:v>732066300</x:v>
      </x:c>
      <x:c r="G5010" s="32" t="n">
        <x:f t="shared" si="225">AVERAGE(E4811:E5010)</x:f>
        <x:v>1037.2961999999998</x:v>
      </x:c>
      <x:c r="H5010" s="37" t="n">
        <x:f t="shared" si="226">IFERROR(E5010/G5010-1,"")</x:f>
        <x:v>0.2142915398706755</x:v>
      </x:c>
      <x:c r="I5010" s="38" t="b">
        <x:f t="shared" si="227">E5010&lt;G5010</x:f>
        <x:v>0</x:v>
      </x:c>
    </x:row>
    <x:row r="5011">
      <x:c r="A5011" s="31">
        <x:v>44327</x:v>
      </x:c>
      <x:c r="B5011" s="32">
        <x:v>1265.1099999999999</x:v>
      </x:c>
      <x:c r="C5011" s="32">
        <x:v>1272.55</x:v>
      </x:c>
      <x:c r="D5011" s="32">
        <x:v>1256.04</x:v>
      </x:c>
      <x:c r="E5011" s="32">
        <x:v>1256.04</x:v>
      </x:c>
      <x:c r="F5011" s="33">
        <x:v>709535700</x:v>
      </x:c>
      <x:c r="G5011" s="32" t="n">
        <x:f t="shared" si="225">AVERAGE(E4812:E5011)</x:f>
        <x:v>1039.26795</x:v>
      </x:c>
      <x:c r="H5011" s="37" t="n">
        <x:f t="shared" si="226">IFERROR(E5011/G5011-1,"")</x:f>
        <x:v>0.2085814827639012</x:v>
      </x:c>
      <x:c r="I5011" s="38" t="b">
        <x:f t="shared" si="227">E5011&lt;G5011</x:f>
        <x:v>0</x:v>
      </x:c>
    </x:row>
    <x:row r="5012">
      <x:c r="A5012" s="31">
        <x:v>44328</x:v>
      </x:c>
      <x:c r="B5012" s="32">
        <x:v>1251.97</x:v>
      </x:c>
      <x:c r="C5012" s="32">
        <x:v>1269.0899999999999</x:v>
      </x:c>
      <x:c r="D5012" s="32">
        <x:v>1249.18</x:v>
      </x:c>
      <x:c r="E5012" s="32">
        <x:v>1269.0899999999999</x:v>
      </x:c>
      <x:c r="F5012" s="33">
        <x:v>664157900</x:v>
      </x:c>
      <x:c r="G5012" s="32" t="n">
        <x:f t="shared" si="225">AVERAGE(E4813:E5012)</x:f>
        <x:v>1041.338</x:v>
      </x:c>
      <x:c r="H5012" s="37" t="n">
        <x:f t="shared" si="226">IFERROR(E5012/G5012-1,"")</x:f>
        <x:v>0.21871092767189904</x:v>
      </x:c>
      <x:c r="I5012" s="38" t="b">
        <x:f t="shared" si="227">E5012&lt;G5012</x:f>
        <x:v>0</x:v>
      </x:c>
    </x:row>
    <x:row r="5013">
      <x:c r="A5013" s="31">
        <x:v>44329</x:v>
      </x:c>
      <x:c r="B5013" s="32">
        <x:v>1262.98</x:v>
      </x:c>
      <x:c r="C5013" s="32">
        <x:v>1273.49</x:v>
      </x:c>
      <x:c r="D5013" s="32">
        <x:v>1261.99</x:v>
      </x:c>
      <x:c r="E5013" s="32">
        <x:v>1261.99</x:v>
      </x:c>
      <x:c r="F5013" s="33">
        <x:v>680368500</x:v>
      </x:c>
      <x:c r="G5013" s="32" t="n">
        <x:f t="shared" si="225">AVERAGE(E4814:E5013)</x:f>
        <x:v>1043.3642</x:v>
      </x:c>
      <x:c r="H5013" s="37" t="n">
        <x:f t="shared" si="226">IFERROR(E5013/G5013-1,"")</x:f>
        <x:v>0.20953929605788657</x:v>
      </x:c>
      <x:c r="I5013" s="38" t="b">
        <x:f t="shared" si="227">E5013&lt;G5013</x:f>
        <x:v>0</x:v>
      </x:c>
    </x:row>
    <x:row r="5014">
      <x:c r="A5014" s="31">
        <x:v>44330</x:v>
      </x:c>
      <x:c r="B5014" s="32">
        <x:v>1266.43</x:v>
      </x:c>
      <x:c r="C5014" s="32">
        <x:v>1271.45</x:v>
      </x:c>
      <x:c r="D5014" s="32">
        <x:v>1259.97</x:v>
      </x:c>
      <x:c r="E5014" s="32">
        <x:v>1266.3599999999999</x:v>
      </x:c>
      <x:c r="F5014" s="33">
        <x:v>679016500</x:v>
      </x:c>
      <x:c r="G5014" s="32" t="n">
        <x:f t="shared" si="225">AVERAGE(E4815:E5014)</x:f>
        <x:v>1045.5502</x:v>
      </x:c>
      <x:c r="H5014" s="37" t="n">
        <x:f t="shared" si="226">IFERROR(E5014/G5014-1,"")</x:f>
        <x:v>0.21119005094160004</x:v>
      </x:c>
      <x:c r="I5014" s="38" t="b">
        <x:f t="shared" si="227">E5014&lt;G5014</x:f>
        <x:v>0</x:v>
      </x:c>
    </x:row>
    <x:row r="5015">
      <x:c r="A5015" s="31">
        <x:v>44333</x:v>
      </x:c>
      <x:c r="B5015" s="32">
        <x:v>1272.55</x:v>
      </x:c>
      <x:c r="C5015" s="32">
        <x:v>1277.83</x:v>
      </x:c>
      <x:c r="D5015" s="32">
        <x:v>1258.5</x:v>
      </x:c>
      <x:c r="E5015" s="32">
        <x:v>1258.7</x:v>
      </x:c>
      <x:c r="F5015" s="33">
        <x:v>705839600</x:v>
      </x:c>
      <x:c r="G5015" s="32" t="n">
        <x:f t="shared" si="225">AVERAGE(E4816:E5015)</x:f>
        <x:v>1047.9178499999998</x:v>
      </x:c>
      <x:c r="H5015" s="37" t="n">
        <x:f t="shared" si="226">IFERROR(E5015/G5015-1,"")</x:f>
        <x:v>0.20114377286349328</x:v>
      </x:c>
      <x:c r="I5015" s="38" t="b">
        <x:f t="shared" si="227">E5015&lt;G5015</x:f>
        <x:v>0</x:v>
      </x:c>
    </x:row>
    <x:row r="5016">
      <x:c r="A5016" s="31">
        <x:v>44334</x:v>
      </x:c>
      <x:c r="B5016" s="32">
        <x:v>1259.57</x:v>
      </x:c>
      <x:c r="C5016" s="32">
        <x:v>1262.22</x:v>
      </x:c>
      <x:c r="D5016" s="32">
        <x:v>1249.02</x:v>
      </x:c>
      <x:c r="E5016" s="32">
        <x:v>1252.68</x:v>
      </x:c>
      <x:c r="F5016" s="33">
        <x:v>661244600</x:v>
      </x:c>
      <x:c r="G5016" s="32" t="n">
        <x:f t="shared" si="225">AVERAGE(E4817:E5016)</x:f>
        <x:v>1050.1144499999998</x:v>
      </x:c>
      <x:c r="H5016" s="37" t="n">
        <x:f t="shared" si="226">IFERROR(E5016/G5016-1,"")</x:f>
        <x:v>0.19289854548711372</x:v>
      </x:c>
      <x:c r="I5016" s="38" t="b">
        <x:f t="shared" si="227">E5016&lt;G5016</x:f>
        <x:v>0</x:v>
      </x:c>
    </x:row>
    <x:row r="5017">
      <x:c r="A5017" s="31">
        <x:v>44335</x:v>
      </x:c>
      <x:c r="B5017" s="32">
        <x:v>1254.78</x:v>
      </x:c>
      <x:c r="C5017" s="32">
        <x:v>1262.71</x:v>
      </x:c>
      <x:c r="D5017" s="32">
        <x:v>1250.58</x:v>
      </x:c>
      <x:c r="E5017" s="32">
        <x:v>1262.49</x:v>
      </x:c>
      <x:c r="F5017" s="33">
        <x:v>650916500</x:v>
      </x:c>
      <x:c r="G5017" s="32" t="n">
        <x:f t="shared" si="225">AVERAGE(E4818:E5017)</x:f>
        <x:v>1052.4726999999998</x:v>
      </x:c>
      <x:c r="H5017" s="37" t="n">
        <x:f t="shared" si="226">IFERROR(E5017/G5017-1,"")</x:f>
        <x:v>0.1995465535590617</x:v>
      </x:c>
      <x:c r="I5017" s="38" t="b">
        <x:f t="shared" si="227">E5017&lt;G5017</x:f>
        <x:v>0</x:v>
      </x:c>
    </x:row>
    <x:row r="5018">
      <x:c r="A5018" s="31">
        <x:v>44336</x:v>
      </x:c>
      <x:c r="B5018" s="32">
        <x:v>1264.6199999999999</x:v>
      </x:c>
      <x:c r="C5018" s="32">
        <x:v>1278.22</x:v>
      </x:c>
      <x:c r="D5018" s="32">
        <x:v>1255.78</x:v>
      </x:c>
      <x:c r="E5018" s="32">
        <x:v>1278.22</x:v>
      </x:c>
      <x:c r="F5018" s="33">
        <x:v>706187900</x:v>
      </x:c>
      <x:c r="G5018" s="32" t="n">
        <x:f t="shared" si="225">AVERAGE(E4819:E5018)</x:f>
        <x:v>1054.8581499999998</x:v>
      </x:c>
      <x:c r="H5018" s="37" t="n">
        <x:f t="shared" si="226">IFERROR(E5018/G5018-1,"")</x:f>
        <x:v>0.21174586365000847</x:v>
      </x:c>
      <x:c r="I5018" s="38" t="b">
        <x:f t="shared" si="227">E5018&lt;G5018</x:f>
        <x:v>0</x:v>
      </x:c>
    </x:row>
    <x:row r="5019">
      <x:c r="A5019" s="31">
        <x:v>44337</x:v>
      </x:c>
      <x:c r="B5019" s="32">
        <x:v>1272.8399999999999</x:v>
      </x:c>
      <x:c r="C5019" s="32">
        <x:v>1289.03</x:v>
      </x:c>
      <x:c r="D5019" s="32">
        <x:v>1268.46</x:v>
      </x:c>
      <x:c r="E5019" s="32">
        <x:v>1283.93</x:v>
      </x:c>
      <x:c r="F5019" s="33">
        <x:v>654126800</x:v>
      </x:c>
      <x:c r="G5019" s="32" t="n">
        <x:f t="shared" si="225">AVERAGE(E4820:E5019)</x:f>
        <x:v>1057.2858499999998</x:v>
      </x:c>
      <x:c r="H5019" s="37" t="n">
        <x:f t="shared" si="226">IFERROR(E5019/G5019-1,"")</x:f>
        <x:v>0.21436411922092824</x:v>
      </x:c>
      <x:c r="I5019" s="38" t="b">
        <x:f t="shared" si="227">E5019&lt;G5019</x:f>
        <x:v>0</x:v>
      </x:c>
    </x:row>
    <x:row r="5020">
      <x:c r="A5020" s="31">
        <x:v>44340</x:v>
      </x:c>
      <x:c r="B5020" s="32">
        <x:v>1287.5</x:v>
      </x:c>
      <x:c r="C5020" s="32">
        <x:v>1299.83</x:v>
      </x:c>
      <x:c r="D5020" s="32">
        <x:v>1283.93</x:v>
      </x:c>
      <x:c r="E5020" s="32">
        <x:v>1297.98</x:v>
      </x:c>
      <x:c r="F5020" s="33">
        <x:v>670713100</x:v>
      </x:c>
      <x:c r="G5020" s="32" t="n">
        <x:f t="shared" si="225">AVERAGE(E4821:E5020)</x:f>
        <x:v>1059.7024999999999</x:v>
      </x:c>
      <x:c r="H5020" s="37" t="n">
        <x:f t="shared" si="226">IFERROR(E5020/G5020-1,"")</x:f>
        <x:v>0.22485320172406897</x:v>
      </x:c>
      <x:c r="I5020" s="38" t="b">
        <x:f t="shared" si="227">E5020&lt;G5020</x:f>
        <x:v>0</x:v>
      </x:c>
    </x:row>
    <x:row r="5021">
      <x:c r="A5021" s="31">
        <x:v>44341</x:v>
      </x:c>
      <x:c r="B5021" s="32">
        <x:v>1299.19</x:v>
      </x:c>
      <x:c r="C5021" s="32">
        <x:v>1308.58</x:v>
      </x:c>
      <x:c r="D5021" s="32">
        <x:v>1297.23</x:v>
      </x:c>
      <x:c r="E5021" s="32">
        <x:v>1308.58</x:v>
      </x:c>
      <x:c r="F5021" s="33">
        <x:v>639370500</x:v>
      </x:c>
      <x:c r="G5021" s="32" t="n">
        <x:f t="shared" si="225">AVERAGE(E4822:E5021)</x:f>
        <x:v>1062.10755</x:v>
      </x:c>
      <x:c r="H5021" s="37" t="n">
        <x:f t="shared" si="226">IFERROR(E5021/G5021-1,"")</x:f>
        <x:v>0.2320597852825732</x:v>
      </x:c>
      <x:c r="I5021" s="38" t="b">
        <x:f t="shared" si="227">E5021&lt;G5021</x:f>
        <x:v>0</x:v>
      </x:c>
    </x:row>
    <x:row r="5022">
      <x:c r="A5022" s="31">
        <x:v>44342</x:v>
      </x:c>
      <x:c r="B5022" s="32">
        <x:v>1308.04</x:v>
      </x:c>
      <x:c r="C5022" s="32">
        <x:v>1317.3</x:v>
      </x:c>
      <x:c r="D5022" s="32">
        <x:v>1304.68</x:v>
      </x:c>
      <x:c r="E5022" s="32">
        <x:v>1316.7</x:v>
      </x:c>
      <x:c r="F5022" s="33">
        <x:v>676236800</x:v>
      </x:c>
      <x:c r="G5022" s="32" t="n">
        <x:f t="shared" si="225">AVERAGE(E4823:E5022)</x:f>
        <x:v>1064.5020499999998</x:v>
      </x:c>
      <x:c r="H5022" s="37" t="n">
        <x:f t="shared" si="226">IFERROR(E5022/G5022-1,"")</x:f>
        <x:v>0.23691635915590803</x:v>
      </x:c>
      <x:c r="I5022" s="38" t="b">
        <x:f t="shared" si="227">E5022&lt;G5022</x:f>
        <x:v>0</x:v>
      </x:c>
    </x:row>
    <x:row r="5023">
      <x:c r="A5023" s="31">
        <x:v>44343</x:v>
      </x:c>
      <x:c r="B5023" s="32">
        <x:v>1318.42</x:v>
      </x:c>
      <x:c r="C5023" s="32">
        <x:v>1319.67</x:v>
      </x:c>
      <x:c r="D5023" s="32">
        <x:v>1299.99</x:v>
      </x:c>
      <x:c r="E5023" s="32">
        <x:v>1303.57</x:v>
      </x:c>
      <x:c r="F5023" s="33">
        <x:v>685085600</x:v>
      </x:c>
      <x:c r="G5023" s="32" t="n">
        <x:f t="shared" si="225">AVERAGE(E4824:E5023)</x:f>
        <x:v>1066.8196999999998</x:v>
      </x:c>
      <x:c r="H5023" s="37" t="n">
        <x:f t="shared" si="226">IFERROR(E5023/G5023-1,"")</x:f>
        <x:v>0.2219215674401216</x:v>
      </x:c>
      <x:c r="I5023" s="38" t="b">
        <x:f t="shared" si="227">E5023&lt;G5023</x:f>
        <x:v>0</x:v>
      </x:c>
    </x:row>
    <x:row r="5024">
      <x:c r="A5024" s="31">
        <x:v>44344</x:v>
      </x:c>
      <x:c r="B5024" s="32">
        <x:v>1307.79</x:v>
      </x:c>
      <x:c r="C5024" s="32">
        <x:v>1323.09</x:v>
      </x:c>
      <x:c r="D5024" s="32">
        <x:v>1300.06</x:v>
      </x:c>
      <x:c r="E5024" s="32">
        <x:v>1320.46</x:v>
      </x:c>
      <x:c r="F5024" s="33">
        <x:v>722285600</x:v>
      </x:c>
      <x:c r="G5024" s="32" t="n">
        <x:f t="shared" si="225">AVERAGE(E4825:E5024)</x:f>
        <x:v>1069.2147</x:v>
      </x:c>
      <x:c r="H5024" s="37" t="n">
        <x:f t="shared" si="226">IFERROR(E5024/G5024-1,"")</x:f>
        <x:v>0.23498115018433618</x:v>
      </x:c>
      <x:c r="I5024" s="38" t="b">
        <x:f t="shared" si="227">E5024&lt;G5024</x:f>
        <x:v>0</x:v>
      </x:c>
    </x:row>
    <x:row r="5025">
      <x:c r="A5025" s="31">
        <x:v>44347</x:v>
      </x:c>
      <x:c r="B5025" s="32">
        <x:v>1326.65</x:v>
      </x:c>
      <x:c r="C5025" s="32">
        <x:v>1328.05</x:v>
      </x:c>
      <x:c r="D5025" s="32">
        <x:v>1307.56</x:v>
      </x:c>
      <x:c r="E5025" s="32">
        <x:v>1328.05</x:v>
      </x:c>
      <x:c r="F5025" s="33">
        <x:v>700319900</x:v>
      </x:c>
      <x:c r="G5025" s="32" t="n">
        <x:f t="shared" si="225">AVERAGE(E4826:E5025)</x:f>
        <x:v>1071.6389499999998</x:v>
      </x:c>
      <x:c r="H5025" s="37" t="n">
        <x:f t="shared" si="226">IFERROR(E5025/G5025-1,"")</x:f>
        <x:v>0.2392699985382205</x:v>
      </x:c>
      <x:c r="I5025" s="38" t="b">
        <x:f t="shared" si="227">E5025&lt;G5025</x:f>
        <x:v>0</x:v>
      </x:c>
    </x:row>
    <x:row r="5026">
      <x:c r="A5026" s="31">
        <x:v>44348</x:v>
      </x:c>
      <x:c r="B5026" s="32">
        <x:v>1329.47</x:v>
      </x:c>
      <x:c r="C5026" s="32">
        <x:v>1346.34</x:v>
      </x:c>
      <x:c r="D5026" s="32">
        <x:v>1328.84</x:v>
      </x:c>
      <x:c r="E5026" s="32">
        <x:v>1337.78</x:v>
      </x:c>
      <x:c r="F5026" s="33">
        <x:v>600477200</x:v>
      </x:c>
      <x:c r="G5026" s="32" t="n">
        <x:f t="shared" si="225">AVERAGE(E4827:E5026)</x:f>
        <x:v>1074.1124499999999</x:v>
      </x:c>
      <x:c r="H5026" s="37" t="n">
        <x:f t="shared" si="226">IFERROR(E5026/G5026-1,"")</x:f>
        <x:v>0.2454748103888007</x:v>
      </x:c>
      <x:c r="I5026" s="38" t="b">
        <x:f t="shared" si="227">E5026&lt;G5026</x:f>
        <x:v>0</x:v>
      </x:c>
    </x:row>
    <x:row r="5027">
      <x:c r="A5027" s="31">
        <x:v>44349</x:v>
      </x:c>
      <x:c r="B5027" s="32">
        <x:v>1330.99</x:v>
      </x:c>
      <x:c r="C5027" s="32">
        <x:v>1344.98</x:v>
      </x:c>
      <x:c r="D5027" s="32">
        <x:v>1330.82</x:v>
      </x:c>
      <x:c r="E5027" s="32">
        <x:v>1340.78</x:v>
      </x:c>
      <x:c r="F5027" s="33">
        <x:v>755624100</x:v>
      </x:c>
      <x:c r="G5027" s="32" t="n">
        <x:f t="shared" si="225">AVERAGE(E4828:E5027)</x:f>
        <x:v>1076.5817499999998</x:v>
      </x:c>
      <x:c r="H5027" s="37" t="n">
        <x:f t="shared" si="226">IFERROR(E5027/G5027-1,"")</x:f>
        <x:v>0.24540472658021573</x:v>
      </x:c>
      <x:c r="I5027" s="38" t="b">
        <x:f t="shared" si="227">E5027&lt;G5027</x:f>
        <x:v>0</x:v>
      </x:c>
    </x:row>
    <x:row r="5028">
      <x:c r="A5028" s="31">
        <x:v>44350</x:v>
      </x:c>
      <x:c r="B5028" s="32">
        <x:v>1345.21</x:v>
      </x:c>
      <x:c r="C5028" s="32">
        <x:v>1366</x:v>
      </x:c>
      <x:c r="D5028" s="32">
        <x:v>1340.78</x:v>
      </x:c>
      <x:c r="E5028" s="32">
        <x:v>1364.28</x:v>
      </x:c>
      <x:c r="F5028" s="33">
        <x:v>856882400</x:v>
      </x:c>
      <x:c r="G5028" s="32" t="n">
        <x:f t="shared" si="225">AVERAGE(E4829:E5028)</x:f>
        <x:v>1079.1278999999997</x:v>
      </x:c>
      <x:c r="H5028" s="37" t="n">
        <x:f t="shared" si="226">IFERROR(E5028/G5028-1,"")</x:f>
        <x:v>0.26424309852428096</x:v>
      </x:c>
      <x:c r="I5028" s="38" t="b">
        <x:f t="shared" si="227">E5028&lt;G5028</x:f>
        <x:v>0</x:v>
      </x:c>
    </x:row>
    <x:row r="5029">
      <x:c r="A5029" s="31">
        <x:v>44351</x:v>
      </x:c>
      <x:c r="B5029" s="32">
        <x:v>1367.06</x:v>
      </x:c>
      <x:c r="C5029" s="32">
        <x:v>1374.05</x:v>
      </x:c>
      <x:c r="D5029" s="32">
        <x:v>1360.42</x:v>
      </x:c>
      <x:c r="E5029" s="32">
        <x:v>1374.05</x:v>
      </x:c>
      <x:c r="F5029" s="33">
        <x:v>887731100</x:v>
      </x:c>
      <x:c r="G5029" s="32" t="n">
        <x:f t="shared" si="225">AVERAGE(E4830:E5029)</x:f>
        <x:v>1081.7444499999997</x:v>
      </x:c>
      <x:c r="H5029" s="37" t="n">
        <x:f t="shared" si="226">IFERROR(E5029/G5029-1,"")</x:f>
        <x:v>0.2702168243155769</x:v>
      </x:c>
      <x:c r="I5029" s="38" t="b">
        <x:f t="shared" si="227">E5029&lt;G5029</x:f>
        <x:v>0</x:v>
      </x:c>
    </x:row>
    <x:row r="5030">
      <x:c r="A5030" s="31">
        <x:v>44354</x:v>
      </x:c>
      <x:c r="B5030" s="32">
        <x:v>1374.59</x:v>
      </x:c>
      <x:c r="C5030" s="32">
        <x:v>1375.74</x:v>
      </x:c>
      <x:c r="D5030" s="32">
        <x:v>1347.21</x:v>
      </x:c>
      <x:c r="E5030" s="32">
        <x:v>1358.78</x:v>
      </x:c>
      <x:c r="F5030" s="33">
        <x:v>840122900</x:v>
      </x:c>
      <x:c r="G5030" s="32" t="n">
        <x:f t="shared" si="225">AVERAGE(E4831:E5030)</x:f>
        <x:v>1084.2875999999997</x:v>
      </x:c>
      <x:c r="H5030" s="37" t="n">
        <x:f t="shared" si="226">IFERROR(E5030/G5030-1,"")</x:f>
        <x:v>0.2531546058444276</x:v>
      </x:c>
      <x:c r="I5030" s="38" t="b">
        <x:f t="shared" si="227">E5030&lt;G5030</x:f>
        <x:v>0</x:v>
      </x:c>
    </x:row>
    <x:row r="5031">
      <x:c r="A5031" s="31">
        <x:v>44355</x:v>
      </x:c>
      <x:c r="B5031" s="32">
        <x:v>1355.36</x:v>
      </x:c>
      <x:c r="C5031" s="32">
        <x:v>1364.48</x:v>
      </x:c>
      <x:c r="D5031" s="32">
        <x:v>1318.11</x:v>
      </x:c>
      <x:c r="E5031" s="32">
        <x:v>1319.88</x:v>
      </x:c>
      <x:c r="F5031" s="33">
        <x:v>874573200</x:v>
      </x:c>
      <x:c r="G5031" s="32" t="n">
        <x:f t="shared" si="225">AVERAGE(E4832:E5031)</x:f>
        <x:v>1086.6548499999997</x:v>
      </x:c>
      <x:c r="H5031" s="37" t="n">
        <x:f t="shared" si="226">IFERROR(E5031/G5031-1,"")</x:f>
        <x:v>0.2146267050664712</x:v>
      </x:c>
      <x:c r="I5031" s="38" t="b">
        <x:f t="shared" si="227">E5031&lt;G5031</x:f>
        <x:v>0</x:v>
      </x:c>
    </x:row>
    <x:row r="5032">
      <x:c r="A5032" s="31">
        <x:v>44356</x:v>
      </x:c>
      <x:c r="B5032" s="32">
        <x:v>1323.52</x:v>
      </x:c>
      <x:c r="C5032" s="32">
        <x:v>1339.14</x:v>
      </x:c>
      <x:c r="D5032" s="32">
        <x:v>1312.08</x:v>
      </x:c>
      <x:c r="E5032" s="32">
        <x:v>1332.9</x:v>
      </x:c>
      <x:c r="F5032" s="33">
        <x:v>769829300</x:v>
      </x:c>
      <x:c r="G5032" s="32" t="n">
        <x:f t="shared" si="225">AVERAGE(E4833:E5032)</x:f>
        <x:v>1089.0632999999996</x:v>
      </x:c>
      <x:c r="H5032" s="37" t="n">
        <x:f t="shared" si="226">IFERROR(E5032/G5032-1,"")</x:f>
        <x:v>0.2238958010980634</x:v>
      </x:c>
      <x:c r="I5032" s="38" t="b">
        <x:f t="shared" si="227">E5032&lt;G5032</x:f>
        <x:v>0</x:v>
      </x:c>
    </x:row>
    <x:row r="5033">
      <x:c r="A5033" s="31">
        <x:v>44357</x:v>
      </x:c>
      <x:c r="B5033" s="32">
        <x:v>1332.9</x:v>
      </x:c>
      <x:c r="C5033" s="32">
        <x:v>1336.71</x:v>
      </x:c>
      <x:c r="D5033" s="32">
        <x:v>1317.49</x:v>
      </x:c>
      <x:c r="E5033" s="32">
        <x:v>1323.58</x:v>
      </x:c>
      <x:c r="F5033" s="33">
        <x:v>674214800</x:v>
      </x:c>
      <x:c r="G5033" s="32" t="n">
        <x:f t="shared" si="225">AVERAGE(E4834:E5033)</x:f>
        <x:v>1091.4401499999994</x:v>
      </x:c>
      <x:c r="H5033" s="37" t="n">
        <x:f t="shared" si="226">IFERROR(E5033/G5033-1,"")</x:f>
        <x:v>0.21269132347751785</x:v>
      </x:c>
      <x:c r="I5033" s="38" t="b">
        <x:f t="shared" si="227">E5033&lt;G5033</x:f>
        <x:v>0</x:v>
      </x:c>
    </x:row>
    <x:row r="5034">
      <x:c r="A5034" s="31">
        <x:v>44358</x:v>
      </x:c>
      <x:c r="B5034" s="32">
        <x:v>1326.79</x:v>
      </x:c>
      <x:c r="C5034" s="32">
        <x:v>1352.47</x:v>
      </x:c>
      <x:c r="D5034" s="32">
        <x:v>1322.08</x:v>
      </x:c>
      <x:c r="E5034" s="32">
        <x:v>1351.74</x:v>
      </x:c>
      <x:c r="F5034" s="33">
        <x:v>705032900</x:v>
      </x:c>
      <x:c r="G5034" s="32" t="n">
        <x:f t="shared" si="225">AVERAGE(E4835:E5034)</x:f>
        <x:v>1093.9249499999996</x:v>
      </x:c>
      <x:c r="H5034" s="37" t="n">
        <x:f t="shared" si="226">IFERROR(E5034/G5034-1,"")</x:f>
        <x:v>0.23567891928966467</x:v>
      </x:c>
      <x:c r="I5034" s="38" t="b">
        <x:f t="shared" si="227">E5034&lt;G5034</x:f>
        <x:v>0</x:v>
      </x:c>
    </x:row>
    <x:row r="5035">
      <x:c r="A5035" s="31">
        <x:v>44361</x:v>
      </x:c>
      <x:c r="B5035" s="32">
        <x:v>1352.73</x:v>
      </x:c>
      <x:c r="C5035" s="32">
        <x:v>1368.53</x:v>
      </x:c>
      <x:c r="D5035" s="32">
        <x:v>1352.73</x:v>
      </x:c>
      <x:c r="E5035" s="32">
        <x:v>1361.72</x:v>
      </x:c>
      <x:c r="F5035" s="33">
        <x:v>715610800</x:v>
      </x:c>
      <x:c r="G5035" s="32" t="n">
        <x:f t="shared" si="225">AVERAGE(E4836:E5035)</x:f>
        <x:v>1096.3901499999995</x:v>
      </x:c>
      <x:c r="H5035" s="37" t="n">
        <x:f t="shared" si="226">IFERROR(E5035/G5035-1,"")</x:f>
        <x:v>0.24200313182310218</x:v>
      </x:c>
      <x:c r="I5035" s="38" t="b">
        <x:f t="shared" si="227">E5035&lt;G5035</x:f>
        <x:v>0</x:v>
      </x:c>
    </x:row>
    <x:row r="5036">
      <x:c r="A5036" s="31">
        <x:v>44362</x:v>
      </x:c>
      <x:c r="B5036" s="32">
        <x:v>1361.58</x:v>
      </x:c>
      <x:c r="C5036" s="32">
        <x:v>1372.72</x:v>
      </x:c>
      <x:c r="D5036" s="32">
        <x:v>1356.59</x:v>
      </x:c>
      <x:c r="E5036" s="32">
        <x:v>1367.36</x:v>
      </x:c>
      <x:c r="F5036" s="33">
        <x:v>706567000</x:v>
      </x:c>
      <x:c r="G5036" s="32" t="n">
        <x:f t="shared" si="225">AVERAGE(E4837:E5036)</x:f>
        <x:v>1098.8563499999993</x:v>
      </x:c>
      <x:c r="H5036" s="37" t="n">
        <x:f t="shared" si="226">IFERROR(E5036/G5036-1,"")</x:f>
        <x:v>0.24434827172814777</x:v>
      </x:c>
      <x:c r="I5036" s="38" t="b">
        <x:f t="shared" si="227">E5036&lt;G5036</x:f>
        <x:v>0</x:v>
      </x:c>
    </x:row>
    <x:row r="5037">
      <x:c r="A5037" s="31">
        <x:v>44363</x:v>
      </x:c>
      <x:c r="B5037" s="32">
        <x:v>1363.85</x:v>
      </x:c>
      <x:c r="C5037" s="32">
        <x:v>1370.14</x:v>
      </x:c>
      <x:c r="D5037" s="32">
        <x:v>1350.73</x:v>
      </x:c>
      <x:c r="E5037" s="32">
        <x:v>1356.52</x:v>
      </x:c>
      <x:c r="F5037" s="33">
        <x:v>740320300</x:v>
      </x:c>
      <x:c r="G5037" s="32" t="n">
        <x:f t="shared" si="225">AVERAGE(E4838:E5037)</x:f>
        <x:v>1101.2715999999994</x:v>
      </x:c>
      <x:c r="H5037" s="37" t="n">
        <x:f t="shared" si="226">IFERROR(E5037/G5037-1,"")</x:f>
        <x:v>0.23177606686670282</x:v>
      </x:c>
      <x:c r="I5037" s="38" t="b">
        <x:f t="shared" si="227">E5037&lt;G5037</x:f>
        <x:v>0</x:v>
      </x:c>
    </x:row>
    <x:row r="5038">
      <x:c r="A5038" s="31">
        <x:v>44364</x:v>
      </x:c>
      <x:c r="B5038" s="32">
        <x:v>1353.84</x:v>
      </x:c>
      <x:c r="C5038" s="32">
        <x:v>1353.84</x:v>
      </x:c>
      <x:c r="D5038" s="32">
        <x:v>1337.49</x:v>
      </x:c>
      <x:c r="E5038" s="32">
        <x:v>1359.92</x:v>
      </x:c>
      <x:c r="F5038" s="33">
        <x:v>712336800</x:v>
      </x:c>
      <x:c r="G5038" s="32" t="n">
        <x:f t="shared" si="225">AVERAGE(E4839:E5038)</x:f>
        <x:v>1103.6976499999994</x:v>
      </x:c>
      <x:c r="H5038" s="37" t="n">
        <x:f t="shared" si="226">IFERROR(E5038/G5038-1,"")</x:f>
        <x:v>0.23214904009263848</x:v>
      </x:c>
      <x:c r="I5038" s="38" t="b">
        <x:f t="shared" si="227">E5038&lt;G5038</x:f>
        <x:v>0</x:v>
      </x:c>
    </x:row>
    <x:row r="5039">
      <x:c r="A5039" s="31">
        <x:v>44365</x:v>
      </x:c>
      <x:c r="B5039" s="32">
        <x:v>1366.19</x:v>
      </x:c>
      <x:c r="C5039" s="32">
        <x:v>1377.77</x:v>
      </x:c>
      <x:c r="D5039" s="32">
        <x:v>1359.92</x:v>
      </x:c>
      <x:c r="E5039" s="32">
        <x:v>1377.77</x:v>
      </x:c>
      <x:c r="F5039" s="33">
        <x:v>750587000</x:v>
      </x:c>
      <x:c r="G5039" s="32" t="n">
        <x:f t="shared" si="225">AVERAGE(E4840:E5039)</x:f>
        <x:v>1106.1915999999992</x:v>
      </x:c>
      <x:c r="H5039" s="37" t="n">
        <x:f t="shared" si="226">IFERROR(E5039/G5039-1,"")</x:f>
        <x:v>0.24550755944991898</x:v>
      </x:c>
      <x:c r="I5039" s="38" t="b">
        <x:f t="shared" si="227">E5039&lt;G5039</x:f>
        <x:v>0</x:v>
      </x:c>
    </x:row>
    <x:row r="5040">
      <x:c r="A5040" s="31">
        <x:v>44368</x:v>
      </x:c>
      <x:c r="B5040" s="32">
        <x:v>1373.59</x:v>
      </x:c>
      <x:c r="C5040" s="32">
        <x:v>1381.74</x:v>
      </x:c>
      <x:c r="D5040" s="32">
        <x:v>1367.85</x:v>
      </x:c>
      <x:c r="E5040" s="32">
        <x:v>1372.63</x:v>
      </x:c>
      <x:c r="F5040" s="33">
        <x:v>731280000</x:v>
      </x:c>
      <x:c r="G5040" s="32" t="n">
        <x:f t="shared" si="225">AVERAGE(E4841:E5040)</x:f>
        <x:v>1108.6464999999996</x:v>
      </x:c>
      <x:c r="H5040" s="37" t="n">
        <x:f t="shared" si="226">IFERROR(E5040/G5040-1,"")</x:f>
        <x:v>0.23811332106311678</x:v>
      </x:c>
      <x:c r="I5040" s="38" t="b">
        <x:f t="shared" si="227">E5040&lt;G5040</x:f>
        <x:v>0</x:v>
      </x:c>
    </x:row>
    <x:row r="5041">
      <x:c r="A5041" s="31">
        <x:v>44369</x:v>
      </x:c>
      <x:c r="B5041" s="32">
        <x:v>1380.84</x:v>
      </x:c>
      <x:c r="C5041" s="32">
        <x:v>1385.98</x:v>
      </x:c>
      <x:c r="D5041" s="32">
        <x:v>1372.63</x:v>
      </x:c>
      <x:c r="E5041" s="32">
        <x:v>1379.97</x:v>
      </x:c>
      <x:c r="F5041" s="33">
        <x:v>694747200</x:v>
      </x:c>
      <x:c r="G5041" s="32" t="n">
        <x:f t="shared" si="225">AVERAGE(E4842:E5041)</x:f>
        <x:v>1111.0876999999994</x:v>
      </x:c>
      <x:c r="H5041" s="37" t="n">
        <x:f t="shared" si="226">IFERROR(E5041/G5041-1,"")</x:f>
        <x:v>0.24199916892248985</x:v>
      </x:c>
      <x:c r="I5041" s="38" t="b">
        <x:f t="shared" si="227">E5041&lt;G5041</x:f>
        <x:v>0</x:v>
      </x:c>
    </x:row>
    <x:row r="5042">
      <x:c r="A5042" s="31">
        <x:v>44370</x:v>
      </x:c>
      <x:c r="B5042" s="32">
        <x:v>1383.15</x:v>
      </x:c>
      <x:c r="C5042" s="32">
        <x:v>1388.33</x:v>
      </x:c>
      <x:c r="D5042" s="32">
        <x:v>1372.06</x:v>
      </x:c>
      <x:c r="E5042" s="32">
        <x:v>1376.87</x:v>
      </x:c>
      <x:c r="F5042" s="33">
        <x:v>644736300</x:v>
      </x:c>
      <x:c r="G5042" s="32" t="n">
        <x:f t="shared" si="225">AVERAGE(E4843:E5042)</x:f>
        <x:v>1113.4521999999995</x:v>
      </x:c>
      <x:c r="H5042" s="37" t="n">
        <x:f t="shared" si="226">IFERROR(E5042/G5042-1,"")</x:f>
        <x:v>0.2365775558214358</x:v>
      </x:c>
      <x:c r="I5042" s="38" t="b">
        <x:f t="shared" si="227">E5042&lt;G5042</x:f>
        <x:v>0</x:v>
      </x:c>
    </x:row>
    <x:row r="5043">
      <x:c r="A5043" s="31">
        <x:v>44371</x:v>
      </x:c>
      <x:c r="B5043" s="32">
        <x:v>1376.87</x:v>
      </x:c>
      <x:c r="C5043" s="32">
        <x:v>1384.71</x:v>
      </x:c>
      <x:c r="D5043" s="32">
        <x:v>1372.99</x:v>
      </x:c>
      <x:c r="E5043" s="32">
        <x:v>1379.72</x:v>
      </x:c>
      <x:c r="F5043" s="33">
        <x:v>538103500</x:v>
      </x:c>
      <x:c r="G5043" s="32" t="n">
        <x:f t="shared" si="225">AVERAGE(E4844:E5043)</x:f>
        <x:v>1115.8430999999994</x:v>
      </x:c>
      <x:c r="H5043" s="37" t="n">
        <x:f t="shared" si="226">IFERROR(E5043/G5043-1,"")</x:f>
        <x:v>0.23648208247198976</x:v>
      </x:c>
      <x:c r="I5043" s="38" t="b">
        <x:f t="shared" si="227">E5043&lt;G5043</x:f>
        <x:v>0</x:v>
      </x:c>
    </x:row>
    <x:row r="5044">
      <x:c r="A5044" s="31">
        <x:v>44372</x:v>
      </x:c>
      <x:c r="B5044" s="32">
        <x:v>1382.11</x:v>
      </x:c>
      <x:c r="C5044" s="32">
        <x:v>1390.12</x:v>
      </x:c>
      <x:c r="D5044" s="32">
        <x:v>1372.8</x:v>
      </x:c>
      <x:c r="E5044" s="32">
        <x:v>1390.12</x:v>
      </x:c>
      <x:c r="F5044" s="33">
        <x:v>518602200</x:v>
      </x:c>
      <x:c r="G5044" s="32" t="n">
        <x:f t="shared" si="225">AVERAGE(E4845:E5044)</x:f>
        <x:v>1118.3524499999994</x:v>
      </x:c>
      <x:c r="H5044" s="37" t="n">
        <x:f t="shared" si="226">IFERROR(E5044/G5044-1,"")</x:f>
        <x:v>0.24300706812060957</x:v>
      </x:c>
      <x:c r="I5044" s="38" t="b">
        <x:f t="shared" si="227">E5044&lt;G5044</x:f>
        <x:v>0</x:v>
      </x:c>
    </x:row>
    <x:row r="5045">
      <x:c r="A5045" s="31">
        <x:v>44375</x:v>
      </x:c>
      <x:c r="B5045" s="32">
        <x:v>1397.96</x:v>
      </x:c>
      <x:c r="C5045" s="32">
        <x:v>1406.02</x:v>
      </x:c>
      <x:c r="D5045" s="32">
        <x:v>1390.56</x:v>
      </x:c>
      <x:c r="E5045" s="32">
        <x:v>1405.81</x:v>
      </x:c>
      <x:c r="F5045" s="33">
        <x:v>654617700</x:v>
      </x:c>
      <x:c r="G5045" s="32" t="n">
        <x:f t="shared" si="225">AVERAGE(E4846:E5045)</x:f>
        <x:v>1120.9307999999994</x:v>
      </x:c>
      <x:c r="H5045" s="37" t="n">
        <x:f t="shared" si="226">IFERROR(E5045/G5045-1,"")</x:f>
        <x:v>0.25414521574391635</x:v>
      </x:c>
      <x:c r="I5045" s="38" t="b">
        <x:f t="shared" si="227">E5045&lt;G5045</x:f>
        <x:v>0</x:v>
      </x:c>
    </x:row>
    <x:row r="5046">
      <x:c r="A5046" s="31">
        <x:v>44376</x:v>
      </x:c>
      <x:c r="B5046" s="32">
        <x:v>1408.34</x:v>
      </x:c>
      <x:c r="C5046" s="32">
        <x:v>1416.34</x:v>
      </x:c>
      <x:c r="D5046" s="32">
        <x:v>1405.81</x:v>
      </x:c>
      <x:c r="E5046" s="32">
        <x:v>1410.04</x:v>
      </x:c>
      <x:c r="F5046" s="33">
        <x:v>609604200</x:v>
      </x:c>
      <x:c r="G5046" s="32" t="n">
        <x:f t="shared" si="225">AVERAGE(E4847:E5046)</x:f>
        <x:v>1123.5343999999993</x:v>
      </x:c>
      <x:c r="H5046" s="37" t="n">
        <x:f t="shared" si="226">IFERROR(E5046/G5046-1,"")</x:f>
        <x:v>0.25500385212949483</x:v>
      </x:c>
      <x:c r="I5046" s="38" t="b">
        <x:f t="shared" si="227">E5046&lt;G5046</x:f>
        <x:v>0</x:v>
      </x:c>
    </x:row>
    <x:row r="5047">
      <x:c r="A5047" s="31">
        <x:v>44377</x:v>
      </x:c>
      <x:c r="B5047" s="32">
        <x:v>1410.83</x:v>
      </x:c>
      <x:c r="C5047" s="32">
        <x:v>1419.61</x:v>
      </x:c>
      <x:c r="D5047" s="32">
        <x:v>1408.18</x:v>
      </x:c>
      <x:c r="E5047" s="32">
        <x:v>1408.55</x:v>
      </x:c>
      <x:c r="F5047" s="33">
        <x:v>532318900</x:v>
      </x:c>
      <x:c r="G5047" s="32" t="n">
        <x:f t="shared" si="225">AVERAGE(E4848:E5047)</x:f>
        <x:v>1126.1330499999992</x:v>
      </x:c>
      <x:c r="H5047" s="37" t="n">
        <x:f t="shared" si="226">IFERROR(E5047/G5047-1,"")</x:f>
        <x:v>0.25078470967529176</x:v>
      </x:c>
      <x:c r="I5047" s="38" t="b">
        <x:f t="shared" si="227">E5047&lt;G5047</x:f>
        <x:v>0</x:v>
      </x:c>
    </x:row>
    <x:row r="5048">
      <x:c r="A5048" s="31">
        <x:v>44378</x:v>
      </x:c>
      <x:c r="B5048" s="32">
        <x:v>1412.15</x:v>
      </x:c>
      <x:c r="C5048" s="32">
        <x:v>1417.27</x:v>
      </x:c>
      <x:c r="D5048" s="32">
        <x:v>1402.18</x:v>
      </x:c>
      <x:c r="E5048" s="32">
        <x:v>1417.08</x:v>
      </x:c>
      <x:c r="F5048" s="33">
        <x:v>699282500</x:v>
      </x:c>
      <x:c r="G5048" s="32" t="n">
        <x:f t="shared" si="225">AVERAGE(E4849:E5048)</x:f>
        <x:v>1128.773599999999</x:v>
      </x:c>
      <x:c r="H5048" s="37" t="n">
        <x:f t="shared" si="226">IFERROR(E5048/G5048-1,"")</x:f>
        <x:v>0.2554156121298381</x:v>
      </x:c>
      <x:c r="I5048" s="38" t="b">
        <x:f t="shared" si="227">E5048&lt;G5048</x:f>
        <x:v>0</x:v>
      </x:c>
    </x:row>
    <x:row r="5049">
      <x:c r="A5049" s="31">
        <x:v>44379</x:v>
      </x:c>
      <x:c r="B5049" s="32">
        <x:v>1422.89</x:v>
      </x:c>
      <x:c r="C5049" s="32">
        <x:v>1424.28</x:v>
      </x:c>
      <x:c r="D5049" s="32">
        <x:v>1415.82</x:v>
      </x:c>
      <x:c r="E5049" s="32">
        <x:v>1420.27</x:v>
      </x:c>
      <x:c r="F5049" s="33">
        <x:v>653610300</x:v>
      </x:c>
      <x:c r="G5049" s="32" t="n">
        <x:f t="shared" si="225">AVERAGE(E4850:E5049)</x:f>
        <x:v>1131.402099999999</x:v>
      </x:c>
      <x:c r="H5049" s="37" t="n">
        <x:f t="shared" si="226">IFERROR(E5049/G5049-1,"")</x:f>
        <x:v>0.25531851142931505</x:v>
      </x:c>
      <x:c r="I5049" s="38" t="b">
        <x:f t="shared" si="227">E5049&lt;G5049</x:f>
        <x:v>0</x:v>
      </x:c>
    </x:row>
    <x:row r="5050">
      <x:c r="A5050" s="31">
        <x:v>44382</x:v>
      </x:c>
      <x:c r="B5050" s="32">
        <x:v>1420.27</x:v>
      </x:c>
      <x:c r="C5050" s="32">
        <x:v>1421.52</x:v>
      </x:c>
      <x:c r="D5050" s="32">
        <x:v>1394.12</x:v>
      </x:c>
      <x:c r="E5050" s="32">
        <x:v>1411.13</x:v>
      </x:c>
      <x:c r="F5050" s="33">
        <x:v>774451500</x:v>
      </x:c>
      <x:c r="G5050" s="32" t="n">
        <x:f t="shared" si="225">AVERAGE(E4851:E5050)</x:f>
        <x:v>1133.976449999999</x:v>
      </x:c>
      <x:c r="H5050" s="37" t="n">
        <x:f t="shared" si="226">IFERROR(E5050/G5050-1,"")</x:f>
        <x:v>0.24440855892554159</x:v>
      </x:c>
      <x:c r="I5050" s="38" t="b">
        <x:f t="shared" si="227">E5050&lt;G5050</x:f>
        <x:v>0</x:v>
      </x:c>
    </x:row>
    <x:row r="5051">
      <x:c r="A5051" s="31">
        <x:v>44383</x:v>
      </x:c>
      <x:c r="B5051" s="32">
        <x:v>1412.93</x:v>
      </x:c>
      <x:c r="C5051" s="32">
        <x:v>1418.99</x:v>
      </x:c>
      <x:c r="D5051" s="32">
        <x:v>1354.79</x:v>
      </x:c>
      <x:c r="E5051" s="32">
        <x:v>1354.79</x:v>
      </x:c>
      <x:c r="F5051" s="33">
        <x:v>773512600</x:v>
      </x:c>
      <x:c r="G5051" s="32" t="n">
        <x:f t="shared" si="225">AVERAGE(E4852:E5051)</x:f>
        <x:v>1136.263049999999</x:v>
      </x:c>
      <x:c r="H5051" s="37" t="n">
        <x:f t="shared" si="226">IFERROR(E5051/G5051-1,"")</x:f>
        <x:v>0.19232073946257522</x:v>
      </x:c>
      <x:c r="I5051" s="38" t="b">
        <x:f t="shared" si="227">E5051&lt;G5051</x:f>
        <x:v>0</x:v>
      </x:c>
    </x:row>
    <x:row r="5052">
      <x:c r="A5052" s="31">
        <x:v>44384</x:v>
      </x:c>
      <x:c r="B5052" s="32">
        <x:v>1361.76</x:v>
      </x:c>
      <x:c r="C5052" s="32">
        <x:v>1388.55</x:v>
      </x:c>
      <x:c r="D5052" s="32">
        <x:v>1334.58</x:v>
      </x:c>
      <x:c r="E5052" s="32">
        <x:v>1388.55</x:v>
      </x:c>
      <x:c r="F5052" s="33">
        <x:v>733801300</x:v>
      </x:c>
      <x:c r="G5052" s="32" t="n">
        <x:f t="shared" si="225">AVERAGE(E4853:E5052)</x:f>
        <x:v>1138.735599999999</x:v>
      </x:c>
      <x:c r="H5052" s="37" t="n">
        <x:f t="shared" si="226">IFERROR(E5052/G5052-1,"")</x:f>
        <x:v>0.2193787565787888</x:v>
      </x:c>
      <x:c r="I5052" s="38" t="b">
        <x:f t="shared" si="227">E5052&lt;G5052</x:f>
        <x:v>0</x:v>
      </x:c>
    </x:row>
    <x:row r="5053">
      <x:c r="A5053" s="31">
        <x:v>44385</x:v>
      </x:c>
      <x:c r="B5053" s="32">
        <x:v>1381.11</x:v>
      </x:c>
      <x:c r="C5053" s="32">
        <x:v>1385.75</x:v>
      </x:c>
      <x:c r="D5053" s="32">
        <x:v>1363.92</x:v>
      </x:c>
      <x:c r="E5053" s="32">
        <x:v>1374.68</x:v>
      </x:c>
      <x:c r="F5053" s="33">
        <x:v>528832600</x:v>
      </x:c>
      <x:c r="G5053" s="32" t="n">
        <x:f t="shared" si="225">AVERAGE(E4854:E5053)</x:f>
        <x:v>1141.1042499999992</x:v>
      </x:c>
      <x:c r="H5053" s="37" t="n">
        <x:f t="shared" si="226">IFERROR(E5053/G5053-1,"")</x:f>
        <x:v>0.2046927351291532</x:v>
      </x:c>
      <x:c r="I5053" s="38" t="b">
        <x:f t="shared" si="227">E5053&lt;G5053</x:f>
        <x:v>0</x:v>
      </x:c>
    </x:row>
    <x:row r="5054">
      <x:c r="A5054" s="31">
        <x:v>44386</x:v>
      </x:c>
      <x:c r="B5054" s="32">
        <x:v>1365.28</x:v>
      </x:c>
      <x:c r="C5054" s="32">
        <x:v>1373.51</x:v>
      </x:c>
      <x:c r="D5054" s="32">
        <x:v>1335.9</x:v>
      </x:c>
      <x:c r="E5054" s="32">
        <x:v>1347.14</x:v>
      </x:c>
      <x:c r="F5054" s="33">
        <x:v>713991100</x:v>
      </x:c>
      <x:c r="G5054" s="32" t="n">
        <x:f t="shared" si="225">AVERAGE(E4855:E5054)</x:f>
        <x:v>1143.300249999999</x:v>
      </x:c>
      <x:c r="H5054" s="37" t="n">
        <x:f t="shared" si="226">IFERROR(E5054/G5054-1,"")</x:f>
        <x:v>0.17829065462025495</x:v>
      </x:c>
      <x:c r="I5054" s="38" t="b">
        <x:f t="shared" si="227">E5054&lt;G5054</x:f>
        <x:v>0</x:v>
      </x:c>
    </x:row>
    <x:row r="5055">
      <x:c r="A5055" s="31">
        <x:v>44389</x:v>
      </x:c>
      <x:c r="B5055" s="32">
        <x:v>1338.11</x:v>
      </x:c>
      <x:c r="C5055" s="32">
        <x:v>1340.65</x:v>
      </x:c>
      <x:c r="D5055" s="32">
        <x:v>1270.06</x:v>
      </x:c>
      <x:c r="E5055" s="32">
        <x:v>1296.3</x:v>
      </x:c>
      <x:c r="F5055" s="33">
        <x:v>912737200</x:v>
      </x:c>
      <x:c r="G5055" s="32" t="n">
        <x:f t="shared" si="225">AVERAGE(E4856:E5055)</x:f>
        <x:v>1145.250799999999</x:v>
      </x:c>
      <x:c r="H5055" s="37" t="n">
        <x:f t="shared" si="226">IFERROR(E5055/G5055-1,"")</x:f>
        <x:v>0.1318918092002217</x:v>
      </x:c>
      <x:c r="I5055" s="38" t="b">
        <x:f t="shared" si="227">E5055&lt;G5055</x:f>
        <x:v>0</x:v>
      </x:c>
    </x:row>
    <x:row r="5056">
      <x:c r="A5056" s="31">
        <x:v>44390</x:v>
      </x:c>
      <x:c r="B5056" s="32">
        <x:v>1305.3599999999999</x:v>
      </x:c>
      <x:c r="C5056" s="32">
        <x:v>1307.73</x:v>
      </x:c>
      <x:c r="D5056" s="32">
        <x:v>1278.3</x:v>
      </x:c>
      <x:c r="E5056" s="32">
        <x:v>1297.54</x:v>
      </x:c>
      <x:c r="F5056" s="33">
        <x:v>500178900</x:v>
      </x:c>
      <x:c r="G5056" s="32" t="n">
        <x:f t="shared" si="225">AVERAGE(E4857:E5056)</x:f>
        <x:v>1147.175999999999</x:v>
      </x:c>
      <x:c r="H5056" s="37" t="n">
        <x:f t="shared" si="226">IFERROR(E5056/G5056-1,"")</x:f>
        <x:v>0.13107317447366507</x:v>
      </x:c>
      <x:c r="I5056" s="38" t="b">
        <x:f t="shared" si="227">E5056&lt;G5056</x:f>
        <x:v>0</x:v>
      </x:c>
    </x:row>
    <x:row r="5057">
      <x:c r="A5057" s="31">
        <x:v>44391</x:v>
      </x:c>
      <x:c r="B5057" s="32">
        <x:v>1297.54</x:v>
      </x:c>
      <x:c r="C5057" s="32">
        <x:v>1305.3699999999999</x:v>
      </x:c>
      <x:c r="D5057" s="32">
        <x:v>1264.68</x:v>
      </x:c>
      <x:c r="E5057" s="32">
        <x:v>1279.9100000000001</x:v>
      </x:c>
      <x:c r="F5057" s="33">
        <x:v>547973900</x:v>
      </x:c>
      <x:c r="G5057" s="32" t="n">
        <x:f t="shared" si="225">AVERAGE(E4858:E5057)</x:f>
        <x:v>1149.032649999999</x:v>
      </x:c>
      <x:c r="H5057" s="37" t="n">
        <x:f t="shared" si="226">IFERROR(E5057/G5057-1,"")</x:f>
        <x:v>0.11390220286603792</x:v>
      </x:c>
      <x:c r="I5057" s="38" t="b">
        <x:f t="shared" si="227">E5057&lt;G5057</x:f>
        <x:v>0</x:v>
      </x:c>
    </x:row>
    <x:row r="5058">
      <x:c r="A5058" s="31">
        <x:v>44392</x:v>
      </x:c>
      <x:c r="B5058" s="32">
        <x:v>1270.77</x:v>
      </x:c>
      <x:c r="C5058" s="32">
        <x:v>1299.18</x:v>
      </x:c>
      <x:c r="D5058" s="32">
        <x:v>1270.77</x:v>
      </x:c>
      <x:c r="E5058" s="32">
        <x:v>1293.92</x:v>
      </x:c>
      <x:c r="F5058" s="33">
        <x:v>419138600</x:v>
      </x:c>
      <x:c r="G5058" s="32" t="n">
        <x:f t="shared" si="225">AVERAGE(E4859:E5058)</x:f>
        <x:v>1150.9608999999991</x:v>
      </x:c>
      <x:c r="H5058" s="37" t="n">
        <x:f t="shared" si="226">IFERROR(E5058/G5058-1,"")</x:f>
        <x:v>0.12420847658682499</x:v>
      </x:c>
      <x:c r="I5058" s="38" t="b">
        <x:f t="shared" si="227">E5058&lt;G5058</x:f>
        <x:v>0</x:v>
      </x:c>
    </x:row>
    <x:row r="5059">
      <x:c r="A5059" s="31">
        <x:v>44393</x:v>
      </x:c>
      <x:c r="B5059" s="32">
        <x:v>1298.3800000000001</x:v>
      </x:c>
      <x:c r="C5059" s="32">
        <x:v>1304.3699999999999</x:v>
      </x:c>
      <x:c r="D5059" s="32">
        <x:v>1296.06</x:v>
      </x:c>
      <x:c r="E5059" s="32">
        <x:v>1299.31</x:v>
      </x:c>
      <x:c r="F5059" s="33">
        <x:v>415120500</x:v>
      </x:c>
      <x:c r="G5059" s="32" t="n">
        <x:f t="shared" si="225">AVERAGE(E4860:E5059)</x:f>
        <x:v>1152.8949499999992</x:v>
      </x:c>
      <x:c r="H5059" s="37" t="n">
        <x:f t="shared" si="226">IFERROR(E5059/G5059-1,"")</x:f>
        <x:v>0.12699773730468755</x:v>
      </x:c>
      <x:c r="I5059" s="38" t="b">
        <x:f t="shared" si="227">E5059&lt;G5059</x:f>
        <x:v>0</x:v>
      </x:c>
    </x:row>
    <x:row r="5060">
      <x:c r="A5060" s="31">
        <x:v>44396</x:v>
      </x:c>
      <x:c r="B5060" s="32">
        <x:v>1270.18</x:v>
      </x:c>
      <x:c r="C5060" s="32">
        <x:v>1276.55</x:v>
      </x:c>
      <x:c r="D5060" s="32">
        <x:v>1237.79</x:v>
      </x:c>
      <x:c r="E5060" s="32">
        <x:v>1243.51</x:v>
      </x:c>
      <x:c r="F5060" s="33">
        <x:v>675617000</x:v>
      </x:c>
      <x:c r="G5060" s="32" t="n">
        <x:f t="shared" si="225">AVERAGE(E4861:E5060)</x:f>
        <x:v>1154.5925999999993</x:v>
      </x:c>
      <x:c r="H5060" s="37" t="n">
        <x:f t="shared" si="226">IFERROR(E5060/G5060-1,"")</x:f>
        <x:v>0.07701192611142726</x:v>
      </x:c>
      <x:c r="I5060" s="38" t="b">
        <x:f t="shared" si="227">E5060&lt;G5060</x:f>
        <x:v>0</x:v>
      </x:c>
    </x:row>
    <x:row r="5061">
      <x:c r="A5061" s="31">
        <x:v>44397</x:v>
      </x:c>
      <x:c r="B5061" s="32">
        <x:v>1243.51</x:v>
      </x:c>
      <x:c r="C5061" s="32">
        <x:v>1273.29</x:v>
      </x:c>
      <x:c r="D5061" s="32">
        <x:v>1225.52</x:v>
      </x:c>
      <x:c r="E5061" s="32">
        <x:v>1273.29</x:v>
      </x:c>
      <x:c r="F5061" s="33">
        <x:v>538794200</x:v>
      </x:c>
      <x:c r="G5061" s="32" t="n">
        <x:f t="shared" si="225">AVERAGE(E4862:E5061)</x:f>
        <x:v>1156.4329999999993</x:v>
      </x:c>
      <x:c r="H5061" s="37" t="n">
        <x:f t="shared" si="226">IFERROR(E5061/G5061-1,"")</x:f>
        <x:v>0.10104952037861303</x:v>
      </x:c>
      <x:c r="I5061" s="38" t="b">
        <x:f t="shared" si="227">E5061&lt;G5061</x:f>
        <x:v>0</x:v>
      </x:c>
    </x:row>
    <x:row r="5062">
      <x:c r="A5062" s="31">
        <x:v>44398</x:v>
      </x:c>
      <x:c r="B5062" s="32">
        <x:v>1277.27</x:v>
      </x:c>
      <x:c r="C5062" s="32">
        <x:v>1284.33</x:v>
      </x:c>
      <x:c r="D5062" s="32">
        <x:v>1266.71</x:v>
      </x:c>
      <x:c r="E5062" s="32">
        <x:v>1270.79</x:v>
      </x:c>
      <x:c r="F5062" s="33">
        <x:v>395114300</x:v>
      </x:c>
      <x:c r="G5062" s="32" t="n">
        <x:f t="shared" si="225">AVERAGE(E4863:E5062)</x:f>
        <x:v>1158.2164999999993</x:v>
      </x:c>
      <x:c r="H5062" s="37" t="n">
        <x:f t="shared" si="226">IFERROR(E5062/G5062-1,"")</x:f>
        <x:v>0.0971955588614053</x:v>
      </x:c>
      <x:c r="I5062" s="38" t="b">
        <x:f t="shared" si="227">E5062&lt;G5062</x:f>
        <x:v>0</x:v>
      </x:c>
    </x:row>
    <x:row r="5063">
      <x:c r="A5063" s="31">
        <x:v>44399</x:v>
      </x:c>
      <x:c r="B5063" s="32">
        <x:v>1270.79</x:v>
      </x:c>
      <x:c r="C5063" s="32">
        <x:v>1294.1600000000001</x:v>
      </x:c>
      <x:c r="D5063" s="32">
        <x:v>1266.54</x:v>
      </x:c>
      <x:c r="E5063" s="32">
        <x:v>1293.67</x:v>
      </x:c>
      <x:c r="F5063" s="33">
        <x:v>493258000</x:v>
      </x:c>
      <x:c r="G5063" s="32" t="n">
        <x:f t="shared" si="225">AVERAGE(E4864:E5063)</x:f>
        <x:v>1160.1352999999995</x:v>
      </x:c>
      <x:c r="H5063" s="37" t="n">
        <x:f t="shared" si="226">IFERROR(E5063/G5063-1,"")</x:f>
        <x:v>0.11510269534941364</x:v>
      </x:c>
      <x:c r="I5063" s="38" t="b">
        <x:f t="shared" si="227">E5063&lt;G5063</x:f>
        <x:v>0</x:v>
      </x:c>
    </x:row>
    <x:row r="5064">
      <x:c r="A5064" s="31">
        <x:v>44400</x:v>
      </x:c>
      <x:c r="B5064" s="32">
        <x:v>1288.83</x:v>
      </x:c>
      <x:c r="C5064" s="32">
        <x:v>1295.6300000000001</x:v>
      </x:c>
      <x:c r="D5064" s="32">
        <x:v>1268.83</x:v>
      </x:c>
      <x:c r="E5064" s="32">
        <x:v>1268.83</x:v>
      </x:c>
      <x:c r="F5064" s="33">
        <x:v>550861800</x:v>
      </x:c>
      <x:c r="G5064" s="32" t="n">
        <x:f t="shared" si="225">AVERAGE(E4865:E5064)</x:f>
        <x:v>1161.9060499999994</x:v>
      </x:c>
      <x:c r="H5064" s="37" t="n">
        <x:f t="shared" si="226">IFERROR(E5064/G5064-1,"")</x:f>
        <x:v>0.09202460904648935</x:v>
      </x:c>
      <x:c r="I5064" s="38" t="b">
        <x:f t="shared" si="227">E5064&lt;G5064</x:f>
        <x:v>0</x:v>
      </x:c>
    </x:row>
    <x:row r="5065">
      <x:c r="A5065" s="31">
        <x:v>44403</x:v>
      </x:c>
      <x:c r="B5065" s="32">
        <x:v>1268.83</x:v>
      </x:c>
      <x:c r="C5065" s="32">
        <x:v>1277.33</x:v>
      </x:c>
      <x:c r="D5065" s="32">
        <x:v>1254.57</x:v>
      </x:c>
      <x:c r="E5065" s="32">
        <x:v>1272.71</x:v>
      </x:c>
      <x:c r="F5065" s="33">
        <x:v>461081000</x:v>
      </x:c>
      <x:c r="G5065" s="32" t="n">
        <x:f t="shared" si="225">AVERAGE(E4866:E5065)</x:f>
        <x:v>1163.6912499999992</x:v>
      </x:c>
      <x:c r="H5065" s="37" t="n">
        <x:f t="shared" si="226">IFERROR(E5065/G5065-1,"")</x:f>
        <x:v>0.09368356941757616</x:v>
      </x:c>
      <x:c r="I5065" s="38" t="b">
        <x:f t="shared" si="227">E5065&lt;G5065</x:f>
        <x:v>0</x:v>
      </x:c>
    </x:row>
    <x:row r="5066">
      <x:c r="A5066" s="31">
        <x:v>44404</x:v>
      </x:c>
      <x:c r="B5066" s="32">
        <x:v>1283.67</x:v>
      </x:c>
      <x:c r="C5066" s="32">
        <x:v>1288.3499999999999</x:v>
      </x:c>
      <x:c r="D5066" s="32">
        <x:v>1276.53</x:v>
      </x:c>
      <x:c r="E5066" s="32">
        <x:v>1276.93</x:v>
      </x:c>
      <x:c r="F5066" s="33">
        <x:v>519931600</x:v>
      </x:c>
      <x:c r="G5066" s="32" t="n">
        <x:f t="shared" si="225">AVERAGE(E4867:E5066)</x:f>
        <x:v>1165.477299999999</x:v>
      </x:c>
      <x:c r="H5066" s="37" t="n">
        <x:f t="shared" si="226">IFERROR(E5066/G5066-1,"")</x:f>
        <x:v>0.09562837474397923</x:v>
      </x:c>
      <x:c r="I5066" s="38" t="b">
        <x:f t="shared" si="227">E5066&lt;G5066</x:f>
        <x:v>0</x:v>
      </x:c>
    </x:row>
    <x:row r="5067">
      <x:c r="A5067" s="31">
        <x:v>44405</x:v>
      </x:c>
      <x:c r="B5067" s="32">
        <x:v>1273.48</x:v>
      </x:c>
      <x:c r="C5067" s="32">
        <x:v>1281.17</x:v>
      </x:c>
      <x:c r="D5067" s="32">
        <x:v>1271.78</x:v>
      </x:c>
      <x:c r="E5067" s="32">
        <x:v>1277.07</x:v>
      </x:c>
      <x:c r="F5067" s="33">
        <x:v>361912000</x:v>
      </x:c>
      <x:c r="G5067" s="32" t="n">
        <x:f t="shared" si="225">AVERAGE(E4868:E5067)</x:f>
        <x:v>1167.2684499999993</x:v>
      </x:c>
      <x:c r="H5067" s="37" t="n">
        <x:f t="shared" si="226">IFERROR(E5067/G5067-1,"")</x:f>
        <x:v>0.09406709313526007</x:v>
      </x:c>
      <x:c r="I5067" s="38" t="b">
        <x:f t="shared" si="227">E5067&lt;G5067</x:f>
        <x:v>0</x:v>
      </x:c>
    </x:row>
    <x:row r="5068">
      <x:c r="A5068" s="31">
        <x:v>44406</x:v>
      </x:c>
      <x:c r="B5068" s="32">
        <x:v>1286.33</x:v>
      </x:c>
      <x:c r="C5068" s="32">
        <x:v>1293.5999999999999</x:v>
      </x:c>
      <x:c r="D5068" s="32">
        <x:v>1282.8800000000001</x:v>
      </x:c>
      <x:c r="E5068" s="32">
        <x:v>1293.5999999999999</x:v>
      </x:c>
      <x:c r="F5068" s="33">
        <x:v>445516100</x:v>
      </x:c>
      <x:c r="G5068" s="32" t="n">
        <x:f t="shared" si="225">AVERAGE(E4869:E5068)</x:f>
        <x:v>1169.1164499999993</x:v>
      </x:c>
      <x:c r="H5068" s="37" t="n">
        <x:f t="shared" si="226">IFERROR(E5068/G5068-1,"")</x:f>
        <x:v>0.10647660461881325</x:v>
      </x:c>
      <x:c r="I5068" s="38" t="b">
        <x:f t="shared" si="227">E5068&lt;G5068</x:f>
        <x:v>0</x:v>
      </x:c>
    </x:row>
    <x:row r="5069">
      <x:c r="A5069" s="31">
        <x:v>44407</x:v>
      </x:c>
      <x:c r="B5069" s="32">
        <x:v>1298.01</x:v>
      </x:c>
      <x:c r="C5069" s="32">
        <x:v>1311.97</x:v>
      </x:c>
      <x:c r="D5069" s="32">
        <x:v>1296.95</x:v>
      </x:c>
      <x:c r="E5069" s="32">
        <x:v>1310.05</x:v>
      </x:c>
      <x:c r="F5069" s="33">
        <x:v>618748500</x:v>
      </x:c>
      <x:c r="G5069" s="32" t="n">
        <x:f t="shared" ref="G5069:G5132" si="228">AVERAGE(E4870:E5069)</x:f>
        <x:v>1171.037549999999</x:v>
      </x:c>
      <x:c r="H5069" s="37" t="n">
        <x:f t="shared" ref="H5069:H5132" si="229">IFERROR(E5069/G5069-1,"")</x:f>
        <x:v>0.11870878948330987</x:v>
      </x:c>
      <x:c r="I5069" s="38" t="b">
        <x:f t="shared" ref="I5069:I5132" si="230">E5069&lt;G5069</x:f>
        <x:v>0</x:v>
      </x:c>
    </x:row>
    <x:row r="5070">
      <x:c r="A5070" s="31">
        <x:v>44410</x:v>
      </x:c>
      <x:c r="B5070" s="32">
        <x:v>1308.69</x:v>
      </x:c>
      <x:c r="C5070" s="32">
        <x:v>1322.35</x:v>
      </x:c>
      <x:c r="D5070" s="32">
        <x:v>1304.49</x:v>
      </x:c>
      <x:c r="E5070" s="32">
        <x:v>1314.22</x:v>
      </x:c>
      <x:c r="F5070" s="33">
        <x:v>586763000</x:v>
      </x:c>
      <x:c r="G5070" s="32" t="n">
        <x:f t="shared" si="228">AVERAGE(E4871:E5070)</x:f>
        <x:v>1172.9593499999992</x:v>
      </x:c>
      <x:c r="H5070" s="37" t="n">
        <x:f t="shared" si="229">IFERROR(E5070/G5070-1,"")</x:f>
        <x:v>0.12043098509765149</x:v>
      </x:c>
      <x:c r="I5070" s="38" t="b">
        <x:f t="shared" si="230">E5070&lt;G5070</x:f>
        <x:v>0</x:v>
      </x:c>
    </x:row>
    <x:row r="5071">
      <x:c r="A5071" s="31">
        <x:v>44411</x:v>
      </x:c>
      <x:c r="B5071" s="32">
        <x:v>1316.15</x:v>
      </x:c>
      <x:c r="C5071" s="32">
        <x:v>1332.44</x:v>
      </x:c>
      <x:c r="D5071" s="32">
        <x:v>1315.57</x:v>
      </x:c>
      <x:c r="E5071" s="32">
        <x:v>1332.44</x:v>
      </x:c>
      <x:c r="F5071" s="33">
        <x:v>617967000</x:v>
      </x:c>
      <x:c r="G5071" s="32" t="n">
        <x:f t="shared" si="228">AVERAGE(E4872:E5071)</x:f>
        <x:v>1174.9206499999991</x:v>
      </x:c>
      <x:c r="H5071" s="37" t="n">
        <x:f t="shared" si="229">IFERROR(E5071/G5071-1,"")</x:f>
        <x:v>0.13406807515043773</x:v>
      </x:c>
      <x:c r="I5071" s="38" t="b">
        <x:f t="shared" si="230">E5071&lt;G5071</x:f>
        <x:v>0</x:v>
      </x:c>
    </x:row>
    <x:row r="5072">
      <x:c r="A5072" s="31">
        <x:v>44412</x:v>
      </x:c>
      <x:c r="B5072" s="32">
        <x:v>1337.72</x:v>
      </x:c>
      <x:c r="C5072" s="32">
        <x:v>1340.76</x:v>
      </x:c>
      <x:c r="D5072" s="32">
        <x:v>1328.4</x:v>
      </x:c>
      <x:c r="E5072" s="32">
        <x:v>1334.74</x:v>
      </x:c>
      <x:c r="F5072" s="33">
        <x:v>626287700</x:v>
      </x:c>
      <x:c r="G5072" s="32" t="n">
        <x:f t="shared" si="228">AVERAGE(E4873:E5072)</x:f>
        <x:v>1176.8805499999992</x:v>
      </x:c>
      <x:c r="H5072" s="37" t="n">
        <x:f t="shared" si="229">IFERROR(E5072/G5072-1,"")</x:f>
        <x:v>0.1341337912331042</x:v>
      </x:c>
      <x:c r="I5072" s="38" t="b">
        <x:f t="shared" si="230">E5072&lt;G5072</x:f>
        <x:v>0</x:v>
      </x:c>
    </x:row>
    <x:row r="5073">
      <x:c r="A5073" s="31">
        <x:v>44413</x:v>
      </x:c>
      <x:c r="B5073" s="32">
        <x:v>1331.14</x:v>
      </x:c>
      <x:c r="C5073" s="32">
        <x:v>1346.62</x:v>
      </x:c>
      <x:c r="D5073" s="32">
        <x:v>1326.8</x:v>
      </x:c>
      <x:c r="E5073" s="32">
        <x:v>1345.55</x:v>
      </x:c>
      <x:c r="F5073" s="33">
        <x:v>590429600</x:v>
      </x:c>
      <x:c r="G5073" s="32" t="n">
        <x:f t="shared" si="228">AVERAGE(E4874:E5073)</x:f>
        <x:v>1178.891799999999</x:v>
      </x:c>
      <x:c r="H5073" s="37" t="n">
        <x:f t="shared" si="229">IFERROR(E5073/G5073-1,"")</x:f>
        <x:v>0.14136852932559307</x:v>
      </x:c>
      <x:c r="I5073" s="38" t="b">
        <x:f t="shared" si="230">E5073&lt;G5073</x:f>
        <x:v>0</x:v>
      </x:c>
    </x:row>
    <x:row r="5074">
      <x:c r="A5074" s="31">
        <x:v>44414</x:v>
      </x:c>
      <x:c r="B5074" s="32">
        <x:v>1348.24</x:v>
      </x:c>
      <x:c r="C5074" s="32">
        <x:v>1351.85</x:v>
      </x:c>
      <x:c r="D5074" s="32">
        <x:v>1341.45</x:v>
      </x:c>
      <x:c r="E5074" s="32">
        <x:v>1341.45</x:v>
      </x:c>
      <x:c r="F5074" s="33">
        <x:v>682081800</x:v>
      </x:c>
      <x:c r="G5074" s="32" t="n">
        <x:f t="shared" si="228">AVERAGE(E4875:E5074)</x:f>
        <x:v>1180.880599999999</x:v>
      </x:c>
      <x:c r="H5074" s="37" t="n">
        <x:f t="shared" si="229">IFERROR(E5074/G5074-1,"")</x:f>
        <x:v>0.13597428901787456</x:v>
      </x:c>
      <x:c r="I5074" s="38" t="b">
        <x:f t="shared" si="230">E5074&lt;G5074</x:f>
        <x:v>0</x:v>
      </x:c>
    </x:row>
    <x:row r="5075">
      <x:c r="A5075" s="31">
        <x:v>44417</x:v>
      </x:c>
      <x:c r="B5075" s="32">
        <x:v>1337.78</x:v>
      </x:c>
      <x:c r="C5075" s="32">
        <x:v>1361.12</x:v>
      </x:c>
      <x:c r="D5075" s="32">
        <x:v>1334.69</x:v>
      </x:c>
      <x:c r="E5075" s="32">
        <x:v>1359.86</x:v>
      </x:c>
      <x:c r="F5075" s="33">
        <x:v>636278900</x:v>
      </x:c>
      <x:c r="G5075" s="32" t="n">
        <x:f t="shared" si="228">AVERAGE(E4876:E5075)</x:f>
        <x:v>1182.9577999999992</x:v>
      </x:c>
      <x:c r="H5075" s="37" t="n">
        <x:f t="shared" si="229">IFERROR(E5075/G5075-1,"")</x:f>
        <x:v>0.14954227445814272</x:v>
      </x:c>
      <x:c r="I5075" s="38" t="b">
        <x:f t="shared" si="230">E5075&lt;G5075</x:f>
        <x:v>0</x:v>
      </x:c>
    </x:row>
    <x:row r="5076">
      <x:c r="A5076" s="31">
        <x:v>44418</x:v>
      </x:c>
      <x:c r="B5076" s="32">
        <x:v>1367.99</x:v>
      </x:c>
      <x:c r="C5076" s="32">
        <x:v>1370.35</x:v>
      </x:c>
      <x:c r="D5076" s="32">
        <x:v>1358.12</x:v>
      </x:c>
      <x:c r="E5076" s="32">
        <x:v>1362.43</x:v>
      </x:c>
      <x:c r="F5076" s="33">
        <x:v>677981600</x:v>
      </x:c>
      <x:c r="G5076" s="32" t="n">
        <x:f t="shared" si="228">AVERAGE(E4877:E5076)</x:f>
        <x:v>1185.0747999999992</x:v>
      </x:c>
      <x:c r="H5076" s="37" t="n">
        <x:f t="shared" si="229">IFERROR(E5076/G5076-1,"")</x:f>
        <x:v>0.1496573887150423</x:v>
      </x:c>
      <x:c r="I5076" s="38" t="b">
        <x:f t="shared" si="230">E5076&lt;G5076</x:f>
        <x:v>0</x:v>
      </x:c>
    </x:row>
    <x:row r="5077">
      <x:c r="A5077" s="31">
        <x:v>44419</x:v>
      </x:c>
      <x:c r="B5077" s="32">
        <x:v>1365.05</x:v>
      </x:c>
      <x:c r="C5077" s="32">
        <x:v>1374.03</x:v>
      </x:c>
      <x:c r="D5077" s="32">
        <x:v>1357.79</x:v>
      </x:c>
      <x:c r="E5077" s="32">
        <x:v>1357.79</x:v>
      </x:c>
      <x:c r="F5077" s="33">
        <x:v>770571200</x:v>
      </x:c>
      <x:c r="G5077" s="32" t="n">
        <x:f t="shared" si="228">AVERAGE(E4878:E5077)</x:f>
        <x:v>1187.1142499999992</x:v>
      </x:c>
      <x:c r="H5077" s="37" t="n">
        <x:f t="shared" si="229">IFERROR(E5077/G5077-1,"")</x:f>
        <x:v>0.1437736511039278</x:v>
      </x:c>
      <x:c r="I5077" s="38" t="b">
        <x:f t="shared" si="230">E5077&lt;G5077</x:f>
        <x:v>0</x:v>
      </x:c>
    </x:row>
    <x:row r="5078">
      <x:c r="A5078" s="31">
        <x:v>44420</x:v>
      </x:c>
      <x:c r="B5078" s="32">
        <x:v>1356.27</x:v>
      </x:c>
      <x:c r="C5078" s="32">
        <x:v>1364.26</x:v>
      </x:c>
      <x:c r="D5078" s="32">
        <x:v>1353.05</x:v>
      </x:c>
      <x:c r="E5078" s="32">
        <x:v>1353.05</x:v>
      </x:c>
      <x:c r="F5078" s="33">
        <x:v>716513500</x:v>
      </x:c>
      <x:c r="G5078" s="32" t="n">
        <x:f t="shared" si="228">AVERAGE(E4879:E5078)</x:f>
        <x:v>1189.0731999999991</x:v>
      </x:c>
      <x:c r="H5078" s="37" t="n">
        <x:f t="shared" si="229">IFERROR(E5078/G5078-1,"")</x:f>
        <x:v>0.13790303237849533</x:v>
      </x:c>
      <x:c r="I5078" s="38" t="b">
        <x:f t="shared" si="230">E5078&lt;G5078</x:f>
        <x:v>0</x:v>
      </x:c>
    </x:row>
    <x:row r="5079">
      <x:c r="A5079" s="31">
        <x:v>44421</x:v>
      </x:c>
      <x:c r="B5079" s="32">
        <x:v>1352.56</x:v>
      </x:c>
      <x:c r="C5079" s="32">
        <x:v>1357.41</x:v>
      </x:c>
      <x:c r="D5079" s="32">
        <x:v>1336.74</x:v>
      </x:c>
      <x:c r="E5079" s="32">
        <x:v>1357.05</x:v>
      </x:c>
      <x:c r="F5079" s="33">
        <x:v>718718300</x:v>
      </x:c>
      <x:c r="G5079" s="32" t="n">
        <x:f t="shared" si="228">AVERAGE(E4880:E5079)</x:f>
        <x:v>1191.1044499999991</x:v>
      </x:c>
      <x:c r="H5079" s="37" t="n">
        <x:f t="shared" si="229">IFERROR(E5079/G5079-1,"")</x:f>
        <x:v>0.13932073715281734</x:v>
      </x:c>
      <x:c r="I5079" s="38" t="b">
        <x:f t="shared" si="230">E5079&lt;G5079</x:f>
        <x:v>0</x:v>
      </x:c>
    </x:row>
    <x:row r="5080">
      <x:c r="A5080" s="31">
        <x:v>44424</x:v>
      </x:c>
      <x:c r="B5080" s="32">
        <x:v>1357.05</x:v>
      </x:c>
      <x:c r="C5080" s="32">
        <x:v>1372.33</x:v>
      </x:c>
      <x:c r="D5080" s="32">
        <x:v>1357.05</x:v>
      </x:c>
      <x:c r="E5080" s="32">
        <x:v>1370.96</x:v>
      </x:c>
      <x:c r="F5080" s="33">
        <x:v>798944800</x:v>
      </x:c>
      <x:c r="G5080" s="32" t="n">
        <x:f t="shared" si="228">AVERAGE(E4881:E5080)</x:f>
        <x:v>1193.2268999999992</x:v>
      </x:c>
      <x:c r="H5080" s="37" t="n">
        <x:f t="shared" si="229">IFERROR(E5080/G5080-1,"")</x:f>
        <x:v>0.1489516369434858</x:v>
      </x:c>
      <x:c r="I5080" s="38" t="b">
        <x:f t="shared" si="230">E5080&lt;G5080</x:f>
        <x:v>0</x:v>
      </x:c>
    </x:row>
    <x:row r="5081">
      <x:c r="A5081" s="31">
        <x:v>44425</x:v>
      </x:c>
      <x:c r="B5081" s="32">
        <x:v>1377.7</x:v>
      </x:c>
      <x:c r="C5081" s="32">
        <x:v>1379.7</x:v>
      </x:c>
      <x:c r="D5081" s="32">
        <x:v>1359.11</x:v>
      </x:c>
      <x:c r="E5081" s="32">
        <x:v>1363.09</x:v>
      </x:c>
      <x:c r="F5081" s="33">
        <x:v>732378200</x:v>
      </x:c>
      <x:c r="G5081" s="32" t="n">
        <x:f t="shared" si="228">AVERAGE(E4882:E5081)</x:f>
        <x:v>1195.437099999999</x:v>
      </x:c>
      <x:c r="H5081" s="37" t="n">
        <x:f t="shared" si="229">IFERROR(E5081/G5081-1,"")</x:f>
        <x:v>0.1402440161845413</x:v>
      </x:c>
      <x:c r="I5081" s="38" t="b">
        <x:f t="shared" si="230">E5081&lt;G5081</x:f>
        <x:v>0</x:v>
      </x:c>
    </x:row>
    <x:row r="5082">
      <x:c r="A5082" s="31">
        <x:v>44426</x:v>
      </x:c>
      <x:c r="B5082" s="32">
        <x:v>1361.24</x:v>
      </x:c>
      <x:c r="C5082" s="32">
        <x:v>1370.5</x:v>
      </x:c>
      <x:c r="D5082" s="32">
        <x:v>1355.83</x:v>
      </x:c>
      <x:c r="E5082" s="32">
        <x:v>1360.94</x:v>
      </x:c>
      <x:c r="F5082" s="33">
        <x:v>641678400</x:v>
      </x:c>
      <x:c r="G5082" s="32" t="n">
        <x:f t="shared" si="228">AVERAGE(E4883:E5082)</x:f>
        <x:v>1197.6463999999992</x:v>
      </x:c>
      <x:c r="H5082" s="37" t="n">
        <x:f t="shared" si="229">IFERROR(E5082/G5082-1,"")</x:f>
        <x:v>0.13634541881476947</x:v>
      </x:c>
      <x:c r="I5082" s="38" t="b">
        <x:f t="shared" si="230">E5082&lt;G5082</x:f>
        <x:v>0</x:v>
      </x:c>
    </x:row>
    <x:row r="5083">
      <x:c r="A5083" s="31">
        <x:v>44427</x:v>
      </x:c>
      <x:c r="B5083" s="32">
        <x:v>1360.61</x:v>
      </x:c>
      <x:c r="C5083" s="32">
        <x:v>1374.85</x:v>
      </x:c>
      <x:c r="D5083" s="32">
        <x:v>1352.94</x:v>
      </x:c>
      <x:c r="E5083" s="32">
        <x:v>1374.85</x:v>
      </x:c>
      <x:c r="F5083" s="33">
        <x:v>653254900</x:v>
      </x:c>
      <x:c r="G5083" s="32" t="n">
        <x:f t="shared" si="228">AVERAGE(E4884:E5083)</x:f>
        <x:v>1199.8932999999993</x:v>
      </x:c>
      <x:c r="H5083" s="37" t="n">
        <x:f t="shared" si="229">IFERROR(E5083/G5083-1,"")</x:f>
        <x:v>0.14581021495828073</x:v>
      </x:c>
      <x:c r="I5083" s="38" t="b">
        <x:f t="shared" si="230">E5083&lt;G5083</x:f>
        <x:v>0</x:v>
      </x:c>
    </x:row>
    <x:row r="5084">
      <x:c r="A5084" s="31">
        <x:v>44428</x:v>
      </x:c>
      <x:c r="B5084" s="32">
        <x:v>1374.85</x:v>
      </x:c>
      <x:c r="C5084" s="32">
        <x:v>1374.85</x:v>
      </x:c>
      <x:c r="D5084" s="32">
        <x:v>1317.52</x:v>
      </x:c>
      <x:c r="E5084" s="32">
        <x:v>1329.43</x:v>
      </x:c>
      <x:c r="F5084" s="33">
        <x:v>1171621900</x:v>
      </x:c>
      <x:c r="G5084" s="32" t="n">
        <x:f t="shared" si="228">AVERAGE(E4885:E5084)</x:f>
        <x:v>1201.872049999999</x:v>
      </x:c>
      <x:c r="H5084" s="37" t="n">
        <x:f t="shared" si="229">IFERROR(E5084/G5084-1,"")</x:f>
        <x:v>0.10613272020095743</x:v>
      </x:c>
      <x:c r="I5084" s="38" t="b">
        <x:f t="shared" si="230">E5084&lt;G5084</x:f>
        <x:v>0</x:v>
      </x:c>
    </x:row>
    <x:row r="5085">
      <x:c r="A5085" s="31">
        <x:v>44431</x:v>
      </x:c>
      <x:c r="B5085" s="32">
        <x:v>1322.62</x:v>
      </x:c>
      <x:c r="C5085" s="32">
        <x:v>1327.04</x:v>
      </x:c>
      <x:c r="D5085" s="32">
        <x:v>1298.8599999999999</x:v>
      </x:c>
      <x:c r="E5085" s="32">
        <x:v>1298.8599999999999</x:v>
      </x:c>
      <x:c r="F5085" s="33">
        <x:v>768105500</x:v>
      </x:c>
      <x:c r="G5085" s="32" t="n">
        <x:f t="shared" si="228">AVERAGE(E4886:E5085)</x:f>
        <x:v>1203.689299999999</x:v>
      </x:c>
      <x:c r="H5085" s="37" t="n">
        <x:f t="shared" si="229">IFERROR(E5085/G5085-1,"")</x:f>
        <x:v>0.07906583534471956</x:v>
      </x:c>
      <x:c r="I5085" s="38" t="b">
        <x:f t="shared" si="230">E5085&lt;G5085</x:f>
        <x:v>0</x:v>
      </x:c>
    </x:row>
    <x:row r="5086">
      <x:c r="A5086" s="31">
        <x:v>44432</x:v>
      </x:c>
      <x:c r="B5086" s="32">
        <x:v>1304</x:v>
      </x:c>
      <x:c r="C5086" s="32">
        <x:v>1307.56</x:v>
      </x:c>
      <x:c r="D5086" s="32">
        <x:v>1289.1600000000001</x:v>
      </x:c>
      <x:c r="E5086" s="32">
        <x:v>1298.74</x:v>
      </x:c>
      <x:c r="F5086" s="33">
        <x:v>648543100</x:v>
      </x:c>
      <x:c r="G5086" s="32" t="n">
        <x:f t="shared" si="228">AVERAGE(E4887:E5086)</x:f>
        <x:v>1205.4841999999992</x:v>
      </x:c>
      <x:c r="H5086" s="37" t="n">
        <x:f t="shared" si="229">IFERROR(E5086/G5086-1,"")</x:f>
        <x:v>0.07735962030858712</x:v>
      </x:c>
      <x:c r="I5086" s="38" t="b">
        <x:f t="shared" si="230">E5086&lt;G5086</x:f>
        <x:v>0</x:v>
      </x:c>
    </x:row>
    <x:row r="5087">
      <x:c r="A5087" s="31">
        <x:v>44433</x:v>
      </x:c>
      <x:c r="B5087" s="32">
        <x:v>1300.74</x:v>
      </x:c>
      <x:c r="C5087" s="32">
        <x:v>1310.1600000000001</x:v>
      </x:c>
      <x:c r="D5087" s="32">
        <x:v>1291.7</x:v>
      </x:c>
      <x:c r="E5087" s="32">
        <x:v>1309.55</x:v>
      </x:c>
      <x:c r="F5087" s="33">
        <x:v>481772400</x:v>
      </x:c>
      <x:c r="G5087" s="32" t="n">
        <x:f t="shared" si="228">AVERAGE(E4888:E5087)</x:f>
        <x:v>1207.3431999999991</x:v>
      </x:c>
      <x:c r="H5087" s="37" t="n">
        <x:f t="shared" si="229">IFERROR(E5087/G5087-1,"")</x:f>
        <x:v>0.084654305420365</x:v>
      </x:c>
      <x:c r="I5087" s="38" t="b">
        <x:f t="shared" si="230">E5087&lt;G5087</x:f>
        <x:v>0</x:v>
      </x:c>
    </x:row>
    <x:row r="5088">
      <x:c r="A5088" s="31">
        <x:v>44434</x:v>
      </x:c>
      <x:c r="B5088" s="32">
        <x:v>1313.18</x:v>
      </x:c>
      <x:c r="C5088" s="32">
        <x:v>1316.26</x:v>
      </x:c>
      <x:c r="D5088" s="32">
        <x:v>1295.77</x:v>
      </x:c>
      <x:c r="E5088" s="32">
        <x:v>1301.1199999999999</x:v>
      </x:c>
      <x:c r="F5088" s="33">
        <x:v>497853400</x:v>
      </x:c>
      <x:c r="G5088" s="32" t="n">
        <x:f t="shared" si="228">AVERAGE(E4889:E5088)</x:f>
        <x:v>1209.157349999999</x:v>
      </x:c>
      <x:c r="H5088" s="37" t="n">
        <x:f t="shared" si="229">IFERROR(E5088/G5088-1,"")</x:f>
        <x:v>0.07605515526990825</x:v>
      </x:c>
      <x:c r="I5088" s="38" t="b">
        <x:f t="shared" si="230">E5088&lt;G5088</x:f>
        <x:v>0</x:v>
      </x:c>
    </x:row>
    <x:row r="5089">
      <x:c r="A5089" s="31">
        <x:v>44435</x:v>
      </x:c>
      <x:c r="B5089" s="32">
        <x:v>1301.1199999999999</x:v>
      </x:c>
      <x:c r="C5089" s="32">
        <x:v>1313.2</x:v>
      </x:c>
      <x:c r="D5089" s="32">
        <x:v>1285.1600000000001</x:v>
      </x:c>
      <x:c r="E5089" s="32">
        <x:v>1313.2</x:v>
      </x:c>
      <x:c r="F5089" s="33">
        <x:v>658578200</x:v>
      </x:c>
      <x:c r="G5089" s="32" t="n">
        <x:f t="shared" si="228">AVERAGE(E4890:E5089)</x:f>
        <x:v>1210.9633999999992</x:v>
      </x:c>
      <x:c r="H5089" s="37" t="n">
        <x:f t="shared" si="229">IFERROR(E5089/G5089-1,"")</x:f>
        <x:v>0.0844258381384615</x:v>
      </x:c>
      <x:c r="I5089" s="38" t="b">
        <x:f t="shared" si="230">E5089&lt;G5089</x:f>
        <x:v>0</x:v>
      </x:c>
    </x:row>
    <x:row r="5090">
      <x:c r="A5090" s="31">
        <x:v>44438</x:v>
      </x:c>
      <x:c r="B5090" s="32">
        <x:v>1323.39</x:v>
      </x:c>
      <x:c r="C5090" s="32">
        <x:v>1329.62</x:v>
      </x:c>
      <x:c r="D5090" s="32">
        <x:v>1313.2</x:v>
      </x:c>
      <x:c r="E5090" s="32">
        <x:v>1328.14</x:v>
      </x:c>
      <x:c r="F5090" s="33">
        <x:v>641161300</x:v>
      </x:c>
      <x:c r="G5090" s="32" t="n">
        <x:f t="shared" si="228">AVERAGE(E4891:E5090)</x:f>
        <x:v>1212.8445999999992</x:v>
      </x:c>
      <x:c r="H5090" s="37" t="n">
        <x:f t="shared" si="229">IFERROR(E5090/G5090-1,"")</x:f>
        <x:v>0.09506197249012849</x:v>
      </x:c>
      <x:c r="I5090" s="38" t="b">
        <x:f t="shared" si="230">E5090&lt;G5090</x:f>
        <x:v>0</x:v>
      </x:c>
    </x:row>
    <x:row r="5091">
      <x:c r="A5091" s="31">
        <x:v>44439</x:v>
      </x:c>
      <x:c r="B5091" s="32">
        <x:v>1332.62</x:v>
      </x:c>
      <x:c r="C5091" s="32">
        <x:v>1336.14</x:v>
      </x:c>
      <x:c r="D5091" s="32">
        <x:v>1325.69</x:v>
      </x:c>
      <x:c r="E5091" s="32">
        <x:v>1331.47</x:v>
      </x:c>
      <x:c r="F5091" s="33">
        <x:v>712344100</x:v>
      </x:c>
      <x:c r="G5091" s="32" t="n">
        <x:f t="shared" si="228">AVERAGE(E4892:E5091)</x:f>
        <x:v>1214.7408499999992</x:v>
      </x:c>
      <x:c r="H5091" s="37" t="n">
        <x:f t="shared" si="229">IFERROR(E5091/G5091-1,"")</x:f>
        <x:v>0.09609387055683594</x:v>
      </x:c>
      <x:c r="I5091" s="38" t="b">
        <x:f t="shared" si="230">E5091&lt;G5091</x:f>
        <x:v>0</x:v>
      </x:c>
    </x:row>
    <x:row r="5092">
      <x:c r="A5092" s="31">
        <x:v>44440</x:v>
      </x:c>
      <x:c r="B5092" s="32">
        <x:v>1328.54</x:v>
      </x:c>
      <x:c r="C5092" s="32">
        <x:v>1338.02</x:v>
      </x:c>
      <x:c r="D5092" s="32">
        <x:v>1328.26</x:v>
      </x:c>
      <x:c r="E5092" s="32">
        <x:v>1334.65</x:v>
      </x:c>
      <x:c r="F5092" s="33">
        <x:v>679730000</x:v>
      </x:c>
      <x:c r="G5092" s="32" t="n">
        <x:f t="shared" si="228">AVERAGE(E4893:E5092)</x:f>
        <x:v>1216.617699999999</x:v>
      </x:c>
      <x:c r="H5092" s="37" t="n">
        <x:f t="shared" si="229">IFERROR(E5092/G5092-1,"")</x:f>
        <x:v>0.09701675390716491</x:v>
      </x:c>
      <x:c r="I5092" s="38" t="b">
        <x:f t="shared" si="230">E5092&lt;G5092</x:f>
        <x:v>0</x:v>
      </x:c>
    </x:row>
    <x:row r="5093">
      <x:c r="A5093" s="31">
        <x:v>44445</x:v>
      </x:c>
      <x:c r="B5093" s="32">
        <x:v>1340.71</x:v>
      </x:c>
      <x:c r="C5093" s="32">
        <x:v>1348.36</x:v>
      </x:c>
      <x:c r="D5093" s="32">
        <x:v>1339.8</x:v>
      </x:c>
      <x:c r="E5093" s="32">
        <x:v>1346.39</x:v>
      </x:c>
      <x:c r="F5093" s="33">
        <x:v>889375400</x:v>
      </x:c>
      <x:c r="G5093" s="32" t="n">
        <x:f t="shared" si="228">AVERAGE(E4894:E5093)</x:f>
        <x:v>1218.5181999999993</x:v>
      </x:c>
      <x:c r="H5093" s="37" t="n">
        <x:f t="shared" si="229">IFERROR(E5093/G5093-1,"")</x:f>
        <x:v>0.10494041040995605</x:v>
      </x:c>
      <x:c r="I5093" s="38" t="b">
        <x:f t="shared" si="230">E5093&lt;G5093</x:f>
        <x:v>0</x:v>
      </x:c>
    </x:row>
    <x:row r="5094">
      <x:c r="A5094" s="31">
        <x:v>44446</x:v>
      </x:c>
      <x:c r="B5094" s="32">
        <x:v>1349.13</x:v>
      </x:c>
      <x:c r="C5094" s="32">
        <x:v>1353.66</x:v>
      </x:c>
      <x:c r="D5094" s="32">
        <x:v>1340.32</x:v>
      </x:c>
      <x:c r="E5094" s="32">
        <x:v>1341.9</x:v>
      </x:c>
      <x:c r="F5094" s="33">
        <x:v>849578800</x:v>
      </x:c>
      <x:c r="G5094" s="32" t="n">
        <x:f t="shared" si="228">AVERAGE(E4895:E5094)</x:f>
        <x:v>1220.4737499999994</x:v>
      </x:c>
      <x:c r="H5094" s="37" t="n">
        <x:f t="shared" si="229">IFERROR(E5094/G5094-1,"")</x:f>
        <x:v>0.09949107877166607</x:v>
      </x:c>
      <x:c r="I5094" s="38" t="b">
        <x:f t="shared" si="230">E5094&lt;G5094</x:f>
        <x:v>0</x:v>
      </x:c>
    </x:row>
    <x:row r="5095">
      <x:c r="A5095" s="31">
        <x:v>44447</x:v>
      </x:c>
      <x:c r="B5095" s="32">
        <x:v>1343.92</x:v>
      </x:c>
      <x:c r="C5095" s="32">
        <x:v>1344.49</x:v>
      </x:c>
      <x:c r="D5095" s="32">
        <x:v>1328.35</x:v>
      </x:c>
      <x:c r="E5095" s="32">
        <x:v>1333.61</x:v>
      </x:c>
      <x:c r="F5095" s="33">
        <x:v>596039700</x:v>
      </x:c>
      <x:c r="G5095" s="32" t="n">
        <x:f t="shared" si="228">AVERAGE(E4896:E5095)</x:f>
        <x:v>1222.2972999999993</x:v>
      </x:c>
      <x:c r="H5095" s="37" t="n">
        <x:f t="shared" si="229">IFERROR(E5095/G5095-1,"")</x:f>
        <x:v>0.09106843318724556</x:v>
      </x:c>
      <x:c r="I5095" s="38" t="b">
        <x:f t="shared" si="230">E5095&lt;G5095</x:f>
        <x:v>0</x:v>
      </x:c>
    </x:row>
    <x:row r="5096">
      <x:c r="A5096" s="31">
        <x:v>44448</x:v>
      </x:c>
      <x:c r="B5096" s="32">
        <x:v>1333.61</x:v>
      </x:c>
      <x:c r="C5096" s="32">
        <x:v>1345.59</x:v>
      </x:c>
      <x:c r="D5096" s="32">
        <x:v>1332.67</x:v>
      </x:c>
      <x:c r="E5096" s="32">
        <x:v>1343.98</x:v>
      </x:c>
      <x:c r="F5096" s="33">
        <x:v>593520900</x:v>
      </x:c>
      <x:c r="G5096" s="32" t="n">
        <x:f t="shared" si="228">AVERAGE(E4897:E5096)</x:f>
        <x:v>1224.1495499999992</x:v>
      </x:c>
      <x:c r="H5096" s="37" t="n">
        <x:f t="shared" si="229">IFERROR(E5096/G5096-1,"")</x:f>
        <x:v>0.09788873426453559</x:v>
      </x:c>
      <x:c r="I5096" s="38" t="b">
        <x:f t="shared" si="230">E5096&lt;G5096</x:f>
        <x:v>0</x:v>
      </x:c>
    </x:row>
    <x:row r="5097">
      <x:c r="A5097" s="31">
        <x:v>44449</x:v>
      </x:c>
      <x:c r="B5097" s="32">
        <x:v>1348.74</x:v>
      </x:c>
      <x:c r="C5097" s="32">
        <x:v>1350.43</x:v>
      </x:c>
      <x:c r="D5097" s="32">
        <x:v>1345.07</x:v>
      </x:c>
      <x:c r="E5097" s="32">
        <x:v>1345.31</x:v>
      </x:c>
      <x:c r="F5097" s="33">
        <x:v>559050700</x:v>
      </x:c>
      <x:c r="G5097" s="32" t="n">
        <x:f t="shared" si="228">AVERAGE(E4898:E5097)</x:f>
        <x:v>1225.9597999999992</x:v>
      </x:c>
      <x:c r="H5097" s="37" t="n">
        <x:f t="shared" si="229">IFERROR(E5097/G5097-1,"")</x:f>
        <x:v>0.09735245804960391</x:v>
      </x:c>
      <x:c r="I5097" s="38" t="b">
        <x:f t="shared" si="230">E5097&lt;G5097</x:f>
        <x:v>0</x:v>
      </x:c>
    </x:row>
    <x:row r="5098">
      <x:c r="A5098" s="31">
        <x:v>44452</x:v>
      </x:c>
      <x:c r="B5098" s="32">
        <x:v>1348.07</x:v>
      </x:c>
      <x:c r="C5098" s="32">
        <x:v>1350.69</x:v>
      </x:c>
      <x:c r="D5098" s="32">
        <x:v>1340.5</x:v>
      </x:c>
      <x:c r="E5098" s="32">
        <x:v>1341.43</x:v>
      </x:c>
      <x:c r="F5098" s="33">
        <x:v>744228400</x:v>
      </x:c>
      <x:c r="G5098" s="32" t="n">
        <x:f t="shared" si="228">AVERAGE(E4899:E5098)</x:f>
        <x:v>1227.716949999999</x:v>
      </x:c>
      <x:c r="H5098" s="37" t="n">
        <x:f t="shared" si="229">IFERROR(E5098/G5098-1,"")</x:f>
        <x:v>0.09262155254922644</x:v>
      </x:c>
      <x:c r="I5098" s="38" t="b">
        <x:f t="shared" si="230">E5098&lt;G5098</x:f>
        <x:v>0</x:v>
      </x:c>
    </x:row>
    <x:row r="5099">
      <x:c r="A5099" s="31">
        <x:v>44453</x:v>
      </x:c>
      <x:c r="B5099" s="32">
        <x:v>1343.38</x:v>
      </x:c>
      <x:c r="C5099" s="32">
        <x:v>1349.13</x:v>
      </x:c>
      <x:c r="D5099" s="32">
        <x:v>1336.84</x:v>
      </x:c>
      <x:c r="E5099" s="32">
        <x:v>1339.7</x:v>
      </x:c>
      <x:c r="F5099" s="33">
        <x:v>692214900</x:v>
      </x:c>
      <x:c r="G5099" s="32" t="n">
        <x:f t="shared" si="228">AVERAGE(E4900:E5099)</x:f>
        <x:v>1229.4444999999994</x:v>
      </x:c>
      <x:c r="H5099" s="37" t="n">
        <x:f t="shared" si="229">IFERROR(E5099/G5099-1,"")</x:f>
        <x:v>0.08967911930957495</x:v>
      </x:c>
      <x:c r="I5099" s="38" t="b">
        <x:f t="shared" si="230">E5099&lt;G5099</x:f>
        <x:v>0</x:v>
      </x:c>
    </x:row>
    <x:row r="5100">
      <x:c r="A5100" s="31">
        <x:v>44454</x:v>
      </x:c>
      <x:c r="B5100" s="32">
        <x:v>1338.11</x:v>
      </x:c>
      <x:c r="C5100" s="32">
        <x:v>1347.7</x:v>
      </x:c>
      <x:c r="D5100" s="32">
        <x:v>1334.97</x:v>
      </x:c>
      <x:c r="E5100" s="32">
        <x:v>1345.83</x:v>
      </x:c>
      <x:c r="F5100" s="33">
        <x:v>645625800</x:v>
      </x:c>
      <x:c r="G5100" s="32" t="n">
        <x:f t="shared" si="228">AVERAGE(E4901:E5100)</x:f>
        <x:v>1231.1948499999994</x:v>
      </x:c>
      <x:c r="H5100" s="37" t="n">
        <x:f t="shared" si="229">IFERROR(E5100/G5100-1,"")</x:f>
        <x:v>0.0931088608760835</x:v>
      </x:c>
      <x:c r="I5100" s="38" t="b">
        <x:f t="shared" si="230">E5100&lt;G5100</x:f>
        <x:v>0</x:v>
      </x:c>
    </x:row>
    <x:row r="5101">
      <x:c r="A5101" s="31">
        <x:v>44455</x:v>
      </x:c>
      <x:c r="B5101" s="32">
        <x:v>1351.85</x:v>
      </x:c>
      <x:c r="C5101" s="32">
        <x:v>1353.12</x:v>
      </x:c>
      <x:c r="D5101" s="32">
        <x:v>1341.23</x:v>
      </x:c>
      <x:c r="E5101" s="32">
        <x:v>1345.87</x:v>
      </x:c>
      <x:c r="F5101" s="33">
        <x:v>570520600</x:v>
      </x:c>
      <x:c r="G5101" s="32" t="n">
        <x:f t="shared" si="228">AVERAGE(E4902:E5101)</x:f>
        <x:v>1232.9244999999994</x:v>
      </x:c>
      <x:c r="H5101" s="37" t="n">
        <x:f t="shared" si="229">IFERROR(E5101/G5101-1,"")</x:f>
        <x:v>0.09160779917991779</x:v>
      </x:c>
      <x:c r="I5101" s="38" t="b">
        <x:f t="shared" si="230">E5101&lt;G5101</x:f>
        <x:v>0</x:v>
      </x:c>
    </x:row>
    <x:row r="5102">
      <x:c r="A5102" s="31">
        <x:v>44456</x:v>
      </x:c>
      <x:c r="B5102" s="32">
        <x:v>1347.66</x:v>
      </x:c>
      <x:c r="C5102" s="32">
        <x:v>1356.45</x:v>
      </x:c>
      <x:c r="D5102" s="32">
        <x:v>1347.13</x:v>
      </x:c>
      <x:c r="E5102" s="32">
        <x:v>1352.64</x:v>
      </x:c>
      <x:c r="F5102" s="33">
        <x:v>813151300</x:v>
      </x:c>
      <x:c r="G5102" s="32" t="n">
        <x:f t="shared" si="228">AVERAGE(E4903:E5102)</x:f>
        <x:v>1234.6578499999994</x:v>
      </x:c>
      <x:c r="H5102" s="37" t="n">
        <x:f t="shared" si="229">IFERROR(E5102/G5102-1,"")</x:f>
        <x:v>0.09555857924525468</x:v>
      </x:c>
      <x:c r="I5102" s="38" t="b">
        <x:f t="shared" si="230">E5102&lt;G5102</x:f>
        <x:v>0</x:v>
      </x:c>
    </x:row>
    <x:row r="5103">
      <x:c r="A5103" s="31">
        <x:v>44459</x:v>
      </x:c>
      <x:c r="B5103" s="32">
        <x:v>1361.12</x:v>
      </x:c>
      <x:c r="C5103" s="32">
        <x:v>1365.92</x:v>
      </x:c>
      <x:c r="D5103" s="32">
        <x:v>1349.18</x:v>
      </x:c>
      <x:c r="E5103" s="32">
        <x:v>1350.48</x:v>
      </x:c>
      <x:c r="F5103" s="33">
        <x:v>852479800</x:v>
      </x:c>
      <x:c r="G5103" s="32" t="n">
        <x:f t="shared" si="228">AVERAGE(E4904:E5103)</x:f>
        <x:v>1236.3591499999995</x:v>
      </x:c>
      <x:c r="H5103" s="37" t="n">
        <x:f t="shared" si="229">IFERROR(E5103/G5103-1,"")</x:f>
        <x:v>0.09230396361769189</x:v>
      </x:c>
      <x:c r="I5103" s="38" t="b">
        <x:f t="shared" si="230">E5103&lt;G5103</x:f>
        <x:v>0</x:v>
      </x:c>
    </x:row>
    <x:row r="5104">
      <x:c r="A5104" s="31">
        <x:v>44460</x:v>
      </x:c>
      <x:c r="B5104" s="32">
        <x:v>1335.96</x:v>
      </x:c>
      <x:c r="C5104" s="32">
        <x:v>1350.48</x:v>
      </x:c>
      <x:c r="D5104" s="32">
        <x:v>1324.82</x:v>
      </x:c>
      <x:c r="E5104" s="32">
        <x:v>1339.84</x:v>
      </x:c>
      <x:c r="F5104" s="33">
        <x:v>816979400</x:v>
      </x:c>
      <x:c r="G5104" s="32" t="n">
        <x:f t="shared" si="228">AVERAGE(E4905:E5104)</x:f>
        <x:v>1238.0429499999993</x:v>
      </x:c>
      <x:c r="H5104" s="37" t="n">
        <x:f t="shared" si="229">IFERROR(E5104/G5104-1,"")</x:f>
        <x:v>0.08222416677870559</x:v>
      </x:c>
      <x:c r="I5104" s="38" t="b">
        <x:f t="shared" si="230">E5104&lt;G5104</x:f>
        <x:v>0</x:v>
      </x:c>
    </x:row>
    <x:row r="5105">
      <x:c r="A5105" s="31">
        <x:v>44461</x:v>
      </x:c>
      <x:c r="B5105" s="32">
        <x:v>1339.84</x:v>
      </x:c>
      <x:c r="C5105" s="32">
        <x:v>1350.71</x:v>
      </x:c>
      <x:c r="D5105" s="32">
        <x:v>1336.63</x:v>
      </x:c>
      <x:c r="E5105" s="32">
        <x:v>1350.68</x:v>
      </x:c>
      <x:c r="F5105" s="33">
        <x:v>727734800</x:v>
      </x:c>
      <x:c r="G5105" s="32" t="n">
        <x:f t="shared" si="228">AVERAGE(E4906:E5105)</x:f>
        <x:v>1239.7519999999995</x:v>
      </x:c>
      <x:c r="H5105" s="37" t="n">
        <x:f t="shared" si="229">IFERROR(E5105/G5105-1,"")</x:f>
        <x:v>0.0894759597080712</x:v>
      </x:c>
      <x:c r="I5105" s="38" t="b">
        <x:f t="shared" si="230">E5105&lt;G5105</x:f>
        <x:v>0</x:v>
      </x:c>
    </x:row>
    <x:row r="5106">
      <x:c r="A5106" s="31">
        <x:v>44462</x:v>
      </x:c>
      <x:c r="B5106" s="32">
        <x:v>1357.65</x:v>
      </x:c>
      <x:c r="C5106" s="32">
        <x:v>1361.09</x:v>
      </x:c>
      <x:c r="D5106" s="32">
        <x:v>1350.43</x:v>
      </x:c>
      <x:c r="E5106" s="32">
        <x:v>1352.76</x:v>
      </x:c>
      <x:c r="F5106" s="33">
        <x:v>961252500</x:v>
      </x:c>
      <x:c r="G5106" s="32" t="n">
        <x:f t="shared" si="228">AVERAGE(E4907:E5106)</x:f>
        <x:v>1241.4441999999995</x:v>
      </x:c>
      <x:c r="H5106" s="37" t="n">
        <x:f t="shared" si="229">IFERROR(E5106/G5106-1,"")</x:f>
        <x:v>0.08966637405048128</x:v>
      </x:c>
      <x:c r="I5106" s="38" t="b">
        <x:f t="shared" si="230">E5106&lt;G5106</x:f>
        <x:v>0</x:v>
      </x:c>
    </x:row>
    <x:row r="5107">
      <x:c r="A5107" s="31">
        <x:v>44463</x:v>
      </x:c>
      <x:c r="B5107" s="32">
        <x:v>1354.84</x:v>
      </x:c>
      <x:c r="C5107" s="32">
        <x:v>1356.97</x:v>
      </x:c>
      <x:c r="D5107" s="32">
        <x:v>1348.07</x:v>
      </x:c>
      <x:c r="E5107" s="32">
        <x:v>1351.17</x:v>
      </x:c>
      <x:c r="F5107" s="33">
        <x:v>627564000</x:v>
      </x:c>
      <x:c r="G5107" s="32" t="n">
        <x:f t="shared" si="228">AVERAGE(E4908:E5107)</x:f>
        <x:v>1243.1010499999995</x:v>
      </x:c>
      <x:c r="H5107" s="37" t="n">
        <x:f t="shared" si="229">IFERROR(E5107/G5107-1,"")</x:f>
        <x:v>0.08693496799797606</x:v>
      </x:c>
      <x:c r="I5107" s="38" t="b">
        <x:f t="shared" si="230">E5107&lt;G5107</x:f>
        <x:v>0</x:v>
      </x:c>
    </x:row>
    <x:row r="5108">
      <x:c r="A5108" s="31">
        <x:v>44466</x:v>
      </x:c>
      <x:c r="B5108" s="32">
        <x:v>1353.39</x:v>
      </x:c>
      <x:c r="C5108" s="32">
        <x:v>1354.38</x:v>
      </x:c>
      <x:c r="D5108" s="32">
        <x:v>1324.99</x:v>
      </x:c>
      <x:c r="E5108" s="32">
        <x:v>1324.99</x:v>
      </x:c>
      <x:c r="F5108" s="33">
        <x:v>720860100</x:v>
      </x:c>
      <x:c r="G5108" s="32" t="n">
        <x:f t="shared" si="228">AVERAGE(E4909:E5108)</x:f>
        <x:v>1244.6185499999995</x:v>
      </x:c>
      <x:c r="H5108" s="37" t="n">
        <x:f t="shared" si="229">IFERROR(E5108/G5108-1,"")</x:f>
        <x:v>0.06457516642348016</x:v>
      </x:c>
      <x:c r="I5108" s="38" t="b">
        <x:f t="shared" si="230">E5108&lt;G5108</x:f>
        <x:v>0</x:v>
      </x:c>
    </x:row>
    <x:row r="5109">
      <x:c r="A5109" s="31">
        <x:v>44467</x:v>
      </x:c>
      <x:c r="B5109" s="32">
        <x:v>1319.53</x:v>
      </x:c>
      <x:c r="C5109" s="32">
        <x:v>1341.81</x:v>
      </x:c>
      <x:c r="D5109" s="32">
        <x:v>1316.41</x:v>
      </x:c>
      <x:c r="E5109" s="32">
        <x:v>1339.31</x:v>
      </x:c>
      <x:c r="F5109" s="33">
        <x:v>584057900</x:v>
      </x:c>
      <x:c r="G5109" s="32" t="n">
        <x:f t="shared" si="228">AVERAGE(E4910:E5109)</x:f>
        <x:v>1246.1651999999995</x:v>
      </x:c>
      <x:c r="H5109" s="37" t="n">
        <x:f t="shared" si="229">IFERROR(E5109/G5109-1,"")</x:f>
        <x:v>0.07474514614916261</x:v>
      </x:c>
      <x:c r="I5109" s="38" t="b">
        <x:f t="shared" si="230">E5109&lt;G5109</x:f>
        <x:v>0</x:v>
      </x:c>
    </x:row>
    <x:row r="5110">
      <x:c r="A5110" s="31">
        <x:v>44468</x:v>
      </x:c>
      <x:c r="B5110" s="32">
        <x:v>1338.8</x:v>
      </x:c>
      <x:c r="C5110" s="32">
        <x:v>1340.9</x:v>
      </x:c>
      <x:c r="D5110" s="32">
        <x:v>1328.17</x:v>
      </x:c>
      <x:c r="E5110" s="32">
        <x:v>1339.21</x:v>
      </x:c>
      <x:c r="F5110" s="33">
        <x:v>559164300</x:v>
      </x:c>
      <x:c r="G5110" s="32" t="n">
        <x:f t="shared" si="228">AVERAGE(E4911:E5110)</x:f>
        <x:v>1247.7149499999994</x:v>
      </x:c>
      <x:c r="H5110" s="37" t="n">
        <x:f t="shared" si="229">IFERROR(E5110/G5110-1,"")</x:f>
        <x:v>0.0733300903383427</x:v>
      </x:c>
      <x:c r="I5110" s="38" t="b">
        <x:f t="shared" si="230">E5110&lt;G5110</x:f>
        <x:v>0</x:v>
      </x:c>
    </x:row>
    <x:row r="5111">
      <x:c r="A5111" s="31">
        <x:v>44469</x:v>
      </x:c>
      <x:c r="B5111" s="32">
        <x:v>1341.83</x:v>
      </x:c>
      <x:c r="C5111" s="32">
        <x:v>1348.89</x:v>
      </x:c>
      <x:c r="D5111" s="32">
        <x:v>1341.15</x:v>
      </x:c>
      <x:c r="E5111" s="32">
        <x:v>1342.06</x:v>
      </x:c>
      <x:c r="F5111" s="33">
        <x:v>438294600</x:v>
      </x:c>
      <x:c r="G5111" s="32" t="n">
        <x:f t="shared" si="228">AVERAGE(E4912:E5111)</x:f>
        <x:v>1249.2295999999992</x:v>
      </x:c>
      <x:c r="H5111" s="37" t="n">
        <x:f t="shared" si="229">IFERROR(E5111/G5111-1,"")</x:f>
        <x:v>0.0743101188124271</x:v>
      </x:c>
      <x:c r="I5111" s="38" t="b">
        <x:f t="shared" si="230">E5111&lt;G5111</x:f>
        <x:v>0</x:v>
      </x:c>
    </x:row>
    <x:row r="5112">
      <x:c r="A5112" s="31">
        <x:v>44470</x:v>
      </x:c>
      <x:c r="B5112" s="32">
        <x:v>1339.68</x:v>
      </x:c>
      <x:c r="C5112" s="32">
        <x:v>1344.06</x:v>
      </x:c>
      <x:c r="D5112" s="32">
        <x:v>1332.97</x:v>
      </x:c>
      <x:c r="E5112" s="32">
        <x:v>1334.89</x:v>
      </x:c>
      <x:c r="F5112" s="33">
        <x:v>601963900</x:v>
      </x:c>
      <x:c r="G5112" s="32" t="n">
        <x:f t="shared" si="228">AVERAGE(E4913:E5112)</x:f>
        <x:v>1250.7494999999994</x:v>
      </x:c>
      <x:c r="H5112" s="37" t="n">
        <x:f t="shared" si="229">IFERROR(E5112/G5112-1,"")</x:f>
        <x:v>0.06727206367062366</x:v>
      </x:c>
      <x:c r="I5112" s="38" t="b">
        <x:f t="shared" si="230">E5112&lt;G5112</x:f>
        <x:v>0</x:v>
      </x:c>
    </x:row>
    <x:row r="5113">
      <x:c r="A5113" s="31">
        <x:v>44473</x:v>
      </x:c>
      <x:c r="B5113" s="32">
        <x:v>1337.74</x:v>
      </x:c>
      <x:c r="C5113" s="32">
        <x:v>1347.49</x:v>
      </x:c>
      <x:c r="D5113" s="32">
        <x:v>1334.4</x:v>
      </x:c>
      <x:c r="E5113" s="32">
        <x:v>1339.54</x:v>
      </x:c>
      <x:c r="F5113" s="33">
        <x:v>700605800</x:v>
      </x:c>
      <x:c r="G5113" s="32" t="n">
        <x:f t="shared" si="228">AVERAGE(E4914:E5113)</x:f>
        <x:v>1252.2173999999995</x:v>
      </x:c>
      <x:c r="H5113" s="37" t="n">
        <x:f t="shared" si="229">IFERROR(E5113/G5113-1,"")</x:f>
        <x:v>0.06973437679431749</x:v>
      </x:c>
      <x:c r="I5113" s="38" t="b">
        <x:f t="shared" si="230">E5113&lt;G5113</x:f>
        <x:v>0</x:v>
      </x:c>
    </x:row>
    <x:row r="5114">
      <x:c r="A5114" s="31">
        <x:v>44474</x:v>
      </x:c>
      <x:c r="B5114" s="32">
        <x:v>1345.43</x:v>
      </x:c>
      <x:c r="C5114" s="32">
        <x:v>1354.63</x:v>
      </x:c>
      <x:c r="D5114" s="32">
        <x:v>1343.48</x:v>
      </x:c>
      <x:c r="E5114" s="32">
        <x:v>1354.63</x:v>
      </x:c>
      <x:c r="F5114" s="33">
        <x:v>576701100</x:v>
      </x:c>
      <x:c r="G5114" s="32" t="n">
        <x:f t="shared" si="228">AVERAGE(E4915:E5114)</x:f>
        <x:v>1253.6700999999996</x:v>
      </x:c>
      <x:c r="H5114" s="37" t="n">
        <x:f t="shared" si="229">IFERROR(E5114/G5114-1,"")</x:f>
        <x:v>0.08053147315230746</x:v>
      </x:c>
      <x:c r="I5114" s="38" t="b">
        <x:f t="shared" si="230">E5114&lt;G5114</x:f>
        <x:v>0</x:v>
      </x:c>
    </x:row>
    <x:row r="5115">
      <x:c r="A5115" s="31">
        <x:v>44475</x:v>
      </x:c>
      <x:c r="B5115" s="32">
        <x:v>1359.63</x:v>
      </x:c>
      <x:c r="C5115" s="32">
        <x:v>1362.82</x:v>
      </x:c>
      <x:c r="D5115" s="32">
        <x:v>1354.63</x:v>
      </x:c>
      <x:c r="E5115" s="32">
        <x:v>1362.82</x:v>
      </x:c>
      <x:c r="F5115" s="33">
        <x:v>594012900</x:v>
      </x:c>
      <x:c r="G5115" s="32" t="n">
        <x:f t="shared" si="228">AVERAGE(E4916:E5115)</x:f>
        <x:v>1255.2078499999996</x:v>
      </x:c>
      <x:c r="H5115" s="37" t="n">
        <x:f t="shared" si="229">IFERROR(E5115/G5115-1,"")</x:f>
        <x:v>0.08573253425717531</x:v>
      </x:c>
      <x:c r="I5115" s="38" t="b">
        <x:f t="shared" si="230">E5115&lt;G5115</x:f>
        <x:v>0</x:v>
      </x:c>
    </x:row>
    <x:row r="5116">
      <x:c r="A5116" s="31">
        <x:v>44476</x:v>
      </x:c>
      <x:c r="B5116" s="32">
        <x:v>1365.54</x:v>
      </x:c>
      <x:c r="C5116" s="32">
        <x:v>1367.64</x:v>
      </x:c>
      <x:c r="D5116" s="32">
        <x:v>1360.57</x:v>
      </x:c>
      <x:c r="E5116" s="32">
        <x:v>1365.99</x:v>
      </x:c>
      <x:c r="F5116" s="33">
        <x:v>658670400</x:v>
      </x:c>
      <x:c r="G5116" s="32" t="n">
        <x:f t="shared" si="228">AVERAGE(E4917:E5116)</x:f>
        <x:v>1256.7028499999997</x:v>
      </x:c>
      <x:c r="H5116" s="37" t="n">
        <x:f t="shared" si="229">IFERROR(E5116/G5116-1,"")</x:f>
        <x:v>0.08696339791065189</x:v>
      </x:c>
      <x:c r="I5116" s="38" t="b">
        <x:f t="shared" si="230">E5116&lt;G5116</x:f>
        <x:v>0</x:v>
      </x:c>
    </x:row>
    <x:row r="5117">
      <x:c r="A5117" s="31">
        <x:v>44477</x:v>
      </x:c>
      <x:c r="B5117" s="32">
        <x:v>1365.99</x:v>
      </x:c>
      <x:c r="C5117" s="32">
        <x:v>1373.18</x:v>
      </x:c>
      <x:c r="D5117" s="32">
        <x:v>1365.93</x:v>
      </x:c>
      <x:c r="E5117" s="32">
        <x:v>1372.73</x:v>
      </x:c>
      <x:c r="F5117" s="33">
        <x:v>603842600</x:v>
      </x:c>
      <x:c r="G5117" s="32" t="n">
        <x:f t="shared" si="228">AVERAGE(E4918:E5117)</x:f>
        <x:v>1258.3076499999997</x:v>
      </x:c>
      <x:c r="H5117" s="37" t="n">
        <x:f t="shared" si="229">IFERROR(E5117/G5117-1,"")</x:f>
        <x:v>0.0909335248816141</x:v>
      </x:c>
      <x:c r="I5117" s="38" t="b">
        <x:f t="shared" si="230">E5117&lt;G5117</x:f>
        <x:v>0</x:v>
      </x:c>
    </x:row>
    <x:row r="5118">
      <x:c r="A5118" s="31">
        <x:v>44480</x:v>
      </x:c>
      <x:c r="B5118" s="32">
        <x:v>1377.53</x:v>
      </x:c>
      <x:c r="C5118" s="32">
        <x:v>1394.64</x:v>
      </x:c>
      <x:c r="D5118" s="32">
        <x:v>1377.3</x:v>
      </x:c>
      <x:c r="E5118" s="32">
        <x:v>1394.09</x:v>
      </x:c>
      <x:c r="F5118" s="33">
        <x:v>721458300</x:v>
      </x:c>
      <x:c r="G5118" s="32" t="n">
        <x:f t="shared" si="228">AVERAGE(E4919:E5118)</x:f>
        <x:v>1259.9407999999996</x:v>
      </x:c>
      <x:c r="H5118" s="37" t="n">
        <x:f t="shared" si="229">IFERROR(E5118/G5118-1,"")</x:f>
        <x:v>0.10647262157079163</x:v>
      </x:c>
      <x:c r="I5118" s="38" t="b">
        <x:f t="shared" si="230">E5118&lt;G5118</x:f>
        <x:v>0</x:v>
      </x:c>
    </x:row>
    <x:row r="5119">
      <x:c r="A5119" s="31">
        <x:v>44481</x:v>
      </x:c>
      <x:c r="B5119" s="32">
        <x:v>1398.03</x:v>
      </x:c>
      <x:c r="C5119" s="32">
        <x:v>1400.78</x:v>
      </x:c>
      <x:c r="D5119" s="32">
        <x:v>1389.43</x:v>
      </x:c>
      <x:c r="E5119" s="32">
        <x:v>1394.8</x:v>
      </x:c>
      <x:c r="F5119" s="33">
        <x:v>707870000</x:v>
      </x:c>
      <x:c r="G5119" s="32" t="n">
        <x:f t="shared" si="228">AVERAGE(E4920:E5119)</x:f>
        <x:v>1261.5093999999997</x:v>
      </x:c>
      <x:c r="H5119" s="37" t="n">
        <x:f t="shared" si="229">IFERROR(E5119/G5119-1,"")</x:f>
        <x:v>0.10565961696361548</x:v>
      </x:c>
      <x:c r="I5119" s="38" t="b">
        <x:f t="shared" si="230">E5119&lt;G5119</x:f>
        <x:v>0</x:v>
      </x:c>
    </x:row>
    <x:row r="5120">
      <x:c r="A5120" s="31">
        <x:v>44482</x:v>
      </x:c>
      <x:c r="B5120" s="32">
        <x:v>1398.21</x:v>
      </x:c>
      <x:c r="C5120" s="32">
        <x:v>1400.67</x:v>
      </x:c>
      <x:c r="D5120" s="32">
        <x:v>1389.61</x:v>
      </x:c>
      <x:c r="E5120" s="32">
        <x:v>1391.91</x:v>
      </x:c>
      <x:c r="F5120" s="33">
        <x:v>608348500</x:v>
      </x:c>
      <x:c r="G5120" s="32" t="n">
        <x:f t="shared" si="228">AVERAGE(E4921:E5120)</x:f>
        <x:v>1263.0516999999998</x:v>
      </x:c>
      <x:c r="H5120" s="37" t="n">
        <x:f t="shared" si="229">IFERROR(E5120/G5120-1,"")</x:f>
        <x:v>0.10202139785726927</x:v>
      </x:c>
      <x:c r="I5120" s="38" t="b">
        <x:f t="shared" si="230">E5120&lt;G5120</x:f>
        <x:v>0</x:v>
      </x:c>
    </x:row>
    <x:row r="5121">
      <x:c r="A5121" s="31">
        <x:v>44483</x:v>
      </x:c>
      <x:c r="B5121" s="32">
        <x:v>1392.88</x:v>
      </x:c>
      <x:c r="C5121" s="32">
        <x:v>1398.67</x:v>
      </x:c>
      <x:c r="D5121" s="32">
        <x:v>1388.89</x:v>
      </x:c>
      <x:c r="E5121" s="32">
        <x:v>1391.85</x:v>
      </x:c>
      <x:c r="F5121" s="33">
        <x:v>690243000</x:v>
      </x:c>
      <x:c r="G5121" s="32" t="n">
        <x:f t="shared" si="228">AVERAGE(E4922:E5121)</x:f>
        <x:v>1264.6164499999998</x:v>
      </x:c>
      <x:c r="H5121" s="37" t="n">
        <x:f t="shared" si="229">IFERROR(E5121/G5121-1,"")</x:f>
        <x:v>0.10061038665122557</x:v>
      </x:c>
      <x:c r="I5121" s="38" t="b">
        <x:f t="shared" si="230">E5121&lt;G5121</x:f>
        <x:v>0</x:v>
      </x:c>
    </x:row>
    <x:row r="5122">
      <x:c r="A5122" s="31">
        <x:v>44484</x:v>
      </x:c>
      <x:c r="B5122" s="32">
        <x:v>1395.81</x:v>
      </x:c>
      <x:c r="C5122" s="32">
        <x:v>1399.03</x:v>
      </x:c>
      <x:c r="D5122" s="32">
        <x:v>1388</x:v>
      </x:c>
      <x:c r="E5122" s="32">
        <x:v>1392.7</x:v>
      </x:c>
      <x:c r="F5122" s="33">
        <x:v>743666800</x:v>
      </x:c>
      <x:c r="G5122" s="32" t="n">
        <x:f t="shared" si="228">AVERAGE(E4923:E5122)</x:f>
        <x:v>1266.2423499999998</x:v>
      </x:c>
      <x:c r="H5122" s="37" t="n">
        <x:f t="shared" si="229">IFERROR(E5122/G5122-1,"")</x:f>
        <x:v>0.09986844145593476</x:v>
      </x:c>
      <x:c r="I5122" s="38" t="b">
        <x:f t="shared" si="230">E5122&lt;G5122</x:f>
        <x:v>0</x:v>
      </x:c>
    </x:row>
    <x:row r="5123">
      <x:c r="A5123" s="31">
        <x:v>44487</x:v>
      </x:c>
      <x:c r="B5123" s="32">
        <x:v>1395.57</x:v>
      </x:c>
      <x:c r="C5123" s="32">
        <x:v>1402.63</x:v>
      </x:c>
      <x:c r="D5123" s="32">
        <x:v>1390.88</x:v>
      </x:c>
      <x:c r="E5123" s="32">
        <x:v>1395.53</x:v>
      </x:c>
      <x:c r="F5123" s="33">
        <x:v>764032400</x:v>
      </x:c>
      <x:c r="G5123" s="32" t="n">
        <x:f t="shared" si="228">AVERAGE(E4924:E5123)</x:f>
        <x:v>1267.7978999999998</x:v>
      </x:c>
      <x:c r="H5123" s="37" t="n">
        <x:f t="shared" si="229">IFERROR(E5123/G5123-1,"")</x:f>
        <x:v>0.10075115284541813</x:v>
      </x:c>
      <x:c r="I5123" s="38" t="b">
        <x:f t="shared" si="230">E5123&lt;G5123</x:f>
        <x:v>0</x:v>
      </x:c>
    </x:row>
    <x:row r="5124">
      <x:c r="A5124" s="31">
        <x:v>44488</x:v>
      </x:c>
      <x:c r="B5124" s="32">
        <x:v>1395.53</x:v>
      </x:c>
      <x:c r="C5124" s="32">
        <x:v>1399.66</x:v>
      </x:c>
      <x:c r="D5124" s="32">
        <x:v>1388.95</x:v>
      </x:c>
      <x:c r="E5124" s="32">
        <x:v>1395.33</x:v>
      </x:c>
      <x:c r="F5124" s="33">
        <x:v>605953600</x:v>
      </x:c>
      <x:c r="G5124" s="32" t="n">
        <x:f t="shared" si="228">AVERAGE(E4925:E5124)</x:f>
        <x:v>1269.3178999999996</x:v>
      </x:c>
      <x:c r="H5124" s="37" t="n">
        <x:f t="shared" si="229">IFERROR(E5124/G5124-1,"")</x:f>
        <x:v>0.09927544549714495</x:v>
      </x:c>
      <x:c r="I5124" s="38" t="b">
        <x:f t="shared" si="230">E5124&lt;G5124</x:f>
        <x:v>0</x:v>
      </x:c>
    </x:row>
    <x:row r="5125">
      <x:c r="A5125" s="31">
        <x:v>44489</x:v>
      </x:c>
      <x:c r="B5125" s="32">
        <x:v>1398.45</x:v>
      </x:c>
      <x:c r="C5125" s="32">
        <x:v>1401.76</x:v>
      </x:c>
      <x:c r="D5125" s="32">
        <x:v>1376.15</x:v>
      </x:c>
      <x:c r="E5125" s="32">
        <x:v>1393.8</x:v>
      </x:c>
      <x:c r="F5125" s="33">
        <x:v>804215000</x:v>
      </x:c>
      <x:c r="G5125" s="32" t="n">
        <x:f t="shared" si="228">AVERAGE(E4926:E5125)</x:f>
        <x:v>1270.7894499999995</x:v>
      </x:c>
      <x:c r="H5125" s="37" t="n">
        <x:f t="shared" si="229">IFERROR(E5125/G5125-1,"")</x:f>
        <x:v>0.09679852944954837</x:v>
      </x:c>
      <x:c r="I5125" s="38" t="b">
        <x:f t="shared" si="230">E5125&lt;G5125</x:f>
        <x:v>0</x:v>
      </x:c>
    </x:row>
    <x:row r="5126">
      <x:c r="A5126" s="31">
        <x:v>44490</x:v>
      </x:c>
      <x:c r="B5126" s="32">
        <x:v>1397.59</x:v>
      </x:c>
      <x:c r="C5126" s="32">
        <x:v>1398.45</x:v>
      </x:c>
      <x:c r="D5126" s="32">
        <x:v>1384.77</x:v>
      </x:c>
      <x:c r="E5126" s="32">
        <x:v>1384.77</x:v>
      </x:c>
      <x:c r="F5126" s="33">
        <x:v>681412600</x:v>
      </x:c>
      <x:c r="G5126" s="32" t="n">
        <x:f t="shared" si="228">AVERAGE(E4927:E5126)</x:f>
        <x:v>1272.2255999999995</x:v>
      </x:c>
      <x:c r="H5126" s="37" t="n">
        <x:f t="shared" si="229">IFERROR(E5126/G5126-1,"")</x:f>
        <x:v>0.0884626122914054</x:v>
      </x:c>
      <x:c r="I5126" s="38" t="b">
        <x:f t="shared" si="230">E5126&lt;G5126</x:f>
        <x:v>0</x:v>
      </x:c>
    </x:row>
    <x:row r="5127">
      <x:c r="A5127" s="31">
        <x:v>44491</x:v>
      </x:c>
      <x:c r="B5127" s="32">
        <x:v>1384.77</x:v>
      </x:c>
      <x:c r="C5127" s="32">
        <x:v>1393.7</x:v>
      </x:c>
      <x:c r="D5127" s="32">
        <x:v>1384.77</x:v>
      </x:c>
      <x:c r="E5127" s="32">
        <x:v>1389.24</x:v>
      </x:c>
      <x:c r="F5127" s="33">
        <x:v>746799700</x:v>
      </x:c>
      <x:c r="G5127" s="32" t="n">
        <x:f t="shared" si="228">AVERAGE(E4928:E5127)</x:f>
        <x:v>1273.6524499999996</x:v>
      </x:c>
      <x:c r="H5127" s="37" t="n">
        <x:f t="shared" si="229">IFERROR(E5127/G5127-1,"")</x:f>
        <x:v>0.09075281879291364</x:v>
      </x:c>
      <x:c r="I5127" s="38" t="b">
        <x:f t="shared" si="230">E5127&lt;G5127</x:f>
        <x:v>0</x:v>
      </x:c>
    </x:row>
    <x:row r="5128">
      <x:c r="A5128" s="31">
        <x:v>44494</x:v>
      </x:c>
      <x:c r="B5128" s="32">
        <x:v>1395.45</x:v>
      </x:c>
      <x:c r="C5128" s="32">
        <x:v>1395.72</x:v>
      </x:c>
      <x:c r="D5128" s="32">
        <x:v>1385.4</x:v>
      </x:c>
      <x:c r="E5128" s="32">
        <x:v>1385.4</x:v>
      </x:c>
      <x:c r="F5128" s="33">
        <x:v>868073700</x:v>
      </x:c>
      <x:c r="G5128" s="32" t="n">
        <x:f t="shared" si="228">AVERAGE(E4929:E5128)</x:f>
        <x:v>1274.9770999999996</x:v>
      </x:c>
      <x:c r="H5128" s="37" t="n">
        <x:f t="shared" si="229">IFERROR(E5128/G5128-1,"")</x:f>
        <x:v>0.08660775162157863</x:v>
      </x:c>
      <x:c r="I5128" s="38" t="b">
        <x:f t="shared" si="230">E5128&lt;G5128</x:f>
        <x:v>0</x:v>
      </x:c>
    </x:row>
    <x:row r="5129">
      <x:c r="A5129" s="31">
        <x:v>44495</x:v>
      </x:c>
      <x:c r="B5129" s="32">
        <x:v>1384.12</x:v>
      </x:c>
      <x:c r="C5129" s="32">
        <x:v>1393.03</x:v>
      </x:c>
      <x:c r="D5129" s="32">
        <x:v>1377.56</x:v>
      </x:c>
      <x:c r="E5129" s="32">
        <x:v>1391.63</x:v>
      </x:c>
      <x:c r="F5129" s="33">
        <x:v>703571700</x:v>
      </x:c>
      <x:c r="G5129" s="32" t="n">
        <x:f t="shared" si="228">AVERAGE(E4930:E5129)</x:f>
        <x:v>1276.2724999999998</x:v>
      </x:c>
      <x:c r="H5129" s="37" t="n">
        <x:f t="shared" si="229">IFERROR(E5129/G5129-1,"")</x:f>
        <x:v>0.09038626155464469</x:v>
      </x:c>
      <x:c r="I5129" s="38" t="b">
        <x:f t="shared" si="230">E5129&lt;G5129</x:f>
        <x:v>0</x:v>
      </x:c>
    </x:row>
    <x:row r="5130">
      <x:c r="A5130" s="31">
        <x:v>44496</x:v>
      </x:c>
      <x:c r="B5130" s="32">
        <x:v>1397.51</x:v>
      </x:c>
      <x:c r="C5130" s="32">
        <x:v>1423.02</x:v>
      </x:c>
      <x:c r="D5130" s="32">
        <x:v>1395.83</x:v>
      </x:c>
      <x:c r="E5130" s="32">
        <x:v>1423.02</x:v>
      </x:c>
      <x:c r="F5130" s="33">
        <x:v>861686700</x:v>
      </x:c>
      <x:c r="G5130" s="32" t="n">
        <x:f t="shared" si="228">AVERAGE(E4931:E5130)</x:f>
        <x:v>1277.6715499999998</x:v>
      </x:c>
      <x:c r="H5130" s="37" t="n">
        <x:f t="shared" si="229">IFERROR(E5130/G5130-1,"")</x:f>
        <x:v>0.11376041831721162</x:v>
      </x:c>
      <x:c r="I5130" s="38" t="b">
        <x:f t="shared" si="230">E5130&lt;G5130</x:f>
        <x:v>0</x:v>
      </x:c>
    </x:row>
    <x:row r="5131">
      <x:c r="A5131" s="31">
        <x:v>44497</x:v>
      </x:c>
      <x:c r="B5131" s="32">
        <x:v>1427.89</x:v>
      </x:c>
      <x:c r="C5131" s="32">
        <x:v>1440.64</x:v>
      </x:c>
      <x:c r="D5131" s="32">
        <x:v>1420.42</x:v>
      </x:c>
      <x:c r="E5131" s="32">
        <x:v>1438.01</x:v>
      </x:c>
      <x:c r="F5131" s="33">
        <x:v>826726500</x:v>
      </x:c>
      <x:c r="G5131" s="32" t="n">
        <x:f t="shared" si="228">AVERAGE(E4932:E5131)</x:f>
        <x:v>1279.0791499999996</x:v>
      </x:c>
      <x:c r="H5131" s="37" t="n">
        <x:f t="shared" si="229">IFERROR(E5131/G5131-1,"")</x:f>
        <x:v>0.1242541167213933</x:v>
      </x:c>
      <x:c r="I5131" s="38" t="b">
        <x:f t="shared" si="230">E5131&lt;G5131</x:f>
        <x:v>0</x:v>
      </x:c>
    </x:row>
    <x:row r="5132">
      <x:c r="A5132" s="31">
        <x:v>44498</x:v>
      </x:c>
      <x:c r="B5132" s="32">
        <x:v>1439.27</x:v>
      </x:c>
      <x:c r="C5132" s="32">
        <x:v>1447.62</x:v>
      </x:c>
      <x:c r="D5132" s="32">
        <x:v>1432.19</x:v>
      </x:c>
      <x:c r="E5132" s="32">
        <x:v>1444.27</x:v>
      </x:c>
      <x:c r="F5132" s="33">
        <x:v>946189100</x:v>
      </x:c>
      <x:c r="G5132" s="32" t="n">
        <x:f t="shared" si="228">AVERAGE(E4933:E5132)</x:f>
        <x:v>1280.4620499999996</x:v>
      </x:c>
      <x:c r="H5132" s="37" t="n">
        <x:f t="shared" si="229">IFERROR(E5132/G5132-1,"")</x:f>
        <x:v>0.12792878164565713</x:v>
      </x:c>
      <x:c r="I5132" s="38" t="b">
        <x:f t="shared" si="230">E5132&lt;G5132</x:f>
        <x:v>0</x:v>
      </x:c>
    </x:row>
    <x:row r="5133">
      <x:c r="A5133" s="31">
        <x:v>44501</x:v>
      </x:c>
      <x:c r="B5133" s="32">
        <x:v>1449.32</x:v>
      </x:c>
      <x:c r="C5133" s="32">
        <x:v>1451.81</x:v>
      </x:c>
      <x:c r="D5133" s="32">
        <x:v>1435.57</x:v>
      </x:c>
      <x:c r="E5133" s="32">
        <x:v>1438.97</x:v>
      </x:c>
      <x:c r="F5133" s="33">
        <x:v>1092936400</x:v>
      </x:c>
      <x:c r="G5133" s="32" t="n">
        <x:f t="shared" ref="G5133:G5196" si="231">AVERAGE(E4934:E5133)</x:f>
        <x:v>1281.7324499999997</x:v>
      </x:c>
      <x:c r="H5133" s="37" t="n">
        <x:f t="shared" ref="H5133:H5196" si="232">IFERROR(E5133/G5133-1,"")</x:f>
        <x:v>0.1226757971213106</x:v>
      </x:c>
      <x:c r="I5133" s="38" t="b">
        <x:f t="shared" ref="I5133:I5196" si="233">E5133&lt;G5133</x:f>
        <x:v>0</x:v>
      </x:c>
    </x:row>
    <x:row r="5134">
      <x:c r="A5134" s="31">
        <x:v>44502</x:v>
      </x:c>
      <x:c r="B5134" s="32">
        <x:v>1439.61</x:v>
      </x:c>
      <x:c r="C5134" s="32">
        <x:v>1452.46</x:v>
      </x:c>
      <x:c r="D5134" s="32">
        <x:v>1438.83</x:v>
      </x:c>
      <x:c r="E5134" s="32">
        <x:v>1452.46</x:v>
      </x:c>
      <x:c r="F5134" s="33">
        <x:v>972155400</x:v>
      </x:c>
      <x:c r="G5134" s="32" t="n">
        <x:f t="shared" si="231">AVERAGE(E4935:E5134)</x:f>
        <x:v>1283.0333499999997</x:v>
      </x:c>
      <x:c r="H5134" s="37" t="n">
        <x:f t="shared" si="232">IFERROR(E5134/G5134-1,"")</x:f>
        <x:v>0.13205163373189044</x:v>
      </x:c>
      <x:c r="I5134" s="38" t="b">
        <x:f t="shared" si="233">E5134&lt;G5134</x:f>
        <x:v>0</x:v>
      </x:c>
    </x:row>
    <x:row r="5135">
      <x:c r="A5135" s="31">
        <x:v>44503</x:v>
      </x:c>
      <x:c r="B5135" s="32">
        <x:v>1460.44</x:v>
      </x:c>
      <x:c r="C5135" s="32">
        <x:v>1463.63</x:v>
      </x:c>
      <x:c r="D5135" s="32">
        <x:v>1444.3</x:v>
      </x:c>
      <x:c r="E5135" s="32">
        <x:v>1444.3</x:v>
      </x:c>
      <x:c r="F5135" s="33">
        <x:v>1455441700</x:v>
      </x:c>
      <x:c r="G5135" s="32" t="n">
        <x:f t="shared" si="231">AVERAGE(E4936:E5135)</x:f>
        <x:v>1284.3245999999997</x:v>
      </x:c>
      <x:c r="H5135" s="37" t="n">
        <x:f t="shared" si="232">IFERROR(E5135/G5135-1,"")</x:f>
        <x:v>0.12455994380236923</x:v>
      </x:c>
      <x:c r="I5135" s="38" t="b">
        <x:f t="shared" si="233">E5135&lt;G5135</x:f>
        <x:v>0</x:v>
      </x:c>
    </x:row>
    <x:row r="5136">
      <x:c r="A5136" s="31">
        <x:v>44504</x:v>
      </x:c>
      <x:c r="B5136" s="32">
        <x:v>1442.89</x:v>
      </x:c>
      <x:c r="C5136" s="32">
        <x:v>1451.98</x:v>
      </x:c>
      <x:c r="D5136" s="32">
        <x:v>1435.84</x:v>
      </x:c>
      <x:c r="E5136" s="32">
        <x:v>1448.34</x:v>
      </x:c>
      <x:c r="F5136" s="33">
        <x:v>890357900</x:v>
      </x:c>
      <x:c r="G5136" s="32" t="n">
        <x:f t="shared" si="231">AVERAGE(E4937:E5136)</x:f>
        <x:v>1285.6292999999996</x:v>
      </x:c>
      <x:c r="H5136" s="37" t="n">
        <x:f t="shared" si="232">IFERROR(E5136/G5136-1,"")</x:f>
        <x:v>0.12656113235751576</x:v>
      </x:c>
      <x:c r="I5136" s="38" t="b">
        <x:f t="shared" si="233">E5136&lt;G5136</x:f>
        <x:v>0</x:v>
      </x:c>
    </x:row>
    <x:row r="5137">
      <x:c r="A5137" s="31">
        <x:v>44505</x:v>
      </x:c>
      <x:c r="B5137" s="32">
        <x:v>1450.71</x:v>
      </x:c>
      <x:c r="C5137" s="32">
        <x:v>1459.49</x:v>
      </x:c>
      <x:c r="D5137" s="32">
        <x:v>1444.51</x:v>
      </x:c>
      <x:c r="E5137" s="32">
        <x:v>1456.51</x:v>
      </x:c>
      <x:c r="F5137" s="33">
        <x:v>844497200</x:v>
      </x:c>
      <x:c r="G5137" s="32" t="n">
        <x:f t="shared" si="231">AVERAGE(E4938:E5137)</x:f>
        <x:v>1286.9408499999997</x:v>
      </x:c>
      <x:c r="H5137" s="37" t="n">
        <x:f t="shared" si="232">IFERROR(E5137/G5137-1,"")</x:f>
        <x:v>0.13176141700685018</x:v>
      </x:c>
      <x:c r="I5137" s="38" t="b">
        <x:f t="shared" si="233">E5137&lt;G5137</x:f>
        <x:v>0</x:v>
      </x:c>
    </x:row>
    <x:row r="5138">
      <x:c r="A5138" s="31">
        <x:v>44508</x:v>
      </x:c>
      <x:c r="B5138" s="32">
        <x:v>1461.61</x:v>
      </x:c>
      <x:c r="C5138" s="32">
        <x:v>1470.49</x:v>
      </x:c>
      <x:c r="D5138" s="32">
        <x:v>1456.51</x:v>
      </x:c>
      <x:c r="E5138" s="32">
        <x:v>1467.57</x:v>
      </x:c>
      <x:c r="F5138" s="33">
        <x:v>1006323900</x:v>
      </x:c>
      <x:c r="G5138" s="32" t="n">
        <x:f t="shared" si="231">AVERAGE(E4939:E5138)</x:f>
        <x:v>1288.3189999999997</x:v>
      </x:c>
      <x:c r="H5138" s="37" t="n">
        <x:f t="shared" si="232">IFERROR(E5138/G5138-1,"")</x:f>
        <x:v>0.13913557123662712</x:v>
      </x:c>
      <x:c r="I5138" s="38" t="b">
        <x:f t="shared" si="233">E5138&lt;G5138</x:f>
        <x:v>0</x:v>
      </x:c>
    </x:row>
    <x:row r="5139">
      <x:c r="A5139" s="31">
        <x:v>44509</x:v>
      </x:c>
      <x:c r="B5139" s="32">
        <x:v>1469.94</x:v>
      </x:c>
      <x:c r="C5139" s="32">
        <x:v>1474.2</x:v>
      </x:c>
      <x:c r="D5139" s="32">
        <x:v>1457.57</x:v>
      </x:c>
      <x:c r="E5139" s="32">
        <x:v>1461.5</x:v>
      </x:c>
      <x:c r="F5139" s="33">
        <x:v>1003649300</x:v>
      </x:c>
      <x:c r="G5139" s="32" t="n">
        <x:f t="shared" si="231">AVERAGE(E4940:E5139)</x:f>
        <x:v>1289.9714999999997</x:v>
      </x:c>
      <x:c r="H5139" s="37" t="n">
        <x:f t="shared" si="232">IFERROR(E5139/G5139-1,"")</x:f>
        <x:v>0.13297076718361645</x:v>
      </x:c>
      <x:c r="I5139" s="38" t="b">
        <x:f t="shared" si="233">E5139&lt;G5139</x:f>
        <x:v>0</x:v>
      </x:c>
    </x:row>
    <x:row r="5140">
      <x:c r="A5140" s="31">
        <x:v>44510</x:v>
      </x:c>
      <x:c r="B5140" s="32">
        <x:v>1465.1</x:v>
      </x:c>
      <x:c r="C5140" s="32">
        <x:v>1470.19</x:v>
      </x:c>
      <x:c r="D5140" s="32">
        <x:v>1457.98</x:v>
      </x:c>
      <x:c r="E5140" s="32">
        <x:v>1465.02</x:v>
      </x:c>
      <x:c r="F5140" s="33">
        <x:v>955160600</x:v>
      </x:c>
      <x:c r="G5140" s="32" t="n">
        <x:f t="shared" si="231">AVERAGE(E4941:E5140)</x:f>
        <x:v>1291.6231999999995</x:v>
      </x:c>
      <x:c r="H5140" s="37" t="n">
        <x:f t="shared" si="232">IFERROR(E5140/G5140-1,"")</x:f>
        <x:v>0.13424720150582647</x:v>
      </x:c>
      <x:c r="I5140" s="38" t="b">
        <x:f t="shared" si="233">E5140&lt;G5140</x:f>
        <x:v>0</x:v>
      </x:c>
    </x:row>
    <x:row r="5141">
      <x:c r="A5141" s="31">
        <x:v>44511</x:v>
      </x:c>
      <x:c r="B5141" s="32">
        <x:v>1469.22</x:v>
      </x:c>
      <x:c r="C5141" s="32">
        <x:v>1472.89</x:v>
      </x:c>
      <x:c r="D5141" s="32">
        <x:v>1449.18</x:v>
      </x:c>
      <x:c r="E5141" s="32">
        <x:v>1462.35</x:v>
      </x:c>
      <x:c r="F5141" s="33">
        <x:v>1206887000</x:v>
      </x:c>
      <x:c r="G5141" s="32" t="n">
        <x:f t="shared" si="231">AVERAGE(E4942:E5141)</x:f>
        <x:v>1293.1138999999996</x:v>
      </x:c>
      <x:c r="H5141" s="37" t="n">
        <x:f t="shared" si="232">IFERROR(E5141/G5141-1,"")</x:f>
        <x:v>0.13087485951546918</x:v>
      </x:c>
      <x:c r="I5141" s="38" t="b">
        <x:f t="shared" si="233">E5141&lt;G5141</x:f>
        <x:v>0</x:v>
      </x:c>
    </x:row>
    <x:row r="5142">
      <x:c r="A5142" s="31">
        <x:v>44512</x:v>
      </x:c>
      <x:c r="B5142" s="32">
        <x:v>1462.35</x:v>
      </x:c>
      <x:c r="C5142" s="32">
        <x:v>1474.57</x:v>
      </x:c>
      <x:c r="D5142" s="32">
        <x:v>1453.22</x:v>
      </x:c>
      <x:c r="E5142" s="32">
        <x:v>1473.37</x:v>
      </x:c>
      <x:c r="F5142" s="33">
        <x:v>909366000</x:v>
      </x:c>
      <x:c r="G5142" s="32" t="n">
        <x:f t="shared" si="231">AVERAGE(E4943:E5142)</x:f>
        <x:v>1294.6468499999996</x:v>
      </x:c>
      <x:c r="H5142" s="37" t="n">
        <x:f t="shared" si="232">IFERROR(E5142/G5142-1,"")</x:f>
        <x:v>0.13804780044843912</x:v>
      </x:c>
      <x:c r="I5142" s="38" t="b">
        <x:f t="shared" si="233">E5142&lt;G5142</x:f>
        <x:v>0</x:v>
      </x:c>
    </x:row>
    <x:row r="5143">
      <x:c r="A5143" s="31">
        <x:v>44515</x:v>
      </x:c>
      <x:c r="B5143" s="32">
        <x:v>1481.75</x:v>
      </x:c>
      <x:c r="C5143" s="32">
        <x:v>1481.96</x:v>
      </x:c>
      <x:c r="D5143" s="32">
        <x:v>1466.01</x:v>
      </x:c>
      <x:c r="E5143" s="32">
        <x:v>1476.57</x:v>
      </x:c>
      <x:c r="F5143" s="33">
        <x:v>1146225600</x:v>
      </x:c>
      <x:c r="G5143" s="32" t="n">
        <x:f t="shared" si="231">AVERAGE(E4944:E5143)</x:f>
        <x:v>1296.1994499999998</x:v>
      </x:c>
      <x:c r="H5143" s="37" t="n">
        <x:f t="shared" si="232">IFERROR(E5143/G5143-1,"")</x:f>
        <x:v>0.13915339186419207</x:v>
      </x:c>
      <x:c r="I5143" s="38" t="b">
        <x:f t="shared" si="233">E5143&lt;G5143</x:f>
        <x:v>0</x:v>
      </x:c>
    </x:row>
    <x:row r="5144">
      <x:c r="A5144" s="31">
        <x:v>44516</x:v>
      </x:c>
      <x:c r="B5144" s="32">
        <x:v>1472.82</x:v>
      </x:c>
      <x:c r="C5144" s="32">
        <x:v>1476.97</x:v>
      </x:c>
      <x:c r="D5144" s="32">
        <x:v>1459.08</x:v>
      </x:c>
      <x:c r="E5144" s="32">
        <x:v>1466.45</x:v>
      </x:c>
      <x:c r="F5144" s="33">
        <x:v>1157402400</x:v>
      </x:c>
      <x:c r="G5144" s="32" t="n">
        <x:f t="shared" si="231">AVERAGE(E4945:E5144)</x:f>
        <x:v>1297.8510999999996</x:v>
      </x:c>
      <x:c r="H5144" s="37" t="n">
        <x:f t="shared" si="232">IFERROR(E5144/G5144-1,"")</x:f>
        <x:v>0.12990619648124535</x:v>
      </x:c>
      <x:c r="I5144" s="38" t="b">
        <x:f t="shared" si="233">E5144&lt;G5144</x:f>
        <x:v>0</x:v>
      </x:c>
    </x:row>
    <x:row r="5145">
      <x:c r="A5145" s="31">
        <x:v>44517</x:v>
      </x:c>
      <x:c r="B5145" s="32">
        <x:v>1466.45</x:v>
      </x:c>
      <x:c r="C5145" s="32">
        <x:v>1477.04</x:v>
      </x:c>
      <x:c r="D5145" s="32">
        <x:v>1464.78</x:v>
      </x:c>
      <x:c r="E5145" s="32">
        <x:v>1475.85</x:v>
      </x:c>
      <x:c r="F5145" s="33">
        <x:v>828629100</x:v>
      </x:c>
      <x:c r="G5145" s="32" t="n">
        <x:f t="shared" si="231">AVERAGE(E4946:E5145)</x:f>
        <x:v>1299.7444999999998</x:v>
      </x:c>
      <x:c r="H5145" s="37" t="n">
        <x:f t="shared" si="232">IFERROR(E5145/G5145-1,"")</x:f>
        <x:v>0.1354923986983596</x:v>
      </x:c>
      <x:c r="I5145" s="38" t="b">
        <x:f t="shared" si="233">E5145&lt;G5145</x:f>
        <x:v>0</x:v>
      </x:c>
    </x:row>
    <x:row r="5146">
      <x:c r="A5146" s="31">
        <x:v>44518</x:v>
      </x:c>
      <x:c r="B5146" s="32">
        <x:v>1479.39</x:v>
      </x:c>
      <x:c r="C5146" s="32">
        <x:v>1482.87</x:v>
      </x:c>
      <x:c r="D5146" s="32">
        <x:v>1469.83</x:v>
      </x:c>
      <x:c r="E5146" s="32">
        <x:v>1469.83</x:v>
      </x:c>
      <x:c r="F5146" s="33">
        <x:v>1052200900</x:v>
      </x:c>
      <x:c r="G5146" s="32" t="n">
        <x:f t="shared" si="231">AVERAGE(E4947:E5146)</x:f>
        <x:v>1301.9739499999998</x:v>
      </x:c>
      <x:c r="H5146" s="37" t="n">
        <x:f t="shared" si="232">IFERROR(E5146/G5146-1,"")</x:f>
        <x:v>0.12892427686437213</x:v>
      </x:c>
      <x:c r="I5146" s="38" t="b">
        <x:f t="shared" si="233">E5146&lt;G5146</x:f>
        <x:v>0</x:v>
      </x:c>
    </x:row>
    <x:row r="5147">
      <x:c r="A5147" s="31">
        <x:v>44519</x:v>
      </x:c>
      <x:c r="B5147" s="32">
        <x:v>1475</x:v>
      </x:c>
      <x:c r="C5147" s="32">
        <x:v>1481.53</x:v>
      </x:c>
      <x:c r="D5147" s="32">
        <x:v>1434.69</x:v>
      </x:c>
      <x:c r="E5147" s="32">
        <x:v>1452.35</x:v>
      </x:c>
      <x:c r="F5147" s="33">
        <x:v>1490882800</x:v>
      </x:c>
      <x:c r="G5147" s="32" t="n">
        <x:f t="shared" si="231">AVERAGE(E4948:E5147)</x:f>
        <x:v>1303.9526499999997</x:v>
      </x:c>
      <x:c r="H5147" s="37" t="n">
        <x:f t="shared" si="232">IFERROR(E5147/G5147-1,"")</x:f>
        <x:v>0.113805781214525</x:v>
      </x:c>
      <x:c r="I5147" s="38" t="b">
        <x:f t="shared" si="233">E5147&lt;G5147</x:f>
        <x:v>0</x:v>
      </x:c>
    </x:row>
    <x:row r="5148">
      <x:c r="A5148" s="31">
        <x:v>44522</x:v>
      </x:c>
      <x:c r="B5148" s="32">
        <x:v>1453.35</x:v>
      </x:c>
      <x:c r="C5148" s="32">
        <x:v>1466.46</x:v>
      </x:c>
      <x:c r="D5148" s="32">
        <x:v>1442.85</x:v>
      </x:c>
      <x:c r="E5148" s="32">
        <x:v>1447.25</x:v>
      </x:c>
      <x:c r="F5148" s="33">
        <x:v>1209419000</x:v>
      </x:c>
      <x:c r="G5148" s="32" t="n">
        <x:f t="shared" si="231">AVERAGE(E4949:E5148)</x:f>
        <x:v>1306.0113499999998</x:v>
      </x:c>
      <x:c r="H5148" s="37" t="n">
        <x:f t="shared" si="232">IFERROR(E5148/G5148-1,"")</x:f>
        <x:v>0.1081450402402706</x:v>
      </x:c>
      <x:c r="I5148" s="38" t="b">
        <x:f t="shared" si="233">E5148&lt;G5148</x:f>
        <x:v>0</x:v>
      </x:c>
    </x:row>
    <x:row r="5149">
      <x:c r="A5149" s="31">
        <x:v>44523</x:v>
      </x:c>
      <x:c r="B5149" s="32">
        <x:v>1442.66</x:v>
      </x:c>
      <x:c r="C5149" s="32">
        <x:v>1463.63</x:v>
      </x:c>
      <x:c r="D5149" s="32">
        <x:v>1438.41</x:v>
      </x:c>
      <x:c r="E5149" s="32">
        <x:v>1463.63</x:v>
      </x:c>
      <x:c r="F5149" s="33">
        <x:v>839875300</x:v>
      </x:c>
      <x:c r="G5149" s="32" t="n">
        <x:f t="shared" si="231">AVERAGE(E4950:E5149)</x:f>
        <x:v>1307.9518499999997</x:v>
      </x:c>
      <x:c r="H5149" s="37" t="n">
        <x:f t="shared" si="232">IFERROR(E5149/G5149-1,"")</x:f>
        <x:v>0.11902437387125553</x:v>
      </x:c>
      <x:c r="I5149" s="38" t="b">
        <x:f t="shared" si="233">E5149&lt;G5149</x:f>
        <x:v>0</x:v>
      </x:c>
    </x:row>
    <x:row r="5150">
      <x:c r="A5150" s="31">
        <x:v>44524</x:v>
      </x:c>
      <x:c r="B5150" s="32">
        <x:v>1470.66</x:v>
      </x:c>
      <x:c r="C5150" s="32">
        <x:v>1491.05</x:v>
      </x:c>
      <x:c r="D5150" s="32">
        <x:v>1467.29</x:v>
      </x:c>
      <x:c r="E5150" s="32">
        <x:v>1488.87</x:v>
      </x:c>
      <x:c r="F5150" s="33">
        <x:v>1073235900</x:v>
      </x:c>
      <x:c r="G5150" s="32" t="n">
        <x:f t="shared" si="231">AVERAGE(E4951:E5150)</x:f>
        <x:v>1309.8397499999999</x:v>
      </x:c>
      <x:c r="H5150" s="37" t="n">
        <x:f t="shared" si="232">IFERROR(E5150/G5150-1,"")</x:f>
        <x:v>0.13668103292788292</x:v>
      </x:c>
      <x:c r="I5150" s="38" t="b">
        <x:f t="shared" si="233">E5150&lt;G5150</x:f>
        <x:v>0</x:v>
      </x:c>
    </x:row>
    <x:row r="5151">
      <x:c r="A5151" s="31">
        <x:v>44525</x:v>
      </x:c>
      <x:c r="B5151" s="32">
        <x:v>1496.41</x:v>
      </x:c>
      <x:c r="C5151" s="32">
        <x:v>1505.36</x:v>
      </x:c>
      <x:c r="D5151" s="32">
        <x:v>1490.32</x:v>
      </x:c>
      <x:c r="E5151" s="32">
        <x:v>1500.81</x:v>
      </x:c>
      <x:c r="F5151" s="33">
        <x:v>953098400</x:v>
      </x:c>
      <x:c r="G5151" s="32" t="n">
        <x:f t="shared" si="231">AVERAGE(E4952:E5151)</x:f>
        <x:v>1311.7828499999998</x:v>
      </x:c>
      <x:c r="H5151" s="37" t="n">
        <x:f t="shared" si="232">IFERROR(E5151/G5151-1,"")</x:f>
        <x:v>0.14409942163826894</x:v>
      </x:c>
      <x:c r="I5151" s="38" t="b">
        <x:f t="shared" si="233">E5151&lt;G5151</x:f>
        <x:v>0</x:v>
      </x:c>
    </x:row>
    <x:row r="5152">
      <x:c r="A5152" s="31">
        <x:v>44526</x:v>
      </x:c>
      <x:c r="B5152" s="32">
        <x:v>1506.69</x:v>
      </x:c>
      <x:c r="C5152" s="32">
        <x:v>1511.68</x:v>
      </x:c>
      <x:c r="D5152" s="32">
        <x:v>1488.83</x:v>
      </x:c>
      <x:c r="E5152" s="32">
        <x:v>1493.03</x:v>
      </x:c>
      <x:c r="F5152" s="33">
        <x:v>1006637100</x:v>
      </x:c>
      <x:c r="G5152" s="32" t="n">
        <x:f t="shared" si="231">AVERAGE(E4953:E5152)</x:f>
        <x:v>1313.6134499999998</x:v>
      </x:c>
      <x:c r="H5152" s="37" t="n">
        <x:f t="shared" si="232">IFERROR(E5152/G5152-1,"")</x:f>
        <x:v>0.13658245505936328</x:v>
      </x:c>
      <x:c r="I5152" s="38" t="b">
        <x:f t="shared" si="233">E5152&lt;G5152</x:f>
        <x:v>0</x:v>
      </x:c>
    </x:row>
    <x:row r="5153">
      <x:c r="A5153" s="31">
        <x:v>44529</x:v>
      </x:c>
      <x:c r="B5153" s="32">
        <x:v>1467.48</x:v>
      </x:c>
      <x:c r="C5153" s="32">
        <x:v>1488.93</x:v>
      </x:c>
      <x:c r="D5153" s="32">
        <x:v>1467.35</x:v>
      </x:c>
      <x:c r="E5153" s="32">
        <x:v>1484.84</x:v>
      </x:c>
      <x:c r="F5153" s="33">
        <x:v>983072000</x:v>
      </x:c>
      <x:c r="G5153" s="32" t="n">
        <x:f t="shared" si="231">AVERAGE(E4954:E5153)</x:f>
        <x:v>1315.6217499999996</x:v>
      </x:c>
      <x:c r="H5153" s="37" t="n">
        <x:f t="shared" si="232">IFERROR(E5153/G5153-1,"")</x:f>
        <x:v>0.12862226548018096</x:v>
      </x:c>
      <x:c r="I5153" s="38" t="b">
        <x:f t="shared" si="233">E5153&lt;G5153</x:f>
        <x:v>0</x:v>
      </x:c>
    </x:row>
    <x:row r="5154">
      <x:c r="A5154" s="31">
        <x:v>44530</x:v>
      </x:c>
      <x:c r="B5154" s="32">
        <x:v>1500.24</x:v>
      </x:c>
      <x:c r="C5154" s="32">
        <x:v>1503.09</x:v>
      </x:c>
      <x:c r="D5154" s="32">
        <x:v>1471.57</x:v>
      </x:c>
      <x:c r="E5154" s="32">
        <x:v>1478.44</x:v>
      </x:c>
      <x:c r="F5154" s="33">
        <x:v>1049366600</x:v>
      </x:c>
      <x:c r="G5154" s="32" t="n">
        <x:f t="shared" si="231">AVERAGE(E4955:E5154)</x:f>
        <x:v>1317.4392999999995</x:v>
      </x:c>
      <x:c r="H5154" s="37" t="n">
        <x:f t="shared" si="232">IFERROR(E5154/G5154-1,"")</x:f>
        <x:v>0.12220730017694215</x:v>
      </x:c>
      <x:c r="I5154" s="38" t="b">
        <x:f t="shared" si="233">E5154&lt;G5154</x:f>
        <x:v>0</x:v>
      </x:c>
    </x:row>
    <x:row r="5155">
      <x:c r="A5155" s="31">
        <x:v>44531</x:v>
      </x:c>
      <x:c r="B5155" s="32">
        <x:v>1477.85</x:v>
      </x:c>
      <x:c r="C5155" s="32">
        <x:v>1487.68</x:v>
      </x:c>
      <x:c r="D5155" s="32">
        <x:v>1471.3</x:v>
      </x:c>
      <x:c r="E5155" s="32">
        <x:v>1485.19</x:v>
      </x:c>
      <x:c r="F5155" s="33">
        <x:v>837551800</x:v>
      </x:c>
      <x:c r="G5155" s="32" t="n">
        <x:f t="shared" si="231">AVERAGE(E4956:E5155)</x:f>
        <x:v>1319.0863499999996</x:v>
      </x:c>
      <x:c r="H5155" s="37" t="n">
        <x:f t="shared" si="232">IFERROR(E5155/G5155-1,"")</x:f>
        <x:v>0.12592325741222354</x:v>
      </x:c>
      <x:c r="I5155" s="38" t="b">
        <x:f t="shared" si="233">E5155&lt;G5155</x:f>
        <x:v>0</x:v>
      </x:c>
    </x:row>
    <x:row r="5156">
      <x:c r="A5156" s="31">
        <x:v>44532</x:v>
      </x:c>
      <x:c r="B5156" s="32">
        <x:v>1489.12</x:v>
      </x:c>
      <x:c r="C5156" s="32">
        <x:v>1493.84</x:v>
      </x:c>
      <x:c r="D5156" s="32">
        <x:v>1482.05</x:v>
      </x:c>
      <x:c r="E5156" s="32">
        <x:v>1482.05</x:v>
      </x:c>
      <x:c r="F5156" s="33">
        <x:v>745629400</x:v>
      </x:c>
      <x:c r="G5156" s="32" t="n">
        <x:f t="shared" si="231">AVERAGE(E4957:E5156)</x:f>
        <x:v>1320.6246999999994</x:v>
      </x:c>
      <x:c r="H5156" s="37" t="n">
        <x:f t="shared" si="232">IFERROR(E5156/G5156-1,"")</x:f>
        <x:v>0.1222340457512272</x:v>
      </x:c>
      <x:c r="I5156" s="38" t="b">
        <x:f t="shared" si="233">E5156&lt;G5156</x:f>
        <x:v>0</x:v>
      </x:c>
    </x:row>
    <x:row r="5157">
      <x:c r="A5157" s="31">
        <x:v>44533</x:v>
      </x:c>
      <x:c r="B5157" s="32">
        <x:v>1490.4</x:v>
      </x:c>
      <x:c r="C5157" s="32">
        <x:v>1491.2</x:v>
      </x:c>
      <x:c r="D5157" s="32">
        <x:v>1443.32</x:v>
      </x:c>
      <x:c r="E5157" s="32">
        <x:v>1443.32</x:v>
      </x:c>
      <x:c r="F5157" s="33">
        <x:v>1034480600</x:v>
      </x:c>
      <x:c r="G5157" s="32" t="n">
        <x:f t="shared" si="231">AVERAGE(E4958:E5157)</x:f>
        <x:v>1321.9737999999995</x:v>
      </x:c>
      <x:c r="H5157" s="37" t="n">
        <x:f t="shared" si="232">IFERROR(E5157/G5157-1,"")</x:f>
        <x:v>0.091791683012175</x:v>
      </x:c>
      <x:c r="I5157" s="38" t="b">
        <x:f t="shared" si="233">E5157&lt;G5157</x:f>
        <x:v>0</x:v>
      </x:c>
    </x:row>
    <x:row r="5158">
      <x:c r="A5158" s="31">
        <x:v>44536</x:v>
      </x:c>
      <x:c r="B5158" s="32">
        <x:v>1446.28</x:v>
      </x:c>
      <x:c r="C5158" s="32">
        <x:v>1452.55</x:v>
      </x:c>
      <x:c r="D5158" s="32">
        <x:v>1400.87</x:v>
      </x:c>
      <x:c r="E5158" s="32">
        <x:v>1413.58</x:v>
      </x:c>
      <x:c r="F5158" s="33">
        <x:v>1013743700</x:v>
      </x:c>
      <x:c r="G5158" s="32" t="n">
        <x:f t="shared" si="231">AVERAGE(E4959:E5158)</x:f>
        <x:v>1323.1664999999994</x:v>
      </x:c>
      <x:c r="H5158" s="37" t="n">
        <x:f t="shared" si="232">IFERROR(E5158/G5158-1,"")</x:f>
        <x:v>0.06833115862591788</x:v>
      </x:c>
      <x:c r="I5158" s="38" t="b">
        <x:f t="shared" si="233">E5158&lt;G5158</x:f>
        <x:v>0</x:v>
      </x:c>
    </x:row>
    <x:row r="5159">
      <x:c r="A5159" s="31">
        <x:v>44537</x:v>
      </x:c>
      <x:c r="B5159" s="32">
        <x:v>1426.88</x:v>
      </x:c>
      <x:c r="C5159" s="32">
        <x:v>1446.77</x:v>
      </x:c>
      <x:c r="D5159" s="32">
        <x:v>1421.6</x:v>
      </x:c>
      <x:c r="E5159" s="32">
        <x:v>1446.77</x:v>
      </x:c>
      <x:c r="F5159" s="33">
        <x:v>691695900</x:v>
      </x:c>
      <x:c r="G5159" s="32" t="n">
        <x:f t="shared" si="231">AVERAGE(E4960:E5159)</x:f>
        <x:v>1324.5121499999993</x:v>
      </x:c>
      <x:c r="H5159" s="37" t="n">
        <x:f t="shared" si="232">IFERROR(E5159/G5159-1,"")</x:f>
        <x:v>0.09230406078192699</x:v>
      </x:c>
      <x:c r="I5159" s="38" t="b">
        <x:f t="shared" si="233">E5159&lt;G5159</x:f>
        <x:v>0</x:v>
      </x:c>
    </x:row>
    <x:row r="5160">
      <x:c r="A5160" s="31">
        <x:v>44538</x:v>
      </x:c>
      <x:c r="B5160" s="32">
        <x:v>1446.77</x:v>
      </x:c>
      <x:c r="C5160" s="32">
        <x:v>1460.28</x:v>
      </x:c>
      <x:c r="D5160" s="32">
        <x:v>1446.77</x:v>
      </x:c>
      <x:c r="E5160" s="32">
        <x:v>1452.87</x:v>
      </x:c>
      <x:c r="F5160" s="33">
        <x:v>732009400</x:v>
      </x:c>
      <x:c r="G5160" s="32" t="n">
        <x:f t="shared" si="231">AVERAGE(E4961:E5160)</x:f>
        <x:v>1325.9664499999992</x:v>
      </x:c>
      <x:c r="H5160" s="37" t="n">
        <x:f t="shared" si="232">IFERROR(E5160/G5160-1,"")</x:f>
        <x:v>0.0957064562229315</x:v>
      </x:c>
      <x:c r="I5160" s="38" t="b">
        <x:f t="shared" si="233">E5160&lt;G5160</x:f>
        <x:v>0</x:v>
      </x:c>
    </x:row>
    <x:row r="5161">
      <x:c r="A5161" s="31">
        <x:v>44539</x:v>
      </x:c>
      <x:c r="B5161" s="32">
        <x:v>1448.29</x:v>
      </x:c>
      <x:c r="C5161" s="32">
        <x:v>1467.98</x:v>
      </x:c>
      <x:c r="D5161" s="32">
        <x:v>1446.88</x:v>
      </x:c>
      <x:c r="E5161" s="32">
        <x:v>1467.98</x:v>
      </x:c>
      <x:c r="F5161" s="33">
        <x:v>631261500</x:v>
      </x:c>
      <x:c r="G5161" s="32" t="n">
        <x:f t="shared" si="231">AVERAGE(E4962:E5161)</x:f>
        <x:v>1327.4791999999993</x:v>
      </x:c>
      <x:c r="H5161" s="37" t="n">
        <x:f t="shared" si="232">IFERROR(E5161/G5161-1,"")</x:f>
        <x:v>0.10584030243185794</x:v>
      </x:c>
      <x:c r="I5161" s="38" t="b">
        <x:f t="shared" si="233">E5161&lt;G5161</x:f>
        <x:v>0</x:v>
      </x:c>
    </x:row>
    <x:row r="5162">
      <x:c r="A5162" s="31">
        <x:v>44540</x:v>
      </x:c>
      <x:c r="B5162" s="32">
        <x:v>1470.55</x:v>
      </x:c>
      <x:c r="C5162" s="32">
        <x:v>1475.85</x:v>
      </x:c>
      <x:c r="D5162" s="32">
        <x:v>1461.78</x:v>
      </x:c>
      <x:c r="E5162" s="32">
        <x:v>1463.54</x:v>
      </x:c>
      <x:c r="F5162" s="33">
        <x:v>780120100</x:v>
      </x:c>
      <x:c r="G5162" s="32" t="n">
        <x:f t="shared" si="231">AVERAGE(E4963:E5162)</x:f>
        <x:v>1328.954549999999</x:v>
      </x:c>
      <x:c r="H5162" s="37" t="n">
        <x:f t="shared" si="232">IFERROR(E5162/G5162-1,"")</x:f>
        <x:v>0.10127167253387337</x:v>
      </x:c>
      <x:c r="I5162" s="38" t="b">
        <x:f t="shared" si="233">E5162&lt;G5162</x:f>
        <x:v>0</x:v>
      </x:c>
    </x:row>
    <x:row r="5163">
      <x:c r="A5163" s="31">
        <x:v>44543</x:v>
      </x:c>
      <x:c r="B5163" s="32">
        <x:v>1471.96</x:v>
      </x:c>
      <x:c r="C5163" s="32">
        <x:v>1481.7</x:v>
      </x:c>
      <x:c r="D5163" s="32">
        <x:v>1470.08</x:v>
      </x:c>
      <x:c r="E5163" s="32">
        <x:v>1476.21</x:v>
      </x:c>
      <x:c r="F5163" s="33">
        <x:v>815155200</x:v>
      </x:c>
      <x:c r="G5163" s="32" t="n">
        <x:f t="shared" si="231">AVERAGE(E4964:E5163)</x:f>
        <x:v>1330.4047499999992</x:v>
      </x:c>
      <x:c r="H5163" s="37" t="n">
        <x:f t="shared" si="232">IFERROR(E5163/G5163-1,"")</x:f>
        <x:v>0.10959465531072476</x:v>
      </x:c>
      <x:c r="I5163" s="38" t="b">
        <x:f t="shared" si="233">E5163&lt;G5163</x:f>
        <x:v>0</x:v>
      </x:c>
    </x:row>
    <x:row r="5164">
      <x:c r="A5164" s="31">
        <x:v>44544</x:v>
      </x:c>
      <x:c r="B5164" s="32">
        <x:v>1476.82</x:v>
      </x:c>
      <x:c r="C5164" s="32">
        <x:v>1485.14</x:v>
      </x:c>
      <x:c r="D5164" s="32">
        <x:v>1469.21</x:v>
      </x:c>
      <x:c r="E5164" s="32">
        <x:v>1476.02</x:v>
      </x:c>
      <x:c r="F5164" s="33">
        <x:v>914795700</x:v>
      </x:c>
      <x:c r="G5164" s="32" t="n">
        <x:f t="shared" si="231">AVERAGE(E4965:E5164)</x:f>
        <x:v>1331.8517999999995</x:v>
      </x:c>
      <x:c r="H5164" s="37" t="n">
        <x:f t="shared" si="232">IFERROR(E5164/G5164-1,"")</x:f>
        <x:v>0.10824642801849316</x:v>
      </x:c>
      <x:c r="I5164" s="38" t="b">
        <x:f t="shared" si="233">E5164&lt;G5164</x:f>
        <x:v>0</x:v>
      </x:c>
    </x:row>
    <x:row r="5165">
      <x:c r="A5165" s="31">
        <x:v>44545</x:v>
      </x:c>
      <x:c r="B5165" s="32">
        <x:v>1476.02</x:v>
      </x:c>
      <x:c r="C5165" s="32">
        <x:v>1481.67</x:v>
      </x:c>
      <x:c r="D5165" s="32">
        <x:v>1468.21</x:v>
      </x:c>
      <x:c r="E5165" s="32">
        <x:v>1475.5</x:v>
      </x:c>
      <x:c r="F5165" s="33">
        <x:v>861484300</x:v>
      </x:c>
      <x:c r="G5165" s="32" t="n">
        <x:f t="shared" si="231">AVERAGE(E4966:E5165)</x:f>
        <x:v>1333.2945499999996</x:v>
      </x:c>
      <x:c r="H5165" s="37" t="n">
        <x:f t="shared" si="232">IFERROR(E5165/G5165-1,"")</x:f>
        <x:v>0.10665718989101136</x:v>
      </x:c>
      <x:c r="I5165" s="38" t="b">
        <x:f t="shared" si="233">E5165&lt;G5165</x:f>
        <x:v>0</x:v>
      </x:c>
    </x:row>
    <x:row r="5166">
      <x:c r="A5166" s="31">
        <x:v>44546</x:v>
      </x:c>
      <x:c r="B5166" s="32">
        <x:v>1481.85</x:v>
      </x:c>
      <x:c r="C5166" s="32">
        <x:v>1482.32</x:v>
      </x:c>
      <x:c r="D5166" s="32">
        <x:v>1468.95</x:v>
      </x:c>
      <x:c r="E5166" s="32">
        <x:v>1476.61</x:v>
      </x:c>
      <x:c r="F5166" s="33">
        <x:v>889612700</x:v>
      </x:c>
      <x:c r="G5166" s="32" t="n">
        <x:f t="shared" si="231">AVERAGE(E4967:E5166)</x:f>
        <x:v>1334.8349999999994</x:v>
      </x:c>
      <x:c r="H5166" s="37" t="n">
        <x:f t="shared" si="232">IFERROR(E5166/G5166-1,"")</x:f>
        <x:v>0.10621162915266735</x:v>
      </x:c>
      <x:c r="I5166" s="38" t="b">
        <x:f t="shared" si="233">E5166&lt;G5166</x:f>
        <x:v>0</x:v>
      </x:c>
    </x:row>
    <x:row r="5167">
      <x:c r="A5167" s="31">
        <x:v>44547</x:v>
      </x:c>
      <x:c r="B5167" s="32">
        <x:v>1481.76</x:v>
      </x:c>
      <x:c r="C5167" s="32">
        <x:v>1487.73</x:v>
      </x:c>
      <x:c r="D5167" s="32">
        <x:v>1476.61</x:v>
      </x:c>
      <x:c r="E5167" s="32">
        <x:v>1479.79</x:v>
      </x:c>
      <x:c r="F5167" s="33">
        <x:v>1065320100</x:v>
      </x:c>
      <x:c r="G5167" s="32" t="n">
        <x:f t="shared" si="231">AVERAGE(E4968:E5167)</x:f>
        <x:v>1336.3904999999993</x:v>
      </x:c>
      <x:c r="H5167" s="37" t="n">
        <x:f t="shared" si="232">IFERROR(E5167/G5167-1,"")</x:f>
        <x:v>0.10730359127814859</x:v>
      </x:c>
      <x:c r="I5167" s="38" t="b">
        <x:f t="shared" si="233">E5167&lt;G5167</x:f>
        <x:v>0</x:v>
      </x:c>
    </x:row>
    <x:row r="5168">
      <x:c r="A5168" s="31">
        <x:v>44550</x:v>
      </x:c>
      <x:c r="B5168" s="32">
        <x:v>1482.09</x:v>
      </x:c>
      <x:c r="C5168" s="32">
        <x:v>1483.85</x:v>
      </x:c>
      <x:c r="D5168" s="32">
        <x:v>1468.88</x:v>
      </x:c>
      <x:c r="E5168" s="32">
        <x:v>1477.33</x:v>
      </x:c>
      <x:c r="F5168" s="33">
        <x:v>906869900</x:v>
      </x:c>
      <x:c r="G5168" s="32" t="n">
        <x:f t="shared" si="231">AVERAGE(E4969:E5168)</x:f>
        <x:v>1337.9357999999993</x:v>
      </x:c>
      <x:c r="H5168" s="37" t="n">
        <x:f t="shared" si="232">IFERROR(E5168/G5168-1,"")</x:f>
        <x:v>0.1041860155023886</x:v>
      </x:c>
      <x:c r="I5168" s="38" t="b">
        <x:f t="shared" si="233">E5168&lt;G5168</x:f>
        <x:v>0</x:v>
      </x:c>
    </x:row>
    <x:row r="5169">
      <x:c r="A5169" s="31">
        <x:v>44551</x:v>
      </x:c>
      <x:c r="B5169" s="32">
        <x:v>1475.31</x:v>
      </x:c>
      <x:c r="C5169" s="32">
        <x:v>1486.09</x:v>
      </x:c>
      <x:c r="D5169" s="32">
        <x:v>1472.43</x:v>
      </x:c>
      <x:c r="E5169" s="32">
        <x:v>1478.74</x:v>
      </x:c>
      <x:c r="F5169" s="33">
        <x:v>866421100</x:v>
      </x:c>
      <x:c r="G5169" s="32" t="n">
        <x:f t="shared" si="231">AVERAGE(E4970:E5169)</x:f>
        <x:v>1339.5196499999993</x:v>
      </x:c>
      <x:c r="H5169" s="37" t="n">
        <x:f t="shared" si="232">IFERROR(E5169/G5169-1,"")</x:f>
        <x:v>0.10393304047462149</x:v>
      </x:c>
      <x:c r="I5169" s="38" t="b">
        <x:f t="shared" si="233">E5169&lt;G5169</x:f>
        <x:v>0</x:v>
      </x:c>
    </x:row>
    <x:row r="5170">
      <x:c r="A5170" s="31">
        <x:v>44552</x:v>
      </x:c>
      <x:c r="B5170" s="32">
        <x:v>1485.4</x:v>
      </x:c>
      <x:c r="C5170" s="32">
        <x:v>1489.24</x:v>
      </x:c>
      <x:c r="D5170" s="32">
        <x:v>1471.84</x:v>
      </x:c>
      <x:c r="E5170" s="32">
        <x:v>1477.67</x:v>
      </x:c>
      <x:c r="F5170" s="33">
        <x:v>1031093800</x:v>
      </x:c>
      <x:c r="G5170" s="32" t="n">
        <x:f t="shared" si="231">AVERAGE(E4971:E5170)</x:f>
        <x:v>1341.0575999999992</x:v>
      </x:c>
      <x:c r="H5170" s="37" t="n">
        <x:f t="shared" si="232">IFERROR(E5170/G5170-1,"")</x:f>
        <x:v>0.10186915163077326</x:v>
      </x:c>
      <x:c r="I5170" s="38" t="b">
        <x:f t="shared" si="233">E5170&lt;G5170</x:f>
        <x:v>0</x:v>
      </x:c>
    </x:row>
    <x:row r="5171">
      <x:c r="A5171" s="31">
        <x:v>44553</x:v>
      </x:c>
      <x:c r="B5171" s="32">
        <x:v>1480.52</x:v>
      </x:c>
      <x:c r="C5171" s="32">
        <x:v>1481.21</x:v>
      </x:c>
      <x:c r="D5171" s="32">
        <x:v>1447.14</x:v>
      </x:c>
      <x:c r="E5171" s="32">
        <x:v>1456.96</x:v>
      </x:c>
      <x:c r="F5171" s="33">
        <x:v>1266412300</x:v>
      </x:c>
      <x:c r="G5171" s="32" t="n">
        <x:f t="shared" si="231">AVERAGE(E4972:E5171)</x:f>
        <x:v>1342.4337499999995</x:v>
      </x:c>
      <x:c r="H5171" s="37" t="n">
        <x:f t="shared" si="232">IFERROR(E5171/G5171-1,"")</x:f>
        <x:v>0.08531240368472615</x:v>
      </x:c>
      <x:c r="I5171" s="38" t="b">
        <x:f t="shared" si="233">E5171&lt;G5171</x:f>
        <x:v>0</x:v>
      </x:c>
    </x:row>
    <x:row r="5172">
      <x:c r="A5172" s="31">
        <x:v>44554</x:v>
      </x:c>
      <x:c r="B5172" s="32">
        <x:v>1465</x:v>
      </x:c>
      <x:c r="C5172" s="32">
        <x:v>1478.8</x:v>
      </x:c>
      <x:c r="D5172" s="32">
        <x:v>1456.32</x:v>
      </x:c>
      <x:c r="E5172" s="32">
        <x:v>1477.03</x:v>
      </x:c>
      <x:c r="F5172" s="33">
        <x:v>855008900</x:v>
      </x:c>
      <x:c r="G5172" s="32" t="n">
        <x:f t="shared" si="231">AVERAGE(E4973:E5172)</x:f>
        <x:v>1343.9110999999996</x:v>
      </x:c>
      <x:c r="H5172" s="37" t="n">
        <x:f t="shared" si="232">IFERROR(E5172/G5172-1,"")</x:f>
        <x:v>0.09905335256178804</x:v>
      </x:c>
      <x:c r="I5172" s="38" t="b">
        <x:f t="shared" si="233">E5172&lt;G5172</x:f>
        <x:v>0</x:v>
      </x:c>
    </x:row>
    <x:row r="5173">
      <x:c r="A5173" s="31">
        <x:v>44557</x:v>
      </x:c>
      <x:c r="B5173" s="32">
        <x:v>1485.1</x:v>
      </x:c>
      <x:c r="C5173" s="32">
        <x:v>1490.12</x:v>
      </x:c>
      <x:c r="D5173" s="32">
        <x:v>1469.91</x:v>
      </x:c>
      <x:c r="E5173" s="32">
        <x:v>1488.88</x:v>
      </x:c>
      <x:c r="F5173" s="33">
        <x:v>715824500</x:v>
      </x:c>
      <x:c r="G5173" s="32" t="n">
        <x:f t="shared" si="231">AVERAGE(E4974:E5173)</x:f>
        <x:v>1345.4326999999996</x:v>
      </x:c>
      <x:c r="H5173" s="37" t="n">
        <x:f t="shared" si="232">IFERROR(E5173/G5173-1,"")</x:f>
        <x:v>0.10661796758767683</x:v>
      </x:c>
      <x:c r="I5173" s="38" t="b">
        <x:f t="shared" si="233">E5173&lt;G5173</x:f>
        <x:v>0</x:v>
      </x:c>
    </x:row>
    <x:row r="5174">
      <x:c r="A5174" s="31">
        <x:v>44558</x:v>
      </x:c>
      <x:c r="B5174" s="32">
        <x:v>1497.16</x:v>
      </x:c>
      <x:c r="C5174" s="32">
        <x:v>1499.77</x:v>
      </x:c>
      <x:c r="D5174" s="32">
        <x:v>1483.97</x:v>
      </x:c>
      <x:c r="E5174" s="32">
        <x:v>1494.39</x:v>
      </x:c>
      <x:c r="F5174" s="33">
        <x:v>933584700</x:v>
      </x:c>
      <x:c r="G5174" s="32" t="n">
        <x:f t="shared" si="231">AVERAGE(E4975:E5174)</x:f>
        <x:v>1347.00515</x:v>
      </x:c>
      <x:c r="H5174" s="37" t="n">
        <x:f t="shared" si="232">IFERROR(E5174/G5174-1,"")</x:f>
        <x:v>0.10941669376690966</x:v>
      </x:c>
      <x:c r="I5174" s="38" t="b">
        <x:f t="shared" si="233">E5174&lt;G5174</x:f>
        <x:v>0</x:v>
      </x:c>
    </x:row>
    <x:row r="5175">
      <x:c r="A5175" s="31">
        <x:v>44559</x:v>
      </x:c>
      <x:c r="B5175" s="32">
        <x:v>1498.3</x:v>
      </x:c>
      <x:c r="C5175" s="32">
        <x:v>1498.91</x:v>
      </x:c>
      <x:c r="D5175" s="32">
        <x:v>1485.82</x:v>
      </x:c>
      <x:c r="E5175" s="32">
        <x:v>1485.82</x:v>
      </x:c>
      <x:c r="F5175" s="33">
        <x:v>793769800</x:v>
      </x:c>
      <x:c r="G5175" s="32" t="n">
        <x:f t="shared" si="231">AVERAGE(E4976:E5175)</x:f>
        <x:v>1348.5037999999997</x:v>
      </x:c>
      <x:c r="H5175" s="37" t="n">
        <x:f t="shared" si="232">IFERROR(E5175/G5175-1,"")</x:f>
        <x:v>0.10182855991951989</x:v>
      </x:c>
      <x:c r="I5175" s="38" t="b">
        <x:f t="shared" si="233">E5175&lt;G5175</x:f>
        <x:v>0</x:v>
      </x:c>
    </x:row>
    <x:row r="5176">
      <x:c r="A5176" s="31">
        <x:v>44560</x:v>
      </x:c>
      <x:c r="B5176" s="32">
        <x:v>1491.24</x:v>
      </x:c>
      <x:c r="C5176" s="32">
        <x:v>1493.38</x:v>
      </x:c>
      <x:c r="D5176" s="32">
        <x:v>1484.82</x:v>
      </x:c>
      <x:c r="E5176" s="32">
        <x:v>1485.97</x:v>
      </x:c>
      <x:c r="F5176" s="33">
        <x:v>724365200</x:v>
      </x:c>
      <x:c r="G5176" s="32" t="n">
        <x:f t="shared" si="231">AVERAGE(E4977:E5176)</x:f>
        <x:v>1349.9289499999995</x:v>
      </x:c>
      <x:c r="H5176" s="37" t="n">
        <x:f t="shared" si="232">IFERROR(E5176/G5176-1,"")</x:f>
        <x:v>0.10077645197549145</x:v>
      </x:c>
      <x:c r="I5176" s="38" t="b">
        <x:f t="shared" si="233">E5176&lt;G5176</x:f>
        <x:v>0</x:v>
      </x:c>
    </x:row>
    <x:row r="5177">
      <x:c r="A5177" s="31">
        <x:v>44561</x:v>
      </x:c>
      <x:c r="B5177" s="32">
        <x:v>1490.25</x:v>
      </x:c>
      <x:c r="C5177" s="32">
        <x:v>1499.07</x:v>
      </x:c>
      <x:c r="D5177" s="32">
        <x:v>1485.97</x:v>
      </x:c>
      <x:c r="E5177" s="32">
        <x:v>1498.28</x:v>
      </x:c>
      <x:c r="F5177" s="33">
        <x:v>846534300</x:v>
      </x:c>
      <x:c r="G5177" s="32" t="n">
        <x:f t="shared" si="231">AVERAGE(E4978:E5177)</x:f>
        <x:v>1351.4500999999996</x:v>
      </x:c>
      <x:c r="H5177" s="37" t="n">
        <x:f t="shared" si="232">IFERROR(E5177/G5177-1,"")</x:f>
        <x:v>0.10864618678854687</x:v>
      </x:c>
      <x:c r="I5177" s="38" t="b">
        <x:f t="shared" si="233">E5177&lt;G5177</x:f>
        <x:v>0</x:v>
      </x:c>
    </x:row>
    <x:row r="5178">
      <x:c r="A5178" s="31">
        <x:v>44565</x:v>
      </x:c>
      <x:c r="B5178" s="32">
        <x:v>1508.15</x:v>
      </x:c>
      <x:c r="C5178" s="32">
        <x:v>1526.69</x:v>
      </x:c>
      <x:c r="D5178" s="32">
        <x:v>1498.28</x:v>
      </x:c>
      <x:c r="E5178" s="32">
        <x:v>1525.58</x:v>
      </x:c>
      <x:c r="F5178" s="33">
        <x:v>839676500</x:v>
      </x:c>
      <x:c r="G5178" s="32" t="n">
        <x:f t="shared" si="231">AVERAGE(E4979:E5178)</x:f>
        <x:v>1353.1058499999997</x:v>
      </x:c>
      <x:c r="H5178" s="37" t="n">
        <x:f t="shared" si="232">IFERROR(E5178/G5178-1,"")</x:f>
        <x:v>0.127465379001946</x:v>
      </x:c>
      <x:c r="I5178" s="38" t="b">
        <x:f t="shared" si="233">E5178&lt;G5178</x:f>
        <x:v>0</x:v>
      </x:c>
    </x:row>
    <x:row r="5179">
      <x:c r="A5179" s="31">
        <x:v>44566</x:v>
      </x:c>
      <x:c r="B5179" s="32">
        <x:v>1529.06</x:v>
      </x:c>
      <x:c r="C5179" s="32">
        <x:v>1535.82</x:v>
      </x:c>
      <x:c r="D5179" s="32">
        <x:v>1522.5</x:v>
      </x:c>
      <x:c r="E5179" s="32">
        <x:v>1522.5</x:v>
      </x:c>
      <x:c r="F5179" s="33">
        <x:v>987023800</x:v>
      </x:c>
      <x:c r="G5179" s="32" t="n">
        <x:f t="shared" si="231">AVERAGE(E4980:E5179)</x:f>
        <x:v>1354.8010999999997</x:v>
      </x:c>
      <x:c r="H5179" s="37" t="n">
        <x:f t="shared" si="232">IFERROR(E5179/G5179-1,"")</x:f>
        <x:v>0.12378119563085699</x:v>
      </x:c>
      <x:c r="I5179" s="38" t="b">
        <x:f t="shared" si="233">E5179&lt;G5179</x:f>
        <x:v>0</x:v>
      </x:c>
    </x:row>
    <x:row r="5180">
      <x:c r="A5180" s="31">
        <x:v>44567</x:v>
      </x:c>
      <x:c r="B5180" s="32">
        <x:v>1518.94</x:v>
      </x:c>
      <x:c r="C5180" s="32">
        <x:v>1536.24</x:v>
      </x:c>
      <x:c r="D5180" s="32">
        <x:v>1518.18</x:v>
      </x:c>
      <x:c r="E5180" s="32">
        <x:v>1528.57</x:v>
      </x:c>
      <x:c r="F5180" s="33">
        <x:v>1087239800</x:v>
      </x:c>
      <x:c r="G5180" s="32" t="n">
        <x:f t="shared" si="231">AVERAGE(E4981:E5180)</x:f>
        <x:v>1356.6348999999996</x:v>
      </x:c>
      <x:c r="H5180" s="37" t="n">
        <x:f t="shared" si="232">IFERROR(E5180/G5180-1,"")</x:f>
        <x:v>0.12673645650720067</x:v>
      </x:c>
      <x:c r="I5180" s="38" t="b">
        <x:f t="shared" si="233">E5180&lt;G5180</x:f>
        <x:v>0</x:v>
      </x:c>
    </x:row>
    <x:row r="5181">
      <x:c r="A5181" s="31">
        <x:v>44568</x:v>
      </x:c>
      <x:c r="B5181" s="32">
        <x:v>1534.44</x:v>
      </x:c>
      <x:c r="C5181" s="32">
        <x:v>1534.52</x:v>
      </x:c>
      <x:c r="D5181" s="32">
        <x:v>1524.96</x:v>
      </x:c>
      <x:c r="E5181" s="32">
        <x:v>1528.48</x:v>
      </x:c>
      <x:c r="F5181" s="33">
        <x:v>951525400</x:v>
      </x:c>
      <x:c r="G5181" s="32" t="n">
        <x:f t="shared" si="231">AVERAGE(E4982:E5181)</x:f>
        <x:v>1358.4617999999996</x:v>
      </x:c>
      <x:c r="H5181" s="37" t="n">
        <x:f t="shared" si="232">IFERROR(E5181/G5181-1,"")</x:f>
        <x:v>0.1251549362668869</x:v>
      </x:c>
      <x:c r="I5181" s="38" t="b">
        <x:f t="shared" si="233">E5181&lt;G5181</x:f>
        <x:v>0</x:v>
      </x:c>
    </x:row>
    <x:row r="5182">
      <x:c r="A5182" s="31">
        <x:v>44571</x:v>
      </x:c>
      <x:c r="B5182" s="32">
        <x:v>1530.74</x:v>
      </x:c>
      <x:c r="C5182" s="32">
        <x:v>1536.45</x:v>
      </x:c>
      <x:c r="D5182" s="32">
        <x:v>1503.71</x:v>
      </x:c>
      <x:c r="E5182" s="32">
        <x:v>1503.71</x:v>
      </x:c>
      <x:c r="F5182" s="33">
        <x:v>1315951200</x:v>
      </x:c>
      <x:c r="G5182" s="32" t="n">
        <x:f t="shared" si="231">AVERAGE(E4983:E5182)</x:f>
        <x:v>1360.1693</x:v>
      </x:c>
      <x:c r="H5182" s="37" t="n">
        <x:f t="shared" si="232">IFERROR(E5182/G5182-1,"")</x:f>
        <x:v>0.1055314952337183</x:v>
      </x:c>
      <x:c r="I5182" s="38" t="b">
        <x:f t="shared" si="233">E5182&lt;G5182</x:f>
        <x:v>0</x:v>
      </x:c>
    </x:row>
    <x:row r="5183">
      <x:c r="A5183" s="31">
        <x:v>44572</x:v>
      </x:c>
      <x:c r="B5183" s="32">
        <x:v>1506.73</x:v>
      </x:c>
      <x:c r="C5183" s="32">
        <x:v>1512.05</x:v>
      </x:c>
      <x:c r="D5183" s="32">
        <x:v>1488.4</x:v>
      </x:c>
      <x:c r="E5183" s="32">
        <x:v>1492.31</x:v>
      </x:c>
      <x:c r="F5183" s="33">
        <x:v>1219558100</x:v>
      </x:c>
      <x:c r="G5183" s="32" t="n">
        <x:f t="shared" si="231">AVERAGE(E4984:E5183)</x:f>
        <x:v>1361.75245</x:v>
      </x:c>
      <x:c r="H5183" s="37" t="n">
        <x:f t="shared" si="232">IFERROR(E5183/G5183-1,"")</x:f>
        <x:v>0.09587465768833381</x:v>
      </x:c>
      <x:c r="I5183" s="38" t="b">
        <x:f t="shared" si="233">E5183&lt;G5183</x:f>
        <x:v>0</x:v>
      </x:c>
    </x:row>
    <x:row r="5184">
      <x:c r="A5184" s="31">
        <x:v>44573</x:v>
      </x:c>
      <x:c r="B5184" s="32">
        <x:v>1491.3</x:v>
      </x:c>
      <x:c r="C5184" s="32">
        <x:v>1510.51</x:v>
      </x:c>
      <x:c r="D5184" s="32">
        <x:v>1464.49</x:v>
      </x:c>
      <x:c r="E5184" s="32">
        <x:v>1510.51</x:v>
      </x:c>
      <x:c r="F5184" s="33">
        <x:v>1104610300</x:v>
      </x:c>
      <x:c r="G5184" s="32" t="n">
        <x:f t="shared" si="231">AVERAGE(E4985:E5184)</x:f>
        <x:v>1363.3731999999998</x:v>
      </x:c>
      <x:c r="H5184" s="37" t="n">
        <x:f t="shared" si="232">IFERROR(E5184/G5184-1,"")</x:f>
        <x:v>0.10792114734248859</x:v>
      </x:c>
      <x:c r="I5184" s="38" t="b">
        <x:f t="shared" si="233">E5184&lt;G5184</x:f>
        <x:v>0</x:v>
      </x:c>
    </x:row>
    <x:row r="5185">
      <x:c r="A5185" s="31">
        <x:v>44574</x:v>
      </x:c>
      <x:c r="B5185" s="32">
        <x:v>1519.79</x:v>
      </x:c>
      <x:c r="C5185" s="32">
        <x:v>1522.6</x:v>
      </x:c>
      <x:c r="D5185" s="32">
        <x:v>1495.13</x:v>
      </x:c>
      <x:c r="E5185" s="32">
        <x:v>1496.05</x:v>
      </x:c>
      <x:c r="F5185" s="33">
        <x:v>977115800</x:v>
      </x:c>
      <x:c r="G5185" s="32" t="n">
        <x:f t="shared" si="231">AVERAGE(E4986:E5185)</x:f>
        <x:v>1364.8962499999998</x:v>
      </x:c>
      <x:c r="H5185" s="37" t="n">
        <x:f t="shared" si="232">IFERROR(E5185/G5185-1,"")</x:f>
        <x:v>0.09609063692570063</x:v>
      </x:c>
      <x:c r="I5185" s="38" t="b">
        <x:f t="shared" si="233">E5185&lt;G5185</x:f>
        <x:v>0</x:v>
      </x:c>
    </x:row>
    <x:row r="5186">
      <x:c r="A5186" s="31">
        <x:v>44575</x:v>
      </x:c>
      <x:c r="B5186" s="32">
        <x:v>1477.34</x:v>
      </x:c>
      <x:c r="C5186" s="32">
        <x:v>1503.25</x:v>
      </x:c>
      <x:c r="D5186" s="32">
        <x:v>1476.68</x:v>
      </x:c>
      <x:c r="E5186" s="32">
        <x:v>1496.02</x:v>
      </x:c>
      <x:c r="F5186" s="33">
        <x:v>734088500</x:v>
      </x:c>
      <x:c r="G5186" s="32" t="n">
        <x:f t="shared" si="231">AVERAGE(E4987:E5186)</x:f>
        <x:v>1366.29585</x:v>
      </x:c>
      <x:c r="H5186" s="37" t="n">
        <x:f t="shared" si="232">IFERROR(E5186/G5186-1,"")</x:f>
        <x:v>0.09494587134989829</x:v>
      </x:c>
      <x:c r="I5186" s="38" t="b">
        <x:f t="shared" si="233">E5186&lt;G5186</x:f>
        <x:v>0</x:v>
      </x:c>
    </x:row>
    <x:row r="5187">
      <x:c r="A5187" s="31">
        <x:v>44578</x:v>
      </x:c>
      <x:c r="B5187" s="32">
        <x:v>1499.47</x:v>
      </x:c>
      <x:c r="C5187" s="32">
        <x:v>1503.86</x:v>
      </x:c>
      <x:c r="D5187" s="32">
        <x:v>1452.84</x:v>
      </x:c>
      <x:c r="E5187" s="32">
        <x:v>1452.84</x:v>
      </x:c>
      <x:c r="F5187" s="33">
        <x:v>926487900</x:v>
      </x:c>
      <x:c r="G5187" s="32" t="n">
        <x:f t="shared" si="231">AVERAGE(E4988:E5187)</x:f>
        <x:v>1367.4378</x:v>
      </x:c>
      <x:c r="H5187" s="37" t="n">
        <x:f t="shared" si="232">IFERROR(E5187/G5187-1,"")</x:f>
        <x:v>0.0624541752465817</x:v>
      </x:c>
      <x:c r="I5187" s="38" t="b">
        <x:f t="shared" si="233">E5187&lt;G5187</x:f>
        <x:v>0</x:v>
      </x:c>
    </x:row>
    <x:row r="5188">
      <x:c r="A5188" s="31">
        <x:v>44579</x:v>
      </x:c>
      <x:c r="B5188" s="32">
        <x:v>1444.16</x:v>
      </x:c>
      <x:c r="C5188" s="32">
        <x:v>1452.84</x:v>
      </x:c>
      <x:c r="D5188" s="32">
        <x:v>1424.65</x:v>
      </x:c>
      <x:c r="E5188" s="32">
        <x:v>1438.94</x:v>
      </x:c>
      <x:c r="F5188" s="33">
        <x:v>691087800</x:v>
      </x:c>
      <x:c r="G5188" s="32" t="n">
        <x:f t="shared" si="231">AVERAGE(E4989:E5188)</x:f>
        <x:v>1368.45225</x:v>
      </x:c>
      <x:c r="H5188" s="37" t="n">
        <x:f t="shared" si="232">IFERROR(E5188/G5188-1,"")</x:f>
        <x:v>0.05150910453762636</x:v>
      </x:c>
      <x:c r="I5188" s="38" t="b">
        <x:f t="shared" si="233">E5188&lt;G5188</x:f>
        <x:v>0</x:v>
      </x:c>
    </x:row>
    <x:row r="5189">
      <x:c r="A5189" s="31">
        <x:v>44580</x:v>
      </x:c>
      <x:c r="B5189" s="32">
        <x:v>1444.6</x:v>
      </x:c>
      <x:c r="C5189" s="32">
        <x:v>1449.11</x:v>
      </x:c>
      <x:c r="D5189" s="32">
        <x:v>1434.46</x:v>
      </x:c>
      <x:c r="E5189" s="32">
        <x:v>1442.79</x:v>
      </x:c>
      <x:c r="F5189" s="33">
        <x:v>557995700</x:v>
      </x:c>
      <x:c r="G5189" s="32" t="n">
        <x:f t="shared" si="231">AVERAGE(E4990:E5189)</x:f>
        <x:v>1369.4663999999998</x:v>
      </x:c>
      <x:c r="H5189" s="37" t="n">
        <x:f t="shared" si="232">IFERROR(E5189/G5189-1,"")</x:f>
        <x:v>0.05354172982995431</x:v>
      </x:c>
      <x:c r="I5189" s="38" t="b">
        <x:f t="shared" si="233">E5189&lt;G5189</x:f>
        <x:v>0</x:v>
      </x:c>
    </x:row>
    <x:row r="5190">
      <x:c r="A5190" s="31">
        <x:v>44581</x:v>
      </x:c>
      <x:c r="B5190" s="32">
        <x:v>1439.06</x:v>
      </x:c>
      <x:c r="C5190" s="32">
        <x:v>1469.08</x:v>
      </x:c>
      <x:c r="D5190" s="32">
        <x:v>1432.58</x:v>
      </x:c>
      <x:c r="E5190" s="32">
        <x:v>1465.3</x:v>
      </x:c>
      <x:c r="F5190" s="33">
        <x:v>762449400</x:v>
      </x:c>
      <x:c r="G5190" s="32" t="n">
        <x:f t="shared" si="231">AVERAGE(E4991:E5190)</x:f>
        <x:v>1370.5809999999997</x:v>
      </x:c>
      <x:c r="H5190" s="37" t="n">
        <x:f t="shared" si="232">IFERROR(E5190/G5190-1,"")</x:f>
        <x:v>0.06910864808427974</x:v>
      </x:c>
      <x:c r="I5190" s="38" t="b">
        <x:f t="shared" si="233">E5190&lt;G5190</x:f>
        <x:v>0</x:v>
      </x:c>
    </x:row>
    <x:row r="5191">
      <x:c r="A5191" s="31">
        <x:v>44582</x:v>
      </x:c>
      <x:c r="B5191" s="32">
        <x:v>1470.96</x:v>
      </x:c>
      <x:c r="C5191" s="32">
        <x:v>1477.23</x:v>
      </x:c>
      <x:c r="D5191" s="32">
        <x:v>1463.06</x:v>
      </x:c>
      <x:c r="E5191" s="32">
        <x:v>1472.89</x:v>
      </x:c>
      <x:c r="F5191" s="33">
        <x:v>784569900</x:v>
      </x:c>
      <x:c r="G5191" s="32" t="n">
        <x:f t="shared" si="231">AVERAGE(E4992:E5191)</x:f>
        <x:v>1371.7709999999997</x:v>
      </x:c>
      <x:c r="H5191" s="37" t="n">
        <x:f t="shared" si="232">IFERROR(E5191/G5191-1,"")</x:f>
        <x:v>0.0737141986526908</x:v>
      </x:c>
      <x:c r="I5191" s="38" t="b">
        <x:f t="shared" si="233">E5191&lt;G5191</x:f>
        <x:v>0</x:v>
      </x:c>
    </x:row>
    <x:row r="5192">
      <x:c r="A5192" s="31">
        <x:v>44585</x:v>
      </x:c>
      <x:c r="B5192" s="32">
        <x:v>1465.33</x:v>
      </x:c>
      <x:c r="C5192" s="32">
        <x:v>1472.89</x:v>
      </x:c>
      <x:c r="D5192" s="32">
        <x:v>1432.18</x:v>
      </x:c>
      <x:c r="E5192" s="32">
        <x:v>1439.71</x:v>
      </x:c>
      <x:c r="F5192" s="33">
        <x:v>796675500</x:v>
      </x:c>
      <x:c r="G5192" s="32" t="n">
        <x:f t="shared" si="231">AVERAGE(E4993:E5192)</x:f>
        <x:v>1372.81125</x:v>
      </x:c>
      <x:c r="H5192" s="37" t="n">
        <x:f t="shared" si="232">IFERROR(E5192/G5192-1,"")</x:f>
        <x:v>0.048731207585893666</x:v>
      </x:c>
      <x:c r="I5192" s="38" t="b">
        <x:f t="shared" si="233">E5192&lt;G5192</x:f>
        <x:v>0</x:v>
      </x:c>
    </x:row>
    <x:row r="5193">
      <x:c r="A5193" s="31">
        <x:v>44586</x:v>
      </x:c>
      <x:c r="B5193" s="32">
        <x:v>1433.2</x:v>
      </x:c>
      <x:c r="C5193" s="32">
        <x:v>1479.58</x:v>
      </x:c>
      <x:c r="D5193" s="32">
        <x:v>1424.36</x:v>
      </x:c>
      <x:c r="E5193" s="32">
        <x:v>1479.58</x:v>
      </x:c>
      <x:c r="F5193" s="33">
        <x:v>706092300</x:v>
      </x:c>
      <x:c r="G5193" s="32" t="n">
        <x:f t="shared" si="231">AVERAGE(E4994:E5193)</x:f>
        <x:v>1373.9469</x:v>
      </x:c>
      <x:c r="H5193" s="37" t="n">
        <x:f t="shared" si="232">IFERROR(E5193/G5193-1,"")</x:f>
        <x:v>0.07688295668486167</x:v>
      </x:c>
      <x:c r="I5193" s="38" t="b">
        <x:f t="shared" si="233">E5193&lt;G5193</x:f>
        <x:v>0</x:v>
      </x:c>
    </x:row>
    <x:row r="5194">
      <x:c r="A5194" s="31">
        <x:v>44587</x:v>
      </x:c>
      <x:c r="B5194" s="32">
        <x:v>1485.83</x:v>
      </x:c>
      <x:c r="C5194" s="32">
        <x:v>1490.45</x:v>
      </x:c>
      <x:c r="D5194" s="32">
        <x:v>1478.41</x:v>
      </x:c>
      <x:c r="E5194" s="32">
        <x:v>1481.58</x:v>
      </x:c>
      <x:c r="F5194" s="33">
        <x:v>767576600</x:v>
      </x:c>
      <x:c r="G5194" s="32" t="n">
        <x:f t="shared" si="231">AVERAGE(E4995:E5194)</x:f>
        <x:v>1375.1131500000001</x:v>
      </x:c>
      <x:c r="H5194" s="37" t="n">
        <x:f t="shared" si="232">IFERROR(E5194/G5194-1,"")</x:f>
        <x:v>0.07742406506693644</x:v>
      </x:c>
      <x:c r="I5194" s="38" t="b">
        <x:f t="shared" si="233">E5194&lt;G5194</x:f>
        <x:v>0</x:v>
      </x:c>
    </x:row>
    <x:row r="5195">
      <x:c r="A5195" s="31">
        <x:v>44588</x:v>
      </x:c>
      <x:c r="B5195" s="32">
        <x:v>1475.45</x:v>
      </x:c>
      <x:c r="C5195" s="32">
        <x:v>1486.39</x:v>
      </x:c>
      <x:c r="D5195" s="32">
        <x:v>1464.06</x:v>
      </x:c>
      <x:c r="E5195" s="32">
        <x:v>1470.76</x:v>
      </x:c>
      <x:c r="F5195" s="33">
        <x:v>522667600</x:v>
      </x:c>
      <x:c r="G5195" s="32" t="n">
        <x:f t="shared" si="231">AVERAGE(E4996:E5195)</x:f>
        <x:v>1376.1875999999997</x:v>
      </x:c>
      <x:c r="H5195" s="37" t="n">
        <x:f t="shared" si="232">IFERROR(E5195/G5195-1,"")</x:f>
        <x:v>0.06872057268936316</x:v>
      </x:c>
      <x:c r="I5195" s="38" t="b">
        <x:f t="shared" si="233">E5195&lt;G5195</x:f>
        <x:v>0</x:v>
      </x:c>
    </x:row>
    <x:row r="5196">
      <x:c r="A5196" s="31">
        <x:v>44589</x:v>
      </x:c>
      <x:c r="B5196" s="32">
        <x:v>1471.47</x:v>
      </x:c>
      <x:c r="C5196" s="32">
        <x:v>1484.48</x:v>
      </x:c>
      <x:c r="D5196" s="32">
        <x:v>1465.22</x:v>
      </x:c>
      <x:c r="E5196" s="32">
        <x:v>1478.96</x:v>
      </x:c>
      <x:c r="F5196" s="33">
        <x:v>663924300</x:v>
      </x:c>
      <x:c r="G5196" s="32" t="n">
        <x:f t="shared" si="231">AVERAGE(E4997:E5196)</x:f>
        <x:v>1377.3461499999999</x:v>
      </x:c>
      <x:c r="H5196" s="37" t="n">
        <x:f t="shared" si="232">IFERROR(E5196/G5196-1,"")</x:f>
        <x:v>0.07377510003567389</x:v>
      </x:c>
      <x:c r="I5196" s="38" t="b">
        <x:f t="shared" si="233">E5196&lt;G5196</x:f>
        <x:v>0</x:v>
      </x:c>
    </x:row>
    <x:row r="5197">
      <x:c r="A5197" s="31">
        <x:v>44599</x:v>
      </x:c>
      <x:c r="B5197" s="32">
        <x:v>1497.55</x:v>
      </x:c>
      <x:c r="C5197" s="32">
        <x:v>1505.69</x:v>
      </x:c>
      <x:c r="D5197" s="32">
        <x:v>1478.96</x:v>
      </x:c>
      <x:c r="E5197" s="32">
        <x:v>1497.66</x:v>
      </x:c>
      <x:c r="F5197" s="33">
        <x:v>551698200</x:v>
      </x:c>
      <x:c r="G5197" s="32" t="n">
        <x:f t="shared" ref="G5197:G5260" si="234">AVERAGE(E4998:E5197)</x:f>
        <x:v>1378.6408999999996</x:v>
      </x:c>
      <x:c r="H5197" s="37" t="n">
        <x:f t="shared" ref="H5197:H5260" si="235">IFERROR(E5197/G5197-1,"")</x:f>
        <x:v>0.08633074791267292</x:v>
      </x:c>
      <x:c r="I5197" s="38" t="b">
        <x:f t="shared" ref="I5197:I5260" si="236">E5197&lt;G5197</x:f>
        <x:v>0</x:v>
      </x:c>
    </x:row>
    <x:row r="5198">
      <x:c r="A5198" s="31">
        <x:v>44600</x:v>
      </x:c>
      <x:c r="B5198" s="32">
        <x:v>1495.58</x:v>
      </x:c>
      <x:c r="C5198" s="32">
        <x:v>1503.33</x:v>
      </x:c>
      <x:c r="D5198" s="32">
        <x:v>1491.78</x:v>
      </x:c>
      <x:c r="E5198" s="32">
        <x:v>1500.99</x:v>
      </x:c>
      <x:c r="F5198" s="33">
        <x:v>697228100</x:v>
      </x:c>
      <x:c r="G5198" s="32" t="n">
        <x:f t="shared" si="234">AVERAGE(E4999:E5198)</x:f>
        <x:v>1379.8429499999997</x:v>
      </x:c>
      <x:c r="H5198" s="37" t="n">
        <x:f t="shared" si="235">IFERROR(E5198/G5198-1,"")</x:f>
        <x:v>0.0877977091523352</x:v>
      </x:c>
      <x:c r="I5198" s="38" t="b">
        <x:f t="shared" si="236">E5198&lt;G5198</x:f>
        <x:v>0</x:v>
      </x:c>
    </x:row>
    <x:row r="5199">
      <x:c r="A5199" s="31">
        <x:v>44601</x:v>
      </x:c>
      <x:c r="B5199" s="32">
        <x:v>1500.78</x:v>
      </x:c>
      <x:c r="C5199" s="32">
        <x:v>1511.72</x:v>
      </x:c>
      <x:c r="D5199" s="32">
        <x:v>1499.53</x:v>
      </x:c>
      <x:c r="E5199" s="32">
        <x:v>1505.38</x:v>
      </x:c>
      <x:c r="F5199" s="33">
        <x:v>754188100</x:v>
      </x:c>
      <x:c r="G5199" s="32" t="n">
        <x:f t="shared" si="234">AVERAGE(E5000:E5199)</x:f>
        <x:v>1381.02845</x:v>
      </x:c>
      <x:c r="H5199" s="37" t="n">
        <x:f t="shared" si="235">IFERROR(E5199/G5199-1,"")</x:f>
        <x:v>0.09004271418159426</x:v>
      </x:c>
      <x:c r="I5199" s="38" t="b">
        <x:f t="shared" si="236">E5199&lt;G5199</x:f>
        <x:v>0</x:v>
      </x:c>
    </x:row>
    <x:row r="5200">
      <x:c r="A5200" s="31">
        <x:v>44602</x:v>
      </x:c>
      <x:c r="B5200" s="32">
        <x:v>1505.38</x:v>
      </x:c>
      <x:c r="C5200" s="32">
        <x:v>1512.88</x:v>
      </x:c>
      <x:c r="D5200" s="32">
        <x:v>1495.7</x:v>
      </x:c>
      <x:c r="E5200" s="32">
        <x:v>1506.79</x:v>
      </x:c>
      <x:c r="F5200" s="33">
        <x:v>628938000</x:v>
      </x:c>
      <x:c r="G5200" s="32" t="n">
        <x:f t="shared" si="234">AVERAGE(E5001:E5200)</x:f>
        <x:v>1382.4232999999995</x:v>
      </x:c>
      <x:c r="H5200" s="37" t="n">
        <x:f t="shared" si="235">IFERROR(E5200/G5200-1,"")</x:f>
        <x:v>0.08996282108381748</x:v>
      </x:c>
      <x:c r="I5200" s="38" t="b">
        <x:f t="shared" si="236">E5200&lt;G5200</x:f>
        <x:v>0</x:v>
      </x:c>
    </x:row>
    <x:row r="5201">
      <x:c r="A5201" s="31">
        <x:v>44603</x:v>
      </x:c>
      <x:c r="B5201" s="32">
        <x:v>1503.37</x:v>
      </x:c>
      <x:c r="C5201" s="32">
        <x:v>1508.54</x:v>
      </x:c>
      <x:c r="D5201" s="32">
        <x:v>1499.06</x:v>
      </x:c>
      <x:c r="E5201" s="32">
        <x:v>1501.71</x:v>
      </x:c>
      <x:c r="F5201" s="33">
        <x:v>577407200</x:v>
      </x:c>
      <x:c r="G5201" s="32" t="n">
        <x:f t="shared" si="234">AVERAGE(E5002:E5201)</x:f>
        <x:v>1383.6891999999998</x:v>
      </x:c>
      <x:c r="H5201" s="37" t="n">
        <x:f t="shared" si="235">IFERROR(E5201/G5201-1,"")</x:f>
        <x:v>0.08529429874859207</x:v>
      </x:c>
      <x:c r="I5201" s="38" t="b">
        <x:f t="shared" si="236">E5201&lt;G5201</x:f>
        <x:v>0</x:v>
      </x:c>
    </x:row>
    <x:row r="5202">
      <x:c r="A5202" s="31">
        <x:v>44606</x:v>
      </x:c>
      <x:c r="B5202" s="32">
        <x:v>1485.75</x:v>
      </x:c>
      <x:c r="C5202" s="32">
        <x:v>1495.99</x:v>
      </x:c>
      <x:c r="D5202" s="32">
        <x:v>1471.96</x:v>
      </x:c>
      <x:c r="E5202" s="32">
        <x:v>1471.96</x:v>
      </x:c>
      <x:c r="F5202" s="33">
        <x:v>751563900</x:v>
      </x:c>
      <x:c r="G5202" s="32" t="n">
        <x:f t="shared" si="234">AVERAGE(E5003:E5202)</x:f>
        <x:v>1384.9701499999999</x:v>
      </x:c>
      <x:c r="H5202" s="37" t="n">
        <x:f t="shared" si="235">IFERROR(E5202/G5202-1,"")</x:f>
        <x:v>0.06280990965761979</x:v>
      </x:c>
      <x:c r="I5202" s="38" t="b">
        <x:f t="shared" si="236">E5202&lt;G5202</x:f>
        <x:v>0</x:v>
      </x:c>
    </x:row>
    <x:row r="5203">
      <x:c r="A5203" s="31">
        <x:v>44607</x:v>
      </x:c>
      <x:c r="B5203" s="32">
        <x:v>1473.92</x:v>
      </x:c>
      <x:c r="C5203" s="32">
        <x:v>1495.56</x:v>
      </x:c>
      <x:c r="D5203" s="32">
        <x:v>1470.06</x:v>
      </x:c>
      <x:c r="E5203" s="32">
        <x:v>1492.75</x:v>
      </x:c>
      <x:c r="F5203" s="33">
        <x:v>572156100</x:v>
      </x:c>
      <x:c r="G5203" s="32" t="n">
        <x:f t="shared" si="234">AVERAGE(E5004:E5203)</x:f>
        <x:v>1386.3351499999999</x:v>
      </x:c>
      <x:c r="H5203" s="37" t="n">
        <x:f t="shared" si="235">IFERROR(E5203/G5203-1,"")</x:f>
        <x:v>0.07675982968476291</x:v>
      </x:c>
      <x:c r="I5203" s="38" t="b">
        <x:f t="shared" si="236">E5203&lt;G5203</x:f>
        <x:v>0</x:v>
      </x:c>
    </x:row>
    <x:row r="5204">
      <x:c r="A5204" s="31">
        <x:v>44608</x:v>
      </x:c>
      <x:c r="B5204" s="32">
        <x:v>1499.03</x:v>
      </x:c>
      <x:c r="C5204" s="32">
        <x:v>1499.5</x:v>
      </x:c>
      <x:c r="D5204" s="32">
        <x:v>1486.68</x:v>
      </x:c>
      <x:c r="E5204" s="32">
        <x:v>1492.1</x:v>
      </x:c>
      <x:c r="F5204" s="33">
        <x:v>617187300</x:v>
      </x:c>
      <x:c r="G5204" s="32" t="n">
        <x:f t="shared" si="234">AVERAGE(E5005:E5204)</x:f>
        <x:v>1387.6478999999995</x:v>
      </x:c>
      <x:c r="H5204" s="37" t="n">
        <x:f t="shared" si="235">IFERROR(E5204/G5204-1,"")</x:f>
        <x:v>0.0752727691224846</x:v>
      </x:c>
      <x:c r="I5204" s="38" t="b">
        <x:f t="shared" si="236">E5204&lt;G5204</x:f>
        <x:v>0</x:v>
      </x:c>
    </x:row>
    <x:row r="5205">
      <x:c r="A5205" s="31">
        <x:v>44609</x:v>
      </x:c>
      <x:c r="B5205" s="32">
        <x:v>1492.56</x:v>
      </x:c>
      <x:c r="C5205" s="32">
        <x:v>1507.99</x:v>
      </x:c>
      <x:c r="D5205" s="32">
        <x:v>1492.1</x:v>
      </x:c>
      <x:c r="E5205" s="32">
        <x:v>1507.99</x:v>
      </x:c>
      <x:c r="F5205" s="33">
        <x:v>588111300</x:v>
      </x:c>
      <x:c r="G5205" s="32" t="n">
        <x:f t="shared" si="234">AVERAGE(E5006:E5205)</x:f>
        <x:v>1388.990899999999</x:v>
      </x:c>
      <x:c r="H5205" s="37" t="n">
        <x:f t="shared" si="235">IFERROR(E5205/G5205-1,"")</x:f>
        <x:v>0.0856730594851276</x:v>
      </x:c>
      <x:c r="I5205" s="38" t="b">
        <x:f t="shared" si="236">E5205&lt;G5205</x:f>
        <x:v>0</x:v>
      </x:c>
    </x:row>
    <x:row r="5206">
      <x:c r="A5206" s="31">
        <x:v>44610</x:v>
      </x:c>
      <x:c r="B5206" s="32">
        <x:v>1494.3</x:v>
      </x:c>
      <x:c r="C5206" s="32">
        <x:v>1507.99</x:v>
      </x:c>
      <x:c r="D5206" s="32">
        <x:v>1492.38</x:v>
      </x:c>
      <x:c r="E5206" s="32">
        <x:v>1504.84</x:v>
      </x:c>
      <x:c r="F5206" s="33">
        <x:v>672537800</x:v>
      </x:c>
      <x:c r="G5206" s="32" t="n">
        <x:f t="shared" si="234">AVERAGE(E5007:E5206)</x:f>
        <x:v>1390.3040999999994</x:v>
      </x:c>
      <x:c r="H5206" s="37" t="n">
        <x:f t="shared" si="235">IFERROR(E5206/G5206-1,"")</x:f>
        <x:v>0.0823819047933474</x:v>
      </x:c>
      <x:c r="I5206" s="38" t="b">
        <x:f t="shared" si="236">E5206&lt;G5206</x:f>
        <x:v>0</x:v>
      </x:c>
    </x:row>
    <x:row r="5207">
      <x:c r="A5207" s="31">
        <x:v>44613</x:v>
      </x:c>
      <x:c r="B5207" s="32">
        <x:v>1504.96</x:v>
      </x:c>
      <x:c r="C5207" s="32">
        <x:v>1516.63</x:v>
      </x:c>
      <x:c r="D5207" s="32">
        <x:v>1500.97</x:v>
      </x:c>
      <x:c r="E5207" s="32">
        <x:v>1510.84</x:v>
      </x:c>
      <x:c r="F5207" s="33">
        <x:v>737693400</x:v>
      </x:c>
      <x:c r="G5207" s="32" t="n">
        <x:f t="shared" si="234">AVERAGE(E5008:E5207)</x:f>
        <x:v>1391.5761499999994</x:v>
      </x:c>
      <x:c r="H5207" s="37" t="n">
        <x:f t="shared" si="235">IFERROR(E5207/G5207-1,"")</x:f>
        <x:v>0.085704149212388</x:v>
      </x:c>
      <x:c r="I5207" s="38" t="b">
        <x:f t="shared" si="236">E5207&lt;G5207</x:f>
        <x:v>0</x:v>
      </x:c>
    </x:row>
    <x:row r="5208">
      <x:c r="A5208" s="31">
        <x:v>44614</x:v>
      </x:c>
      <x:c r="B5208" s="32">
        <x:v>1497.46</x:v>
      </x:c>
      <x:c r="C5208" s="32">
        <x:v>1510.84</x:v>
      </x:c>
      <x:c r="D5208" s="32">
        <x:v>1484.81</x:v>
      </x:c>
      <x:c r="E5208" s="32">
        <x:v>1503.47</x:v>
      </x:c>
      <x:c r="F5208" s="33">
        <x:v>875383700</x:v>
      </x:c>
      <x:c r="G5208" s="32" t="n">
        <x:f t="shared" si="234">AVERAGE(E5009:E5208)</x:f>
        <x:v>1392.8406499999994</x:v>
      </x:c>
      <x:c r="H5208" s="37" t="n">
        <x:f t="shared" si="235">IFERROR(E5208/G5208-1,"")</x:f>
        <x:v>0.07942714049880761</x:v>
      </x:c>
      <x:c r="I5208" s="38" t="b">
        <x:f t="shared" si="236">E5208&lt;G5208</x:f>
        <x:v>0</x:v>
      </x:c>
    </x:row>
    <x:row r="5209">
      <x:c r="A5209" s="31">
        <x:v>44615</x:v>
      </x:c>
      <x:c r="B5209" s="32">
        <x:v>1509.42</x:v>
      </x:c>
      <x:c r="C5209" s="32">
        <x:v>1520.78</x:v>
      </x:c>
      <x:c r="D5209" s="32">
        <x:v>1503.47</x:v>
      </x:c>
      <x:c r="E5209" s="32">
        <x:v>1512.3</x:v>
      </x:c>
      <x:c r="F5209" s="33">
        <x:v>660165300</x:v>
      </x:c>
      <x:c r="G5209" s="32" t="n">
        <x:f t="shared" si="234">AVERAGE(E5010:E5209)</x:f>
        <x:v>1394.1930999999995</x:v>
      </x:c>
      <x:c r="H5209" s="37" t="n">
        <x:f t="shared" si="235">IFERROR(E5209/G5209-1,"")</x:f>
        <x:v>0.08471344464407449</x:v>
      </x:c>
      <x:c r="I5209" s="38" t="b">
        <x:f t="shared" si="236">E5209&lt;G5209</x:f>
        <x:v>0</x:v>
      </x:c>
    </x:row>
    <x:row r="5210">
      <x:c r="A5210" s="31">
        <x:v>44616</x:v>
      </x:c>
      <x:c r="B5210" s="32">
        <x:v>1511.84</x:v>
      </x:c>
      <x:c r="C5210" s="32">
        <x:v>1513.25</x:v>
      </x:c>
      <x:c r="D5210" s="32">
        <x:v>1473.76</x:v>
      </x:c>
      <x:c r="E5210" s="32">
        <x:v>1494.85</x:v>
      </x:c>
      <x:c r="F5210" s="33">
        <x:v>1133051100</x:v>
      </x:c>
      <x:c r="G5210" s="32" t="n">
        <x:f t="shared" si="234">AVERAGE(E5011:E5210)</x:f>
        <x:v>1395.3694499999992</x:v>
      </x:c>
      <x:c r="H5210" s="37" t="n">
        <x:f t="shared" si="235">IFERROR(E5210/G5210-1,"")</x:f>
        <x:v>0.07129334098578743</x:v>
      </x:c>
      <x:c r="I5210" s="38" t="b">
        <x:f t="shared" si="236">E5210&lt;G5210</x:f>
        <x:v>0</x:v>
      </x:c>
    </x:row>
    <x:row r="5211">
      <x:c r="A5211" s="31">
        <x:v>44617</x:v>
      </x:c>
      <x:c r="B5211" s="32">
        <x:v>1504.37</x:v>
      </x:c>
      <x:c r="C5211" s="32">
        <x:v>1512.05</x:v>
      </x:c>
      <x:c r="D5211" s="32">
        <x:v>1494.85</x:v>
      </x:c>
      <x:c r="E5211" s="32">
        <x:v>1498.89</x:v>
      </x:c>
      <x:c r="F5211" s="33">
        <x:v>736050400</x:v>
      </x:c>
      <x:c r="G5211" s="32" t="n">
        <x:f t="shared" si="234">AVERAGE(E5012:E5211)</x:f>
        <x:v>1396.5836999999995</x:v>
      </x:c>
      <x:c r="H5211" s="37" t="n">
        <x:f t="shared" si="235">IFERROR(E5211/G5211-1,"")</x:f>
        <x:v>0.07325468570197446</x:v>
      </x:c>
      <x:c r="I5211" s="38" t="b">
        <x:f t="shared" si="236">E5211&lt;G5211</x:f>
        <x:v>0</x:v>
      </x:c>
    </x:row>
    <x:row r="5212">
      <x:c r="A5212" s="31">
        <x:v>44620</x:v>
      </x:c>
      <x:c r="B5212" s="32">
        <x:v>1499.31</x:v>
      </x:c>
      <x:c r="C5212" s="32">
        <x:v>1502.36</x:v>
      </x:c>
      <x:c r="D5212" s="32">
        <x:v>1487.57</x:v>
      </x:c>
      <x:c r="E5212" s="32">
        <x:v>1490.13</x:v>
      </x:c>
      <x:c r="F5212" s="33">
        <x:v>693212400</x:v>
      </x:c>
      <x:c r="G5212" s="32" t="n">
        <x:f t="shared" si="234">AVERAGE(E5013:E5212)</x:f>
        <x:v>1397.6888999999996</x:v>
      </x:c>
      <x:c r="H5212" s="37" t="n">
        <x:f t="shared" si="235">IFERROR(E5212/G5212-1,"")</x:f>
        <x:v>0.06613853769604994</x:v>
      </x:c>
      <x:c r="I5212" s="38" t="b">
        <x:f t="shared" si="236">E5212&lt;G5212</x:f>
        <x:v>0</x:v>
      </x:c>
    </x:row>
    <x:row r="5213">
      <x:c r="A5213" s="31">
        <x:v>44621</x:v>
      </x:c>
      <x:c r="B5213" s="32">
        <x:v>1493.41</x:v>
      </x:c>
      <x:c r="C5213" s="32">
        <x:v>1501.73</x:v>
      </x:c>
      <x:c r="D5213" s="32">
        <x:v>1490.13</x:v>
      </x:c>
      <x:c r="E5213" s="32">
        <x:v>1498.78</x:v>
      </x:c>
      <x:c r="F5213" s="33">
        <x:v>796368600</x:v>
      </x:c>
      <x:c r="G5213" s="32" t="n">
        <x:f t="shared" si="234">AVERAGE(E5014:E5213)</x:f>
        <x:v>1398.8728499999995</x:v>
      </x:c>
      <x:c r="H5213" s="37" t="n">
        <x:f t="shared" si="235">IFERROR(E5213/G5213-1,"")</x:f>
        <x:v>0.07141975055131033</x:v>
      </x:c>
      <x:c r="I5213" s="38" t="b">
        <x:f t="shared" si="236">E5213&lt;G5213</x:f>
        <x:v>0</x:v>
      </x:c>
    </x:row>
    <x:row r="5214">
      <x:c r="A5214" s="31">
        <x:v>44622</x:v>
      </x:c>
      <x:c r="B5214" s="32">
        <x:v>1499.37</x:v>
      </x:c>
      <x:c r="C5214" s="32">
        <x:v>1500.41</x:v>
      </x:c>
      <x:c r="D5214" s="32">
        <x:v>1479.55</x:v>
      </x:c>
      <x:c r="E5214" s="32">
        <x:v>1485.52</x:v>
      </x:c>
      <x:c r="F5214" s="33">
        <x:v>914957200</x:v>
      </x:c>
      <x:c r="G5214" s="32" t="n">
        <x:f t="shared" si="234">AVERAGE(E5015:E5214)</x:f>
        <x:v>1399.9686499999996</x:v>
      </x:c>
      <x:c r="H5214" s="37" t="n">
        <x:f t="shared" si="235">IFERROR(E5214/G5214-1,"")</x:f>
        <x:v>0.06110947555861368</x:v>
      </x:c>
      <x:c r="I5214" s="38" t="b">
        <x:f t="shared" si="236">E5214&lt;G5214</x:f>
        <x:v>0</x:v>
      </x:c>
    </x:row>
    <x:row r="5215">
      <x:c r="A5215" s="31">
        <x:v>44623</x:v>
      </x:c>
      <x:c r="B5215" s="32">
        <x:v>1492.42</x:v>
      </x:c>
      <x:c r="C5215" s="32">
        <x:v>1505</x:v>
      </x:c>
      <x:c r="D5215" s="32">
        <x:v>1485.52</x:v>
      </x:c>
      <x:c r="E5215" s="32">
        <x:v>1505</x:v>
      </x:c>
      <x:c r="F5215" s="33">
        <x:v>902783400</x:v>
      </x:c>
      <x:c r="G5215" s="32" t="n">
        <x:f t="shared" si="234">AVERAGE(E5016:E5215)</x:f>
        <x:v>1401.2001499999992</x:v>
      </x:c>
      <x:c r="H5215" s="37" t="n">
        <x:f t="shared" si="235">IFERROR(E5215/G5215-1,"")</x:f>
        <x:v>0.0740792455667385</x:v>
      </x:c>
      <x:c r="I5215" s="38" t="b">
        <x:f t="shared" si="236">E5215&lt;G5215</x:f>
        <x:v>0</x:v>
      </x:c>
    </x:row>
    <x:row r="5216">
      <x:c r="A5216" s="31">
        <x:v>44624</x:v>
      </x:c>
      <x:c r="B5216" s="32">
        <x:v>1506.79</x:v>
      </x:c>
      <x:c r="C5216" s="32">
        <x:v>1509.19</x:v>
      </x:c>
      <x:c r="D5216" s="32">
        <x:v>1501.39</x:v>
      </x:c>
      <x:c r="E5216" s="32">
        <x:v>1505.33</x:v>
      </x:c>
      <x:c r="F5216" s="33">
        <x:v>873323700</x:v>
      </x:c>
      <x:c r="G5216" s="32" t="n">
        <x:f t="shared" si="234">AVERAGE(E5017:E5216)</x:f>
        <x:v>1402.4633999999996</x:v>
      </x:c>
      <x:c r="H5216" s="37" t="n">
        <x:f t="shared" si="235">IFERROR(E5216/G5216-1,"")</x:f>
        <x:v>0.0733470834247798</x:v>
      </x:c>
      <x:c r="I5216" s="38" t="b">
        <x:f t="shared" si="236">E5216&lt;G5216</x:f>
        <x:v>0</x:v>
      </x:c>
    </x:row>
    <x:row r="5217">
      <x:c r="A5217" s="31">
        <x:v>44627</x:v>
      </x:c>
      <x:c r="B5217" s="32">
        <x:v>1500.65</x:v>
      </x:c>
      <x:c r="C5217" s="32">
        <x:v>1505.33</x:v>
      </x:c>
      <x:c r="D5217" s="32">
        <x:v>1493.87</x:v>
      </x:c>
      <x:c r="E5217" s="32">
        <x:v>1499.05</x:v>
      </x:c>
      <x:c r="F5217" s="33">
        <x:v>941752700</x:v>
      </x:c>
      <x:c r="G5217" s="32" t="n">
        <x:f t="shared" si="234">AVERAGE(E5018:E5217)</x:f>
        <x:v>1403.6461999999997</x:v>
      </x:c>
      <x:c r="H5217" s="37" t="n">
        <x:f t="shared" si="235">IFERROR(E5217/G5217-1,"")</x:f>
        <x:v>0.06796855218929121</x:v>
      </x:c>
      <x:c r="I5217" s="38" t="b">
        <x:f t="shared" si="236">E5217&lt;G5217</x:f>
        <x:v>0</x:v>
      </x:c>
    </x:row>
    <x:row r="5218">
      <x:c r="A5218" s="31">
        <x:v>44628</x:v>
      </x:c>
      <x:c r="B5218" s="32">
        <x:v>1499.05</x:v>
      </x:c>
      <x:c r="C5218" s="32">
        <x:v>1499.05</x:v>
      </x:c>
      <x:c r="D5218" s="32">
        <x:v>1473.71</x:v>
      </x:c>
      <x:c r="E5218" s="32">
        <x:v>1473.71</x:v>
      </x:c>
      <x:c r="F5218" s="33">
        <x:v>982168800</x:v>
      </x:c>
      <x:c r="G5218" s="32" t="n">
        <x:f t="shared" si="234">AVERAGE(E5019:E5218)</x:f>
        <x:v>1404.6236499999995</x:v>
      </x:c>
      <x:c r="H5218" s="37" t="n">
        <x:f t="shared" si="235">IFERROR(E5218/G5218-1,"")</x:f>
        <x:v>0.049184954275830695</x:v>
      </x:c>
      <x:c r="I5218" s="38" t="b">
        <x:f t="shared" si="236">E5218&lt;G5218</x:f>
        <x:v>0</x:v>
      </x:c>
    </x:row>
    <x:row r="5219">
      <x:c r="A5219" s="31">
        <x:v>44629</x:v>
      </x:c>
      <x:c r="B5219" s="32">
        <x:v>1478.16</x:v>
      </x:c>
      <x:c r="C5219" s="32">
        <x:v>1482.86</x:v>
      </x:c>
      <x:c r="D5219" s="32">
        <x:v>1462.8</x:v>
      </x:c>
      <x:c r="E5219" s="32">
        <x:v>1473.74</x:v>
      </x:c>
      <x:c r="F5219" s="33">
        <x:v>888352600</x:v>
      </x:c>
      <x:c r="G5219" s="32" t="n">
        <x:f t="shared" si="234">AVERAGE(E5020:E5219)</x:f>
        <x:v>1405.5726999999993</x:v>
      </x:c>
      <x:c r="H5219" s="37" t="n">
        <x:f t="shared" si="235">IFERROR(E5219/G5219-1,"")</x:f>
        <x:v>0.04849788274914624</x:v>
      </x:c>
      <x:c r="I5219" s="38" t="b">
        <x:f t="shared" si="236">E5219&lt;G5219</x:f>
        <x:v>0</x:v>
      </x:c>
    </x:row>
    <x:row r="5220">
      <x:c r="A5220" s="31">
        <x:v>44630</x:v>
      </x:c>
      <x:c r="B5220" s="32">
        <x:v>1473.74</x:v>
      </x:c>
      <x:c r="C5220" s="32">
        <x:v>1488.59</x:v>
      </x:c>
      <x:c r="D5220" s="32">
        <x:v>1473.74</x:v>
      </x:c>
      <x:c r="E5220" s="32">
        <x:v>1479.08</x:v>
      </x:c>
      <x:c r="F5220" s="33">
        <x:v>629092200</x:v>
      </x:c>
      <x:c r="G5220" s="32" t="n">
        <x:f t="shared" si="234">AVERAGE(E5021:E5220)</x:f>
        <x:v>1406.4781999999996</x:v>
      </x:c>
      <x:c r="H5220" s="37" t="n">
        <x:f t="shared" si="235">IFERROR(E5220/G5220-1,"")</x:f>
        <x:v>0.05161957007225593</x:v>
      </x:c>
      <x:c r="I5220" s="38" t="b">
        <x:f t="shared" si="236">E5220&lt;G5220</x:f>
        <x:v>0</x:v>
      </x:c>
    </x:row>
    <x:row r="5221">
      <x:c r="A5221" s="31">
        <x:v>44631</x:v>
      </x:c>
      <x:c r="B5221" s="32">
        <x:v>1478.23</x:v>
      </x:c>
      <x:c r="C5221" s="32">
        <x:v>1480.29</x:v>
      </x:c>
      <x:c r="D5221" s="32">
        <x:v>1458.88</x:v>
      </x:c>
      <x:c r="E5221" s="32">
        <x:v>1466.54</x:v>
      </x:c>
      <x:c r="F5221" s="33">
        <x:v>855643700</x:v>
      </x:c>
      <x:c r="G5221" s="32" t="n">
        <x:f t="shared" si="234">AVERAGE(E5022:E5221)</x:f>
        <x:v>1407.2679999999996</x:v>
      </x:c>
      <x:c r="H5221" s="37" t="n">
        <x:f t="shared" si="235">IFERROR(E5221/G5221-1,"")</x:f>
        <x:v>0.04211848773652238</x:v>
      </x:c>
      <x:c r="I5221" s="38" t="b">
        <x:f t="shared" si="236">E5221&lt;G5221</x:f>
        <x:v>0</x:v>
      </x:c>
    </x:row>
    <x:row r="5222">
      <x:c r="A5222" s="31">
        <x:v>44634</x:v>
      </x:c>
      <x:c r="B5222" s="32">
        <x:v>1459.28</x:v>
      </x:c>
      <x:c r="C5222" s="32">
        <x:v>1466.54</x:v>
      </x:c>
      <x:c r="D5222" s="32">
        <x:v>1439.19</x:v>
      </x:c>
      <x:c r="E5222" s="32">
        <x:v>1446.25</x:v>
      </x:c>
      <x:c r="F5222" s="33">
        <x:v>815892100</x:v>
      </x:c>
      <x:c r="G5222" s="32" t="n">
        <x:f t="shared" si="234">AVERAGE(E5023:E5222)</x:f>
        <x:v>1407.9157499999994</x:v>
      </x:c>
      <x:c r="H5222" s="37" t="n">
        <x:f t="shared" si="235">IFERROR(E5222/G5222-1,"")</x:f>
        <x:v>0.027227659041388463</x:v>
      </x:c>
      <x:c r="I5222" s="38" t="b">
        <x:f t="shared" si="236">E5222&lt;G5222</x:f>
        <x:v>0</x:v>
      </x:c>
    </x:row>
    <x:row r="5223">
      <x:c r="A5223" s="31">
        <x:v>44635</x:v>
      </x:c>
      <x:c r="B5223" s="32">
        <x:v>1445.05</x:v>
      </x:c>
      <x:c r="C5223" s="32">
        <x:v>1453.07</x:v>
      </x:c>
      <x:c r="D5223" s="32">
        <x:v>1437.27</x:v>
      </x:c>
      <x:c r="E5223" s="32">
        <x:v>1452.74</x:v>
      </x:c>
      <x:c r="F5223" s="33">
        <x:v>641644500</x:v>
      </x:c>
      <x:c r="G5223" s="32" t="n">
        <x:f t="shared" si="234">AVERAGE(E5024:E5223)</x:f>
        <x:v>1408.6615999999995</x:v>
      </x:c>
      <x:c r="H5223" s="37" t="n">
        <x:f t="shared" si="235">IFERROR(E5223/G5223-1,"")</x:f>
        <x:v>0.03129097861402674</x:v>
      </x:c>
      <x:c r="I5223" s="38" t="b">
        <x:f t="shared" si="236">E5223&lt;G5223</x:f>
        <x:v>0</x:v>
      </x:c>
    </x:row>
    <x:row r="5224">
      <x:c r="A5224" s="31">
        <x:v>44636</x:v>
      </x:c>
      <x:c r="B5224" s="32">
        <x:v>1459.97</x:v>
      </x:c>
      <x:c r="C5224" s="32">
        <x:v>1462.98</x:v>
      </x:c>
      <x:c r="D5224" s="32">
        <x:v>1453.91</x:v>
      </x:c>
      <x:c r="E5224" s="32">
        <x:v>1459.33</x:v>
      </x:c>
      <x:c r="F5224" s="33">
        <x:v>544662700</x:v>
      </x:c>
      <x:c r="G5224" s="32" t="n">
        <x:f t="shared" si="234">AVERAGE(E5025:E5224)</x:f>
        <x:v>1409.3559499999994</x:v>
      </x:c>
      <x:c r="H5224" s="37" t="n">
        <x:f t="shared" si="235">IFERROR(E5224/G5224-1,"")</x:f>
        <x:v>0.03545878526996704</x:v>
      </x:c>
      <x:c r="I5224" s="38" t="b">
        <x:f t="shared" si="236">E5224&lt;G5224</x:f>
        <x:v>0</x:v>
      </x:c>
    </x:row>
    <x:row r="5225">
      <x:c r="A5225" s="31">
        <x:v>44637</x:v>
      </x:c>
      <x:c r="B5225" s="32">
        <x:v>1466.56</x:v>
      </x:c>
      <x:c r="C5225" s="32">
        <x:v>1467.74</x:v>
      </x:c>
      <x:c r="D5225" s="32">
        <x:v>1459.14</x:v>
      </x:c>
      <x:c r="E5225" s="32">
        <x:v>1461.34</x:v>
      </x:c>
      <x:c r="F5225" s="33">
        <x:v>683175800</x:v>
      </x:c>
      <x:c r="G5225" s="32" t="n">
        <x:f t="shared" si="234">AVERAGE(E5026:E5225)</x:f>
        <x:v>1410.0223999999996</x:v>
      </x:c>
      <x:c r="H5225" s="37" t="n">
        <x:f t="shared" si="235">IFERROR(E5225/G5225-1,"")</x:f>
        <x:v>0.036394882804698936</x:v>
      </x:c>
      <x:c r="I5225" s="38" t="b">
        <x:f t="shared" si="236">E5225&lt;G5225</x:f>
        <x:v>0</x:v>
      </x:c>
    </x:row>
    <x:row r="5226">
      <x:c r="A5226" s="31">
        <x:v>44638</x:v>
      </x:c>
      <x:c r="B5226" s="32">
        <x:v>1466.14</x:v>
      </x:c>
      <x:c r="C5226" s="32">
        <x:v>1474.86</x:v>
      </x:c>
      <x:c r="D5226" s="32">
        <x:v>1465.57</x:v>
      </x:c>
      <x:c r="E5226" s="32">
        <x:v>1469.1</x:v>
      </x:c>
      <x:c r="F5226" s="33">
        <x:v>745610800</x:v>
      </x:c>
      <x:c r="G5226" s="32" t="n">
        <x:f t="shared" si="234">AVERAGE(E5027:E5226)</x:f>
        <x:v>1410.6789999999994</x:v>
      </x:c>
      <x:c r="H5226" s="37" t="n">
        <x:f t="shared" si="235">IFERROR(E5226/G5226-1,"")</x:f>
        <x:v>0.04141339028935742</x:v>
      </x:c>
      <x:c r="I5226" s="38" t="b">
        <x:f t="shared" si="236">E5226&lt;G5226</x:f>
        <x:v>0</x:v>
      </x:c>
    </x:row>
    <x:row r="5227">
      <x:c r="A5227" s="31">
        <x:v>44641</x:v>
      </x:c>
      <x:c r="B5227" s="32">
        <x:v>1469.1</x:v>
      </x:c>
      <x:c r="C5227" s="32">
        <x:v>1494.95</x:v>
      </x:c>
      <x:c r="D5227" s="32">
        <x:v>1469.1</x:v>
      </x:c>
      <x:c r="E5227" s="32">
        <x:v>1494.95</x:v>
      </x:c>
      <x:c r="F5227" s="33">
        <x:v>727377200</x:v>
      </x:c>
      <x:c r="G5227" s="32" t="n">
        <x:f t="shared" si="234">AVERAGE(E5028:E5227)</x:f>
        <x:v>1411.4498499999995</x:v>
      </x:c>
      <x:c r="H5227" s="37" t="n">
        <x:f t="shared" si="235">IFERROR(E5227/G5227-1,"")</x:f>
        <x:v>0.05915913342581791</x:v>
      </x:c>
      <x:c r="I5227" s="38" t="b">
        <x:f t="shared" si="236">E5227&lt;G5227</x:f>
        <x:v>0</x:v>
      </x:c>
    </x:row>
    <x:row r="5228">
      <x:c r="A5228" s="31">
        <x:v>44642</x:v>
      </x:c>
      <x:c r="B5228" s="32">
        <x:v>1500.08</x:v>
      </x:c>
      <x:c r="C5228" s="32">
        <x:v>1507.71</x:v>
      </x:c>
      <x:c r="D5228" s="32">
        <x:v>1498.48</x:v>
      </x:c>
      <x:c r="E5228" s="32">
        <x:v>1503.78</x:v>
      </x:c>
      <x:c r="F5228" s="33">
        <x:v>905037000</x:v>
      </x:c>
      <x:c r="G5228" s="32" t="n">
        <x:f t="shared" si="234">AVERAGE(E5029:E5228)</x:f>
        <x:v>1412.14735</x:v>
      </x:c>
      <x:c r="H5228" s="37" t="n">
        <x:f t="shared" si="235">IFERROR(E5228/G5228-1,"")</x:f>
        <x:v>0.0648888729635757</x:v>
      </x:c>
      <x:c r="I5228" s="38" t="b">
        <x:f t="shared" si="236">E5228&lt;G5228</x:f>
        <x:v>0</x:v>
      </x:c>
    </x:row>
    <x:row r="5229">
      <x:c r="A5229" s="31">
        <x:v>44643</x:v>
      </x:c>
      <x:c r="B5229" s="32">
        <x:v>1505.76</x:v>
      </x:c>
      <x:c r="C5229" s="32">
        <x:v>1513.9</x:v>
      </x:c>
      <x:c r="D5229" s="32">
        <x:v>1501.67</x:v>
      </x:c>
      <x:c r="E5229" s="32">
        <x:v>1502.34</x:v>
      </x:c>
      <x:c r="F5229" s="33">
        <x:v>788727300</x:v>
      </x:c>
      <x:c r="G5229" s="32" t="n">
        <x:f t="shared" si="234">AVERAGE(E5030:E5229)</x:f>
        <x:v>1412.7887999999998</x:v>
      </x:c>
      <x:c r="H5229" s="37" t="n">
        <x:f t="shared" si="235">IFERROR(E5229/G5229-1,"")</x:f>
        <x:v>0.06338611970876329</x:v>
      </x:c>
      <x:c r="I5229" s="38" t="b">
        <x:f t="shared" si="236">E5229&lt;G5229</x:f>
        <x:v>0</x:v>
      </x:c>
    </x:row>
    <x:row r="5230">
      <x:c r="A5230" s="31">
        <x:v>44644</x:v>
      </x:c>
      <x:c r="B5230" s="32">
        <x:v>1503.91</x:v>
      </x:c>
      <x:c r="C5230" s="32">
        <x:v>1505.39</x:v>
      </x:c>
      <x:c r="D5230" s="32">
        <x:v>1495.18</x:v>
      </x:c>
      <x:c r="E5230" s="32">
        <x:v>1498.26</x:v>
      </x:c>
      <x:c r="F5230" s="33">
        <x:v>753772900</x:v>
      </x:c>
      <x:c r="G5230" s="32" t="n">
        <x:f t="shared" si="234">AVERAGE(E5031:E5230)</x:f>
        <x:v>1413.4862</x:v>
      </x:c>
      <x:c r="H5230" s="37" t="n">
        <x:f t="shared" si="235">IFERROR(E5230/G5230-1,"")</x:f>
        <x:v>0.05997497534818508</x:v>
      </x:c>
      <x:c r="I5230" s="38" t="b">
        <x:f t="shared" si="236">E5230&lt;G5230</x:f>
        <x:v>0</x:v>
      </x:c>
    </x:row>
    <x:row r="5231">
      <x:c r="A5231" s="31">
        <x:v>44645</x:v>
      </x:c>
      <x:c r="B5231" s="32">
        <x:v>1500.17</x:v>
      </x:c>
      <x:c r="C5231" s="32">
        <x:v>1503.29</x:v>
      </x:c>
      <x:c r="D5231" s="32">
        <x:v>1494.55</x:v>
      </x:c>
      <x:c r="E5231" s="32">
        <x:v>1498.5</x:v>
      </x:c>
      <x:c r="F5231" s="33">
        <x:v>724086800</x:v>
      </x:c>
      <x:c r="G5231" s="32" t="n">
        <x:f t="shared" si="234">AVERAGE(E5032:E5231)</x:f>
        <x:v>1414.3792999999998</x:v>
      </x:c>
      <x:c r="H5231" s="37" t="n">
        <x:f t="shared" si="235">IFERROR(E5231/G5231-1,"")</x:f>
        <x:v>0.059475347242426535</x:v>
      </x:c>
      <x:c r="I5231" s="38" t="b">
        <x:f t="shared" si="236">E5231&lt;G5231</x:f>
        <x:v>0</x:v>
      </x:c>
    </x:row>
    <x:row r="5232">
      <x:c r="A5232" s="31">
        <x:v>44648</x:v>
      </x:c>
      <x:c r="B5232" s="32">
        <x:v>1490.28</x:v>
      </x:c>
      <x:c r="C5232" s="32">
        <x:v>1496.79</x:v>
      </x:c>
      <x:c r="D5232" s="32">
        <x:v>1473.8</x:v>
      </x:c>
      <x:c r="E5232" s="32">
        <x:v>1483.18</x:v>
      </x:c>
      <x:c r="F5232" s="33">
        <x:v>988984900</x:v>
      </x:c>
      <x:c r="G5232" s="32" t="n">
        <x:f t="shared" si="234">AVERAGE(E5033:E5232)</x:f>
        <x:v>1415.1306999999997</x:v>
      </x:c>
      <x:c r="H5232" s="37" t="n">
        <x:f t="shared" si="235">IFERROR(E5232/G5232-1,"")</x:f>
        <x:v>0.04808693642219786</x:v>
      </x:c>
      <x:c r="I5232" s="38" t="b">
        <x:f t="shared" si="236">E5232&lt;G5232</x:f>
        <x:v>0</x:v>
      </x:c>
    </x:row>
    <x:row r="5233">
      <x:c r="A5233" s="31">
        <x:v>44649</x:v>
      </x:c>
      <x:c r="B5233" s="32">
        <x:v>1487.57</x:v>
      </x:c>
      <x:c r="C5233" s="32">
        <x:v>1498.45</x:v>
      </x:c>
      <x:c r="D5233" s="32">
        <x:v>1487.57</x:v>
      </x:c>
      <x:c r="E5233" s="32">
        <x:v>1497.76</x:v>
      </x:c>
      <x:c r="F5233" s="33">
        <x:v>687922600</x:v>
      </x:c>
      <x:c r="G5233" s="32" t="n">
        <x:f t="shared" si="234">AVERAGE(E5034:E5233)</x:f>
        <x:v>1416.0015999999998</x:v>
      </x:c>
      <x:c r="H5233" s="37" t="n">
        <x:f t="shared" si="235">IFERROR(E5233/G5233-1,"")</x:f>
        <x:v>0.05773891780913254</x:v>
      </x:c>
      <x:c r="I5233" s="38" t="b">
        <x:f t="shared" si="236">E5233&lt;G5233</x:f>
        <x:v>0</x:v>
      </x:c>
    </x:row>
    <x:row r="5234">
      <x:c r="A5234" s="31">
        <x:v>44650</x:v>
      </x:c>
      <x:c r="B5234" s="32">
        <x:v>1491.92</x:v>
      </x:c>
      <x:c r="C5234" s="32">
        <x:v>1503.89</x:v>
      </x:c>
      <x:c r="D5234" s="32">
        <x:v>1483.9</x:v>
      </x:c>
      <x:c r="E5234" s="32">
        <x:v>1490.51</x:v>
      </x:c>
      <x:c r="F5234" s="33">
        <x:v>880911900</x:v>
      </x:c>
      <x:c r="G5234" s="32" t="n">
        <x:f t="shared" si="234">AVERAGE(E5035:E5234)</x:f>
        <x:v>1416.6954499999995</x:v>
      </x:c>
      <x:c r="H5234" s="37" t="n">
        <x:f t="shared" si="235">IFERROR(E5234/G5234-1,"")</x:f>
        <x:v>0.05210332961823272</x:v>
      </x:c>
      <x:c r="I5234" s="38" t="b">
        <x:f t="shared" si="236">E5234&lt;G5234</x:f>
        <x:v>0</x:v>
      </x:c>
    </x:row>
    <x:row r="5235">
      <x:c r="A5235" s="31">
        <x:v>44651</x:v>
      </x:c>
      <x:c r="B5235" s="32">
        <x:v>1492.5</x:v>
      </x:c>
      <x:c r="C5235" s="32">
        <x:v>1498.41</x:v>
      </x:c>
      <x:c r="D5235" s="32">
        <x:v>1488.27</x:v>
      </x:c>
      <x:c r="E5235" s="32">
        <x:v>1492.15</x:v>
      </x:c>
      <x:c r="F5235" s="33">
        <x:v>633286300</x:v>
      </x:c>
      <x:c r="G5235" s="32" t="n">
        <x:f t="shared" si="234">AVERAGE(E5036:E5235)</x:f>
        <x:v>1417.3475999999998</x:v>
      </x:c>
      <x:c r="H5235" s="37" t="n">
        <x:f t="shared" si="235">IFERROR(E5235/G5235-1,"")</x:f>
        <x:v>0.05277632671054033</x:v>
      </x:c>
      <x:c r="I5235" s="38" t="b">
        <x:f t="shared" si="236">E5235&lt;G5235</x:f>
        <x:v>0</x:v>
      </x:c>
    </x:row>
    <x:row r="5236">
      <x:c r="A5236" s="31">
        <x:v>44652</x:v>
      </x:c>
      <x:c r="B5236" s="32">
        <x:v>1489.48</x:v>
      </x:c>
      <x:c r="C5236" s="32">
        <x:v>1516.87</x:v>
      </x:c>
      <x:c r="D5236" s="32">
        <x:v>1484.13</x:v>
      </x:c>
      <x:c r="E5236" s="32">
        <x:v>1516.44</x:v>
      </x:c>
      <x:c r="F5236" s="33">
        <x:v>881661100</x:v>
      </x:c>
      <x:c r="G5236" s="32" t="n">
        <x:f t="shared" si="234">AVERAGE(E5037:E5236)</x:f>
        <x:v>1418.0929999999998</x:v>
      </x:c>
      <x:c r="H5236" s="37" t="n">
        <x:f t="shared" si="235">IFERROR(E5236/G5236-1,"")</x:f>
        <x:v>0.06935158695515753</x:v>
      </x:c>
      <x:c r="I5236" s="38" t="b">
        <x:f t="shared" si="236">E5236&lt;G5236</x:f>
        <x:v>0</x:v>
      </x:c>
    </x:row>
    <x:row r="5237">
      <x:c r="A5237" s="31">
        <x:v>44655</x:v>
      </x:c>
      <x:c r="B5237" s="32">
        <x:v>1528.87</x:v>
      </x:c>
      <x:c r="C5237" s="32">
        <x:v>1530.95</x:v>
      </x:c>
      <x:c r="D5237" s="32">
        <x:v>1522.82</x:v>
      </x:c>
      <x:c r="E5237" s="32">
        <x:v>1524.7</x:v>
      </x:c>
      <x:c r="F5237" s="33">
        <x:v>734587100</x:v>
      </x:c>
      <x:c r="G5237" s="32" t="n">
        <x:f t="shared" si="234">AVERAGE(E5038:E5237)</x:f>
        <x:v>1418.9339000000002</x:v>
      </x:c>
      <x:c r="H5237" s="37" t="n">
        <x:f t="shared" si="235">IFERROR(E5237/G5237-1,"")</x:f>
        <x:v>0.0745391311039929</x:v>
      </x:c>
      <x:c r="I5237" s="38" t="b">
        <x:f t="shared" si="236">E5237&lt;G5237</x:f>
        <x:v>0</x:v>
      </x:c>
    </x:row>
    <x:row r="5238">
      <x:c r="A5238" s="31">
        <x:v>44656</x:v>
      </x:c>
      <x:c r="B5238" s="32">
        <x:v>1521.37</x:v>
      </x:c>
      <x:c r="C5238" s="32">
        <x:v>1527.57</x:v>
      </x:c>
      <x:c r="D5238" s="32">
        <x:v>1519.28</x:v>
      </x:c>
      <x:c r="E5238" s="32">
        <x:v>1520.03</x:v>
      </x:c>
      <x:c r="F5238" s="33">
        <x:v>663110500</x:v>
      </x:c>
      <x:c r="G5238" s="32" t="n">
        <x:f t="shared" si="234">AVERAGE(E5039:E5238)</x:f>
        <x:v>1419.7344500000002</x:v>
      </x:c>
      <x:c r="H5238" s="37" t="n">
        <x:f t="shared" si="235">IFERROR(E5238/G5238-1,"")</x:f>
        <x:v>0.07064387991712096</x:v>
      </x:c>
      <x:c r="I5238" s="38" t="b">
        <x:f t="shared" si="236">E5238&lt;G5238</x:f>
        <x:v>0</x:v>
      </x:c>
    </x:row>
    <x:row r="5239">
      <x:c r="A5239" s="31">
        <x:v>44657</x:v>
      </x:c>
      <x:c r="B5239" s="32">
        <x:v>1510.69</x:v>
      </x:c>
      <x:c r="C5239" s="32">
        <x:v>1523.75</x:v>
      </x:c>
      <x:c r="D5239" s="32">
        <x:v>1507.62</x:v>
      </x:c>
      <x:c r="E5239" s="32">
        <x:v>1522.9</x:v>
      </x:c>
      <x:c r="F5239" s="33">
        <x:v>912695000</x:v>
      </x:c>
      <x:c r="G5239" s="32" t="n">
        <x:f t="shared" si="234">AVERAGE(E5040:E5239)</x:f>
        <x:v>1420.4601</x:v>
      </x:c>
      <x:c r="H5239" s="37" t="n">
        <x:f t="shared" si="235">IFERROR(E5239/G5239-1,"")</x:f>
        <x:v>0.0721174075920894</x:v>
      </x:c>
      <x:c r="I5239" s="38" t="b">
        <x:f t="shared" si="236">E5239&lt;G5239</x:f>
        <x:v>0</x:v>
      </x:c>
    </x:row>
    <x:row r="5240">
      <x:c r="A5240" s="31">
        <x:v>44658</x:v>
      </x:c>
      <x:c r="B5240" s="32">
        <x:v>1524.12</x:v>
      </x:c>
      <x:c r="C5240" s="32">
        <x:v>1524.92</x:v>
      </x:c>
      <x:c r="D5240" s="32">
        <x:v>1502.35</x:v>
      </x:c>
      <x:c r="E5240" s="32">
        <x:v>1502.35</x:v>
      </x:c>
      <x:c r="F5240" s="33">
        <x:v>763664700</x:v>
      </x:c>
      <x:c r="G5240" s="32" t="n">
        <x:f t="shared" si="234">AVERAGE(E5041:E5240)</x:f>
        <x:v>1421.1087</x:v>
      </x:c>
      <x:c r="H5240" s="37" t="n">
        <x:f t="shared" si="235">IFERROR(E5240/G5240-1,"")</x:f>
        <x:v>0.05716754812633251</x:v>
      </x:c>
      <x:c r="I5240" s="38" t="b">
        <x:f t="shared" si="236">E5240&lt;G5240</x:f>
        <x:v>0</x:v>
      </x:c>
    </x:row>
    <x:row r="5241">
      <x:c r="A5241" s="31">
        <x:v>44659</x:v>
      </x:c>
      <x:c r="B5241" s="32">
        <x:v>1504.31</x:v>
      </x:c>
      <x:c r="C5241" s="32">
        <x:v>1507.73</x:v>
      </x:c>
      <x:c r="D5241" s="32">
        <x:v>1482</x:v>
      </x:c>
      <x:c r="E5241" s="32">
        <x:v>1482</x:v>
      </x:c>
      <x:c r="F5241" s="33">
        <x:v>741103600</x:v>
      </x:c>
      <x:c r="G5241" s="32" t="n">
        <x:f t="shared" si="234">AVERAGE(E5042:E5241)</x:f>
        <x:v>1421.6188499999998</x:v>
      </x:c>
      <x:c r="H5241" s="37" t="n">
        <x:f t="shared" si="235">IFERROR(E5241/G5241-1,"")</x:f>
        <x:v>0.042473515316711064</x:v>
      </x:c>
      <x:c r="I5241" s="38" t="b">
        <x:f t="shared" si="236">E5241&lt;G5241</x:f>
        <x:v>0</x:v>
      </x:c>
    </x:row>
    <x:row r="5242">
      <x:c r="A5242" s="31">
        <x:v>44663</x:v>
      </x:c>
      <x:c r="B5242" s="32">
        <x:v>1487.86</x:v>
      </x:c>
      <x:c r="C5242" s="32">
        <x:v>1490.58</x:v>
      </x:c>
      <x:c r="D5242" s="32">
        <x:v>1455.25</x:v>
      </x:c>
      <x:c r="E5242" s="32">
        <x:v>1455.25</x:v>
      </x:c>
      <x:c r="F5242" s="33">
        <x:v>656188800</x:v>
      </x:c>
      <x:c r="G5242" s="32" t="n">
        <x:f t="shared" si="234">AVERAGE(E5043:E5242)</x:f>
        <x:v>1422.0107500000001</x:v>
      </x:c>
      <x:c r="H5242" s="37" t="n">
        <x:f t="shared" si="235">IFERROR(E5242/G5242-1,"")</x:f>
        <x:v>0.023374823291596014</x:v>
      </x:c>
      <x:c r="I5242" s="38" t="b">
        <x:f t="shared" si="236">E5242&lt;G5242</x:f>
        <x:v>0</x:v>
      </x:c>
    </x:row>
    <x:row r="5243">
      <x:c r="A5243" s="31">
        <x:v>44664</x:v>
      </x:c>
      <x:c r="B5243" s="32">
        <x:v>1459.48</x:v>
      </x:c>
      <x:c r="C5243" s="32">
        <x:v>1477.2</x:v>
      </x:c>
      <x:c r="D5243" s="32">
        <x:v>1448.52</x:v>
      </x:c>
      <x:c r="E5243" s="32">
        <x:v>1477.2</x:v>
      </x:c>
      <x:c r="F5243" s="33">
        <x:v>636344500</x:v>
      </x:c>
      <x:c r="G5243" s="32" t="n">
        <x:f t="shared" si="234">AVERAGE(E5044:E5243)</x:f>
        <x:v>1422.4981500000001</x:v>
      </x:c>
      <x:c r="H5243" s="37" t="n">
        <x:f t="shared" si="235">IFERROR(E5243/G5243-1,"")</x:f>
        <x:v>0.03845477760375293</x:v>
      </x:c>
      <x:c r="I5243" s="38" t="b">
        <x:f t="shared" si="236">E5243&lt;G5243</x:f>
        <x:v>0</x:v>
      </x:c>
    </x:row>
    <x:row r="5244">
      <x:c r="A5244" s="31">
        <x:v>44665</x:v>
      </x:c>
      <x:c r="B5244" s="32">
        <x:v>1483.08</x:v>
      </x:c>
      <x:c r="C5244" s="32">
        <x:v>1484.34</x:v>
      </x:c>
      <x:c r="D5244" s="32">
        <x:v>1471.75</x:v>
      </x:c>
      <x:c r="E5244" s="32">
        <x:v>1472.12</x:v>
      </x:c>
      <x:c r="F5244" s="33">
        <x:v>498914000</x:v>
      </x:c>
      <x:c r="G5244" s="32" t="n">
        <x:f t="shared" si="234">AVERAGE(E5045:E5244)</x:f>
        <x:v>1422.90815</x:v>
      </x:c>
      <x:c r="H5244" s="37" t="n">
        <x:f t="shared" si="235">IFERROR(E5244/G5244-1,"")</x:f>
        <x:v>0.03458540173517166</x:v>
      </x:c>
      <x:c r="I5244" s="38" t="b">
        <x:f t="shared" si="236">E5244&lt;G5244</x:f>
        <x:v>0</x:v>
      </x:c>
    </x:row>
    <x:row r="5245">
      <x:c r="A5245" s="31">
        <x:v>44666</x:v>
      </x:c>
      <x:c r="B5245" s="32">
        <x:v>1470.53</x:v>
      </x:c>
      <x:c r="C5245" s="32">
        <x:v>1478.95</x:v>
      </x:c>
      <x:c r="D5245" s="32">
        <x:v>1456.39</x:v>
      </x:c>
      <x:c r="E5245" s="32">
        <x:v>1458.56</x:v>
      </x:c>
      <x:c r="F5245" s="33">
        <x:v>639722900</x:v>
      </x:c>
      <x:c r="G5245" s="32" t="n">
        <x:f t="shared" si="234">AVERAGE(E5046:E5245)</x:f>
        <x:v>1423.1718999999998</x:v>
      </x:c>
      <x:c r="H5245" s="37" t="n">
        <x:f t="shared" si="235">IFERROR(E5245/G5245-1,"")</x:f>
        <x:v>0.024865653966327006</x:v>
      </x:c>
      <x:c r="I5245" s="38" t="b">
        <x:f t="shared" si="236">E5245&lt;G5245</x:f>
        <x:v>0</x:v>
      </x:c>
    </x:row>
    <x:row r="5246">
      <x:c r="A5246" s="31">
        <x:v>44669</x:v>
      </x:c>
      <x:c r="B5246" s="32">
        <x:v>1456.47</x:v>
      </x:c>
      <x:c r="C5246" s="32">
        <x:v>1456.47</x:v>
      </x:c>
      <x:c r="D5246" s="32">
        <x:v>1425.07</x:v>
      </x:c>
      <x:c r="E5246" s="32">
        <x:v>1432.6</x:v>
      </x:c>
      <x:c r="F5246" s="33">
        <x:v>790646000</x:v>
      </x:c>
      <x:c r="G5246" s="32" t="n">
        <x:f t="shared" si="234">AVERAGE(E5047:E5246)</x:f>
        <x:v>1423.2846999999997</x:v>
      </x:c>
      <x:c r="H5246" s="37" t="n">
        <x:f t="shared" si="235">IFERROR(E5246/G5246-1,"")</x:f>
        <x:v>0.006544930891198453</x:v>
      </x:c>
      <x:c r="I5246" s="38" t="b">
        <x:f t="shared" si="236">E5246&lt;G5246</x:f>
        <x:v>0</x:v>
      </x:c>
    </x:row>
    <x:row r="5247">
      <x:c r="A5247" s="31">
        <x:v>44670</x:v>
      </x:c>
      <x:c r="B5247" s="32">
        <x:v>1435.82</x:v>
      </x:c>
      <x:c r="C5247" s="32">
        <x:v>1442.04</x:v>
      </x:c>
      <x:c r="D5247" s="32">
        <x:v>1406.45</x:v>
      </x:c>
      <x:c r="E5247" s="32">
        <x:v>1406.45</x:v>
      </x:c>
      <x:c r="F5247" s="33">
        <x:v>666337000</x:v>
      </x:c>
      <x:c r="G5247" s="32" t="n">
        <x:f t="shared" si="234">AVERAGE(E5048:E5247)</x:f>
        <x:v>1423.2741999999998</x:v>
      </x:c>
      <x:c r="H5247" s="37" t="n">
        <x:f t="shared" si="235">IFERROR(E5247/G5247-1,"")</x:f>
        <x:v>-0.011820772132312807</x:v>
      </x:c>
      <x:c r="I5247" s="38" t="b">
        <x:f t="shared" si="236">E5247&lt;G5247</x:f>
        <x:v>1</x:v>
      </x:c>
    </x:row>
    <x:row r="5248">
      <x:c r="A5248" s="31">
        <x:v>44671</x:v>
      </x:c>
      <x:c r="B5248" s="32">
        <x:v>1401.63</x:v>
      </x:c>
      <x:c r="C5248" s="32">
        <x:v>1410.64</x:v>
      </x:c>
      <x:c r="D5248" s="32">
        <x:v>1384.72</x:v>
      </x:c>
      <x:c r="E5248" s="32">
        <x:v>1384.72</x:v>
      </x:c>
      <x:c r="F5248" s="33">
        <x:v>652803300</x:v>
      </x:c>
      <x:c r="G5248" s="32" t="n">
        <x:f t="shared" si="234">AVERAGE(E5049:E5248)</x:f>
        <x:v>1423.1123999999995</x:v>
      </x:c>
      <x:c r="H5248" s="37" t="n">
        <x:f t="shared" si="235">IFERROR(E5248/G5248-1,"")</x:f>
        <x:v>-0.026977770694710745</x:v>
      </x:c>
      <x:c r="I5248" s="38" t="b">
        <x:f t="shared" si="236">E5248&lt;G5248</x:f>
        <x:v>1</x:v>
      </x:c>
    </x:row>
    <x:row r="5249">
      <x:c r="A5249" s="31">
        <x:v>44672</x:v>
      </x:c>
      <x:c r="B5249" s="32">
        <x:v>1369.8</x:v>
      </x:c>
      <x:c r="C5249" s="32">
        <x:v>1392.33</x:v>
      </x:c>
      <x:c r="D5249" s="32">
        <x:v>1356.58</x:v>
      </x:c>
      <x:c r="E5249" s="32">
        <x:v>1370.21</x:v>
      </x:c>
      <x:c r="F5249" s="33">
        <x:v>741348500</x:v>
      </x:c>
      <x:c r="G5249" s="32" t="n">
        <x:f t="shared" si="234">AVERAGE(E5050:E5249)</x:f>
        <x:v>1422.8620999999996</x:v>
      </x:c>
      <x:c r="H5249" s="37" t="n">
        <x:f t="shared" si="235">IFERROR(E5249/G5249-1,"")</x:f>
        <x:v>-0.03700435903099786</x:v>
      </x:c>
      <x:c r="I5249" s="38" t="b">
        <x:f t="shared" si="236">E5249&lt;G5249</x:f>
        <x:v>1</x:v>
      </x:c>
    </x:row>
    <x:row r="5250">
      <x:c r="A5250" s="31">
        <x:v>44673</x:v>
      </x:c>
      <x:c r="B5250" s="32">
        <x:v>1378.28</x:v>
      </x:c>
      <x:c r="C5250" s="32">
        <x:v>1392.89</x:v>
      </x:c>
      <x:c r="D5250" s="32">
        <x:v>1352.43</x:v>
      </x:c>
      <x:c r="E5250" s="32">
        <x:v>1379.23</x:v>
      </x:c>
      <x:c r="F5250" s="33">
        <x:v>799750600</x:v>
      </x:c>
      <x:c r="G5250" s="32" t="n">
        <x:f t="shared" si="234">AVERAGE(E5051:E5250)</x:f>
        <x:v>1422.7025999999996</x:v>
      </x:c>
      <x:c r="H5250" s="37" t="n">
        <x:f t="shared" si="235">IFERROR(E5250/G5250-1,"")</x:f>
        <x:v>-0.030556350990009862</x:v>
      </x:c>
      <x:c r="I5250" s="38" t="b">
        <x:f t="shared" si="236">E5250&lt;G5250</x:f>
        <x:v>1</x:v>
      </x:c>
    </x:row>
    <x:row r="5251">
      <x:c r="A5251" s="31">
        <x:v>44676</x:v>
      </x:c>
      <x:c r="B5251" s="32">
        <x:v>1377.83</x:v>
      </x:c>
      <x:c r="C5251" s="32">
        <x:v>1382.13</x:v>
      </x:c>
      <x:c r="D5251" s="32">
        <x:v>1298.3800000000001</x:v>
      </x:c>
      <x:c r="E5251" s="32">
        <x:v>1310.92</x:v>
      </x:c>
      <x:c r="F5251" s="33">
        <x:v>696873600</x:v>
      </x:c>
      <x:c r="G5251" s="32" t="n">
        <x:f t="shared" si="234">AVERAGE(E5052:E5251)</x:f>
        <x:v>1422.4832499999995</x:v>
      </x:c>
      <x:c r="H5251" s="37" t="n">
        <x:f t="shared" si="235">IFERROR(E5251/G5251-1,"")</x:f>
        <x:v>-0.07842851576635401</x:v>
      </x:c>
      <x:c r="I5251" s="38" t="b">
        <x:f t="shared" si="236">E5251&lt;G5251</x:f>
        <x:v>1</x:v>
      </x:c>
    </x:row>
    <x:row r="5252">
      <x:c r="A5252" s="31">
        <x:v>44677</x:v>
      </x:c>
      <x:c r="B5252" s="32">
        <x:v>1285.4000000000001</x:v>
      </x:c>
      <x:c r="C5252" s="32">
        <x:v>1341.34</x:v>
      </x:c>
      <x:c r="D5252" s="32">
        <x:v>1261.4000000000001</x:v>
      </x:c>
      <x:c r="E5252" s="32">
        <x:v>1341.34</x:v>
      </x:c>
      <x:c r="F5252" s="33">
        <x:v>673169600</x:v>
      </x:c>
      <x:c r="G5252" s="32" t="n">
        <x:f t="shared" si="234">AVERAGE(E5053:E5252)</x:f>
        <x:v>1422.2471999999993</x:v>
      </x:c>
      <x:c r="H5252" s="37" t="n">
        <x:f t="shared" si="235">IFERROR(E5252/G5252-1,"")</x:f>
        <x:v>-0.05688687592424124</x:v>
      </x:c>
      <x:c r="I5252" s="38" t="b">
        <x:f t="shared" si="236">E5252&lt;G5252</x:f>
        <x:v>1</x:v>
      </x:c>
    </x:row>
    <x:row r="5253">
      <x:c r="A5253" s="31">
        <x:v>44678</x:v>
      </x:c>
      <x:c r="B5253" s="32">
        <x:v>1331.73</x:v>
      </x:c>
      <x:c r="C5253" s="32">
        <x:v>1355.92</x:v>
      </x:c>
      <x:c r="D5253" s="32">
        <x:v>1314.81</x:v>
      </x:c>
      <x:c r="E5253" s="32">
        <x:v>1353.77</x:v>
      </x:c>
      <x:c r="F5253" s="33">
        <x:v>485406800</x:v>
      </x:c>
      <x:c r="G5253" s="32" t="n">
        <x:f t="shared" si="234">AVERAGE(E5054:E5253)</x:f>
        <x:v>1422.1426499999998</x:v>
      </x:c>
      <x:c r="H5253" s="37" t="n">
        <x:f t="shared" si="235">IFERROR(E5253/G5253-1,"")</x:f>
        <x:v>-0.0480772094135562</x:v>
      </x:c>
      <x:c r="I5253" s="38" t="b">
        <x:f t="shared" si="236">E5253&lt;G5253</x:f>
        <x:v>1</x:v>
      </x:c>
    </x:row>
    <x:row r="5254">
      <x:c r="A5254" s="31">
        <x:v>44679</x:v>
      </x:c>
      <x:c r="B5254" s="32">
        <x:v>1353.48</x:v>
      </x:c>
      <x:c r="C5254" s="32">
        <x:v>1358.07</x:v>
      </x:c>
      <x:c r="D5254" s="32">
        <x:v>1344.1</x:v>
      </x:c>
      <x:c r="E5254" s="32">
        <x:v>1350.99</x:v>
      </x:c>
      <x:c r="F5254" s="33">
        <x:v>458334600</x:v>
      </x:c>
      <x:c r="G5254" s="32" t="n">
        <x:f t="shared" si="234">AVERAGE(E5055:E5254)</x:f>
        <x:v>1422.1618999999994</x:v>
      </x:c>
      <x:c r="H5254" s="37" t="n">
        <x:f t="shared" si="235">IFERROR(E5254/G5254-1,"")</x:f>
        <x:v>-0.05004486479352277</x:v>
      </x:c>
      <x:c r="I5254" s="38" t="b">
        <x:f t="shared" si="236">E5254&lt;G5254</x:f>
        <x:v>1</x:v>
      </x:c>
    </x:row>
    <x:row r="5255">
      <x:c r="A5255" s="31">
        <x:v>44680</x:v>
      </x:c>
      <x:c r="B5255" s="32">
        <x:v>1347.08</x:v>
      </x:c>
      <x:c r="C5255" s="32">
        <x:v>1369.31</x:v>
      </x:c>
      <x:c r="D5255" s="32">
        <x:v>1343.24</x:v>
      </x:c>
      <x:c r="E5255" s="32">
        <x:v>1366.8</x:v>
      </x:c>
      <x:c r="F5255" s="33">
        <x:v>532838100</x:v>
      </x:c>
      <x:c r="G5255" s="32" t="n">
        <x:f t="shared" si="234">AVERAGE(E5056:E5255)</x:f>
        <x:v>1422.5143999999993</x:v>
      </x:c>
      <x:c r="H5255" s="37" t="n">
        <x:f t="shared" si="235">IFERROR(E5255/G5255-1,"")</x:f>
        <x:v>-0.03916614130584506</x:v>
      </x:c>
      <x:c r="I5255" s="38" t="b">
        <x:f t="shared" si="236">E5255&lt;G5255</x:f>
        <x:v>1</x:v>
      </x:c>
    </x:row>
    <x:row r="5256">
      <x:c r="A5256" s="31">
        <x:v>44685</x:v>
      </x:c>
      <x:c r="B5256" s="32">
        <x:v>1366.11</x:v>
      </x:c>
      <x:c r="C5256" s="32">
        <x:v>1366.39</x:v>
      </x:c>
      <x:c r="D5256" s="32">
        <x:v>1348.68</x:v>
      </x:c>
      <x:c r="E5256" s="32">
        <x:v>1348.68</x:v>
      </x:c>
      <x:c r="F5256" s="33">
        <x:v>498884800</x:v>
      </x:c>
      <x:c r="G5256" s="32" t="n">
        <x:f t="shared" si="234">AVERAGE(E5057:E5256)</x:f>
        <x:v>1422.7700999999995</x:v>
      </x:c>
      <x:c r="H5256" s="37" t="n">
        <x:f t="shared" si="235">IFERROR(E5256/G5256-1,"")</x:f>
        <x:v>-0.05207454106605103</x:v>
      </x:c>
      <x:c r="I5256" s="38" t="b">
        <x:f t="shared" si="236">E5256&lt;G5256</x:f>
        <x:v>1</x:v>
      </x:c>
    </x:row>
    <x:row r="5257">
      <x:c r="A5257" s="31">
        <x:v>44686</x:v>
      </x:c>
      <x:c r="B5257" s="32">
        <x:v>1361.62</x:v>
      </x:c>
      <x:c r="C5257" s="32">
        <x:v>1362.18</x:v>
      </x:c>
      <x:c r="D5257" s="32">
        <x:v>1331.41</x:v>
      </x:c>
      <x:c r="E5257" s="32">
        <x:v>1360.68</x:v>
      </x:c>
      <x:c r="F5257" s="33">
        <x:v>510234300</x:v>
      </x:c>
      <x:c r="G5257" s="32" t="n">
        <x:f t="shared" si="234">AVERAGE(E5058:E5257)</x:f>
        <x:v>1423.1739499999996</x:v>
      </x:c>
      <x:c r="H5257" s="37" t="n">
        <x:f t="shared" si="235">IFERROR(E5257/G5257-1,"")</x:f>
        <x:v>-0.04391167362218762</x:v>
      </x:c>
      <x:c r="I5257" s="38" t="b">
        <x:f t="shared" si="236">E5257&lt;G5257</x:f>
        <x:v>1</x:v>
      </x:c>
    </x:row>
    <x:row r="5258">
      <x:c r="A5258" s="31">
        <x:v>44687</x:v>
      </x:c>
      <x:c r="B5258" s="32">
        <x:v>1333.55</x:v>
      </x:c>
      <x:c r="C5258" s="32">
        <x:v>1350.09</x:v>
      </x:c>
      <x:c r="D5258" s="32">
        <x:v>1328.13</x:v>
      </x:c>
      <x:c r="E5258" s="32">
        <x:v>1329.26</x:v>
      </x:c>
      <x:c r="F5258" s="33">
        <x:v>510678900</x:v>
      </x:c>
      <x:c r="G5258" s="32" t="n">
        <x:f t="shared" si="234">AVERAGE(E5059:E5258)</x:f>
        <x:v>1423.3506499999996</x:v>
      </x:c>
      <x:c r="H5258" s="37" t="n">
        <x:f t="shared" si="235">IFERROR(E5258/G5258-1,"")</x:f>
        <x:v>-0.06610503883916419</x:v>
      </x:c>
      <x:c r="I5258" s="38" t="b">
        <x:f t="shared" si="236">E5258&lt;G5258</x:f>
        <x:v>1</x:v>
      </x:c>
    </x:row>
    <x:row r="5259">
      <x:c r="A5259" s="31">
        <x:v>44690</x:v>
      </x:c>
      <x:c r="B5259" s="32">
        <x:v>1313.49</x:v>
      </x:c>
      <x:c r="C5259" s="32">
        <x:v>1314.52</x:v>
      </x:c>
      <x:c r="D5259" s="32">
        <x:v>1265.54</x:v>
      </x:c>
      <x:c r="E5259" s="32">
        <x:v>1269.6199999999999</x:v>
      </x:c>
      <x:c r="F5259" s="33">
        <x:v>627609200</x:v>
      </x:c>
      <x:c r="G5259" s="32" t="n">
        <x:f t="shared" si="234">AVERAGE(E5060:E5259)</x:f>
        <x:v>1423.2021999999995</x:v>
      </x:c>
      <x:c r="H5259" s="37" t="n">
        <x:f t="shared" si="235">IFERROR(E5259/G5259-1,"")</x:f>
        <x:v>-0.10791312717195045</x:v>
      </x:c>
      <x:c r="I5259" s="38" t="b">
        <x:f t="shared" si="236">E5259&lt;G5259</x:f>
        <x:v>1</x:v>
      </x:c>
    </x:row>
    <x:row r="5260">
      <x:c r="A5260" s="31">
        <x:v>44691</x:v>
      </x:c>
      <x:c r="B5260" s="32">
        <x:v>1240.93</x:v>
      </x:c>
      <x:c r="C5260" s="32">
        <x:v>1293.56</x:v>
      </x:c>
      <x:c r="D5260" s="32">
        <x:v>1232.57</x:v>
      </x:c>
      <x:c r="E5260" s="32">
        <x:v>1293.56</x:v>
      </x:c>
      <x:c r="F5260" s="33">
        <x:v>600766800</x:v>
      </x:c>
      <x:c r="G5260" s="32" t="n">
        <x:f t="shared" si="234">AVERAGE(E5061:E5260)</x:f>
        <x:v>1423.4524499999998</x:v>
      </x:c>
      <x:c r="H5260" s="37" t="n">
        <x:f t="shared" si="235">IFERROR(E5260/G5260-1,"")</x:f>
        <x:v>-0.09125169583290249</x:v>
      </x:c>
      <x:c r="I5260" s="38" t="b">
        <x:f t="shared" si="236">E5260&lt;G5260</x:f>
        <x:v>1</x:v>
      </x:c>
    </x:row>
    <x:row r="5261">
      <x:c r="A5261" s="31">
        <x:v>44692</x:v>
      </x:c>
      <x:c r="B5261" s="32">
        <x:v>1295.3900000000001</x:v>
      </x:c>
      <x:c r="C5261" s="32">
        <x:v>1305.17</x:v>
      </x:c>
      <x:c r="D5261" s="32">
        <x:v>1277.9100000000001</x:v>
      </x:c>
      <x:c r="E5261" s="32">
        <x:v>1301.53</x:v>
      </x:c>
      <x:c r="F5261" s="33">
        <x:v>380880400</x:v>
      </x:c>
      <x:c r="G5261" s="32" t="n">
        <x:f t="shared" ref="G5261:G5324" si="237">AVERAGE(E5062:E5261)</x:f>
        <x:v>1423.5936499999996</x:v>
      </x:c>
      <x:c r="H5261" s="37" t="n">
        <x:f t="shared" ref="H5261:H5324" si="238">IFERROR(E5261/G5261-1,"")</x:f>
        <x:v>-0.08574332289273667</x:v>
      </x:c>
      <x:c r="I5261" s="38" t="b">
        <x:f t="shared" ref="I5261:I5324" si="239">E5261&lt;G5261</x:f>
        <x:v>1</x:v>
      </x:c>
    </x:row>
    <x:row r="5262">
      <x:c r="A5262" s="31">
        <x:v>44693</x:v>
      </x:c>
      <x:c r="B5262" s="32">
        <x:v>1290.04</x:v>
      </x:c>
      <x:c r="C5262" s="32">
        <x:v>1291.6500000000001</x:v>
      </x:c>
      <x:c r="D5262" s="32">
        <x:v>1238.05</x:v>
      </x:c>
      <x:c r="E5262" s="32">
        <x:v>1238.8399999999999</x:v>
      </x:c>
      <x:c r="F5262" s="33">
        <x:v>516642600</x:v>
      </x:c>
      <x:c r="G5262" s="32" t="n">
        <x:f t="shared" si="237">AVERAGE(E5063:E5262)</x:f>
        <x:v>1423.4338999999998</x:v>
      </x:c>
      <x:c r="H5262" s="37" t="n">
        <x:f t="shared" si="238">IFERROR(E5262/G5262-1,"")</x:f>
        <x:v>-0.1296821018524288</x:v>
      </x:c>
      <x:c r="I5262" s="38" t="b">
        <x:f t="shared" si="239">E5262&lt;G5262</x:f>
        <x:v>1</x:v>
      </x:c>
    </x:row>
    <x:row r="5263">
      <x:c r="A5263" s="31">
        <x:v>44694</x:v>
      </x:c>
      <x:c r="B5263" s="32">
        <x:v>1235.03</x:v>
      </x:c>
      <x:c r="C5263" s="32">
        <x:v>1237.8</x:v>
      </x:c>
      <x:c r="D5263" s="32">
        <x:v>1180.5999999999999</x:v>
      </x:c>
      <x:c r="E5263" s="32">
        <x:v>1182.77</x:v>
      </x:c>
      <x:c r="F5263" s="33">
        <x:v>736096200</x:v>
      </x:c>
      <x:c r="G5263" s="32" t="n">
        <x:f t="shared" si="237">AVERAGE(E5064:E5263)</x:f>
        <x:v>1422.8794</x:v>
      </x:c>
      <x:c r="H5263" s="37" t="n">
        <x:f t="shared" si="238">IFERROR(E5263/G5263-1,"")</x:f>
        <x:v>-0.16874894667812324</x:v>
      </x:c>
      <x:c r="I5263" s="38" t="b">
        <x:f t="shared" si="239">E5263&lt;G5263</x:f>
        <x:v>1</x:v>
      </x:c>
    </x:row>
    <x:row r="5264">
      <x:c r="A5264" s="31">
        <x:v>44697</x:v>
      </x:c>
      <x:c r="B5264" s="32">
        <x:v>1208.05</x:v>
      </x:c>
      <x:c r="C5264" s="32">
        <x:v>1215.96</x:v>
      </x:c>
      <x:c r="D5264" s="32">
        <x:v>1170.5899999999999</x:v>
      </x:c>
      <x:c r="E5264" s="32">
        <x:v>1171.95</x:v>
      </x:c>
      <x:c r="F5264" s="33">
        <x:v>551353400</x:v>
      </x:c>
      <x:c r="G5264" s="32" t="n">
        <x:f t="shared" si="237">AVERAGE(E5065:E5264)</x:f>
        <x:v>1422.3950000000002</x:v>
      </x:c>
      <x:c r="H5264" s="37" t="n">
        <x:f t="shared" si="238">IFERROR(E5264/G5264-1,"")</x:f>
        <x:v>-0.1760727505369466</x:v>
      </x:c>
      <x:c r="I5264" s="38" t="b">
        <x:f t="shared" si="239">E5264&lt;G5264</x:f>
        <x:v>1</x:v>
      </x:c>
    </x:row>
    <x:row r="5265">
      <x:c r="A5265" s="31">
        <x:v>44698</x:v>
      </x:c>
      <x:c r="B5265" s="32">
        <x:v>1164.32</x:v>
      </x:c>
      <x:c r="C5265" s="32">
        <x:v>1228.3699999999999</x:v>
      </x:c>
      <x:c r="D5265" s="32">
        <x:v>1156.54</x:v>
      </x:c>
      <x:c r="E5265" s="32">
        <x:v>1228.3699999999999</x:v>
      </x:c>
      <x:c r="F5265" s="33">
        <x:v>542868100</x:v>
      </x:c>
      <x:c r="G5265" s="32" t="n">
        <x:f t="shared" si="237">AVERAGE(E5066:E5265)</x:f>
        <x:v>1422.1733000000004</x:v>
      </x:c>
      <x:c r="H5265" s="37" t="n">
        <x:f t="shared" si="238">IFERROR(E5265/G5265-1,"")</x:f>
        <x:v>-0.13627263287814528</x:v>
      </x:c>
      <x:c r="I5265" s="38" t="b">
        <x:f t="shared" si="239">E5265&lt;G5265</x:f>
        <x:v>1</x:v>
      </x:c>
    </x:row>
    <x:row r="5266">
      <x:c r="A5266" s="31">
        <x:v>44699</x:v>
      </x:c>
      <x:c r="B5266" s="32">
        <x:v>1240.06</x:v>
      </x:c>
      <x:c r="C5266" s="32">
        <x:v>1249.8399999999999</x:v>
      </x:c>
      <x:c r="D5266" s="32">
        <x:v>1222.92</x:v>
      </x:c>
      <x:c r="E5266" s="32">
        <x:v>1240.76</x:v>
      </x:c>
      <x:c r="F5266" s="33">
        <x:v>514538800</x:v>
      </x:c>
      <x:c r="G5266" s="32" t="n">
        <x:f t="shared" si="237">AVERAGE(E5067:E5266)</x:f>
        <x:v>1421.9924500000002</x:v>
      </x:c>
      <x:c r="H5266" s="37" t="n">
        <x:f t="shared" si="238">IFERROR(E5266/G5266-1,"")</x:f>
        <x:v>-0.12744965699360788</x:v>
      </x:c>
      <x:c r="I5266" s="38" t="b">
        <x:f t="shared" si="239">E5266&lt;G5266</x:f>
        <x:v>1</x:v>
      </x:c>
    </x:row>
    <x:row r="5267">
      <x:c r="A5267" s="31">
        <x:v>44700</x:v>
      </x:c>
      <x:c r="B5267" s="32">
        <x:v>1211.31</x:v>
      </x:c>
      <x:c r="C5267" s="32">
        <x:v>1246.6600000000001</x:v>
      </x:c>
      <x:c r="D5267" s="32">
        <x:v>1211.07</x:v>
      </x:c>
      <x:c r="E5267" s="32">
        <x:v>1241.6400000000001</x:v>
      </x:c>
      <x:c r="F5267" s="33">
        <x:v>459858400</x:v>
      </x:c>
      <x:c r="G5267" s="32" t="n">
        <x:f t="shared" si="237">AVERAGE(E5068:E5267)</x:f>
        <x:v>1421.8153000000002</x:v>
      </x:c>
      <x:c r="H5267" s="37" t="n">
        <x:f t="shared" si="238">IFERROR(E5267/G5267-1,"")</x:f>
        <x:v>-0.12672201515907167</x:v>
      </x:c>
      <x:c r="I5267" s="38" t="b">
        <x:f t="shared" si="239">E5267&lt;G5267</x:f>
        <x:v>1</x:v>
      </x:c>
    </x:row>
    <x:row r="5268">
      <x:c r="A5268" s="31">
        <x:v>44701</x:v>
      </x:c>
      <x:c r="B5268" s="32">
        <x:v>1241.07</x:v>
      </x:c>
      <x:c r="C5268" s="32">
        <x:v>1252.96</x:v>
      </x:c>
      <x:c r="D5268" s="32">
        <x:v>1232.33</x:v>
      </x:c>
      <x:c r="E5268" s="32">
        <x:v>1240.71</x:v>
      </x:c>
      <x:c r="F5268" s="33">
        <x:v>465793600</x:v>
      </x:c>
      <x:c r="G5268" s="32" t="n">
        <x:f t="shared" si="237">AVERAGE(E5069:E5268)</x:f>
        <x:v>1421.5508500000005</x:v>
      </x:c>
      <x:c r="H5268" s="37" t="n">
        <x:f t="shared" si="238">IFERROR(E5268/G5268-1,"")</x:f>
        <x:v>-0.12721377501198805</x:v>
      </x:c>
      <x:c r="I5268" s="38" t="b">
        <x:f t="shared" si="239">E5268&lt;G5268</x:f>
        <x:v>1</x:v>
      </x:c>
    </x:row>
    <x:row r="5269">
      <x:c r="A5269" s="31">
        <x:v>44704</x:v>
      </x:c>
      <x:c r="B5269" s="32">
        <x:v>1246.56</x:v>
      </x:c>
      <x:c r="C5269" s="32">
        <x:v>1246.58</x:v>
      </x:c>
      <x:c r="D5269" s="32">
        <x:v>1207.99</x:v>
      </x:c>
      <x:c r="E5269" s="32">
        <x:v>1218.81</x:v>
      </x:c>
      <x:c r="F5269" s="33">
        <x:v>488979100</x:v>
      </x:c>
      <x:c r="G5269" s="32" t="n">
        <x:f t="shared" si="237">AVERAGE(E5070:E5269)</x:f>
        <x:v>1421.0946500000005</x:v>
      </x:c>
      <x:c r="H5269" s="37" t="n">
        <x:f t="shared" si="238">IFERROR(E5269/G5269-1,"")</x:f>
        <x:v>-0.14234424849885996</x:v>
      </x:c>
      <x:c r="I5269" s="38" t="b">
        <x:f t="shared" si="239">E5269&lt;G5269</x:f>
        <x:v>1</x:v>
      </x:c>
    </x:row>
    <x:row r="5270">
      <x:c r="A5270" s="31">
        <x:v>44705</x:v>
      </x:c>
      <x:c r="B5270" s="32">
        <x:v>1218.8699999999999</x:v>
      </x:c>
      <x:c r="C5270" s="32">
        <x:v>1233.3800000000001</x:v>
      </x:c>
      <x:c r="D5270" s="32">
        <x:v>1203.28</x:v>
      </x:c>
      <x:c r="E5270" s="32">
        <x:v>1233.3800000000001</x:v>
      </x:c>
      <x:c r="F5270" s="33">
        <x:v>479498700</x:v>
      </x:c>
      <x:c r="G5270" s="32" t="n">
        <x:f t="shared" si="237">AVERAGE(E5071:E5270)</x:f>
        <x:v>1420.6904500000005</x:v>
      </x:c>
      <x:c r="H5270" s="37" t="n">
        <x:f t="shared" si="238">IFERROR(E5270/G5270-1,"")</x:f>
        <x:v>-0.13184466046069387</x:v>
      </x:c>
      <x:c r="I5270" s="38" t="b">
        <x:f t="shared" si="239">E5270&lt;G5270</x:f>
        <x:v>1</x:v>
      </x:c>
    </x:row>
    <x:row r="5271">
      <x:c r="A5271" s="31">
        <x:v>44706</x:v>
      </x:c>
      <x:c r="B5271" s="32">
        <x:v>1238.1199999999999</x:v>
      </x:c>
      <x:c r="C5271" s="32">
        <x:v>1268.43</x:v>
      </x:c>
      <x:c r="D5271" s="32">
        <x:v>1234.17</x:v>
      </x:c>
      <x:c r="E5271" s="32">
        <x:v>1268.43</x:v>
      </x:c>
      <x:c r="F5271" s="33">
        <x:v>616951500</x:v>
      </x:c>
      <x:c r="G5271" s="32" t="n">
        <x:f t="shared" si="237">AVERAGE(E5072:E5271)</x:f>
        <x:v>1420.3704000000005</x:v>
      </x:c>
      <x:c r="H5271" s="37" t="n">
        <x:f t="shared" si="238">IFERROR(E5271/G5271-1,"")</x:f>
        <x:v>-0.10697237847254515</x:v>
      </x:c>
      <x:c r="I5271" s="38" t="b">
        <x:f t="shared" si="239">E5271&lt;G5271</x:f>
        <x:v>1</x:v>
      </x:c>
    </x:row>
    <x:row r="5272">
      <x:c r="A5272" s="31">
        <x:v>44707</x:v>
      </x:c>
      <x:c r="B5272" s="32">
        <x:v>1273.8</x:v>
      </x:c>
      <x:c r="C5272" s="32">
        <x:v>1278.1099999999999</x:v>
      </x:c>
      <x:c r="D5272" s="32">
        <x:v>1261.55</x:v>
      </x:c>
      <x:c r="E5272" s="32">
        <x:v>1268.57</x:v>
      </x:c>
      <x:c r="F5272" s="33">
        <x:v>514352700</x:v>
      </x:c>
      <x:c r="G5272" s="32" t="n">
        <x:f t="shared" si="237">AVERAGE(E5073:E5272)</x:f>
        <x:v>1420.0395500000004</x:v>
      </x:c>
      <x:c r="H5272" s="37" t="n">
        <x:f t="shared" si="238">IFERROR(E5272/G5272-1,"")</x:f>
        <x:v>-0.10666572631727089</x:v>
      </x:c>
      <x:c r="I5272" s="38" t="b">
        <x:f t="shared" si="239">E5272&lt;G5272</x:f>
        <x:v>1</x:v>
      </x:c>
    </x:row>
    <x:row r="5273">
      <x:c r="A5273" s="31">
        <x:v>44708</x:v>
      </x:c>
      <x:c r="B5273" s="32">
        <x:v>1270.56</x:v>
      </x:c>
      <x:c r="C5273" s="32">
        <x:v>1286.99</x:v>
      </x:c>
      <x:c r="D5273" s="32">
        <x:v>1269.29</x:v>
      </x:c>
      <x:c r="E5273" s="32">
        <x:v>1285.45</x:v>
      </x:c>
      <x:c r="F5273" s="33">
        <x:v>578174500</x:v>
      </x:c>
      <x:c r="G5273" s="32" t="n">
        <x:f t="shared" si="237">AVERAGE(E5074:E5273)</x:f>
        <x:v>1419.7390500000006</x:v>
      </x:c>
      <x:c r="H5273" s="37" t="n">
        <x:f t="shared" si="238">IFERROR(E5273/G5273-1,"")</x:f>
        <x:v>-0.09458713557255505</x:v>
      </x:c>
      <x:c r="I5273" s="38" t="b">
        <x:f t="shared" si="239">E5273&lt;G5273</x:f>
        <x:v>1</x:v>
      </x:c>
    </x:row>
    <x:row r="5274">
      <x:c r="A5274" s="31">
        <x:v>44711</x:v>
      </x:c>
      <x:c r="B5274" s="32">
        <x:v>1290.1099999999999</x:v>
      </x:c>
      <x:c r="C5274" s="32">
        <x:v>1296.22</x:v>
      </x:c>
      <x:c r="D5274" s="32">
        <x:v>1281.27</x:v>
      </x:c>
      <x:c r="E5274" s="32">
        <x:v>1293.92</x:v>
      </x:c>
      <x:c r="F5274" s="33">
        <x:v>499452600</x:v>
      </x:c>
      <x:c r="G5274" s="32" t="n">
        <x:f t="shared" si="237">AVERAGE(E5075:E5274)</x:f>
        <x:v>1419.5014000000003</x:v>
      </x:c>
      <x:c r="H5274" s="37" t="n">
        <x:f t="shared" si="238">IFERROR(E5274/G5274-1,"")</x:f>
        <x:v>-0.08846866935108355</x:v>
      </x:c>
      <x:c r="I5274" s="38" t="b">
        <x:f t="shared" si="239">E5274&lt;G5274</x:f>
        <x:v>1</x:v>
      </x:c>
    </x:row>
    <x:row r="5275">
      <x:c r="A5275" s="31">
        <x:v>44712</x:v>
      </x:c>
      <x:c r="B5275" s="32">
        <x:v>1288.6300000000001</x:v>
      </x:c>
      <x:c r="C5275" s="32">
        <x:v>1297.6400000000001</x:v>
      </x:c>
      <x:c r="D5275" s="32">
        <x:v>1280.44</x:v>
      </x:c>
      <x:c r="E5275" s="32">
        <x:v>1292.68</x:v>
      </x:c>
      <x:c r="F5275" s="33">
        <x:v>543596100</x:v>
      </x:c>
      <x:c r="G5275" s="32" t="n">
        <x:f t="shared" si="237">AVERAGE(E5076:E5275)</x:f>
        <x:v>1419.1655000000005</x:v>
      </x:c>
      <x:c r="H5275" s="37" t="n">
        <x:f t="shared" si="238">IFERROR(E5275/G5275-1,"")</x:f>
        <x:v>-0.08912667338657854</x:v>
      </x:c>
      <x:c r="I5275" s="38" t="b">
        <x:f t="shared" si="239">E5275&lt;G5275</x:f>
        <x:v>1</x:v>
      </x:c>
    </x:row>
    <x:row r="5276">
      <x:c r="A5276" s="31">
        <x:v>44713</x:v>
      </x:c>
      <x:c r="B5276" s="32">
        <x:v>1289.56</x:v>
      </x:c>
      <x:c r="C5276" s="32">
        <x:v>1302.25</x:v>
      </x:c>
      <x:c r="D5276" s="32">
        <x:v>1286.01</x:v>
      </x:c>
      <x:c r="E5276" s="32">
        <x:v>1299.52</x:v>
      </x:c>
      <x:c r="F5276" s="33">
        <x:v>505619500</x:v>
      </x:c>
      <x:c r="G5276" s="32" t="n">
        <x:f t="shared" si="237">AVERAGE(E5077:E5276)</x:f>
        <x:v>1418.8509500000007</x:v>
      </x:c>
      <x:c r="H5276" s="37" t="n">
        <x:f t="shared" si="238">IFERROR(E5276/G5276-1,"")</x:f>
        <x:v>-0.08410393635779756</x:v>
      </x:c>
      <x:c r="I5276" s="38" t="b">
        <x:f t="shared" si="239">E5276&lt;G5276</x:f>
        <x:v>1</x:v>
      </x:c>
    </x:row>
    <x:row r="5277">
      <x:c r="A5277" s="31">
        <x:v>44714</x:v>
      </x:c>
      <x:c r="B5277" s="32">
        <x:v>1300.58</x:v>
      </x:c>
      <x:c r="C5277" s="32">
        <x:v>1302.6600000000001</x:v>
      </x:c>
      <x:c r="D5277" s="32">
        <x:v>1283.32</x:v>
      </x:c>
      <x:c r="E5277" s="32">
        <x:v>1288.6199999999999</x:v>
      </x:c>
      <x:c r="F5277" s="33">
        <x:v>527625000</x:v>
      </x:c>
      <x:c r="G5277" s="32" t="n">
        <x:f t="shared" si="237">AVERAGE(E5078:E5277)</x:f>
        <x:v>1418.5051000000008</x:v>
      </x:c>
      <x:c r="H5277" s="37" t="n">
        <x:f t="shared" si="238">IFERROR(E5277/G5277-1,"")</x:f>
        <x:v>-0.09156477477592484</x:v>
      </x:c>
      <x:c r="I5277" s="38" t="b">
        <x:f t="shared" si="239">E5277&lt;G5277</x:f>
        <x:v>1</x:v>
      </x:c>
    </x:row>
    <x:row r="5278">
      <x:c r="A5278" s="31">
        <x:v>44715</x:v>
      </x:c>
      <x:c r="B5278" s="32">
        <x:v>1284.6199999999999</x:v>
      </x:c>
      <x:c r="C5278" s="32">
        <x:v>1292.78</x:v>
      </x:c>
      <x:c r="D5278" s="32">
        <x:v>1276.3699999999999</x:v>
      </x:c>
      <x:c r="E5278" s="32">
        <x:v>1287.98</x:v>
      </x:c>
      <x:c r="F5278" s="33">
        <x:v>430601700</x:v>
      </x:c>
      <x:c r="G5278" s="32" t="n">
        <x:f t="shared" si="237">AVERAGE(E5079:E5278)</x:f>
        <x:v>1418.1797500000002</x:v>
      </x:c>
      <x:c r="H5278" s="37" t="n">
        <x:f t="shared" si="238">IFERROR(E5278/G5278-1,"")</x:f>
        <x:v>-0.09180764991179724</x:v>
      </x:c>
      <x:c r="I5278" s="38" t="b">
        <x:f t="shared" si="239">E5278&lt;G5278</x:f>
        <x:v>1</x:v>
      </x:c>
    </x:row>
    <x:row r="5279">
      <x:c r="A5279" s="31">
        <x:v>44718</x:v>
      </x:c>
      <x:c r="B5279" s="32">
        <x:v>1290.04</x:v>
      </x:c>
      <x:c r="C5279" s="32">
        <x:v>1302.1400000000001</x:v>
      </x:c>
      <x:c r="D5279" s="32">
        <x:v>1281.95</x:v>
      </x:c>
      <x:c r="E5279" s="32">
        <x:v>1290.01</x:v>
      </x:c>
      <x:c r="F5279" s="33">
        <x:v>541562900</x:v>
      </x:c>
      <x:c r="G5279" s="32" t="n">
        <x:f t="shared" si="237">AVERAGE(E5080:E5279)</x:f>
        <x:v>1417.8445500000003</x:v>
      </x:c>
      <x:c r="H5279" s="37" t="n">
        <x:f t="shared" si="238">IFERROR(E5279/G5279-1,"")</x:f>
        <x:v>-0.09016118868602363</x:v>
      </x:c>
      <x:c r="I5279" s="38" t="b">
        <x:f t="shared" si="239">E5279&lt;G5279</x:f>
        <x:v>1</x:v>
      </x:c>
    </x:row>
    <x:row r="5280">
      <x:c r="A5280" s="31">
        <x:v>44719</x:v>
      </x:c>
      <x:c r="B5280" s="32">
        <x:v>1285.07</x:v>
      </x:c>
      <x:c r="C5280" s="32">
        <x:v>1291.3499999999999</x:v>
      </x:c>
      <x:c r="D5280" s="32">
        <x:v>1260.92</x:v>
      </x:c>
      <x:c r="E5280" s="32">
        <x:v>1291.3499999999999</x:v>
      </x:c>
      <x:c r="F5280" s="33">
        <x:v>625987600</x:v>
      </x:c>
      <x:c r="G5280" s="32" t="n">
        <x:f t="shared" si="237">AVERAGE(E5081:E5280)</x:f>
        <x:v>1417.4464999999996</x:v>
      </x:c>
      <x:c r="H5280" s="37" t="n">
        <x:f t="shared" si="238">IFERROR(E5280/G5280-1,"")</x:f>
        <x:v>-0.0889603240757233</x:v>
      </x:c>
      <x:c r="I5280" s="38" t="b">
        <x:f t="shared" si="239">E5280&lt;G5280</x:f>
        <x:v>1</x:v>
      </x:c>
    </x:row>
    <x:row r="5281">
      <x:c r="A5281" s="31">
        <x:v>44720</x:v>
      </x:c>
      <x:c r="B5281" s="32">
        <x:v>1307.9100000000001</x:v>
      </x:c>
      <x:c r="C5281" s="32">
        <x:v>1316.78</x:v>
      </x:c>
      <x:c r="D5281" s="32">
        <x:v>1304.79</x:v>
      </x:c>
      <x:c r="E5281" s="32">
        <x:v>1307.9100000000001</x:v>
      </x:c>
      <x:c r="F5281" s="33">
        <x:v>543305900</x:v>
      </x:c>
      <x:c r="G5281" s="32" t="n">
        <x:f t="shared" si="237">AVERAGE(E5082:E5281)</x:f>
        <x:v>1417.1705999999997</x:v>
      </x:c>
      <x:c r="H5281" s="37" t="n">
        <x:f t="shared" si="238">IFERROR(E5281/G5281-1,"")</x:f>
        <x:v>-0.07709770439776242</x:v>
      </x:c>
      <x:c r="I5281" s="38" t="b">
        <x:f t="shared" si="239">E5281&lt;G5281</x:f>
        <x:v>1</x:v>
      </x:c>
    </x:row>
    <x:row r="5282">
      <x:c r="A5282" s="31">
        <x:v>44721</x:v>
      </x:c>
      <x:c r="B5282" s="32">
        <x:v>1310.3499999999999</x:v>
      </x:c>
      <x:c r="C5282" s="32">
        <x:v>1312.44</x:v>
      </x:c>
      <x:c r="D5282" s="32">
        <x:v>1300.8499999999999</x:v>
      </x:c>
      <x:c r="E5282" s="32">
        <x:v>1307.8</x:v>
      </x:c>
      <x:c r="F5282" s="33">
        <x:v>436340700</x:v>
      </x:c>
      <x:c r="G5282" s="32" t="n">
        <x:f t="shared" si="237">AVERAGE(E5083:E5282)</x:f>
        <x:v>1416.9048999999993</x:v>
      </x:c>
      <x:c r="H5282" s="37" t="n">
        <x:f t="shared" si="238">IFERROR(E5282/G5282-1,"")</x:f>
        <x:v>-0.07700227446457375</x:v>
      </x:c>
      <x:c r="I5282" s="38" t="b">
        <x:f t="shared" si="239">E5282&lt;G5282</x:f>
        <x:v>1</x:v>
      </x:c>
    </x:row>
    <x:row r="5283">
      <x:c r="A5283" s="31">
        <x:v>44722</x:v>
      </x:c>
      <x:c r="B5283" s="32">
        <x:v>1298.78</x:v>
      </x:c>
      <x:c r="C5283" s="32">
        <x:v>1309.5899999999999</x:v>
      </x:c>
      <x:c r="D5283" s="32">
        <x:v>1284.08</x:v>
      </x:c>
      <x:c r="E5283" s="32">
        <x:v>1284.08</x:v>
      </x:c>
      <x:c r="F5283" s="33">
        <x:v>561068400</x:v>
      </x:c>
      <x:c r="G5283" s="32" t="n">
        <x:f t="shared" si="237">AVERAGE(E5084:E5283)</x:f>
        <x:v>1416.4510499999994</x:v>
      </x:c>
      <x:c r="H5283" s="37" t="n">
        <x:f t="shared" si="238">IFERROR(E5283/G5283-1,"")</x:f>
        <x:v>-0.09345261172279806</x:v>
      </x:c>
      <x:c r="I5283" s="38" t="b">
        <x:f t="shared" si="239">E5283&lt;G5283</x:f>
        <x:v>1</x:v>
      </x:c>
    </x:row>
    <x:row r="5284">
      <x:c r="A5284" s="31">
        <x:v>44725</x:v>
      </x:c>
      <x:c r="B5284" s="32">
        <x:v>1251.08</x:v>
      </x:c>
      <x:c r="C5284" s="32">
        <x:v>1261.54</x:v>
      </x:c>
      <x:c r="D5284" s="32">
        <x:v>1226.01</x:v>
      </x:c>
      <x:c r="E5284" s="32">
        <x:v>1227.04</x:v>
      </x:c>
      <x:c r="F5284" s="33">
        <x:v>709415500</x:v>
      </x:c>
      <x:c r="G5284" s="32" t="n">
        <x:f t="shared" si="237">AVERAGE(E5085:E5284)</x:f>
        <x:v>1415.9390999999994</x:v>
      </x:c>
      <x:c r="H5284" s="37" t="n">
        <x:f t="shared" si="238">IFERROR(E5284/G5284-1,"")</x:f>
        <x:v>-0.13340905692907234</x:v>
      </x:c>
      <x:c r="I5284" s="38" t="b">
        <x:f t="shared" si="239">E5284&lt;G5284</x:f>
        <x:v>1</x:v>
      </x:c>
    </x:row>
    <x:row r="5285">
      <x:c r="A5285" s="31">
        <x:v>44726</x:v>
      </x:c>
      <x:c r="B5285" s="32">
        <x:v>1213.44</x:v>
      </x:c>
      <x:c r="C5285" s="32">
        <x:v>1239.3599999999999</x:v>
      </x:c>
      <x:c r="D5285" s="32">
        <x:v>1211.1300000000001</x:v>
      </x:c>
      <x:c r="E5285" s="32">
        <x:v>1230.31</x:v>
      </x:c>
      <x:c r="F5285" s="33">
        <x:v>519177100</x:v>
      </x:c>
      <x:c r="G5285" s="32" t="n">
        <x:f t="shared" si="237">AVERAGE(E5086:E5285)</x:f>
        <x:v>1415.5963499999996</x:v>
      </x:c>
      <x:c r="H5285" s="37" t="n">
        <x:f t="shared" si="238">IFERROR(E5285/G5285-1,"")</x:f>
        <x:v>-0.13088925384697392</x:v>
      </x:c>
      <x:c r="I5285" s="38" t="b">
        <x:f t="shared" si="239">E5285&lt;G5285</x:f>
        <x:v>1</x:v>
      </x:c>
    </x:row>
    <x:row r="5286">
      <x:c r="A5286" s="31">
        <x:v>44727</x:v>
      </x:c>
      <x:c r="B5286" s="32">
        <x:v>1231.23</x:v>
      </x:c>
      <x:c r="C5286" s="32">
        <x:v>1235.56</x:v>
      </x:c>
      <x:c r="D5286" s="32">
        <x:v>1195.19</x:v>
      </x:c>
      <x:c r="E5286" s="32">
        <x:v>1213.93</x:v>
      </x:c>
      <x:c r="F5286" s="33">
        <x:v>626914600</x:v>
      </x:c>
      <x:c r="G5286" s="32" t="n">
        <x:f t="shared" si="237">AVERAGE(E5087:E5286)</x:f>
        <x:v>1415.1722999999993</x:v>
      </x:c>
      <x:c r="H5286" s="37" t="n">
        <x:f t="shared" si="238">IFERROR(E5286/G5286-1,"")</x:f>
        <x:v>-0.1422033910641124</x:v>
      </x:c>
      <x:c r="I5286" s="38" t="b">
        <x:f t="shared" si="239">E5286&lt;G5286</x:f>
        <x:v>1</x:v>
      </x:c>
    </x:row>
    <x:row r="5287">
      <x:c r="A5287" s="31">
        <x:v>44728</x:v>
      </x:c>
      <x:c r="B5287" s="32">
        <x:v>1226.96</x:v>
      </x:c>
      <x:c r="C5287" s="32">
        <x:v>1246.32</x:v>
      </x:c>
      <x:c r="D5287" s="32">
        <x:v>1223</x:v>
      </x:c>
      <x:c r="E5287" s="32">
        <x:v>1236.6300000000001</x:v>
      </x:c>
      <x:c r="F5287" s="33">
        <x:v>522295400</x:v>
      </x:c>
      <x:c r="G5287" s="32" t="n">
        <x:f t="shared" si="237">AVERAGE(E5088:E5287)</x:f>
        <x:v>1414.8076999999996</x:v>
      </x:c>
      <x:c r="H5287" s="37" t="n">
        <x:f t="shared" si="238">IFERROR(E5287/G5287-1,"")</x:f>
        <x:v>-0.12593775111628214</x:v>
      </x:c>
      <x:c r="I5287" s="38" t="b">
        <x:f t="shared" si="239">E5287&lt;G5287</x:f>
        <x:v>1</x:v>
      </x:c>
    </x:row>
    <x:row r="5288">
      <x:c r="A5288" s="31">
        <x:v>44729</x:v>
      </x:c>
      <x:c r="B5288" s="32">
        <x:v>1210.5</x:v>
      </x:c>
      <x:c r="C5288" s="32">
        <x:v>1220.4100000000001</x:v>
      </x:c>
      <x:c r="D5288" s="32">
        <x:v>1191.92</x:v>
      </x:c>
      <x:c r="E5288" s="32">
        <x:v>1217.3</x:v>
      </x:c>
      <x:c r="F5288" s="33">
        <x:v>684022500</x:v>
      </x:c>
      <x:c r="G5288" s="32" t="n">
        <x:f t="shared" si="237">AVERAGE(E5089:E5288)</x:f>
        <x:v>1414.3885999999993</x:v>
      </x:c>
      <x:c r="H5288" s="37" t="n">
        <x:f t="shared" si="238">IFERROR(E5288/G5288-1,"")</x:f>
        <x:v>-0.13934543872879024</x:v>
      </x:c>
      <x:c r="I5288" s="38" t="b">
        <x:f t="shared" si="239">E5288&lt;G5288</x:f>
        <x:v>1</x:v>
      </x:c>
    </x:row>
    <x:row r="5289">
      <x:c r="A5289" s="31">
        <x:v>44732</x:v>
      </x:c>
      <x:c r="B5289" s="32">
        <x:v>1218.3699999999999</x:v>
      </x:c>
      <x:c r="C5289" s="32">
        <x:v>1221.5999999999999</x:v>
      </x:c>
      <x:c r="D5289" s="32">
        <x:v>1180.4000000000001</x:v>
      </x:c>
      <x:c r="E5289" s="32">
        <x:v>1180.4000000000001</x:v>
      </x:c>
      <x:c r="F5289" s="33">
        <x:v>620002900</x:v>
      </x:c>
      <x:c r="G5289" s="32" t="n">
        <x:f t="shared" si="237">AVERAGE(E5090:E5289)</x:f>
        <x:v>1413.7245999999993</x:v>
      </x:c>
      <x:c r="H5289" s="37" t="n">
        <x:f t="shared" si="238">IFERROR(E5289/G5289-1,"")</x:f>
        <x:v>-0.16504247008222062</x:v>
      </x:c>
      <x:c r="I5289" s="38" t="b">
        <x:f t="shared" si="239">E5289&lt;G5289</x:f>
        <x:v>1</x:v>
      </x:c>
    </x:row>
    <x:row r="5290">
      <x:c r="A5290" s="31">
        <x:v>44733</x:v>
      </x:c>
      <x:c r="B5290" s="32">
        <x:v>1172.98</x:v>
      </x:c>
      <x:c r="C5290" s="32">
        <x:v>1189.97</x:v>
      </x:c>
      <x:c r="D5290" s="32">
        <x:v>1162.94</x:v>
      </x:c>
      <x:c r="E5290" s="32">
        <x:v>1172.47</x:v>
      </x:c>
      <x:c r="F5290" s="33">
        <x:v>607711900</x:v>
      </x:c>
      <x:c r="G5290" s="32" t="n">
        <x:f t="shared" si="237">AVERAGE(E5091:E5290)</x:f>
        <x:v>1412.9462499999995</x:v>
      </x:c>
      <x:c r="H5290" s="37" t="n">
        <x:f t="shared" si="238">IFERROR(E5290/G5290-1,"")</x:f>
        <x:v>-0.17019490302621176</x:v>
      </x:c>
      <x:c r="I5290" s="38" t="b">
        <x:f t="shared" si="239">E5290&lt;G5290</x:f>
        <x:v>1</x:v>
      </x:c>
    </x:row>
    <x:row r="5291">
      <x:c r="A5291" s="31">
        <x:v>44734</x:v>
      </x:c>
      <x:c r="B5291" s="32">
        <x:v>1180.1099999999999</x:v>
      </x:c>
      <x:c r="C5291" s="32">
        <x:v>1185.8599999999999</x:v>
      </x:c>
      <x:c r="D5291" s="32">
        <x:v>1162.98</x:v>
      </x:c>
      <x:c r="E5291" s="32">
        <x:v>1169.27</x:v>
      </x:c>
      <x:c r="F5291" s="33">
        <x:v>529135300</x:v>
      </x:c>
      <x:c r="G5291" s="32" t="n">
        <x:f t="shared" si="237">AVERAGE(E5092:E5291)</x:f>
        <x:v>1412.1352499999996</x:v>
      </x:c>
      <x:c r="H5291" s="37" t="n">
        <x:f t="shared" si="238">IFERROR(E5291/G5291-1,"")</x:f>
        <x:v>-0.17198441154981414</x:v>
      </x:c>
      <x:c r="I5291" s="38" t="b">
        <x:f t="shared" si="239">E5291&lt;G5291</x:f>
        <x:v>1</x:v>
      </x:c>
    </x:row>
    <x:row r="5292">
      <x:c r="A5292" s="31">
        <x:v>44735</x:v>
      </x:c>
      <x:c r="B5292" s="32">
        <x:v>1162.06</x:v>
      </x:c>
      <x:c r="C5292" s="32">
        <x:v>1188.8800000000001</x:v>
      </x:c>
      <x:c r="D5292" s="32">
        <x:v>1162.06</x:v>
      </x:c>
      <x:c r="E5292" s="32">
        <x:v>1188.8800000000001</x:v>
      </x:c>
      <x:c r="F5292" s="33">
        <x:v>380442900</x:v>
      </x:c>
      <x:c r="G5292" s="32" t="n">
        <x:f t="shared" si="237">AVERAGE(E5093:E5292)</x:f>
        <x:v>1411.4063999999996</x:v>
      </x:c>
      <x:c r="H5292" s="37" t="n">
        <x:f t="shared" si="238">IFERROR(E5292/G5292-1,"")</x:f>
        <x:v>-0.1576628815059926</x:v>
      </x:c>
      <x:c r="I5292" s="38" t="b">
        <x:f t="shared" si="239">E5292&lt;G5292</x:f>
        <x:v>1</x:v>
      </x:c>
    </x:row>
    <x:row r="5293">
      <x:c r="A5293" s="31">
        <x:v>44736</x:v>
      </x:c>
      <x:c r="B5293" s="32">
        <x:v>1190.82</x:v>
      </x:c>
      <x:c r="C5293" s="32">
        <x:v>1196.8499999999999</x:v>
      </x:c>
      <x:c r="D5293" s="32">
        <x:v>1185.48</x:v>
      </x:c>
      <x:c r="E5293" s="32">
        <x:v>1185.48</x:v>
      </x:c>
      <x:c r="F5293" s="33">
        <x:v>410876800</x:v>
      </x:c>
      <x:c r="G5293" s="32" t="n">
        <x:f t="shared" si="237">AVERAGE(E5094:E5293)</x:f>
        <x:v>1410.6018499999993</x:v>
      </x:c>
      <x:c r="H5293" s="37" t="n">
        <x:f t="shared" si="238">IFERROR(E5293/G5293-1,"")</x:f>
        <x:v>-0.15959276531503164</x:v>
      </x:c>
      <x:c r="I5293" s="38" t="b">
        <x:f t="shared" si="239">E5293&lt;G5293</x:f>
        <x:v>1</x:v>
      </x:c>
    </x:row>
    <x:row r="5294">
      <x:c r="A5294" s="31">
        <x:v>44739</x:v>
      </x:c>
      <x:c r="B5294" s="32">
        <x:v>1189.28</x:v>
      </x:c>
      <x:c r="C5294" s="32">
        <x:v>1203.51</x:v>
      </x:c>
      <x:c r="D5294" s="32">
        <x:v>1187.3800000000001</x:v>
      </x:c>
      <x:c r="E5294" s="32">
        <x:v>1202.82</x:v>
      </x:c>
      <x:c r="F5294" s="33">
        <x:v>429735700</x:v>
      </x:c>
      <x:c r="G5294" s="32" t="n">
        <x:f t="shared" si="237">AVERAGE(E5095:E5294)</x:f>
        <x:v>1409.9064499999995</x:v>
      </x:c>
      <x:c r="H5294" s="37" t="n">
        <x:f t="shared" si="238">IFERROR(E5294/G5294-1,"")</x:f>
        <x:v>-0.1468795677897634</x:v>
      </x:c>
      <x:c r="I5294" s="38" t="b">
        <x:f t="shared" si="239">E5294&lt;G5294</x:f>
        <x:v>1</x:v>
      </x:c>
    </x:row>
    <x:row r="5295">
      <x:c r="A5295" s="31">
        <x:v>44740</x:v>
      </x:c>
      <x:c r="B5295" s="32">
        <x:v>1202.4100000000001</x:v>
      </x:c>
      <x:c r="C5295" s="32">
        <x:v>1221.74</x:v>
      </x:c>
      <x:c r="D5295" s="32">
        <x:v>1198.99</x:v>
      </x:c>
      <x:c r="E5295" s="32">
        <x:v>1218.0999999999999</x:v>
      </x:c>
      <x:c r="F5295" s="33">
        <x:v>534186600</x:v>
      </x:c>
      <x:c r="G5295" s="32" t="n">
        <x:f t="shared" si="237">AVERAGE(E5096:E5295)</x:f>
        <x:v>1409.3288999999995</x:v>
      </x:c>
      <x:c r="H5295" s="37" t="n">
        <x:f t="shared" si="238">IFERROR(E5295/G5295-1,"")</x:f>
        <x:v>-0.13568791500692257</x:v>
      </x:c>
      <x:c r="I5295" s="38" t="b">
        <x:f t="shared" si="239">E5295&lt;G5295</x:f>
        <x:v>1</x:v>
      </x:c>
    </x:row>
    <x:row r="5296">
      <x:c r="A5296" s="31">
        <x:v>44741</x:v>
      </x:c>
      <x:c r="B5296" s="32">
        <x:v>1208.1099999999999</x:v>
      </x:c>
      <x:c r="C5296" s="32">
        <x:v>1219.58</x:v>
      </x:c>
      <x:c r="D5296" s="32">
        <x:v>1207.3800000000001</x:v>
      </x:c>
      <x:c r="E5296" s="32">
        <x:v>1218.0899999999999</x:v>
      </x:c>
      <x:c r="F5296" s="33">
        <x:v>519299900</x:v>
      </x:c>
      <x:c r="G5296" s="32" t="n">
        <x:f t="shared" si="237">AVERAGE(E5097:E5296)</x:f>
        <x:v>1408.6994499999998</x:v>
      </x:c>
      <x:c r="H5296" s="37" t="n">
        <x:f t="shared" si="238">IFERROR(E5296/G5296-1,"")</x:f>
        <x:v>-0.13530881267824724</x:v>
      </x:c>
      <x:c r="I5296" s="38" t="b">
        <x:f t="shared" si="239">E5296&lt;G5296</x:f>
        <x:v>1</x:v>
      </x:c>
    </x:row>
    <x:row r="5297">
      <x:c r="A5297" s="31">
        <x:v>44742</x:v>
      </x:c>
      <x:c r="B5297" s="32">
        <x:v>1218.22</x:v>
      </x:c>
      <x:c r="C5297" s="32">
        <x:v>1220.51</x:v>
      </x:c>
      <x:c r="D5297" s="32">
        <x:v>1197.5999999999999</x:v>
      </x:c>
      <x:c r="E5297" s="32">
        <x:v>1197.5999999999999</x:v>
      </x:c>
      <x:c r="F5297" s="33">
        <x:v>471576000</x:v>
      </x:c>
      <x:c r="G5297" s="32" t="n">
        <x:f t="shared" si="237">AVERAGE(E5098:E5297)</x:f>
        <x:v>1407.9608999999996</x:v>
      </x:c>
      <x:c r="H5297" s="37" t="n">
        <x:f t="shared" si="238">IFERROR(E5297/G5297-1,"")</x:f>
        <x:v>-0.14940819734411637</x:v>
      </x:c>
      <x:c r="I5297" s="38" t="b">
        <x:f t="shared" si="239">E5297&lt;G5297</x:f>
        <x:v>1</x:v>
      </x:c>
    </x:row>
    <x:row r="5298">
      <x:c r="A5298" s="31">
        <x:v>44743</x:v>
      </x:c>
      <x:c r="B5298" s="32">
        <x:v>1193.04</x:v>
      </x:c>
      <x:c r="C5298" s="32">
        <x:v>1202.4100000000001</x:v>
      </x:c>
      <x:c r="D5298" s="32">
        <x:v>1170.95</x:v>
      </x:c>
      <x:c r="E5298" s="32">
        <x:v>1198.9000000000001</x:v>
      </x:c>
      <x:c r="F5298" s="33">
        <x:v>498479000</x:v>
      </x:c>
      <x:c r="G5298" s="32" t="n">
        <x:f t="shared" si="237">AVERAGE(E5099:E5298)</x:f>
        <x:v>1407.2482499999999</x:v>
      </x:c>
      <x:c r="H5298" s="37" t="n">
        <x:f t="shared" si="238">IFERROR(E5298/G5298-1,"")</x:f>
        <x:v>-0.14805365719943142</x:v>
      </x:c>
      <x:c r="I5298" s="38" t="b">
        <x:f t="shared" si="239">E5298&lt;G5298</x:f>
        <x:v>1</x:v>
      </x:c>
    </x:row>
    <x:row r="5299">
      <x:c r="A5299" s="31">
        <x:v>44746</x:v>
      </x:c>
      <x:c r="B5299" s="32">
        <x:v>1206.47</x:v>
      </x:c>
      <x:c r="C5299" s="32">
        <x:v>1208.96</x:v>
      </x:c>
      <x:c r="D5299" s="32">
        <x:v>1192.6300000000001</x:v>
      </x:c>
      <x:c r="E5299" s="32">
        <x:v>1195.53</x:v>
      </x:c>
      <x:c r="F5299" s="33">
        <x:v>403314600</x:v>
      </x:c>
      <x:c r="G5299" s="32" t="n">
        <x:f t="shared" si="237">AVERAGE(E5100:E5299)</x:f>
        <x:v>1406.5274</x:v>
      </x:c>
      <x:c r="H5299" s="37" t="n">
        <x:f t="shared" si="238">IFERROR(E5299/G5299-1,"")</x:f>
        <x:v>-0.15001300365709191</x:v>
      </x:c>
      <x:c r="I5299" s="38" t="b">
        <x:f t="shared" si="239">E5299&lt;G5299</x:f>
        <x:v>1</x:v>
      </x:c>
    </x:row>
    <x:row r="5300">
      <x:c r="A5300" s="31">
        <x:v>44747</x:v>
      </x:c>
      <x:c r="B5300" s="32">
        <x:v>1198.42</x:v>
      </x:c>
      <x:c r="C5300" s="32">
        <x:v>1200.99</x:v>
      </x:c>
      <x:c r="D5300" s="32">
        <x:v>1181.29</x:v>
      </x:c>
      <x:c r="E5300" s="32">
        <x:v>1181.29</x:v>
      </x:c>
      <x:c r="F5300" s="33">
        <x:v>559493000</x:v>
      </x:c>
      <x:c r="G5300" s="32" t="n">
        <x:f t="shared" si="237">AVERAGE(E5101:E5300)</x:f>
        <x:v>1405.7047</x:v>
      </x:c>
      <x:c r="H5300" s="37" t="n">
        <x:f t="shared" si="238">IFERROR(E5300/G5300-1,"")</x:f>
        <x:v>-0.15964569229938552</x:v>
      </x:c>
      <x:c r="I5300" s="38" t="b">
        <x:f t="shared" si="239">E5300&lt;G5300</x:f>
        <x:v>1</x:v>
      </x:c>
    </x:row>
    <x:row r="5301">
      <x:c r="A5301" s="31">
        <x:v>44748</x:v>
      </x:c>
      <x:c r="B5301" s="32">
        <x:v>1167.33</x:v>
      </x:c>
      <x:c r="C5301" s="32">
        <x:v>1175.26</x:v>
      </x:c>
      <x:c r="D5301" s="32">
        <x:v>1147.6300000000001</x:v>
      </x:c>
      <x:c r="E5301" s="32">
        <x:v>1149.6099999999999</x:v>
      </x:c>
      <x:c r="F5301" s="33">
        <x:v>511773800</x:v>
      </x:c>
      <x:c r="G5301" s="32" t="n">
        <x:f t="shared" si="237">AVERAGE(E5102:E5301)</x:f>
        <x:v>1404.7233999999999</x:v>
      </x:c>
      <x:c r="H5301" s="37" t="n">
        <x:f t="shared" si="238">IFERROR(E5301/G5301-1,"")</x:f>
        <x:v>-0.18161112714431893</x:v>
      </x:c>
      <x:c r="I5301" s="38" t="b">
        <x:f t="shared" si="239">E5301&lt;G5301</x:f>
        <x:v>1</x:v>
      </x:c>
    </x:row>
    <x:row r="5302">
      <x:c r="A5302" s="31">
        <x:v>44749</x:v>
      </x:c>
      <x:c r="B5302" s="32">
        <x:v>1148.97</x:v>
      </x:c>
      <x:c r="C5302" s="32">
        <x:v>1166.48</x:v>
      </x:c>
      <x:c r="D5302" s="32">
        <x:v>1142.8</x:v>
      </x:c>
      <x:c r="E5302" s="32">
        <x:v>1166.48</x:v>
      </x:c>
      <x:c r="F5302" s="33">
        <x:v>362816600</x:v>
      </x:c>
      <x:c r="G5302" s="32" t="n">
        <x:f t="shared" si="237">AVERAGE(E5103:E5302)</x:f>
        <x:v>1403.7925999999995</x:v>
      </x:c>
      <x:c r="H5302" s="37" t="n">
        <x:f t="shared" si="238">IFERROR(E5302/G5302-1,"")</x:f>
        <x:v>-0.16905104073066035</x:v>
      </x:c>
      <x:c r="I5302" s="38" t="b">
        <x:f t="shared" si="239">E5302&lt;G5302</x:f>
        <x:v>1</x:v>
      </x:c>
    </x:row>
    <x:row r="5303">
      <x:c r="A5303" s="31">
        <x:v>44750</x:v>
      </x:c>
      <x:c r="B5303" s="32">
        <x:v>1173.93</x:v>
      </x:c>
      <x:c r="C5303" s="32">
        <x:v>1177.18</x:v>
      </x:c>
      <x:c r="D5303" s="32">
        <x:v>1164.23</x:v>
      </x:c>
      <x:c r="E5303" s="32">
        <x:v>1171.31</x:v>
      </x:c>
      <x:c r="F5303" s="33">
        <x:v>437189300</x:v>
      </x:c>
      <x:c r="G5303" s="32" t="n">
        <x:f t="shared" si="237">AVERAGE(E5104:E5303)</x:f>
        <x:v>1402.8967499999999</x:v>
      </x:c>
      <x:c r="H5303" s="37" t="n">
        <x:f t="shared" si="238">IFERROR(E5303/G5303-1,"")</x:f>
        <x:v>-0.16507754401740538</x:v>
      </x:c>
      <x:c r="I5303" s="38" t="b">
        <x:f t="shared" si="239">E5303&lt;G5303</x:f>
        <x:v>1</x:v>
      </x:c>
    </x:row>
    <x:row r="5304">
      <x:c r="A5304" s="31">
        <x:v>44753</x:v>
      </x:c>
      <x:c r="B5304" s="32">
        <x:v>1161.3</x:v>
      </x:c>
      <x:c r="C5304" s="32">
        <x:v>1165.23</x:v>
      </x:c>
      <x:c r="D5304" s="32">
        <x:v>1144.55</x:v>
      </x:c>
      <x:c r="E5304" s="32">
        <x:v>1155.29</x:v>
      </x:c>
      <x:c r="F5304" s="33">
        <x:v>488732000</x:v>
      </x:c>
      <x:c r="G5304" s="32" t="n">
        <x:f t="shared" si="237">AVERAGE(E5105:E5304)</x:f>
        <x:v>1401.9739999999997</x:v>
      </x:c>
      <x:c r="H5304" s="37" t="n">
        <x:f t="shared" si="238">IFERROR(E5304/G5304-1,"")</x:f>
        <x:v>-0.17595476092994577</x:v>
      </x:c>
      <x:c r="I5304" s="38" t="b">
        <x:f t="shared" si="239">E5304&lt;G5304</x:f>
        <x:v>1</x:v>
      </x:c>
    </x:row>
    <x:row r="5305">
      <x:c r="A5305" s="31">
        <x:v>44754</x:v>
      </x:c>
      <x:c r="B5305" s="32">
        <x:v>1154.31</x:v>
      </x:c>
      <x:c r="C5305" s="32">
        <x:v>1174.82</x:v>
      </x:c>
      <x:c r="D5305" s="32">
        <x:v>1153.55</x:v>
      </x:c>
      <x:c r="E5305" s="32">
        <x:v>1174.82</x:v>
      </x:c>
      <x:c r="F5305" s="33">
        <x:v>475429100</x:v>
      </x:c>
      <x:c r="G5305" s="32" t="n">
        <x:f t="shared" si="237">AVERAGE(E5106:E5305)</x:f>
        <x:v>1401.0946999999996</x:v>
      </x:c>
      <x:c r="H5305" s="37" t="n">
        <x:f t="shared" si="238">IFERROR(E5305/G5305-1,"")</x:f>
        <x:v>-0.16149850541865574</x:v>
      </x:c>
      <x:c r="I5305" s="38" t="b">
        <x:f t="shared" si="239">E5305&lt;G5305</x:f>
        <x:v>1</x:v>
      </x:c>
    </x:row>
    <x:row r="5306">
      <x:c r="A5306" s="31">
        <x:v>44755</x:v>
      </x:c>
      <x:c r="B5306" s="32">
        <x:v>1174.82</x:v>
      </x:c>
      <x:c r="C5306" s="32">
        <x:v>1182.21</x:v>
      </x:c>
      <x:c r="D5306" s="32">
        <x:v>1170.92</x:v>
      </x:c>
      <x:c r="E5306" s="32">
        <x:v>1173.92</x:v>
      </x:c>
      <x:c r="F5306" s="33">
        <x:v>522379700</x:v>
      </x:c>
      <x:c r="G5306" s="32" t="n">
        <x:f t="shared" si="237">AVERAGE(E5107:E5306)</x:f>
        <x:v>1400.2004999999997</x:v>
      </x:c>
      <x:c r="H5306" s="37" t="n">
        <x:f t="shared" si="238">IFERROR(E5306/G5306-1,"")</x:f>
        <x:v>-0.1616057843144605</x:v>
      </x:c>
      <x:c r="I5306" s="38" t="b">
        <x:f t="shared" si="239">E5306&lt;G5306</x:f>
        <x:v>1</x:v>
      </x:c>
    </x:row>
    <x:row r="5307">
      <x:c r="A5307" s="31">
        <x:v>44756</x:v>
      </x:c>
      <x:c r="B5307" s="32">
        <x:v>1170.7</x:v>
      </x:c>
      <x:c r="C5307" s="32">
        <x:v>1182.17</x:v>
      </x:c>
      <x:c r="D5307" s="32">
        <x:v>1170.04</x:v>
      </x:c>
      <x:c r="E5307" s="32">
        <x:v>1182.17</x:v>
      </x:c>
      <x:c r="F5307" s="33">
        <x:v>490512400</x:v>
      </x:c>
      <x:c r="G5307" s="32" t="n">
        <x:f t="shared" si="237">AVERAGE(E5108:E5307)</x:f>
        <x:v>1399.3554999999997</x:v>
      </x:c>
      <x:c r="H5307" s="37" t="n">
        <x:f t="shared" si="238">IFERROR(E5307/G5307-1,"")</x:f>
        <x:v>-0.15520394924663505</x:v>
      </x:c>
      <x:c r="I5307" s="38" t="b">
        <x:f t="shared" si="239">E5307&lt;G5307</x:f>
        <x:v>1</x:v>
      </x:c>
    </x:row>
    <x:row r="5308">
      <x:c r="A5308" s="31">
        <x:v>44757</x:v>
      </x:c>
      <x:c r="B5308" s="32">
        <x:v>1183.1500000000001</x:v>
      </x:c>
      <x:c r="C5308" s="32">
        <x:v>1189.6600000000001</x:v>
      </x:c>
      <x:c r="D5308" s="32">
        <x:v>1178.1199999999999</x:v>
      </x:c>
      <x:c r="E5308" s="32">
        <x:v>1179.25</x:v>
      </x:c>
      <x:c r="F5308" s="33">
        <x:v>543854200</x:v>
      </x:c>
      <x:c r="G5308" s="32" t="n">
        <x:f t="shared" si="237">AVERAGE(E5109:E5308)</x:f>
        <x:v>1398.6267999999995</x:v>
      </x:c>
      <x:c r="H5308" s="37" t="n">
        <x:f t="shared" si="238">IFERROR(E5308/G5308-1,"")</x:f>
        <x:v>-0.15685156326190774</x:v>
      </x:c>
      <x:c r="I5308" s="38" t="b">
        <x:f t="shared" si="239">E5308&lt;G5308</x:f>
        <x:v>1</x:v>
      </x:c>
    </x:row>
    <x:row r="5309">
      <x:c r="A5309" s="31">
        <x:v>44760</x:v>
      </x:c>
      <x:c r="B5309" s="32">
        <x:v>1184.74</x:v>
      </x:c>
      <x:c r="C5309" s="32">
        <x:v>1184.93</x:v>
      </x:c>
      <x:c r="D5309" s="32">
        <x:v>1174.7</x:v>
      </x:c>
      <x:c r="E5309" s="32">
        <x:v>1176.49</x:v>
      </x:c>
      <x:c r="F5309" s="33">
        <x:v>480514500</x:v>
      </x:c>
      <x:c r="G5309" s="32" t="n">
        <x:f t="shared" si="237">AVERAGE(E5110:E5309)</x:f>
        <x:v>1397.8126999999995</x:v>
      </x:c>
      <x:c r="H5309" s="37" t="n">
        <x:f t="shared" si="238">IFERROR(E5309/G5309-1,"")</x:f>
        <x:v>-0.1583350187045801</x:v>
      </x:c>
      <x:c r="I5309" s="38" t="b">
        <x:f t="shared" si="239">E5309&lt;G5309</x:f>
        <x:v>1</x:v>
      </x:c>
    </x:row>
    <x:row r="5310">
      <x:c r="A5310" s="31">
        <x:v>44761</x:v>
      </x:c>
      <x:c r="B5310" s="32">
        <x:v>1176.48</x:v>
      </x:c>
      <x:c r="C5310" s="32">
        <x:v>1180.46</x:v>
      </x:c>
      <x:c r="D5310" s="32">
        <x:v>1168.99</x:v>
      </x:c>
      <x:c r="E5310" s="32">
        <x:v>1178.33</x:v>
      </x:c>
      <x:c r="F5310" s="33">
        <x:v>479006800</x:v>
      </x:c>
      <x:c r="G5310" s="32" t="n">
        <x:f t="shared" si="237">AVERAGE(E5111:E5310)</x:f>
        <x:v>1397.0083</x:v>
      </x:c>
      <x:c r="H5310" s="37" t="n">
        <x:f t="shared" si="238">IFERROR(E5310/G5310-1,"")</x:f>
        <x:v>-0.15653328616587325</x:v>
      </x:c>
      <x:c r="I5310" s="38" t="b">
        <x:f t="shared" si="239">E5310&lt;G5310</x:f>
        <x:v>1</x:v>
      </x:c>
    </x:row>
    <x:row r="5311">
      <x:c r="A5311" s="31">
        <x:v>44762</x:v>
      </x:c>
      <x:c r="B5311" s="32">
        <x:v>1188.1199999999999</x:v>
      </x:c>
      <x:c r="C5311" s="32">
        <x:v>1198.6300000000001</x:v>
      </x:c>
      <x:c r="D5311" s="32">
        <x:v>1185.82</x:v>
      </x:c>
      <x:c r="E5311" s="32">
        <x:v>1194.1400000000001</x:v>
      </x:c>
      <x:c r="F5311" s="33">
        <x:v>601098600</x:v>
      </x:c>
      <x:c r="G5311" s="32" t="n">
        <x:f t="shared" si="237">AVERAGE(E5112:E5311)</x:f>
        <x:v>1396.2686999999999</x:v>
      </x:c>
      <x:c r="H5311" s="37" t="n">
        <x:f t="shared" si="238">IFERROR(E5311/G5311-1,"")</x:f>
        <x:v>-0.1447634685214957</x:v>
      </x:c>
      <x:c r="I5311" s="38" t="b">
        <x:f t="shared" si="239">E5311&lt;G5311</x:f>
        <x:v>1</x:v>
      </x:c>
    </x:row>
    <x:row r="5312">
      <x:c r="A5312" s="31">
        <x:v>44763</x:v>
      </x:c>
      <x:c r="B5312" s="32">
        <x:v>1195.03</x:v>
      </x:c>
      <x:c r="C5312" s="32">
        <x:v>1201.9100000000001</x:v>
      </x:c>
      <x:c r="D5312" s="32">
        <x:v>1194.97</x:v>
      </x:c>
      <x:c r="E5312" s="32">
        <x:v>1198.47</x:v>
      </x:c>
      <x:c r="F5312" s="33">
        <x:v>500949000</x:v>
      </x:c>
      <x:c r="G5312" s="32" t="n">
        <x:f t="shared" si="237">AVERAGE(E5113:E5312)</x:f>
        <x:v>1395.5865999999996</x:v>
      </x:c>
      <x:c r="H5312" s="37" t="n">
        <x:f t="shared" si="238">IFERROR(E5312/G5312-1,"")</x:f>
        <x:v>-0.14124282935935306</x:v>
      </x:c>
      <x:c r="I5312" s="38" t="b">
        <x:f t="shared" si="239">E5312&lt;G5312</x:f>
        <x:v>1</x:v>
      </x:c>
    </x:row>
    <x:row r="5313">
      <x:c r="A5313" s="31">
        <x:v>44764</x:v>
      </x:c>
      <x:c r="B5313" s="32">
        <x:v>1199.1600000000001</x:v>
      </x:c>
      <x:c r="C5313" s="32">
        <x:v>1202.69</x:v>
      </x:c>
      <x:c r="D5313" s="32">
        <x:v>1194.76</x:v>
      </x:c>
      <x:c r="E5313" s="32">
        <x:v>1194.76</x:v>
      </x:c>
      <x:c r="F5313" s="33">
        <x:v>448428100</x:v>
      </x:c>
      <x:c r="G5313" s="32" t="n">
        <x:f t="shared" si="237">AVERAGE(E5114:E5313)</x:f>
        <x:v>1394.8626999999997</x:v>
      </x:c>
      <x:c r="H5313" s="37" t="n">
        <x:f t="shared" si="238">IFERROR(E5313/G5313-1,"")</x:f>
        <x:v>-0.14345691515014325</x:v>
      </x:c>
      <x:c r="I5313" s="38" t="b">
        <x:f t="shared" si="239">E5313&lt;G5313</x:f>
        <x:v>1</x:v>
      </x:c>
    </x:row>
    <x:row r="5314">
      <x:c r="A5314" s="31">
        <x:v>44767</x:v>
      </x:c>
      <x:c r="B5314" s="32">
        <x:v>1191.43</x:v>
      </x:c>
      <x:c r="C5314" s="32">
        <x:v>1198.1600000000001</x:v>
      </x:c>
      <x:c r="D5314" s="32">
        <x:v>1184.32</x:v>
      </x:c>
      <x:c r="E5314" s="32">
        <x:v>1188.5</x:v>
      </x:c>
      <x:c r="F5314" s="33">
        <x:v>410066000</x:v>
      </x:c>
      <x:c r="G5314" s="32" t="n">
        <x:f t="shared" si="237">AVERAGE(E5115:E5314)</x:f>
        <x:v>1394.0320499999996</x:v>
      </x:c>
      <x:c r="H5314" s="37" t="n">
        <x:f t="shared" si="238">IFERROR(E5314/G5314-1,"")</x:f>
        <x:v>-0.14743710519424547</x:v>
      </x:c>
      <x:c r="I5314" s="38" t="b">
        <x:f t="shared" si="239">E5314&lt;G5314</x:f>
        <x:v>1</x:v>
      </x:c>
    </x:row>
    <x:row r="5315">
      <x:c r="A5315" s="31">
        <x:v>44768</x:v>
      </x:c>
      <x:c r="B5315" s="32">
        <x:v>1189.42</x:v>
      </x:c>
      <x:c r="C5315" s="32">
        <x:v>1194.1500000000001</x:v>
      </x:c>
      <x:c r="D5315" s="32">
        <x:v>1184.44</x:v>
      </x:c>
      <x:c r="E5315" s="32">
        <x:v>1185.07</x:v>
      </x:c>
      <x:c r="F5315" s="33">
        <x:v>388328300</x:v>
      </x:c>
      <x:c r="G5315" s="32" t="n">
        <x:f t="shared" si="237">AVERAGE(E5116:E5315)</x:f>
        <x:v>1393.1433</x:v>
      </x:c>
      <x:c r="H5315" s="37" t="n">
        <x:f t="shared" si="238">IFERROR(E5315/G5315-1,"")</x:f>
        <x:v>-0.14935527450765473</x:v>
      </x:c>
      <x:c r="I5315" s="38" t="b">
        <x:f t="shared" si="239">E5315&lt;G5315</x:f>
        <x:v>1</x:v>
      </x:c>
    </x:row>
    <x:row r="5316">
      <x:c r="A5316" s="31">
        <x:v>44769</x:v>
      </x:c>
      <x:c r="B5316" s="32">
        <x:v>1180.83</x:v>
      </x:c>
      <x:c r="C5316" s="32">
        <x:v>1191.04</x:v>
      </x:c>
      <x:c r="D5316" s="32">
        <x:v>1178.58</x:v>
      </x:c>
      <x:c r="E5316" s="32">
        <x:v>1191.04</x:v>
      </x:c>
      <x:c r="F5316" s="33">
        <x:v>387799200</x:v>
      </x:c>
      <x:c r="G5316" s="32" t="n">
        <x:f t="shared" si="237">AVERAGE(E5117:E5316)</x:f>
        <x:v>1392.26855</x:v>
      </x:c>
      <x:c r="H5316" s="37" t="n">
        <x:f t="shared" si="238">IFERROR(E5316/G5316-1,"")</x:f>
        <x:v>-0.14453285610739397</x:v>
      </x:c>
      <x:c r="I5316" s="38" t="b">
        <x:f t="shared" si="239">E5316&lt;G5316</x:f>
        <x:v>1</x:v>
      </x:c>
    </x:row>
    <x:row r="5317">
      <x:c r="A5317" s="31">
        <x:v>44770</x:v>
      </x:c>
      <x:c r="B5317" s="32">
        <x:v>1201.77</x:v>
      </x:c>
      <x:c r="C5317" s="32">
        <x:v>1214.03</x:v>
      </x:c>
      <x:c r="D5317" s="32">
        <x:v>1198.68</x:v>
      </x:c>
      <x:c r="E5317" s="32">
        <x:v>1208.1199999999999</x:v>
      </x:c>
      <x:c r="F5317" s="33">
        <x:v>620546700</x:v>
      </x:c>
      <x:c r="G5317" s="32" t="n">
        <x:f t="shared" si="237">AVERAGE(E5118:E5317)</x:f>
        <x:v>1391.4454999999998</x:v>
      </x:c>
      <x:c r="H5317" s="37" t="n">
        <x:f t="shared" si="238">IFERROR(E5317/G5317-1,"")</x:f>
        <x:v>-0.13175183648946365</x:v>
      </x:c>
      <x:c r="I5317" s="38" t="b">
        <x:f t="shared" si="239">E5317&lt;G5317</x:f>
        <x:v>1</x:v>
      </x:c>
    </x:row>
    <x:row r="5318">
      <x:c r="A5318" s="31">
        <x:v>44771</x:v>
      </x:c>
      <x:c r="B5318" s="32">
        <x:v>1214.32</x:v>
      </x:c>
      <x:c r="C5318" s="32">
        <x:v>1217.8399999999999</x:v>
      </x:c>
      <x:c r="D5318" s="32">
        <x:v>1206.33</x:v>
      </x:c>
      <x:c r="E5318" s="32">
        <x:v>1206.33</x:v>
      </x:c>
      <x:c r="F5318" s="33">
        <x:v>537058300</x:v>
      </x:c>
      <x:c r="G5318" s="32" t="n">
        <x:f t="shared" si="237">AVERAGE(E5119:E5318)</x:f>
        <x:v>1390.5067</x:v>
      </x:c>
      <x:c r="H5318" s="37" t="n">
        <x:f t="shared" si="238">IFERROR(E5318/G5318-1,"")</x:f>
        <x:v>-0.1324529396370402</x:v>
      </x:c>
      <x:c r="I5318" s="38" t="b">
        <x:f t="shared" si="239">E5318&lt;G5318</x:f>
        <x:v>1</x:v>
      </x:c>
    </x:row>
    <x:row r="5319">
      <x:c r="A5319" s="31">
        <x:v>44774</x:v>
      </x:c>
      <x:c r="B5319" s="32">
        <x:v>1209.05</x:v>
      </x:c>
      <x:c r="C5319" s="32">
        <x:v>1231.3499999999999</x:v>
      </x:c>
      <x:c r="D5319" s="32">
        <x:v>1209.04</x:v>
      </x:c>
      <x:c r="E5319" s="32">
        <x:v>1231.3499999999999</x:v>
      </x:c>
      <x:c r="F5319" s="33">
        <x:v>681871300</x:v>
      </x:c>
      <x:c r="G5319" s="32" t="n">
        <x:f t="shared" si="237">AVERAGE(E5120:E5319)</x:f>
        <x:v>1389.68945</x:v>
      </x:c>
      <x:c r="H5319" s="37" t="n">
        <x:f t="shared" si="238">IFERROR(E5319/G5319-1,"")</x:f>
        <x:v>-0.11393872926069937</x:v>
      </x:c>
      <x:c r="I5319" s="38" t="b">
        <x:f t="shared" si="239">E5319&lt;G5319</x:f>
        <x:v>1</x:v>
      </x:c>
    </x:row>
    <x:row r="5320">
      <x:c r="A5320" s="31">
        <x:v>44775</x:v>
      </x:c>
      <x:c r="B5320" s="32">
        <x:v>1230.31</x:v>
      </x:c>
      <x:c r="C5320" s="32">
        <x:v>1241.9100000000001</x:v>
      </x:c>
      <x:c r="D5320" s="32">
        <x:v>1224.1099999999999</x:v>
      </x:c>
      <x:c r="E5320" s="32">
        <x:v>1241.6199999999999</x:v>
      </x:c>
      <x:c r="F5320" s="33">
        <x:v>734388200</x:v>
      </x:c>
      <x:c r="G5320" s="32" t="n">
        <x:f t="shared" si="237">AVERAGE(E5121:E5320)</x:f>
        <x:v>1388.938</x:v>
      </x:c>
      <x:c r="H5320" s="37" t="n">
        <x:f t="shared" si="238">IFERROR(E5320/G5320-1,"")</x:f>
        <x:v>-0.10606520953419096</x:v>
      </x:c>
      <x:c r="I5320" s="38" t="b">
        <x:f t="shared" si="239">E5320&lt;G5320</x:f>
        <x:v>1</x:v>
      </x:c>
    </x:row>
    <x:row r="5321">
      <x:c r="A5321" s="31">
        <x:v>44776</x:v>
      </x:c>
      <x:c r="B5321" s="32">
        <x:v>1233.8399999999999</x:v>
      </x:c>
      <x:c r="C5321" s="32">
        <x:v>1250.2</x:v>
      </x:c>
      <x:c r="D5321" s="32">
        <x:v>1232.4100000000001</x:v>
      </x:c>
      <x:c r="E5321" s="32">
        <x:v>1249.76</x:v>
      </x:c>
      <x:c r="F5321" s="33">
        <x:v>702358600</x:v>
      </x:c>
      <x:c r="G5321" s="32" t="n">
        <x:f t="shared" si="237">AVERAGE(E5122:E5321)</x:f>
        <x:v>1388.2275500000003</x:v>
      </x:c>
      <x:c r="H5321" s="37" t="n">
        <x:f t="shared" si="238">IFERROR(E5321/G5321-1,"")</x:f>
        <x:v>-0.09974413056418618</x:v>
      </x:c>
      <x:c r="I5321" s="38" t="b">
        <x:f t="shared" si="239">E5321&lt;G5321</x:f>
        <x:v>1</x:v>
      </x:c>
    </x:row>
    <x:row r="5322">
      <x:c r="A5322" s="31">
        <x:v>44777</x:v>
      </x:c>
      <x:c r="B5322" s="32">
        <x:v>1252.49</x:v>
      </x:c>
      <x:c r="C5322" s="32">
        <x:v>1257.3800000000001</x:v>
      </x:c>
      <x:c r="D5322" s="32">
        <x:v>1247.3800000000001</x:v>
      </x:c>
      <x:c r="E5322" s="32">
        <x:v>1254.1500000000001</x:v>
      </x:c>
      <x:c r="F5322" s="33">
        <x:v>655935800</x:v>
      </x:c>
      <x:c r="G5322" s="32" t="n">
        <x:f t="shared" si="237">AVERAGE(E5123:E5322)</x:f>
        <x:v>1387.5348000000004</x:v>
      </x:c>
      <x:c r="H5322" s="37" t="n">
        <x:f t="shared" si="238">IFERROR(E5322/G5322-1,"")</x:f>
        <x:v>-0.09613077812534876</x:v>
      </x:c>
      <x:c r="I5322" s="38" t="b">
        <x:f t="shared" si="239">E5322&lt;G5322</x:f>
        <x:v>1</x:v>
      </x:c>
    </x:row>
    <x:row r="5323">
      <x:c r="A5323" s="31">
        <x:v>44778</x:v>
      </x:c>
      <x:c r="B5323" s="32">
        <x:v>1250.25</x:v>
      </x:c>
      <x:c r="C5323" s="32">
        <x:v>1253.75</x:v>
      </x:c>
      <x:c r="D5323" s="32">
        <x:v>1245.05</x:v>
      </x:c>
      <x:c r="E5323" s="32">
        <x:v>1252.74</x:v>
      </x:c>
      <x:c r="F5323" s="33">
        <x:v>604391400</x:v>
      </x:c>
      <x:c r="G5323" s="32" t="n">
        <x:f t="shared" si="237">AVERAGE(E5124:E5323)</x:f>
        <x:v>1386.8208500000003</x:v>
      </x:c>
      <x:c r="H5323" s="37" t="n">
        <x:f t="shared" si="238">IFERROR(E5323/G5323-1,"")</x:f>
        <x:v>-0.09668217059182538</x:v>
      </x:c>
      <x:c r="I5323" s="38" t="b">
        <x:f t="shared" si="239">E5323&lt;G5323</x:f>
        <x:v>1</x:v>
      </x:c>
    </x:row>
    <x:row r="5324">
      <x:c r="A5324" s="31">
        <x:v>44781</x:v>
      </x:c>
      <x:c r="B5324" s="32">
        <x:v>1252.3599999999999</x:v>
      </x:c>
      <x:c r="C5324" s="32">
        <x:v>1258.8399999999999</x:v>
      </x:c>
      <x:c r="D5324" s="32">
        <x:v>1252.04</x:v>
      </x:c>
      <x:c r="E5324" s="32">
        <x:v>1256.75</x:v>
      </x:c>
      <x:c r="F5324" s="33">
        <x:v>634015600</x:v>
      </x:c>
      <x:c r="G5324" s="32" t="n">
        <x:f t="shared" si="237">AVERAGE(E5125:E5324)</x:f>
        <x:v>1386.1279500000005</x:v>
      </x:c>
      <x:c r="H5324" s="37" t="n">
        <x:f t="shared" si="238">IFERROR(E5324/G5324-1,"")</x:f>
        <x:v>-0.09333766770953611</x:v>
      </x:c>
      <x:c r="I5324" s="38" t="b">
        <x:f t="shared" si="239">E5324&lt;G5324</x:f>
        <x:v>1</x:v>
      </x:c>
    </x:row>
    <x:row r="5325">
      <x:c r="A5325" s="31">
        <x:v>44782</x:v>
      </x:c>
      <x:c r="B5325" s="32">
        <x:v>1260.3599999999999</x:v>
      </x:c>
      <x:c r="C5325" s="32">
        <x:v>1263.1400000000001</x:v>
      </x:c>
      <x:c r="D5325" s="32">
        <x:v>1252.8399999999999</x:v>
      </x:c>
      <x:c r="E5325" s="32">
        <x:v>1258.8499999999999</x:v>
      </x:c>
      <x:c r="F5325" s="33">
        <x:v>655262300</x:v>
      </x:c>
      <x:c r="G5325" s="32" t="n">
        <x:f t="shared" ref="G5325:G5388" si="240">AVERAGE(E5126:E5325)</x:f>
        <x:v>1385.4532000000002</x:v>
      </x:c>
      <x:c r="H5325" s="37" t="n">
        <x:f t="shared" ref="H5325:H5388" si="241">IFERROR(E5325/G5325-1,"")</x:f>
        <x:v>-0.09138035120926513</x:v>
      </x:c>
      <x:c r="I5325" s="38" t="b">
        <x:f t="shared" ref="I5325:I5388" si="242">E5325&lt;G5325</x:f>
        <x:v>1</x:v>
      </x:c>
    </x:row>
    <x:row r="5326">
      <x:c r="A5326" s="31">
        <x:v>44783</x:v>
      </x:c>
      <x:c r="B5326" s="32">
        <x:v>1255.69</x:v>
      </x:c>
      <x:c r="C5326" s="32">
        <x:v>1260.3599999999999</x:v>
      </x:c>
      <x:c r="D5326" s="32">
        <x:v>1253.8900000000001</x:v>
      </x:c>
      <x:c r="E5326" s="32">
        <x:v>1256.5</x:v>
      </x:c>
      <x:c r="F5326" s="33">
        <x:v>584384800</x:v>
      </x:c>
      <x:c r="G5326" s="32" t="n">
        <x:f t="shared" si="240">AVERAGE(E5127:E5326)</x:f>
        <x:v>1384.8118500000003</x:v>
      </x:c>
      <x:c r="H5326" s="37" t="n">
        <x:f t="shared" si="241">IFERROR(E5326/G5326-1,"")</x:f>
        <x:v>-0.09265652225607413</x:v>
      </x:c>
      <x:c r="I5326" s="38" t="b">
        <x:f t="shared" si="242">E5326&lt;G5326</x:f>
        <x:v>1</x:v>
      </x:c>
    </x:row>
    <x:row r="5327">
      <x:c r="A5327" s="31">
        <x:v>44784</x:v>
      </x:c>
      <x:c r="B5327" s="32">
        <x:v>1267.3699999999999</x:v>
      </x:c>
      <x:c r="C5327" s="32">
        <x:v>1268.03</x:v>
      </x:c>
      <x:c r="D5327" s="32">
        <x:v>1245.8499999999999</x:v>
      </x:c>
      <x:c r="E5327" s="32">
        <x:v>1252.07</x:v>
      </x:c>
      <x:c r="F5327" s="33">
        <x:v>765336500</x:v>
      </x:c>
      <x:c r="G5327" s="32" t="n">
        <x:f t="shared" si="240">AVERAGE(E5128:E5327)</x:f>
        <x:v>1384.1260000000004</x:v>
      </x:c>
      <x:c r="H5327" s="37" t="n">
        <x:f t="shared" si="241">IFERROR(E5327/G5327-1,"")</x:f>
        <x:v>-0.09540749902826795</x:v>
      </x:c>
      <x:c r="I5327" s="38" t="b">
        <x:f t="shared" si="242">E5327&lt;G5327</x:f>
        <x:v>1</x:v>
      </x:c>
    </x:row>
    <x:row r="5328">
      <x:c r="A5328" s="31">
        <x:v>44785</x:v>
      </x:c>
      <x:c r="B5328" s="32">
        <x:v>1250.76</x:v>
      </x:c>
      <x:c r="C5328" s="32">
        <x:v>1262.33</x:v>
      </x:c>
      <x:c r="D5328" s="32">
        <x:v>1248.6500000000001</x:v>
      </x:c>
      <x:c r="E5328" s="32">
        <x:v>1262.33</x:v>
      </x:c>
      <x:c r="F5328" s="33">
        <x:v>508817800</x:v>
      </x:c>
      <x:c r="G5328" s="32" t="n">
        <x:f t="shared" si="240">AVERAGE(E5129:E5328)</x:f>
        <x:v>1383.5106500000006</x:v>
      </x:c>
      <x:c r="H5328" s="37" t="n">
        <x:f t="shared" si="241">IFERROR(E5328/G5328-1,"")</x:f>
        <x:v>-0.08758924262708112</x:v>
      </x:c>
      <x:c r="I5328" s="38" t="b">
        <x:f t="shared" si="242">E5328&lt;G5328</x:f>
        <x:v>1</x:v>
      </x:c>
    </x:row>
    <x:row r="5329">
      <x:c r="A5329" s="31">
        <x:v>44788</x:v>
      </x:c>
      <x:c r="B5329" s="32">
        <x:v>1268.56</x:v>
      </x:c>
      <x:c r="C5329" s="32">
        <x:v>1274.24</x:v>
      </x:c>
      <x:c r="D5329" s="32">
        <x:v>1267.1400000000001</x:v>
      </x:c>
      <x:c r="E5329" s="32">
        <x:v>1274.2</x:v>
      </x:c>
      <x:c r="F5329" s="33">
        <x:v>585580500</x:v>
      </x:c>
      <x:c r="G5329" s="32" t="n">
        <x:f t="shared" si="240">AVERAGE(E5130:E5329)</x:f>
        <x:v>1382.9235000000006</x:v>
      </x:c>
      <x:c r="H5329" s="37" t="n">
        <x:f t="shared" si="241">IFERROR(E5329/G5329-1,"")</x:f>
        <x:v>-0.07861859314705444</x:v>
      </x:c>
      <x:c r="I5329" s="38" t="b">
        <x:f t="shared" si="242">E5329&lt;G5329</x:f>
        <x:v>1</x:v>
      </x:c>
    </x:row>
    <x:row r="5330">
      <x:c r="A5330" s="31">
        <x:v>44789</x:v>
      </x:c>
      <x:c r="B5330" s="32">
        <x:v>1274.08</x:v>
      </x:c>
      <x:c r="C5330" s="32">
        <x:v>1275.93</x:v>
      </x:c>
      <x:c r="D5330" s="32">
        <x:v>1271.1099999999999</x:v>
      </x:c>
      <x:c r="E5330" s="32">
        <x:v>1274.69</x:v>
      </x:c>
      <x:c r="F5330" s="33">
        <x:v>569526100</x:v>
      </x:c>
      <x:c r="G5330" s="32" t="n">
        <x:f t="shared" si="240">AVERAGE(E5131:E5330)</x:f>
        <x:v>1382.1818500000008</x:v>
      </x:c>
      <x:c r="H5330" s="37" t="n">
        <x:f t="shared" si="241">IFERROR(E5330/G5330-1,"")</x:f>
        <x:v>-0.07776968710738075</x:v>
      </x:c>
      <x:c r="I5330" s="38" t="b">
        <x:f t="shared" si="242">E5330&lt;G5330</x:f>
        <x:v>1</x:v>
      </x:c>
    </x:row>
    <x:row r="5331">
      <x:c r="A5331" s="31">
        <x:v>44790</x:v>
      </x:c>
      <x:c r="B5331" s="32">
        <x:v>1276.76</x:v>
      </x:c>
      <x:c r="C5331" s="32">
        <x:v>1280.6099999999999</x:v>
      </x:c>
      <x:c r="D5331" s="32">
        <x:v>1271.97</x:v>
      </x:c>
      <x:c r="E5331" s="32">
        <x:v>1275.28</x:v>
      </x:c>
      <x:c r="F5331" s="33">
        <x:v>644581600</x:v>
      </x:c>
      <x:c r="G5331" s="32" t="n">
        <x:f t="shared" si="240">AVERAGE(E5132:E5331)</x:f>
        <x:v>1381.3682000000013</x:v>
      </x:c>
      <x:c r="H5331" s="37" t="n">
        <x:f t="shared" si="241">IFERROR(E5331/G5331-1,"")</x:f>
        <x:v>-0.07679936457202441</x:v>
      </x:c>
      <x:c r="I5331" s="38" t="b">
        <x:f t="shared" si="242">E5331&lt;G5331</x:f>
        <x:v>1</x:v>
      </x:c>
    </x:row>
    <x:row r="5332">
      <x:c r="A5332" s="31">
        <x:v>44791</x:v>
      </x:c>
      <x:c r="B5332" s="32">
        <x:v>1273.45</x:v>
      </x:c>
      <x:c r="C5332" s="32">
        <x:v>1283.1500000000001</x:v>
      </x:c>
      <x:c r="D5332" s="32">
        <x:v>1268.6400000000001</x:v>
      </x:c>
      <x:c r="E5332" s="32">
        <x:v>1273.6600000000001</x:v>
      </x:c>
      <x:c r="F5332" s="33">
        <x:v>558424300</x:v>
      </x:c>
      <x:c r="G5332" s="32" t="n">
        <x:f t="shared" si="240">AVERAGE(E5133:E5332)</x:f>
        <x:v>1380.5151500000006</x:v>
      </x:c>
      <x:c r="H5332" s="37" t="n">
        <x:f t="shared" si="241">IFERROR(E5332/G5332-1,"")</x:f>
        <x:v>-0.07740237403407013</x:v>
      </x:c>
      <x:c r="I5332" s="38" t="b">
        <x:f t="shared" si="242">E5332&lt;G5332</x:f>
        <x:v>1</x:v>
      </x:c>
    </x:row>
    <x:row r="5333">
      <x:c r="A5333" s="31">
        <x:v>44792</x:v>
      </x:c>
      <x:c r="B5333" s="32">
        <x:v>1272.23</x:v>
      </x:c>
      <x:c r="C5333" s="32">
        <x:v>1280</x:v>
      </x:c>
      <x:c r="D5333" s="32">
        <x:v>1263.45</x:v>
      </x:c>
      <x:c r="E5333" s="32">
        <x:v>1269.18</x:v>
      </x:c>
      <x:c r="F5333" s="33">
        <x:v>568209800</x:v>
      </x:c>
      <x:c r="G5333" s="32" t="n">
        <x:f t="shared" si="240">AVERAGE(E5134:E5333)</x:f>
        <x:v>1379.6662000000008</x:v>
      </x:c>
      <x:c r="H5333" s="37" t="n">
        <x:f t="shared" si="241">IFERROR(E5333/G5333-1,"")</x:f>
        <x:v>-0.08008183428716353</x:v>
      </x:c>
      <x:c r="I5333" s="38" t="b">
        <x:f t="shared" si="242">E5333&lt;G5333</x:f>
        <x:v>1</x:v>
      </x:c>
    </x:row>
    <x:row r="5334">
      <x:c r="A5334" s="31">
        <x:v>44795</x:v>
      </x:c>
      <x:c r="B5334" s="32">
        <x:v>1264.6400000000001</x:v>
      </x:c>
      <x:c r="C5334" s="32">
        <x:v>1270.57</x:v>
      </x:c>
      <x:c r="D5334" s="32">
        <x:v>1255.83</x:v>
      </x:c>
      <x:c r="E5334" s="32">
        <x:v>1260.43</x:v>
      </x:c>
      <x:c r="F5334" s="33">
        <x:v>566785900</x:v>
      </x:c>
      <x:c r="G5334" s="32" t="n">
        <x:f t="shared" si="240">AVERAGE(E5135:E5334)</x:f>
        <x:v>1378.7060500000007</x:v>
      </x:c>
      <x:c r="H5334" s="37" t="n">
        <x:f t="shared" si="241">IFERROR(E5334/G5334-1,"")</x:f>
        <x:v>-0.08578772103016485</x:v>
      </x:c>
      <x:c r="I5334" s="38" t="b">
        <x:f t="shared" si="242">E5334&lt;G5334</x:f>
        <x:v>1</x:v>
      </x:c>
    </x:row>
    <x:row r="5335">
      <x:c r="A5335" s="31">
        <x:v>44796</x:v>
      </x:c>
      <x:c r="B5335" s="32">
        <x:v>1253.45</x:v>
      </x:c>
      <x:c r="C5335" s="32">
        <x:v>1270.81</x:v>
      </x:c>
      <x:c r="D5335" s="32">
        <x:v>1253.45</x:v>
      </x:c>
      <x:c r="E5335" s="32">
        <x:v>1270.81</x:v>
      </x:c>
      <x:c r="F5335" s="33">
        <x:v>520796300</x:v>
      </x:c>
      <x:c r="G5335" s="32" t="n">
        <x:f t="shared" si="240">AVERAGE(E5136:E5335)</x:f>
        <x:v>1377.8386000000007</x:v>
      </x:c>
      <x:c r="H5335" s="37" t="n">
        <x:f t="shared" si="241">IFERROR(E5335/G5335-1,"")</x:f>
        <x:v>-0.07767861925192165</x:v>
      </x:c>
      <x:c r="I5335" s="38" t="b">
        <x:f t="shared" si="242">E5335&lt;G5335</x:f>
        <x:v>1</x:v>
      </x:c>
    </x:row>
    <x:row r="5336">
      <x:c r="A5336" s="31">
        <x:v>44797</x:v>
      </x:c>
      <x:c r="B5336" s="32">
        <x:v>1275.6500000000001</x:v>
      </x:c>
      <x:c r="C5336" s="32">
        <x:v>1280.3599999999999</x:v>
      </x:c>
      <x:c r="D5336" s="32">
        <x:v>1272.33</x:v>
      </x:c>
      <x:c r="E5336" s="32">
        <x:v>1277.1600000000001</x:v>
      </x:c>
      <x:c r="F5336" s="33">
        <x:v>519810800</x:v>
      </x:c>
      <x:c r="G5336" s="32" t="n">
        <x:f t="shared" si="240">AVERAGE(E5137:E5336)</x:f>
        <x:v>1376.9827000000007</x:v>
      </x:c>
      <x:c r="H5336" s="37" t="n">
        <x:f t="shared" si="241">IFERROR(E5336/G5336-1,"")</x:f>
        <x:v>-0.07249379385812227</x:v>
      </x:c>
      <x:c r="I5336" s="38" t="b">
        <x:f t="shared" si="242">E5336&lt;G5336</x:f>
        <x:v>1</x:v>
      </x:c>
    </x:row>
    <x:row r="5337">
      <x:c r="A5337" s="31">
        <x:v>44798</x:v>
      </x:c>
      <x:c r="B5337" s="32">
        <x:v>1280.44</x:v>
      </x:c>
      <x:c r="C5337" s="32">
        <x:v>1289.18</x:v>
      </x:c>
      <x:c r="D5337" s="32">
        <x:v>1280.28</x:v>
      </x:c>
      <x:c r="E5337" s="32">
        <x:v>1288.8800000000001</x:v>
      </x:c>
      <x:c r="F5337" s="33">
        <x:v>562124700</x:v>
      </x:c>
      <x:c r="G5337" s="32" t="n">
        <x:f t="shared" si="240">AVERAGE(E5138:E5337)</x:f>
        <x:v>1376.1445500000007</x:v>
      </x:c>
      <x:c r="H5337" s="37" t="n">
        <x:f t="shared" si="241">IFERROR(E5337/G5337-1,"")</x:f>
        <x:v>-0.0634123428385488</x:v>
      </x:c>
      <x:c r="I5337" s="38" t="b">
        <x:f t="shared" si="242">E5337&lt;G5337</x:f>
        <x:v>1</x:v>
      </x:c>
    </x:row>
    <x:row r="5338">
      <x:c r="A5338" s="31">
        <x:v>44799</x:v>
      </x:c>
      <x:c r="B5338" s="32">
        <x:v>1291.3399999999999</x:v>
      </x:c>
      <x:c r="C5338" s="32">
        <x:v>1295.1199999999999</x:v>
      </x:c>
      <x:c r="D5338" s="32">
        <x:v>1280.05</x:v>
      </x:c>
      <x:c r="E5338" s="32">
        <x:v>1282.57</x:v>
      </x:c>
      <x:c r="F5338" s="33">
        <x:v>614354500</x:v>
      </x:c>
      <x:c r="G5338" s="32" t="n">
        <x:f t="shared" si="240">AVERAGE(E5139:E5338)</x:f>
        <x:v>1375.2195500000007</x:v>
      </x:c>
      <x:c r="H5338" s="37" t="n">
        <x:f t="shared" si="241">IFERROR(E5338/G5338-1,"")</x:f>
        <x:v>-0.06737073364031276</x:v>
      </x:c>
      <x:c r="I5338" s="38" t="b">
        <x:f t="shared" si="242">E5338&lt;G5338</x:f>
        <x:v>1</x:v>
      </x:c>
    </x:row>
    <x:row r="5339">
      <x:c r="A5339" s="31">
        <x:v>44802</x:v>
      </x:c>
      <x:c r="B5339" s="32">
        <x:v>1263.81</x:v>
      </x:c>
      <x:c r="C5339" s="32">
        <x:v>1270.8</x:v>
      </x:c>
      <x:c r="D5339" s="32">
        <x:v>1249.17</x:v>
      </x:c>
      <x:c r="E5339" s="32">
        <x:v>1270.8</x:v>
      </x:c>
      <x:c r="F5339" s="33">
        <x:v>793997300</x:v>
      </x:c>
      <x:c r="G5339" s="32" t="n">
        <x:f t="shared" si="240">AVERAGE(E5140:E5339)</x:f>
        <x:v>1374.2660500000004</x:v>
      </x:c>
      <x:c r="H5339" s="37" t="n">
        <x:f t="shared" si="241">IFERROR(E5339/G5339-1,"")</x:f>
        <x:v>-0.0752882238486503</x:v>
      </x:c>
      <x:c r="I5339" s="38" t="b">
        <x:f t="shared" si="242">E5339&lt;G5339</x:f>
        <x:v>1</x:v>
      </x:c>
    </x:row>
    <x:row r="5340">
      <x:c r="A5340" s="31">
        <x:v>44803</x:v>
      </x:c>
      <x:c r="B5340" s="32">
        <x:v>1274.99</x:v>
      </x:c>
      <x:c r="C5340" s="32">
        <x:v>1287.6500000000001</x:v>
      </x:c>
      <x:c r="D5340" s="32">
        <x:v>1274</x:v>
      </x:c>
      <x:c r="E5340" s="32">
        <x:v>1279.3900000000001</x:v>
      </x:c>
      <x:c r="F5340" s="33">
        <x:v>473770000</x:v>
      </x:c>
      <x:c r="G5340" s="32" t="n">
        <x:f t="shared" si="240">AVERAGE(E5141:E5340)</x:f>
        <x:v>1373.3379000000007</x:v>
      </x:c>
      <x:c r="H5340" s="37" t="n">
        <x:f t="shared" si="241">IFERROR(E5340/G5340-1,"")</x:f>
        <x:v>-0.06840843757388515</x:v>
      </x:c>
      <x:c r="I5340" s="38" t="b">
        <x:f t="shared" si="242">E5340&lt;G5340</x:f>
        <x:v>1</x:v>
      </x:c>
    </x:row>
    <x:row r="5341">
      <x:c r="A5341" s="31">
        <x:v>44804</x:v>
      </x:c>
      <x:c r="B5341" s="32">
        <x:v>1276.32</x:v>
      </x:c>
      <x:c r="C5341" s="32">
        <x:v>1285.29</x:v>
      </x:c>
      <x:c r="D5341" s="32">
        <x:v>1274.99</x:v>
      </x:c>
      <x:c r="E5341" s="32">
        <x:v>1280.51</x:v>
      </x:c>
      <x:c r="F5341" s="33">
        <x:v>462420100</x:v>
      </x:c>
      <x:c r="G5341" s="32" t="n">
        <x:f t="shared" si="240">AVERAGE(E5142:E5341)</x:f>
        <x:v>1372.4287000000006</x:v>
      </x:c>
      <x:c r="H5341" s="37" t="n">
        <x:f t="shared" si="241">IFERROR(E5341/G5341-1,"")</x:f>
        <x:v>-0.0669752097139914</x:v>
      </x:c>
      <x:c r="I5341" s="38" t="b">
        <x:f t="shared" si="242">E5341&lt;G5341</x:f>
        <x:v>1</x:v>
      </x:c>
    </x:row>
    <x:row r="5342">
      <x:c r="A5342" s="31">
        <x:v>44809</x:v>
      </x:c>
      <x:c r="B5342" s="32">
        <x:v>1280.26</x:v>
      </x:c>
      <x:c r="C5342" s="32">
        <x:v>1285.7</x:v>
      </x:c>
      <x:c r="D5342" s="32">
        <x:v>1275.3499999999999</x:v>
      </x:c>
      <x:c r="E5342" s="32">
        <x:v>1277.3499999999999</x:v>
      </x:c>
      <x:c r="F5342" s="33">
        <x:v>466166300</x:v>
      </x:c>
      <x:c r="G5342" s="32" t="n">
        <x:f t="shared" si="240">AVERAGE(E5143:E5342)</x:f>
        <x:v>1371.4486000000004</x:v>
      </x:c>
      <x:c r="H5342" s="37" t="n">
        <x:f t="shared" si="241">IFERROR(E5342/G5342-1,"")</x:f>
        <x:v>-0.06861256047073183</x:v>
      </x:c>
      <x:c r="I5342" s="38" t="b">
        <x:f t="shared" si="242">E5342&lt;G5342</x:f>
        <x:v>1</x:v>
      </x:c>
    </x:row>
    <x:row r="5343">
      <x:c r="A5343" s="31">
        <x:v>44810</x:v>
      </x:c>
      <x:c r="B5343" s="32">
        <x:v>1277.3499999999999</x:v>
      </x:c>
      <x:c r="C5343" s="32">
        <x:v>1286.92</x:v>
      </x:c>
      <x:c r="D5343" s="32">
        <x:v>1277.3499999999999</x:v>
      </x:c>
      <x:c r="E5343" s="32">
        <x:v>1277.4000000000001</x:v>
      </x:c>
      <x:c r="F5343" s="33">
        <x:v>537987600</x:v>
      </x:c>
      <x:c r="G5343" s="32" t="n">
        <x:f t="shared" si="240">AVERAGE(E5144:E5343)</x:f>
        <x:v>1370.4527500000006</x:v>
      </x:c>
      <x:c r="H5343" s="37" t="n">
        <x:f t="shared" si="241">IFERROR(E5343/G5343-1,"")</x:f>
        <x:v>-0.0678992763522861</x:v>
      </x:c>
      <x:c r="I5343" s="38" t="b">
        <x:f t="shared" si="242">E5343&lt;G5343</x:f>
        <x:v>1</x:v>
      </x:c>
    </x:row>
    <x:row r="5344">
      <x:c r="A5344" s="31">
        <x:v>44811</x:v>
      </x:c>
      <x:c r="B5344" s="32">
        <x:v>1274.68</x:v>
      </x:c>
      <x:c r="C5344" s="32">
        <x:v>1275.07</x:v>
      </x:c>
      <x:c r="D5344" s="32">
        <x:v>1243.17</x:v>
      </x:c>
      <x:c r="E5344" s="32">
        <x:v>1243.17</x:v>
      </x:c>
      <x:c r="F5344" s="33">
        <x:v>796593600</x:v>
      </x:c>
      <x:c r="G5344" s="32" t="n">
        <x:f t="shared" si="240">AVERAGE(E5145:E5344)</x:f>
        <x:v>1369.3363500000007</x:v>
      </x:c>
      <x:c r="H5344" s="37" t="n">
        <x:f t="shared" si="241">IFERROR(E5344/G5344-1,"")</x:f>
        <x:v>-0.09213685885137024</x:v>
      </x:c>
      <x:c r="I5344" s="38" t="b">
        <x:f t="shared" si="242">E5344&lt;G5344</x:f>
        <x:v>1</x:v>
      </x:c>
    </x:row>
    <x:row r="5345">
      <x:c r="A5345" s="31">
        <x:v>44812</x:v>
      </x:c>
      <x:c r="B5345" s="32">
        <x:v>1251.22</x:v>
      </x:c>
      <x:c r="C5345" s="32">
        <x:v>1251.3599999999999</x:v>
      </x:c>
      <x:c r="D5345" s="32">
        <x:v>1234.5999999999999</x:v>
      </x:c>
      <x:c r="E5345" s="32">
        <x:v>1234.5999999999999</x:v>
      </x:c>
      <x:c r="F5345" s="33">
        <x:v>557779800</x:v>
      </x:c>
      <x:c r="G5345" s="32" t="n">
        <x:f t="shared" si="240">AVERAGE(E5146:E5345)</x:f>
        <x:v>1368.1301000000003</x:v>
      </x:c>
      <x:c r="H5345" s="37" t="n">
        <x:f t="shared" si="241">IFERROR(E5345/G5345-1,"")</x:f>
        <x:v>-0.09760044019205516</x:v>
      </x:c>
      <x:c r="I5345" s="38" t="b">
        <x:f t="shared" si="242">E5345&lt;G5345</x:f>
        <x:v>1</x:v>
      </x:c>
    </x:row>
    <x:row r="5346">
      <x:c r="A5346" s="31">
        <x:v>44813</x:v>
      </x:c>
      <x:c r="B5346" s="32">
        <x:v>1241.26</x:v>
      </x:c>
      <x:c r="C5346" s="32">
        <x:v>1248.78</x:v>
      </x:c>
      <x:c r="D5346" s="32">
        <x:v>1228.54</x:v>
      </x:c>
      <x:c r="E5346" s="32">
        <x:v>1248.78</x:v>
      </x:c>
      <x:c r="F5346" s="33">
        <x:v>542039800</x:v>
      </x:c>
      <x:c r="G5346" s="32" t="n">
        <x:f t="shared" si="240">AVERAGE(E5147:E5346)</x:f>
        <x:v>1367.0248500000005</x:v>
      </x:c>
      <x:c r="H5346" s="37" t="n">
        <x:f t="shared" si="241">IFERROR(E5346/G5346-1,"")</x:f>
        <x:v>-0.08649795210379718</x:v>
      </x:c>
      <x:c r="I5346" s="38" t="b">
        <x:f t="shared" si="242">E5346&lt;G5346</x:f>
        <x:v>1</x:v>
      </x:c>
    </x:row>
    <x:row r="5347">
      <x:c r="A5347" s="31">
        <x:v>44816</x:v>
      </x:c>
      <x:c r="B5347" s="32">
        <x:v>1255</x:v>
      </x:c>
      <x:c r="C5347" s="32">
        <x:v>1257.8</x:v>
      </x:c>
      <x:c r="D5347" s="32">
        <x:v>1248.97</x:v>
      </x:c>
      <x:c r="E5347" s="32">
        <x:v>1249.6199999999999</x:v>
      </x:c>
      <x:c r="F5347" s="33">
        <x:v>390724400</x:v>
      </x:c>
      <x:c r="G5347" s="32" t="n">
        <x:f t="shared" si="240">AVERAGE(E5148:E5347)</x:f>
        <x:v>1366.0112000000006</x:v>
      </x:c>
      <x:c r="H5347" s="37" t="n">
        <x:f t="shared" si="241">IFERROR(E5347/G5347-1,"")</x:f>
        <x:v>-0.08520515790792982</x:v>
      </x:c>
      <x:c r="I5347" s="38" t="b">
        <x:f t="shared" si="242">E5347&lt;G5347</x:f>
        <x:v>1</x:v>
      </x:c>
    </x:row>
    <x:row r="5348">
      <x:c r="A5348" s="31">
        <x:v>44817</x:v>
      </x:c>
      <x:c r="B5348" s="32">
        <x:v>1251.0999999999999</x:v>
      </x:c>
      <x:c r="C5348" s="32">
        <x:v>1252.3499999999999</x:v>
      </x:c>
      <x:c r="D5348" s="32">
        <x:v>1243.8699999999999</x:v>
      </x:c>
      <x:c r="E5348" s="32">
        <x:v>1248.4000000000001</x:v>
      </x:c>
      <x:c r="F5348" s="33">
        <x:v>410707400</x:v>
      </x:c>
      <x:c r="G5348" s="32" t="n">
        <x:f t="shared" si="240">AVERAGE(E5149:E5348)</x:f>
        <x:v>1365.0169500000004</x:v>
      </x:c>
      <x:c r="H5348" s="37" t="n">
        <x:f t="shared" si="241">IFERROR(E5348/G5348-1,"")</x:f>
        <x:v>-0.08543260213728499</x:v>
      </x:c>
      <x:c r="I5348" s="38" t="b">
        <x:f t="shared" si="242">E5348&lt;G5348</x:f>
        <x:v>1</x:v>
      </x:c>
    </x:row>
    <x:row r="5349">
      <x:c r="A5349" s="31">
        <x:v>44818</x:v>
      </x:c>
      <x:c r="B5349" s="32">
        <x:v>1229.76</x:v>
      </x:c>
      <x:c r="C5349" s="32">
        <x:v>1242.17</x:v>
      </x:c>
      <x:c r="D5349" s="32">
        <x:v>1228.51</x:v>
      </x:c>
      <x:c r="E5349" s="32">
        <x:v>1240.77</x:v>
      </x:c>
      <x:c r="F5349" s="33">
        <x:v>574337900</x:v>
      </x:c>
      <x:c r="G5349" s="32" t="n">
        <x:f t="shared" si="240">AVERAGE(E5150:E5349)</x:f>
        <x:v>1363.9026500000007</x:v>
      </x:c>
      <x:c r="H5349" s="37" t="n">
        <x:f t="shared" si="241">IFERROR(E5349/G5349-1,"")</x:f>
        <x:v>-0.09027964715810222</x:v>
      </x:c>
      <x:c r="I5349" s="38" t="b">
        <x:f t="shared" si="242">E5349&lt;G5349</x:f>
        <x:v>1</x:v>
      </x:c>
    </x:row>
    <x:row r="5350">
      <x:c r="A5350" s="31">
        <x:v>44819</x:v>
      </x:c>
      <x:c r="B5350" s="32">
        <x:v>1246.92</x:v>
      </x:c>
      <x:c r="C5350" s="32">
        <x:v>1250.93</x:v>
      </x:c>
      <x:c r="D5350" s="32">
        <x:v>1243.45</x:v>
      </x:c>
      <x:c r="E5350" s="32">
        <x:v>1245.6600000000001</x:v>
      </x:c>
      <x:c r="F5350" s="33">
        <x:v>385727500</x:v>
      </x:c>
      <x:c r="G5350" s="32" t="n">
        <x:f t="shared" si="240">AVERAGE(E5151:E5350)</x:f>
        <x:v>1362.6866000000007</x:v>
      </x:c>
      <x:c r="H5350" s="37" t="n">
        <x:f t="shared" si="241">IFERROR(E5350/G5350-1,"")</x:f>
        <x:v>-0.08587932104124352</x:v>
      </x:c>
      <x:c r="I5350" s="38" t="b">
        <x:f t="shared" si="242">E5350&lt;G5350</x:f>
        <x:v>1</x:v>
      </x:c>
    </x:row>
    <x:row r="5351">
      <x:c r="A5351" s="31">
        <x:v>44820</x:v>
      </x:c>
      <x:c r="B5351" s="32">
        <x:v>1243.3800000000001</x:v>
      </x:c>
      <x:c r="C5351" s="32">
        <x:v>1246.17</x:v>
      </x:c>
      <x:c r="D5351" s="32">
        <x:v>1230.3699999999999</x:v>
      </x:c>
      <x:c r="E5351" s="32">
        <x:v>1235.74</x:v>
      </x:c>
      <x:c r="F5351" s="33">
        <x:v>594453000</x:v>
      </x:c>
      <x:c r="G5351" s="32" t="n">
        <x:f t="shared" si="240">AVERAGE(E5152:E5351)</x:f>
        <x:v>1361.3612500000006</x:v>
      </x:c>
      <x:c r="H5351" s="37" t="n">
        <x:f t="shared" si="241">IFERROR(E5351/G5351-1,"")</x:f>
        <x:v>-0.09227620515862378</x:v>
      </x:c>
      <x:c r="I5351" s="38" t="b">
        <x:f t="shared" si="242">E5351&lt;G5351</x:f>
        <x:v>1</x:v>
      </x:c>
    </x:row>
    <x:row r="5352">
      <x:c r="A5352" s="31">
        <x:v>44823</x:v>
      </x:c>
      <x:c r="B5352" s="32">
        <x:v>1231.45</x:v>
      </x:c>
      <x:c r="C5352" s="32">
        <x:v>1233.46</x:v>
      </x:c>
      <x:c r="D5352" s="32">
        <x:v>1202.07</x:v>
      </x:c>
      <x:c r="E5352" s="32">
        <x:v>1205.43</x:v>
      </x:c>
      <x:c r="F5352" s="33">
        <x:v>641804000</x:v>
      </x:c>
      <x:c r="G5352" s="32" t="n">
        <x:f t="shared" si="240">AVERAGE(E5153:E5352)</x:f>
        <x:v>1359.9232500000007</x:v>
      </x:c>
      <x:c r="H5352" s="37" t="n">
        <x:f t="shared" si="241">IFERROR(E5352/G5352-1,"")</x:f>
        <x:v>-0.11360438907122195</x:v>
      </x:c>
      <x:c r="I5352" s="38" t="b">
        <x:f t="shared" si="242">E5352&lt;G5352</x:f>
        <x:v>1</x:v>
      </x:c>
    </x:row>
    <x:row r="5353">
      <x:c r="A5353" s="31">
        <x:v>44824</x:v>
      </x:c>
      <x:c r="B5353" s="32">
        <x:v>1212.08</x:v>
      </x:c>
      <x:c r="C5353" s="32">
        <x:v>1218.93</x:v>
      </x:c>
      <x:c r="D5353" s="32">
        <x:v>1199.71</x:v>
      </x:c>
      <x:c r="E5353" s="32">
        <x:v>1218.93</x:v>
      </x:c>
      <x:c r="F5353" s="33">
        <x:v>412723400</x:v>
      </x:c>
      <x:c r="G5353" s="32" t="n">
        <x:f t="shared" si="240">AVERAGE(E5154:E5353)</x:f>
        <x:v>1358.5937000000006</x:v>
      </x:c>
      <x:c r="H5353" s="37" t="n">
        <x:f t="shared" si="241">IFERROR(E5353/G5353-1,"")</x:f>
        <x:v>-0.10280019699782239</x:v>
      </x:c>
      <x:c r="I5353" s="38" t="b">
        <x:f t="shared" si="242">E5353&lt;G5353</x:f>
        <x:v>1</x:v>
      </x:c>
    </x:row>
    <x:row r="5354">
      <x:c r="A5354" s="31">
        <x:v>44825</x:v>
      </x:c>
      <x:c r="B5354" s="32">
        <x:v>1213.47</x:v>
      </x:c>
      <x:c r="C5354" s="32">
        <x:v>1217.28</x:v>
      </x:c>
      <x:c r="D5354" s="32">
        <x:v>1204.68</x:v>
      </x:c>
      <x:c r="E5354" s="32">
        <x:v>1210.55</x:v>
      </x:c>
      <x:c r="F5354" s="33">
        <x:v>325527500</x:v>
      </x:c>
      <x:c r="G5354" s="32" t="n">
        <x:f t="shared" si="240">AVERAGE(E5155:E5354)</x:f>
        <x:v>1357.2542500000004</x:v>
      </x:c>
      <x:c r="H5354" s="37" t="n">
        <x:f t="shared" si="241">IFERROR(E5354/G5354-1,"")</x:f>
        <x:v>-0.10808899658999072</x:v>
      </x:c>
      <x:c r="I5354" s="38" t="b">
        <x:f t="shared" si="242">E5354&lt;G5354</x:f>
        <x:v>1</x:v>
      </x:c>
    </x:row>
    <x:row r="5355">
      <x:c r="A5355" s="31">
        <x:v>44826</x:v>
      </x:c>
      <x:c r="B5355" s="32">
        <x:v>1200.6099999999999</x:v>
      </x:c>
      <x:c r="C5355" s="32">
        <x:v>1214.7</x:v>
      </x:c>
      <x:c r="D5355" s="32">
        <x:v>1196.6400000000001</x:v>
      </x:c>
      <x:c r="E5355" s="32">
        <x:v>1214.7</x:v>
      </x:c>
      <x:c r="F5355" s="33">
        <x:v>435982100</x:v>
      </x:c>
      <x:c r="G5355" s="32" t="n">
        <x:f t="shared" si="240">AVERAGE(E5156:E5355)</x:f>
        <x:v>1355.9018000000005</x:v>
      </x:c>
      <x:c r="H5355" s="37" t="n">
        <x:f t="shared" si="241">IFERROR(E5355/G5355-1,"")</x:f>
        <x:v>-0.10413866254916138</x:v>
      </x:c>
      <x:c r="I5355" s="38" t="b">
        <x:f t="shared" si="242">E5355&lt;G5355</x:f>
        <x:v>1</x:v>
      </x:c>
    </x:row>
    <x:row r="5356">
      <x:c r="A5356" s="31">
        <x:v>44827</x:v>
      </x:c>
      <x:c r="B5356" s="32">
        <x:v>1212.6099999999999</x:v>
      </x:c>
      <x:c r="C5356" s="32">
        <x:v>1216.5899999999999</x:v>
      </x:c>
      <x:c r="D5356" s="32">
        <x:v>1201.45</x:v>
      </x:c>
      <x:c r="E5356" s="32">
        <x:v>1203.28</x:v>
      </x:c>
      <x:c r="F5356" s="33">
        <x:v>443208000</x:v>
      </x:c>
      <x:c r="G5356" s="32" t="n">
        <x:f t="shared" si="240">AVERAGE(E5157:E5356)</x:f>
        <x:v>1354.5079500000004</x:v>
      </x:c>
      <x:c r="H5356" s="37" t="n">
        <x:f t="shared" si="241">IFERROR(E5356/G5356-1,"")</x:f>
        <x:v>-0.11164788659970615</x:v>
      </x:c>
      <x:c r="I5356" s="38" t="b">
        <x:f t="shared" si="242">E5356&lt;G5356</x:f>
        <x:v>1</x:v>
      </x:c>
    </x:row>
    <x:row r="5357">
      <x:c r="A5357" s="31">
        <x:v>44830</x:v>
      </x:c>
      <x:c r="B5357" s="32">
        <x:v>1186.72</x:v>
      </x:c>
      <x:c r="C5357" s="32">
        <x:v>1190.27</x:v>
      </x:c>
      <x:c r="D5357" s="32">
        <x:v>1159.1199999999999</x:v>
      </x:c>
      <x:c r="E5357" s="32">
        <x:v>1174.3499999999999</x:v>
      </x:c>
      <x:c r="F5357" s="33">
        <x:v>701894100</x:v>
      </x:c>
      <x:c r="G5357" s="32" t="n">
        <x:f t="shared" si="240">AVERAGE(E5158:E5357)</x:f>
        <x:v>1353.1631000000002</x:v>
      </x:c>
      <x:c r="H5357" s="37" t="n">
        <x:f t="shared" si="241">IFERROR(E5357/G5357-1,"")</x:f>
        <x:v>-0.13214452862334203</x:v>
      </x:c>
      <x:c r="I5357" s="38" t="b">
        <x:f t="shared" si="242">E5357&lt;G5357</x:f>
        <x:v>1</x:v>
      </x:c>
    </x:row>
    <x:row r="5358">
      <x:c r="A5358" s="31">
        <x:v>44831</x:v>
      </x:c>
      <x:c r="B5358" s="32">
        <x:v>1177.51</x:v>
      </x:c>
      <x:c r="C5358" s="32">
        <x:v>1180.75</x:v>
      </x:c>
      <x:c r="D5358" s="32">
        <x:v>1166.44</x:v>
      </x:c>
      <x:c r="E5358" s="32">
        <x:v>1166.54</x:v>
      </x:c>
      <x:c r="F5358" s="33">
        <x:v>415135800</x:v>
      </x:c>
      <x:c r="G5358" s="32" t="n">
        <x:f t="shared" si="240">AVERAGE(E5159:E5358)</x:f>
        <x:v>1351.9279000000001</x:v>
      </x:c>
      <x:c r="H5358" s="37" t="n">
        <x:f t="shared" si="241">IFERROR(E5358/G5358-1,"")</x:f>
        <x:v>-0.13712854065664315</x:v>
      </x:c>
      <x:c r="I5358" s="38" t="b">
        <x:f t="shared" si="242">E5358&lt;G5358</x:f>
        <x:v>1</x:v>
      </x:c>
    </x:row>
    <x:row r="5359">
      <x:c r="A5359" s="31">
        <x:v>44832</x:v>
      </x:c>
      <x:c r="B5359" s="32">
        <x:v>1158.53</x:v>
      </x:c>
      <x:c r="C5359" s="32">
        <x:v>1162.5999999999999</x:v>
      </x:c>
      <x:c r="D5359" s="32">
        <x:v>1142.79</x:v>
      </x:c>
      <x:c r="E5359" s="32">
        <x:v>1143.6199999999999</x:v>
      </x:c>
      <x:c r="F5359" s="33">
        <x:v>496730000</x:v>
      </x:c>
      <x:c r="G5359" s="32" t="n">
        <x:f t="shared" si="240">AVERAGE(E5160:E5359)</x:f>
        <x:v>1350.4121499999999</x:v>
      </x:c>
      <x:c r="H5359" s="37" t="n">
        <x:f t="shared" si="241">IFERROR(E5359/G5359-1,"")</x:f>
        <x:v>-0.15313261954878</x:v>
      </x:c>
      <x:c r="I5359" s="38" t="b">
        <x:f t="shared" si="242">E5359&lt;G5359</x:f>
        <x:v>1</x:v>
      </x:c>
    </x:row>
    <x:row r="5360">
      <x:c r="A5360" s="31">
        <x:v>44833</x:v>
      </x:c>
      <x:c r="B5360" s="32">
        <x:v>1157.0899999999999</x:v>
      </x:c>
      <x:c r="C5360" s="32">
        <x:v>1159.49</x:v>
      </x:c>
      <x:c r="D5360" s="32">
        <x:v>1126.07</x:v>
      </x:c>
      <x:c r="E5360" s="32">
        <x:v>1126.07</x:v>
      </x:c>
      <x:c r="F5360" s="33">
        <x:v>415993300</x:v>
      </x:c>
      <x:c r="G5360" s="32" t="n">
        <x:f t="shared" si="240">AVERAGE(E5161:E5360)</x:f>
        <x:v>1348.77815</x:v>
      </x:c>
      <x:c r="H5360" s="37" t="n">
        <x:f t="shared" si="241">IFERROR(E5360/G5360-1,"")</x:f>
        <x:v>-0.165118444423199</x:v>
      </x:c>
      <x:c r="I5360" s="38" t="b">
        <x:f t="shared" si="242">E5360&lt;G5360</x:f>
        <x:v>1</x:v>
      </x:c>
    </x:row>
    <x:row r="5361">
      <x:c r="A5361" s="31">
        <x:v>44834</x:v>
      </x:c>
      <x:c r="B5361" s="32">
        <x:v>1115.2</x:v>
      </x:c>
      <x:c r="C5361" s="32">
        <x:v>1135.47</x:v>
      </x:c>
      <x:c r="D5361" s="32">
        <x:v>1099.44</x:v>
      </x:c>
      <x:c r="E5361" s="32">
        <x:v>1132.1099999999999</x:v>
      </x:c>
      <x:c r="F5361" s="33">
        <x:v>612447100</x:v>
      </x:c>
      <x:c r="G5361" s="32" t="n">
        <x:f t="shared" si="240">AVERAGE(E5162:E5361)</x:f>
        <x:v>1347.0988</x:v>
      </x:c>
      <x:c r="H5361" s="37" t="n">
        <x:f t="shared" si="241">IFERROR(E5361/G5361-1,"")</x:f>
        <x:v>-0.15959393624283535</x:v>
      </x:c>
      <x:c r="I5361" s="38" t="b">
        <x:f t="shared" si="242">E5361&lt;G5361</x:f>
        <x:v>1</x:v>
      </x:c>
    </x:row>
    <x:row r="5362">
      <x:c r="A5362" s="31">
        <x:v>44837</x:v>
      </x:c>
      <x:c r="B5362" s="32">
        <x:v>1124.46</x:v>
      </x:c>
      <x:c r="C5362" s="32">
        <x:v>1126.46</x:v>
      </x:c>
      <x:c r="D5362" s="32">
        <x:v>1079.8599999999999</x:v>
      </x:c>
      <x:c r="E5362" s="32">
        <x:v>1086.44</x:v>
      </x:c>
      <x:c r="F5362" s="33">
        <x:v>501911900</x:v>
      </x:c>
      <x:c r="G5362" s="32" t="n">
        <x:f t="shared" si="240">AVERAGE(E5163:E5362)</x:f>
        <x:v>1345.2133</x:v>
      </x:c>
      <x:c r="H5362" s="37" t="n">
        <x:f t="shared" si="241">IFERROR(E5362/G5362-1,"")</x:f>
        <x:v>-0.19236599876019655</x:v>
      </x:c>
      <x:c r="I5362" s="38" t="b">
        <x:f t="shared" si="242">E5362&lt;G5362</x:f>
        <x:v>1</x:v>
      </x:c>
    </x:row>
    <x:row r="5363">
      <x:c r="A5363" s="31">
        <x:v>44838</x:v>
      </x:c>
      <x:c r="B5363" s="32">
        <x:v>1095.6500000000001</x:v>
      </x:c>
      <x:c r="C5363" s="32">
        <x:v>1100.42</x:v>
      </x:c>
      <x:c r="D5363" s="32">
        <x:v>1069.74</x:v>
      </x:c>
      <x:c r="E5363" s="32">
        <x:v>1078.1400000000001</x:v>
      </x:c>
      <x:c r="F5363" s="33">
        <x:v>513862500</x:v>
      </x:c>
      <x:c r="G5363" s="32" t="n">
        <x:f t="shared" si="240">AVERAGE(E5164:E5363)</x:f>
        <x:v>1343.22295</x:v>
      </x:c>
      <x:c r="H5363" s="37" t="n">
        <x:f t="shared" si="241">IFERROR(E5363/G5363-1,"")</x:f>
        <x:v>-0.19734843720470974</x:v>
      </x:c>
      <x:c r="I5363" s="38" t="b">
        <x:f t="shared" si="242">E5363&lt;G5363</x:f>
        <x:v>1</x:v>
      </x:c>
    </x:row>
    <x:row r="5364">
      <x:c r="A5364" s="31">
        <x:v>44839</x:v>
      </x:c>
      <x:c r="B5364" s="32">
        <x:v>1092.1199999999999</x:v>
      </x:c>
      <x:c r="C5364" s="32">
        <x:v>1110.21</x:v>
      </x:c>
      <x:c r="D5364" s="32">
        <x:v>1092.1199999999999</x:v>
      </x:c>
      <x:c r="E5364" s="32">
        <x:v>1104.26</x:v>
      </x:c>
      <x:c r="F5364" s="33">
        <x:v>396842100</x:v>
      </x:c>
      <x:c r="G5364" s="32" t="n">
        <x:f t="shared" si="240">AVERAGE(E5165:E5364)</x:f>
        <x:v>1341.36415</x:v>
      </x:c>
      <x:c r="H5364" s="37" t="n">
        <x:f t="shared" si="241">IFERROR(E5364/G5364-1,"")</x:f>
        <x:v>-0.17676344637658614</x:v>
      </x:c>
      <x:c r="I5364" s="38" t="b">
        <x:f t="shared" si="242">E5364&lt;G5364</x:f>
        <x:v>1</x:v>
      </x:c>
    </x:row>
    <x:row r="5365">
      <x:c r="A5365" s="31">
        <x:v>44840</x:v>
      </x:c>
      <x:c r="B5365" s="32">
        <x:v>1105.31</x:v>
      </x:c>
      <x:c r="C5365" s="32">
        <x:v>1106.97</x:v>
      </x:c>
      <x:c r="D5365" s="32">
        <x:v>1072.57</x:v>
      </x:c>
      <x:c r="E5365" s="32">
        <x:v>1074.52</x:v>
      </x:c>
      <x:c r="F5365" s="33">
        <x:v>499954800</x:v>
      </x:c>
      <x:c r="G5365" s="32" t="n">
        <x:f t="shared" si="240">AVERAGE(E5166:E5365)</x:f>
        <x:v>1339.3592500000002</x:v>
      </x:c>
      <x:c r="H5365" s="37" t="n">
        <x:f t="shared" si="241">IFERROR(E5365/G5365-1,"")</x:f>
        <x:v>-0.19773578298727557</x:v>
      </x:c>
      <x:c r="I5365" s="38" t="b">
        <x:f t="shared" si="242">E5365&lt;G5365</x:f>
        <x:v>1</x:v>
      </x:c>
    </x:row>
    <x:row r="5366">
      <x:c r="A5366" s="31">
        <x:v>44841</x:v>
      </x:c>
      <x:c r="B5366" s="32">
        <x:v>1061.93</x:v>
      </x:c>
      <x:c r="C5366" s="32">
        <x:v>1062.23</x:v>
      </x:c>
      <x:c r="D5366" s="32">
        <x:v>1022.38</x:v>
      </x:c>
      <x:c r="E5366" s="32">
        <x:v>1035.9100000000001</x:v>
      </x:c>
      <x:c r="F5366" s="33">
        <x:v>788668100</x:v>
      </x:c>
      <x:c r="G5366" s="32" t="n">
        <x:f t="shared" si="240">AVERAGE(E5167:E5366)</x:f>
        <x:v>1337.1557500000001</x:v>
      </x:c>
      <x:c r="H5366" s="37" t="n">
        <x:f t="shared" si="241">IFERROR(E5366/G5366-1,"")</x:f>
        <x:v>-0.2252884527475576</x:v>
      </x:c>
      <x:c r="I5366" s="38" t="b">
        <x:f t="shared" si="242">E5366&lt;G5366</x:f>
        <x:v>1</x:v>
      </x:c>
    </x:row>
    <x:row r="5367">
      <x:c r="A5367" s="31">
        <x:v>44844</x:v>
      </x:c>
      <x:c r="B5367" s="32">
        <x:v>1019.67</x:v>
      </x:c>
      <x:c r="C5367" s="32">
        <x:v>1051.02</x:v>
      </x:c>
      <x:c r="D5367" s="32">
        <x:v>1012.94</x:v>
      </x:c>
      <x:c r="E5367" s="32">
        <x:v>1042.48</x:v>
      </x:c>
      <x:c r="F5367" s="33">
        <x:v>541876100</x:v>
      </x:c>
      <x:c r="G5367" s="32" t="n">
        <x:f t="shared" si="240">AVERAGE(E5168:E5367)</x:f>
        <x:v>1334.9692000000002</x:v>
      </x:c>
      <x:c r="H5367" s="37" t="n">
        <x:f t="shared" si="241">IFERROR(E5367/G5367-1,"")</x:f>
        <x:v>-0.21909808855515178</x:v>
      </x:c>
      <x:c r="I5367" s="38" t="b">
        <x:f t="shared" si="242">E5367&lt;G5367</x:f>
        <x:v>1</x:v>
      </x:c>
    </x:row>
    <x:row r="5368">
      <x:c r="A5368" s="31">
        <x:v>44845</x:v>
      </x:c>
      <x:c r="B5368" s="32">
        <x:v>1036.3900000000001</x:v>
      </x:c>
      <x:c r="C5368" s="32">
        <x:v>1036.42</x:v>
      </x:c>
      <x:c r="D5368" s="32">
        <x:v>998.64</x:v>
      </x:c>
      <x:c r="E5368" s="32">
        <x:v>1006.2</x:v>
      </x:c>
      <x:c r="F5368" s="33">
        <x:v>580908400</x:v>
      </x:c>
      <x:c r="G5368" s="32" t="n">
        <x:f t="shared" si="240">AVERAGE(E5169:E5368)</x:f>
        <x:v>1332.61355</x:v>
      </x:c>
      <x:c r="H5368" s="37" t="n">
        <x:f t="shared" si="241">IFERROR(E5368/G5368-1,"")</x:f>
        <x:v>-0.2449423915883191</x:v>
      </x:c>
      <x:c r="I5368" s="38" t="b">
        <x:f t="shared" si="242">E5368&lt;G5368</x:f>
        <x:v>1</x:v>
      </x:c>
    </x:row>
    <x:row r="5369">
      <x:c r="A5369" s="31">
        <x:v>44846</x:v>
      </x:c>
      <x:c r="B5369" s="32">
        <x:v>1006.1</x:v>
      </x:c>
      <x:c r="C5369" s="32">
        <x:v>1039.44</x:v>
      </x:c>
      <x:c r="D5369" s="32">
        <x:v>1002.89</x:v>
      </x:c>
      <x:c r="E5369" s="32">
        <x:v>1034.81</x:v>
      </x:c>
      <x:c r="F5369" s="33">
        <x:v>532825500</x:v>
      </x:c>
      <x:c r="G5369" s="32" t="n">
        <x:f t="shared" si="240">AVERAGE(E5170:E5369)</x:f>
        <x:v>1330.3939</x:v>
      </x:c>
      <x:c r="H5369" s="37" t="n">
        <x:f t="shared" si="241">IFERROR(E5369/G5369-1,"")</x:f>
        <x:v>-0.22217773247457018</x:v>
      </x:c>
      <x:c r="I5369" s="38" t="b">
        <x:f t="shared" si="242">E5369&lt;G5369</x:f>
        <x:v>1</x:v>
      </x:c>
    </x:row>
    <x:row r="5370">
      <x:c r="A5370" s="31">
        <x:v>44847</x:v>
      </x:c>
      <x:c r="B5370" s="32">
        <x:v>1035.33</x:v>
      </x:c>
      <x:c r="C5370" s="32">
        <x:v>1050.99</x:v>
      </x:c>
      <x:c r="D5370" s="32">
        <x:v>1025.04</x:v>
      </x:c>
      <x:c r="E5370" s="32">
        <x:v>1050.99</x:v>
      </x:c>
      <x:c r="F5370" s="33">
        <x:v>402643700</x:v>
      </x:c>
      <x:c r="G5370" s="32" t="n">
        <x:f t="shared" si="240">AVERAGE(E5171:E5370)</x:f>
        <x:v>1328.2605</x:v>
      </x:c>
      <x:c r="H5370" s="37" t="n">
        <x:f t="shared" si="241">IFERROR(E5370/G5370-1,"")</x:f>
        <x:v>-0.20874707935679793</x:v>
      </x:c>
      <x:c r="I5370" s="38" t="b">
        <x:f t="shared" si="242">E5370&lt;G5370</x:f>
        <x:v>1</x:v>
      </x:c>
    </x:row>
    <x:row r="5371">
      <x:c r="A5371" s="31">
        <x:v>44848</x:v>
      </x:c>
      <x:c r="B5371" s="32">
        <x:v>1066.6300000000001</x:v>
      </x:c>
      <x:c r="C5371" s="32">
        <x:v>1068.1199999999999</x:v>
      </x:c>
      <x:c r="D5371" s="32">
        <x:v>1055.29</x:v>
      </x:c>
      <x:c r="E5371" s="32">
        <x:v>1061.8499999999999</x:v>
      </x:c>
      <x:c r="F5371" s="33">
        <x:v>506303900</x:v>
      </x:c>
      <x:c r="G5371" s="32" t="n">
        <x:f t="shared" si="240">AVERAGE(E5172:E5371)</x:f>
        <x:v>1326.2849500000002</x:v>
      </x:c>
      <x:c r="H5371" s="37" t="n">
        <x:f t="shared" si="241">IFERROR(E5371/G5371-1,"")</x:f>
        <x:v>-0.19938019352477776</x:v>
      </x:c>
      <x:c r="I5371" s="38" t="b">
        <x:f t="shared" si="242">E5371&lt;G5371</x:f>
        <x:v>1</x:v>
      </x:c>
    </x:row>
    <x:row r="5372">
      <x:c r="A5372" s="31">
        <x:v>44851</x:v>
      </x:c>
      <x:c r="B5372" s="32">
        <x:v>1053.46</x:v>
      </x:c>
      <x:c r="C5372" s="32">
        <x:v>1054.05</x:v>
      </x:c>
      <x:c r="D5372" s="32">
        <x:v>1033.5899999999999</x:v>
      </x:c>
      <x:c r="E5372" s="32">
        <x:v>1051.58</x:v>
      </x:c>
      <x:c r="F5372" s="33">
        <x:v>435723100</x:v>
      </x:c>
      <x:c r="G5372" s="32" t="n">
        <x:f t="shared" si="240">AVERAGE(E5173:E5372)</x:f>
        <x:v>1324.1577000000002</x:v>
      </x:c>
      <x:c r="H5372" s="37" t="n">
        <x:f t="shared" si="241">IFERROR(E5372/G5372-1,"")</x:f>
        <x:v>-0.20584987724649428</x:v>
      </x:c>
      <x:c r="I5372" s="38" t="b">
        <x:f t="shared" si="242">E5372&lt;G5372</x:f>
        <x:v>1</x:v>
      </x:c>
    </x:row>
    <x:row r="5373">
      <x:c r="A5373" s="31">
        <x:v>44852</x:v>
      </x:c>
      <x:c r="B5373" s="32">
        <x:v>1065.5999999999999</x:v>
      </x:c>
      <x:c r="C5373" s="32">
        <x:v>1071.74</x:v>
      </x:c>
      <x:c r="D5373" s="32">
        <x:v>1057.71</x:v>
      </x:c>
      <x:c r="E5373" s="32">
        <x:v>1063.6600000000001</x:v>
      </x:c>
      <x:c r="F5373" s="33">
        <x:v>466433900</x:v>
      </x:c>
      <x:c r="G5373" s="32" t="n">
        <x:f t="shared" si="240">AVERAGE(E5174:E5373)</x:f>
        <x:v>1322.0316</x:v>
      </x:c>
      <x:c r="H5373" s="37" t="n">
        <x:f t="shared" si="241">IFERROR(E5373/G5373-1,"")</x:f>
        <x:v>-0.19543526796182475</x:v>
      </x:c>
      <x:c r="I5373" s="38" t="b">
        <x:f t="shared" si="242">E5373&lt;G5373</x:f>
        <x:v>1</x:v>
      </x:c>
    </x:row>
    <x:row r="5374">
      <x:c r="A5374" s="31">
        <x:v>44853</x:v>
      </x:c>
      <x:c r="B5374" s="32">
        <x:v>1065.08</x:v>
      </x:c>
      <x:c r="C5374" s="32">
        <x:v>1065.99</x:v>
      </x:c>
      <x:c r="D5374" s="32">
        <x:v>1052.29</x:v>
      </x:c>
      <x:c r="E5374" s="32">
        <x:v>1060.07</x:v>
      </x:c>
      <x:c r="F5374" s="33">
        <x:v>345418600</x:v>
      </x:c>
      <x:c r="G5374" s="32" t="n">
        <x:f t="shared" si="240">AVERAGE(E5175:E5374)</x:f>
        <x:v>1319.86</x:v>
      </x:c>
      <x:c r="H5374" s="37" t="n">
        <x:f t="shared" si="241">IFERROR(E5374/G5374-1,"")</x:f>
        <x:v>-0.19683148212689228</x:v>
      </x:c>
      <x:c r="I5374" s="38" t="b">
        <x:f t="shared" si="242">E5374&lt;G5374</x:f>
        <x:v>1</x:v>
      </x:c>
    </x:row>
    <x:row r="5375">
      <x:c r="A5375" s="31">
        <x:v>44854</x:v>
      </x:c>
      <x:c r="B5375" s="32">
        <x:v>1056.1400000000001</x:v>
      </x:c>
      <x:c r="C5375" s="32">
        <x:v>1065.28</x:v>
      </x:c>
      <x:c r="D5375" s="32">
        <x:v>1048.21</x:v>
      </x:c>
      <x:c r="E5375" s="32">
        <x:v>1058.45</x:v>
      </x:c>
      <x:c r="F5375" s="33">
        <x:v>352502000</x:v>
      </x:c>
      <x:c r="G5375" s="32" t="n">
        <x:f t="shared" si="240">AVERAGE(E5176:E5375)</x:f>
        <x:v>1317.72315</x:v>
      </x:c>
      <x:c r="H5375" s="37" t="n">
        <x:f t="shared" si="241">IFERROR(E5375/G5375-1,"")</x:f>
        <x:v>-0.19675843897862766</x:v>
      </x:c>
      <x:c r="I5375" s="38" t="b">
        <x:f t="shared" si="242">E5375&lt;G5375</x:f>
        <x:v>1</x:v>
      </x:c>
    </x:row>
    <x:row r="5376">
      <x:c r="A5376" s="31">
        <x:v>44855</x:v>
      </x:c>
      <x:c r="B5376" s="32">
        <x:v>1059.03</x:v>
      </x:c>
      <x:c r="C5376" s="32">
        <x:v>1059.03</x:v>
      </x:c>
      <x:c r="D5376" s="32">
        <x:v>1013.69</x:v>
      </x:c>
      <x:c r="E5376" s="32">
        <x:v>1019.82</x:v>
      </x:c>
      <x:c r="F5376" s="33">
        <x:v>642204900</x:v>
      </x:c>
      <x:c r="G5376" s="32" t="n">
        <x:f t="shared" si="240">AVERAGE(E5177:E5376)</x:f>
        <x:v>1315.3924</x:v>
      </x:c>
      <x:c r="H5376" s="37" t="n">
        <x:f t="shared" si="241">IFERROR(E5376/G5376-1,"")</x:f>
        <x:v>-0.22470283392240975</x:v>
      </x:c>
      <x:c r="I5376" s="38" t="b">
        <x:f t="shared" si="242">E5376&lt;G5376</x:f>
        <x:v>1</x:v>
      </x:c>
    </x:row>
    <x:row r="5377">
      <x:c r="A5377" s="31">
        <x:v>44858</x:v>
      </x:c>
      <x:c r="B5377" s="32">
        <x:v>1021.25</x:v>
      </x:c>
      <x:c r="C5377" s="32">
        <x:v>1023.51</x:v>
      </x:c>
      <x:c r="D5377" s="32">
        <x:v>977.41</x:v>
      </x:c>
      <x:c r="E5377" s="32">
        <x:v>986.15</x:v>
      </x:c>
      <x:c r="F5377" s="33">
        <x:v>547149700</x:v>
      </x:c>
      <x:c r="G5377" s="32" t="n">
        <x:f t="shared" si="240">AVERAGE(E5178:E5377)</x:f>
        <x:v>1312.8317500000003</x:v>
      </x:c>
      <x:c r="H5377" s="37" t="n">
        <x:f t="shared" si="241">IFERROR(E5377/G5377-1,"")</x:f>
        <x:v>-0.24883748431586927</x:v>
      </x:c>
      <x:c r="I5377" s="38" t="b">
        <x:f t="shared" si="242">E5377&lt;G5377</x:f>
        <x:v>1</x:v>
      </x:c>
    </x:row>
    <x:row r="5378">
      <x:c r="A5378" s="31">
        <x:v>44859</x:v>
      </x:c>
      <x:c r="B5378" s="32">
        <x:v>980.33</x:v>
      </x:c>
      <x:c r="C5378" s="32">
        <x:v>1011.39</x:v>
      </x:c>
      <x:c r="D5378" s="32">
        <x:v>962.45</x:v>
      </x:c>
      <x:c r="E5378" s="32">
        <x:v>981.18</x:v>
      </x:c>
      <x:c r="F5378" s="33">
        <x:v>670274300</x:v>
      </x:c>
      <x:c r="G5378" s="32" t="n">
        <x:f t="shared" si="240">AVERAGE(E5179:E5378)</x:f>
        <x:v>1310.10975</x:v>
      </x:c>
      <x:c r="H5378" s="37" t="n">
        <x:f t="shared" si="241">IFERROR(E5378/G5378-1,"")</x:f>
        <x:v>-0.2510703778824638</x:v>
      </x:c>
      <x:c r="I5378" s="38" t="b">
        <x:f t="shared" si="242">E5378&lt;G5378</x:f>
        <x:v>1</x:v>
      </x:c>
    </x:row>
    <x:row r="5379">
      <x:c r="A5379" s="31">
        <x:v>44860</x:v>
      </x:c>
      <x:c r="B5379" s="32">
        <x:v>1000.71</x:v>
      </x:c>
      <x:c r="C5379" s="32">
        <x:v>1004.55</x:v>
      </x:c>
      <x:c r="D5379" s="32">
        <x:v>984.71</x:v>
      </x:c>
      <x:c r="E5379" s="32">
        <x:v>985.92</x:v>
      </x:c>
      <x:c r="F5379" s="33">
        <x:v>352376800</x:v>
      </x:c>
      <x:c r="G5379" s="32" t="n">
        <x:f t="shared" si="240">AVERAGE(E5180:E5379)</x:f>
        <x:v>1307.42685</x:v>
      </x:c>
      <x:c r="H5379" s="37" t="n">
        <x:f t="shared" si="241">IFERROR(E5379/G5379-1,"")</x:f>
        <x:v>-0.2459080980324062</x:v>
      </x:c>
      <x:c r="I5379" s="38" t="b">
        <x:f t="shared" si="242">E5379&lt;G5379</x:f>
        <x:v>1</x:v>
      </x:c>
    </x:row>
    <x:row r="5380">
      <x:c r="A5380" s="31">
        <x:v>44861</x:v>
      </x:c>
      <x:c r="B5380" s="32">
        <x:v>994.82</x:v>
      </x:c>
      <x:c r="C5380" s="32">
        <x:v>1028.01</x:v>
      </x:c>
      <x:c r="D5380" s="32">
        <x:v>990.48</x:v>
      </x:c>
      <x:c r="E5380" s="32">
        <x:v>1028.01</x:v>
      </x:c>
      <x:c r="F5380" s="33">
        <x:v>572328800</x:v>
      </x:c>
      <x:c r="G5380" s="32" t="n">
        <x:f t="shared" si="240">AVERAGE(E5181:E5380)</x:f>
        <x:v>1304.92405</x:v>
      </x:c>
      <x:c r="H5380" s="37" t="n">
        <x:f t="shared" si="241">IFERROR(E5380/G5380-1,"")</x:f>
        <x:v>-0.21220702461572383</x:v>
      </x:c>
      <x:c r="I5380" s="38" t="b">
        <x:f t="shared" si="242">E5380&lt;G5380</x:f>
        <x:v>1</x:v>
      </x:c>
    </x:row>
    <x:row r="5381">
      <x:c r="A5381" s="31">
        <x:v>44862</x:v>
      </x:c>
      <x:c r="B5381" s="32">
        <x:v>1035.4100000000001</x:v>
      </x:c>
      <x:c r="C5381" s="32">
        <x:v>1044.57</x:v>
      </x:c>
      <x:c r="D5381" s="32">
        <x:v>1026.53</x:v>
      </x:c>
      <x:c r="E5381" s="32">
        <x:v>1027.3599999999999</x:v>
      </x:c>
      <x:c r="F5381" s="33">
        <x:v>515678600</x:v>
      </x:c>
      <x:c r="G5381" s="32" t="n">
        <x:f t="shared" si="240">AVERAGE(E5182:E5381)</x:f>
        <x:v>1302.4184500000001</x:v>
      </x:c>
      <x:c r="H5381" s="37" t="n">
        <x:f t="shared" si="241">IFERROR(E5381/G5381-1,"")</x:f>
        <x:v>-0.21119053557633505</x:v>
      </x:c>
      <x:c r="I5381" s="38" t="b">
        <x:f t="shared" si="242">E5381&lt;G5381</x:f>
        <x:v>1</x:v>
      </x:c>
    </x:row>
    <x:row r="5382">
      <x:c r="A5382" s="31">
        <x:v>44865</x:v>
      </x:c>
      <x:c r="B5382" s="32">
        <x:v>1028.24</x:v>
      </x:c>
      <x:c r="C5382" s="32">
        <x:v>1030.32</x:v>
      </x:c>
      <x:c r="D5382" s="32">
        <x:v>1005</x:v>
      </x:c>
      <x:c r="E5382" s="32">
        <x:v>1027.94</x:v>
      </x:c>
      <x:c r="F5382" s="33">
        <x:v>581502900</x:v>
      </x:c>
      <x:c r="G5382" s="32" t="n">
        <x:f t="shared" si="240">AVERAGE(E5183:E5382)</x:f>
        <x:v>1300.0395999999998</x:v>
      </x:c>
      <x:c r="H5382" s="37" t="n">
        <x:f t="shared" si="241">IFERROR(E5382/G5382-1,"")</x:f>
        <x:v>-0.2093010089846492</x:v>
      </x:c>
      <x:c r="I5382" s="38" t="b">
        <x:f t="shared" si="242">E5382&lt;G5382</x:f>
        <x:v>1</x:v>
      </x:c>
    </x:row>
    <x:row r="5383">
      <x:c r="A5383" s="31">
        <x:v>44866</x:v>
      </x:c>
      <x:c r="B5383" s="32">
        <x:v>1034.77</x:v>
      </x:c>
      <x:c r="C5383" s="32">
        <x:v>1043.53</x:v>
      </x:c>
      <x:c r="D5383" s="32">
        <x:v>1027.3900000000001</x:v>
      </x:c>
      <x:c r="E5383" s="32">
        <x:v>1033.75</x:v>
      </x:c>
      <x:c r="F5383" s="33">
        <x:v>575844000</x:v>
      </x:c>
      <x:c r="G5383" s="32" t="n">
        <x:f t="shared" si="240">AVERAGE(E5184:E5383)</x:f>
        <x:v>1297.7468000000001</x:v>
      </x:c>
      <x:c r="H5383" s="37" t="n">
        <x:f t="shared" si="241">IFERROR(E5383/G5383-1,"")</x:f>
        <x:v>-0.20342704755658048</x:v>
      </x:c>
      <x:c r="I5383" s="38" t="b">
        <x:f t="shared" si="242">E5383&lt;G5383</x:f>
        <x:v>1</x:v>
      </x:c>
    </x:row>
    <x:row r="5384">
      <x:c r="A5384" s="31">
        <x:v>44867</x:v>
      </x:c>
      <x:c r="B5384" s="32">
        <x:v>1033.51</x:v>
      </x:c>
      <x:c r="C5384" s="32">
        <x:v>1034.73</x:v>
      </x:c>
      <x:c r="D5384" s="32">
        <x:v>1018.64</x:v>
      </x:c>
      <x:c r="E5384" s="32">
        <x:v>1023.19</x:v>
      </x:c>
      <x:c r="F5384" s="33">
        <x:v>488346900</x:v>
      </x:c>
      <x:c r="G5384" s="32" t="n">
        <x:f t="shared" si="240">AVERAGE(E5185:E5384)</x:f>
        <x:v>1295.3102000000001</x:v>
      </x:c>
      <x:c r="H5384" s="37" t="n">
        <x:f t="shared" si="241">IFERROR(E5384/G5384-1,"")</x:f>
        <x:v>-0.2100811064407584</x:v>
      </x:c>
      <x:c r="I5384" s="38" t="b">
        <x:f t="shared" si="242">E5384&lt;G5384</x:f>
        <x:v>1</x:v>
      </x:c>
    </x:row>
    <x:row r="5385">
      <x:c r="A5385" s="31">
        <x:v>44868</x:v>
      </x:c>
      <x:c r="B5385" s="32">
        <x:v>1011.41</x:v>
      </x:c>
      <x:c r="C5385" s="32">
        <x:v>1023.95</x:v>
      </x:c>
      <x:c r="D5385" s="32">
        <x:v>1010.65</x:v>
      </x:c>
      <x:c r="E5385" s="32">
        <x:v>1019.81</x:v>
      </x:c>
      <x:c r="F5385" s="33">
        <x:v>404442900</x:v>
      </x:c>
      <x:c r="G5385" s="32" t="n">
        <x:f t="shared" si="240">AVERAGE(E5186:E5385)</x:f>
        <x:v>1292.929</x:v>
      </x:c>
      <x:c r="H5385" s="37" t="n">
        <x:f t="shared" si="241">IFERROR(E5385/G5385-1,"")</x:f>
        <x:v>-0.2112405244216814</x:v>
      </x:c>
      <x:c r="I5385" s="38" t="b">
        <x:f t="shared" si="242">E5385&lt;G5385</x:f>
        <x:v>1</x:v>
      </x:c>
    </x:row>
    <x:row r="5386">
      <x:c r="A5386" s="31">
        <x:v>44869</x:v>
      </x:c>
      <x:c r="B5386" s="32">
        <x:v>1008.23</x:v>
      </x:c>
      <x:c r="C5386" s="32">
        <x:v>1009.96</x:v>
      </x:c>
      <x:c r="D5386" s="32">
        <x:v>974.61</x:v>
      </x:c>
      <x:c r="E5386" s="32">
        <x:v>997.15</x:v>
      </x:c>
      <x:c r="F5386" s="33">
        <x:v>694725300</x:v>
      </x:c>
      <x:c r="G5386" s="32" t="n">
        <x:f t="shared" si="240">AVERAGE(E5187:E5386)</x:f>
        <x:v>1290.43465</x:v>
      </x:c>
      <x:c r="H5386" s="37" t="n">
        <x:f t="shared" si="241">IFERROR(E5386/G5386-1,"")</x:f>
        <x:v>-0.22727586398892807</x:v>
      </x:c>
      <x:c r="I5386" s="38" t="b">
        <x:f t="shared" si="242">E5386&lt;G5386</x:f>
        <x:v>1</x:v>
      </x:c>
    </x:row>
    <x:row r="5387">
      <x:c r="A5387" s="31">
        <x:v>44872</x:v>
      </x:c>
      <x:c r="B5387" s="32">
        <x:v>989.74</x:v>
      </x:c>
      <x:c r="C5387" s="32">
        <x:v>996.18</x:v>
      </x:c>
      <x:c r="D5387" s="32">
        <x:v>969.61</x:v>
      </x:c>
      <x:c r="E5387" s="32">
        <x:v>975.19</x:v>
      </x:c>
      <x:c r="F5387" s="33">
        <x:v>534028100</x:v>
      </x:c>
      <x:c r="G5387" s="32" t="n">
        <x:f t="shared" si="240">AVERAGE(E5188:E5387)</x:f>
        <x:v>1288.0464</x:v>
      </x:c>
      <x:c r="H5387" s="37" t="n">
        <x:f t="shared" si="241">IFERROR(E5387/G5387-1,"")</x:f>
        <x:v>-0.24289218152389536</x:v>
      </x:c>
      <x:c r="I5387" s="38" t="b">
        <x:f t="shared" si="242">E5387&lt;G5387</x:f>
        <x:v>1</x:v>
      </x:c>
    </x:row>
    <x:row r="5388">
      <x:c r="A5388" s="31">
        <x:v>44873</x:v>
      </x:c>
      <x:c r="B5388" s="32">
        <x:v>960.93</x:v>
      </x:c>
      <x:c r="C5388" s="32">
        <x:v>981.86</x:v>
      </x:c>
      <x:c r="D5388" s="32">
        <x:v>956.97</x:v>
      </x:c>
      <x:c r="E5388" s="32">
        <x:v>981.65</x:v>
      </x:c>
      <x:c r="F5388" s="33">
        <x:v>542477500</x:v>
      </x:c>
      <x:c r="G5388" s="32" t="n">
        <x:f t="shared" si="240">AVERAGE(E5189:E5388)</x:f>
        <x:v>1285.75995</x:v>
      </x:c>
      <x:c r="H5388" s="37" t="n">
        <x:f t="shared" si="241">IFERROR(E5388/G5388-1,"")</x:f>
        <x:v>-0.2365215606536818</x:v>
      </x:c>
      <x:c r="I5388" s="38" t="b">
        <x:f t="shared" si="242">E5388&lt;G5388</x:f>
        <x:v>1</x:v>
      </x:c>
    </x:row>
    <x:row r="5389">
      <x:c r="A5389" s="31">
        <x:v>44874</x:v>
      </x:c>
      <x:c r="B5389" s="32">
        <x:v>983.62</x:v>
      </x:c>
      <x:c r="C5389" s="32">
        <x:v>994.79</x:v>
      </x:c>
      <x:c r="D5389" s="32">
        <x:v>977.93</x:v>
      </x:c>
      <x:c r="E5389" s="32">
        <x:v>985.59</x:v>
      </x:c>
      <x:c r="F5389" s="33">
        <x:v>466326400</x:v>
      </x:c>
      <x:c r="G5389" s="32" t="n">
        <x:f t="shared" ref="G5389:G5452" si="243">AVERAGE(E5190:E5389)</x:f>
        <x:v>1283.47395</x:v>
      </x:c>
      <x:c r="H5389" s="37" t="n">
        <x:f t="shared" ref="H5389:H5452" si="244">IFERROR(E5389/G5389-1,"")</x:f>
        <x:v>-0.23209193299170583</x:v>
      </x:c>
      <x:c r="I5389" s="38" t="b">
        <x:f t="shared" ref="I5389:I5452" si="245">E5389&lt;G5389</x:f>
        <x:v>1</x:v>
      </x:c>
    </x:row>
    <x:row r="5390">
      <x:c r="A5390" s="31">
        <x:v>44875</x:v>
      </x:c>
      <x:c r="B5390" s="32">
        <x:v>974.76</x:v>
      </x:c>
      <x:c r="C5390" s="32">
        <x:v>976.31</x:v>
      </x:c>
      <x:c r="D5390" s="32">
        <x:v>935.78</x:v>
      </x:c>
      <x:c r="E5390" s="32">
        <x:v>947.24</x:v>
      </x:c>
      <x:c r="F5390" s="33">
        <x:v>637622500</x:v>
      </x:c>
      <x:c r="G5390" s="32" t="n">
        <x:f t="shared" si="243">AVERAGE(E5191:E5390)</x:f>
        <x:v>1280.88365</x:v>
      </x:c>
      <x:c r="H5390" s="37" t="n">
        <x:f t="shared" si="244">IFERROR(E5390/G5390-1,"")</x:f>
        <x:v>-0.26047927928504666</x:v>
      </x:c>
      <x:c r="I5390" s="38" t="b">
        <x:f t="shared" si="245">E5390&lt;G5390</x:f>
        <x:v>1</x:v>
      </x:c>
    </x:row>
    <x:row r="5391">
      <x:c r="A5391" s="31">
        <x:v>44876</x:v>
      </x:c>
      <x:c r="B5391" s="32">
        <x:v>954.95</x:v>
      </x:c>
      <x:c r="C5391" s="32">
        <x:v>966.7</x:v>
      </x:c>
      <x:c r="D5391" s="32">
        <x:v>949.49</x:v>
      </x:c>
      <x:c r="E5391" s="32">
        <x:v>954.53</x:v>
      </x:c>
      <x:c r="F5391" s="33">
        <x:v>646268900</x:v>
      </x:c>
      <x:c r="G5391" s="32" t="n">
        <x:f t="shared" si="243">AVERAGE(E5192:E5391)</x:f>
        <x:v>1278.29185</x:v>
      </x:c>
      <x:c r="H5391" s="37" t="n">
        <x:f t="shared" si="244">IFERROR(E5391/G5391-1,"")</x:f>
        <x:v>-0.25327694141208834</x:v>
      </x:c>
      <x:c r="I5391" s="38" t="b">
        <x:f t="shared" si="245">E5391&lt;G5391</x:f>
        <x:v>1</x:v>
      </x:c>
    </x:row>
    <x:row r="5392">
      <x:c r="A5392" s="31">
        <x:v>44879</x:v>
      </x:c>
      <x:c r="B5392" s="32">
        <x:v>939.94</x:v>
      </x:c>
      <x:c r="C5392" s="32">
        <x:v>945.29</x:v>
      </x:c>
      <x:c r="D5392" s="32">
        <x:v>923.53</x:v>
      </x:c>
      <x:c r="E5392" s="32">
        <x:v>941.04</x:v>
      </x:c>
      <x:c r="F5392" s="33">
        <x:v>599309300</x:v>
      </x:c>
      <x:c r="G5392" s="32" t="n">
        <x:f t="shared" si="243">AVERAGE(E5193:E5392)</x:f>
        <x:v>1275.7985</x:v>
      </x:c>
      <x:c r="H5392" s="37" t="n">
        <x:f t="shared" si="244">IFERROR(E5392/G5392-1,"")</x:f>
        <x:v>-0.2623913572558677</x:v>
      </x:c>
      <x:c r="I5392" s="38" t="b">
        <x:f t="shared" si="245">E5392&lt;G5392</x:f>
        <x:v>1</x:v>
      </x:c>
    </x:row>
    <x:row r="5393">
      <x:c r="A5393" s="31">
        <x:v>44880</x:v>
      </x:c>
      <x:c r="B5393" s="32">
        <x:v>926.08</x:v>
      </x:c>
      <x:c r="C5393" s="32">
        <x:v>929.06</x:v>
      </x:c>
      <x:c r="D5393" s="32">
        <x:v>900.17</x:v>
      </x:c>
      <x:c r="E5393" s="32">
        <x:v>911.9</x:v>
      </x:c>
      <x:c r="F5393" s="33">
        <x:v>589099000</x:v>
      </x:c>
      <x:c r="G5393" s="32" t="n">
        <x:f t="shared" si="243">AVERAGE(E5194:E5393)</x:f>
        <x:v>1272.9601</x:v>
      </x:c>
      <x:c r="H5393" s="37" t="n">
        <x:f t="shared" si="244">IFERROR(E5393/G5393-1,"")</x:f>
        <x:v>-0.28363819101635634</x:v>
      </x:c>
      <x:c r="I5393" s="38" t="b">
        <x:f t="shared" si="245">E5393&lt;G5393</x:f>
        <x:v>1</x:v>
      </x:c>
    </x:row>
    <x:row r="5394">
      <x:c r="A5394" s="31">
        <x:v>44881</x:v>
      </x:c>
      <x:c r="B5394" s="32">
        <x:v>876</x:v>
      </x:c>
      <x:c r="C5394" s="32">
        <x:v>945.42</x:v>
      </x:c>
      <x:c r="D5394" s="32">
        <x:v>873.78</x:v>
      </x:c>
      <x:c r="E5394" s="32">
        <x:v>942.9</x:v>
      </x:c>
      <x:c r="F5394" s="33">
        <x:v>934066100</x:v>
      </x:c>
      <x:c r="G5394" s="32" t="n">
        <x:f t="shared" si="243">AVERAGE(E5195:E5394)</x:f>
        <x:v>1270.2667000000001</x:v>
      </x:c>
      <x:c r="H5394" s="37" t="n">
        <x:f t="shared" si="244">IFERROR(E5394/G5394-1,"")</x:f>
        <x:v>-0.2577149349817641</x:v>
      </x:c>
      <x:c r="I5394" s="38" t="b">
        <x:f t="shared" si="245">E5394&lt;G5394</x:f>
        <x:v>1</x:v>
      </x:c>
    </x:row>
    <x:row r="5395">
      <x:c r="A5395" s="31">
        <x:v>44882</x:v>
      </x:c>
      <x:c r="B5395" s="32">
        <x:v>952.91</x:v>
      </x:c>
      <x:c r="C5395" s="32">
        <x:v>972.88</x:v>
      </x:c>
      <x:c r="D5395" s="32">
        <x:v>950.9</x:v>
      </x:c>
      <x:c r="E5395" s="32">
        <x:v>969.26</x:v>
      </x:c>
      <x:c r="F5395" s="33">
        <x:v>589567300</x:v>
      </x:c>
      <x:c r="G5395" s="32" t="n">
        <x:f t="shared" si="243">AVERAGE(E5196:E5395)</x:f>
        <x:v>1267.7592000000002</x:v>
      </x:c>
      <x:c r="H5395" s="37" t="n">
        <x:f t="shared" si="244">IFERROR(E5395/G5395-1,"")</x:f>
        <x:v>-0.23545417773343724</x:v>
      </x:c>
      <x:c r="I5395" s="38" t="b">
        <x:f t="shared" si="245">E5395&lt;G5395</x:f>
        <x:v>1</x:v>
      </x:c>
    </x:row>
    <x:row r="5396">
      <x:c r="A5396" s="31">
        <x:v>44883</x:v>
      </x:c>
      <x:c r="B5396" s="32">
        <x:v>967.18</x:v>
      </x:c>
      <x:c r="C5396" s="32">
        <x:v>971.77</x:v>
      </x:c>
      <x:c r="D5396" s="32">
        <x:v>939.73</x:v>
      </x:c>
      <x:c r="E5396" s="32">
        <x:v>969.33</x:v>
      </x:c>
      <x:c r="F5396" s="33">
        <x:v>833798300</x:v>
      </x:c>
      <x:c r="G5396" s="32" t="n">
        <x:f t="shared" si="243">AVERAGE(E5197:E5396)</x:f>
        <x:v>1265.2110500000001</x:v>
      </x:c>
      <x:c r="H5396" s="37" t="n">
        <x:f t="shared" si="244">IFERROR(E5396/G5396-1,"")</x:f>
        <x:v>-0.23385904667841784</x:v>
      </x:c>
      <x:c r="I5396" s="38" t="b">
        <x:f t="shared" si="245">E5396&lt;G5396</x:f>
        <x:v>1</x:v>
      </x:c>
    </x:row>
    <x:row r="5397">
      <x:c r="A5397" s="31">
        <x:v>44886</x:v>
      </x:c>
      <x:c r="B5397" s="32">
        <x:v>971.58</x:v>
      </x:c>
      <x:c r="C5397" s="32">
        <x:v>973.19</x:v>
      </x:c>
      <x:c r="D5397" s="32">
        <x:v>956.77</x:v>
      </x:c>
      <x:c r="E5397" s="32">
        <x:v>960.65</x:v>
      </x:c>
      <x:c r="F5397" s="33">
        <x:v>522726700</x:v>
      </x:c>
      <x:c r="G5397" s="32" t="n">
        <x:f t="shared" si="243">AVERAGE(E5198:E5397)</x:f>
        <x:v>1262.526</x:v>
      </x:c>
      <x:c r="H5397" s="37" t="n">
        <x:f t="shared" si="244">IFERROR(E5397/G5397-1,"")</x:f>
        <x:v>-0.23910477883227754</x:v>
      </x:c>
      <x:c r="I5397" s="38" t="b">
        <x:f t="shared" si="245">E5397&lt;G5397</x:f>
        <x:v>1</x:v>
      </x:c>
    </x:row>
    <x:row r="5398">
      <x:c r="A5398" s="31">
        <x:v>44887</x:v>
      </x:c>
      <x:c r="B5398" s="32">
        <x:v>953.78</x:v>
      </x:c>
      <x:c r="C5398" s="32">
        <x:v>985.28</x:v>
      </x:c>
      <x:c r="D5398" s="32">
        <x:v>948.52</x:v>
      </x:c>
      <x:c r="E5398" s="32">
        <x:v>952.12</x:v>
      </x:c>
      <x:c r="F5398" s="33">
        <x:v>978732600</x:v>
      </x:c>
      <x:c r="G5398" s="32" t="n">
        <x:f t="shared" si="243">AVERAGE(E5199:E5398)</x:f>
        <x:v>1259.7816500000001</x:v>
      </x:c>
      <x:c r="H5398" s="37" t="n">
        <x:f t="shared" si="244">IFERROR(E5398/G5398-1,"")</x:f>
        <x:v>-0.24421823416780208</x:v>
      </x:c>
      <x:c r="I5398" s="38" t="b">
        <x:f t="shared" si="245">E5398&lt;G5398</x:f>
        <x:v>1</x:v>
      </x:c>
    </x:row>
    <x:row r="5399">
      <x:c r="A5399" s="31">
        <x:v>44888</x:v>
      </x:c>
      <x:c r="B5399" s="32">
        <x:v>947.81</x:v>
      </x:c>
      <x:c r="C5399" s="32">
        <x:v>958.61</x:v>
      </x:c>
      <x:c r="D5399" s="32">
        <x:v>942.02</x:v>
      </x:c>
      <x:c r="E5399" s="32">
        <x:v>946</x:v>
      </x:c>
      <x:c r="F5399" s="33">
        <x:v>488928200</x:v>
      </x:c>
      <x:c r="G5399" s="32" t="n">
        <x:f t="shared" si="243">AVERAGE(E5200:E5399)</x:f>
        <x:v>1256.98475</x:v>
      </x:c>
      <x:c r="H5399" s="37" t="n">
        <x:f t="shared" si="244">IFERROR(E5399/G5399-1,"")</x:f>
        <x:v>-0.24740534839424266</x:v>
      </x:c>
      <x:c r="I5399" s="38" t="b">
        <x:f t="shared" si="245">E5399&lt;G5399</x:f>
        <x:v>1</x:v>
      </x:c>
    </x:row>
    <x:row r="5400">
      <x:c r="A5400" s="31">
        <x:v>44889</x:v>
      </x:c>
      <x:c r="B5400" s="32">
        <x:v>941.44</x:v>
      </x:c>
      <x:c r="C5400" s="32">
        <x:v>950.03</x:v>
      </x:c>
      <x:c r="D5400" s="32">
        <x:v>934.31</x:v>
      </x:c>
      <x:c r="E5400" s="32">
        <x:v>947.71</x:v>
      </x:c>
      <x:c r="F5400" s="33">
        <x:v>482211800</x:v>
      </x:c>
      <x:c r="G5400" s="32" t="n">
        <x:f t="shared" si="243">AVERAGE(E5201:E5400)</x:f>
        <x:v>1254.18935</x:v>
      </x:c>
      <x:c r="H5400" s="37" t="n">
        <x:f t="shared" si="244">IFERROR(E5400/G5400-1,"")</x:f>
        <x:v>-0.2443644972746739</x:v>
      </x:c>
      <x:c r="I5400" s="38" t="b">
        <x:f t="shared" si="245">E5400&lt;G5400</x:f>
        <x:v>1</x:v>
      </x:c>
    </x:row>
    <x:row r="5401">
      <x:c r="A5401" s="31">
        <x:v>44890</x:v>
      </x:c>
      <x:c r="B5401" s="32">
        <x:v>956.62</x:v>
      </x:c>
      <x:c r="C5401" s="32">
        <x:v>971.46</x:v>
      </x:c>
      <x:c r="D5401" s="32">
        <x:v>955.53</x:v>
      </x:c>
      <x:c r="E5401" s="32">
        <x:v>971.46</x:v>
      </x:c>
      <x:c r="F5401" s="33">
        <x:v>554366400</x:v>
      </x:c>
      <x:c r="G5401" s="32" t="n">
        <x:f t="shared" si="243">AVERAGE(E5202:E5401)</x:f>
        <x:v>1251.5381</x:v>
      </x:c>
      <x:c r="H5401" s="37" t="n">
        <x:f t="shared" si="244">IFERROR(E5401/G5401-1,"")</x:f>
        <x:v>-0.2237871144314344</x:v>
      </x:c>
      <x:c r="I5401" s="38" t="b">
        <x:f t="shared" si="245">E5401&lt;G5401</x:f>
        <x:v>1</x:v>
      </x:c>
    </x:row>
    <x:row r="5402">
      <x:c r="A5402" s="31">
        <x:v>44893</x:v>
      </x:c>
      <x:c r="B5402" s="32">
        <x:v>979.68</x:v>
      </x:c>
      <x:c r="C5402" s="32">
        <x:v>1006.22</x:v>
      </x:c>
      <x:c r="D5402" s="32">
        <x:v>979.48</x:v>
      </x:c>
      <x:c r="E5402" s="32">
        <x:v>1005.69</x:v>
      </x:c>
      <x:c r="F5402" s="33">
        <x:v>872397100</x:v>
      </x:c>
      <x:c r="G5402" s="32" t="n">
        <x:f t="shared" si="243">AVERAGE(E5203:E5402)</x:f>
        <x:v>1249.20675</x:v>
      </x:c>
      <x:c r="H5402" s="37" t="n">
        <x:f t="shared" si="244">IFERROR(E5402/G5402-1,"")</x:f>
        <x:v>-0.19493710708815815</x:v>
      </x:c>
      <x:c r="I5402" s="38" t="b">
        <x:f t="shared" si="245">E5402&lt;G5402</x:f>
        <x:v>1</x:v>
      </x:c>
    </x:row>
    <x:row r="5403">
      <x:c r="A5403" s="31">
        <x:v>44894</x:v>
      </x:c>
      <x:c r="B5403" s="32">
        <x:v>1010.57</x:v>
      </x:c>
      <x:c r="C5403" s="32">
        <x:v>1032.1600000000001</x:v>
      </x:c>
      <x:c r="D5403" s="32">
        <x:v>998.56</x:v>
      </x:c>
      <x:c r="E5403" s="32">
        <x:v>1032.1600000000001</x:v>
      </x:c>
      <x:c r="F5403" s="33">
        <x:v>1101690200</x:v>
      </x:c>
      <x:c r="G5403" s="32" t="n">
        <x:f t="shared" si="243">AVERAGE(E5204:E5403)</x:f>
        <x:v>1246.9038</x:v>
      </x:c>
      <x:c r="H5403" s="37" t="n">
        <x:f t="shared" si="244">IFERROR(E5403/G5403-1,"")</x:f>
        <x:v>-0.17222162607893243</x:v>
      </x:c>
      <x:c r="I5403" s="38" t="b">
        <x:f t="shared" si="245">E5403&lt;G5403</x:f>
        <x:v>1</x:v>
      </x:c>
    </x:row>
    <x:row r="5404">
      <x:c r="A5404" s="31">
        <x:v>44895</x:v>
      </x:c>
      <x:c r="B5404" s="32">
        <x:v>1037.44</x:v>
      </x:c>
      <x:c r="C5404" s="32">
        <x:v>1048.42</x:v>
      </x:c>
      <x:c r="D5404" s="32">
        <x:v>1021.54</x:v>
      </x:c>
      <x:c r="E5404" s="32">
        <x:v>1048.42</x:v>
      </x:c>
      <x:c r="F5404" s="33">
        <x:v>956511200</x:v>
      </x:c>
      <x:c r="G5404" s="32" t="n">
        <x:f t="shared" si="243">AVERAGE(E5205:E5404)</x:f>
        <x:v>1244.6854</x:v>
      </x:c>
      <x:c r="H5404" s="37" t="n">
        <x:f t="shared" si="244">IFERROR(E5404/G5404-1,"")</x:f>
        <x:v>-0.15768273653728082</x:v>
      </x:c>
      <x:c r="I5404" s="38" t="b">
        <x:f t="shared" si="245">E5404&lt;G5404</x:f>
        <x:v>1</x:v>
      </x:c>
    </x:row>
    <x:row r="5405">
      <x:c r="A5405" s="31">
        <x:v>44896</x:v>
      </x:c>
      <x:c r="B5405" s="32">
        <x:v>1057.97</x:v>
      </x:c>
      <x:c r="C5405" s="32">
        <x:v>1066.28</x:v>
      </x:c>
      <x:c r="D5405" s="32">
        <x:v>1035.6199999999999</x:v>
      </x:c>
      <x:c r="E5405" s="32">
        <x:v>1036.28</x:v>
      </x:c>
      <x:c r="F5405" s="33">
        <x:v>1263330500</x:v>
      </x:c>
      <x:c r="G5405" s="32" t="n">
        <x:f t="shared" si="243">AVERAGE(E5206:E5405)</x:f>
        <x:v>1242.32685</x:v>
      </x:c>
      <x:c r="H5405" s="37" t="n">
        <x:f t="shared" si="244">IFERROR(E5405/G5405-1,"")</x:f>
        <x:v>-0.16585558784308652</x:v>
      </x:c>
      <x:c r="I5405" s="38" t="b">
        <x:f t="shared" si="245">E5405&lt;G5405</x:f>
        <x:v>1</x:v>
      </x:c>
    </x:row>
    <x:row r="5406">
      <x:c r="A5406" s="31">
        <x:v>44897</x:v>
      </x:c>
      <x:c r="B5406" s="32">
        <x:v>1032.67</x:v>
      </x:c>
      <x:c r="C5406" s="32">
        <x:v>1080.01</x:v>
      </x:c>
      <x:c r="D5406" s="32">
        <x:v>1030.81</x:v>
      </x:c>
      <x:c r="E5406" s="32">
        <x:v>1080.01</x:v>
      </x:c>
      <x:c r="F5406" s="33">
        <x:v>1014241900</x:v>
      </x:c>
      <x:c r="G5406" s="32" t="n">
        <x:f t="shared" si="243">AVERAGE(E5207:E5406)</x:f>
        <x:v>1240.2027000000003</x:v>
      </x:c>
      <x:c r="H5406" s="37" t="n">
        <x:f t="shared" si="244">IFERROR(E5406/G5406-1,"")</x:f>
        <x:v>-0.12916654672659578</x:v>
      </x:c>
      <x:c r="I5406" s="38" t="b">
        <x:f t="shared" si="245">E5406&lt;G5406</x:f>
        <x:v>1</x:v>
      </x:c>
    </x:row>
    <x:row r="5407">
      <x:c r="A5407" s="31">
        <x:v>44900</x:v>
      </x:c>
      <x:c r="B5407" s="32">
        <x:v>1090.97</x:v>
      </x:c>
      <x:c r="C5407" s="32">
        <x:v>1099.45</x:v>
      </x:c>
      <x:c r="D5407" s="32">
        <x:v>1082.5899999999999</x:v>
      </x:c>
      <x:c r="E5407" s="32">
        <x:v>1093.67</x:v>
      </x:c>
      <x:c r="F5407" s="33">
        <x:v>1112166800</x:v>
      </x:c>
      <x:c r="G5407" s="32" t="n">
        <x:f t="shared" si="243">AVERAGE(E5208:E5407)</x:f>
        <x:v>1238.1168499999999</x:v>
      </x:c>
      <x:c r="H5407" s="37" t="n">
        <x:f t="shared" si="244">IFERROR(E5407/G5407-1,"")</x:f>
        <x:v>-0.11666657311060735</x:v>
      </x:c>
      <x:c r="I5407" s="38" t="b">
        <x:f t="shared" si="245">E5407&lt;G5407</x:f>
        <x:v>1</x:v>
      </x:c>
    </x:row>
    <x:row r="5408">
      <x:c r="A5408" s="31">
        <x:v>44901</x:v>
      </x:c>
      <x:c r="B5408" s="32">
        <x:v>1088.9000000000001</x:v>
      </x:c>
      <x:c r="C5408" s="32">
        <x:v>1089.6300000000001</x:v>
      </x:c>
      <x:c r="D5408" s="32">
        <x:v>1048.69</x:v>
      </x:c>
      <x:c r="E5408" s="32">
        <x:v>1048.69</x:v>
      </x:c>
      <x:c r="F5408" s="33">
        <x:v>1356936200</x:v>
      </x:c>
      <x:c r="G5408" s="32" t="n">
        <x:f t="shared" si="243">AVERAGE(E5209:E5408)</x:f>
        <x:v>1235.84295</x:v>
      </x:c>
      <x:c r="H5408" s="37" t="n">
        <x:f t="shared" si="244">IFERROR(E5408/G5408-1,"")</x:f>
        <x:v>-0.15143748645408373</x:v>
      </x:c>
      <x:c r="I5408" s="38" t="b">
        <x:f t="shared" si="245">E5408&lt;G5408</x:f>
        <x:v>1</x:v>
      </x:c>
    </x:row>
    <x:row r="5409">
      <x:c r="A5409" s="31">
        <x:v>44902</x:v>
      </x:c>
      <x:c r="B5409" s="32">
        <x:v>1046.72</x:v>
      </x:c>
      <x:c r="C5409" s="32">
        <x:v>1059.79</x:v>
      </x:c>
      <x:c r="D5409" s="32">
        <x:v>1034.92</x:v>
      </x:c>
      <x:c r="E5409" s="32">
        <x:v>1041.02</x:v>
      </x:c>
      <x:c r="F5409" s="33">
        <x:v>827948300</x:v>
      </x:c>
      <x:c r="G5409" s="32" t="n">
        <x:f t="shared" si="243">AVERAGE(E5210:E5409)</x:f>
        <x:v>1233.4865499999999</x:v>
      </x:c>
      <x:c r="H5409" s="37" t="n">
        <x:f t="shared" si="244">IFERROR(E5409/G5409-1,"")</x:f>
        <x:v>-0.15603457532633813</x:v>
      </x:c>
      <x:c r="I5409" s="38" t="b">
        <x:f t="shared" si="245">E5409&lt;G5409</x:f>
        <x:v>1</x:v>
      </x:c>
    </x:row>
    <x:row r="5410">
      <x:c r="A5410" s="31">
        <x:v>44903</x:v>
      </x:c>
      <x:c r="B5410" s="32">
        <x:v>1055.21</x:v>
      </x:c>
      <x:c r="C5410" s="32">
        <x:v>1078.0899999999999</x:v>
      </x:c>
      <x:c r="D5410" s="32">
        <x:v>1045.98</x:v>
      </x:c>
      <x:c r="E5410" s="32">
        <x:v>1050.53</x:v>
      </x:c>
      <x:c r="F5410" s="33">
        <x:v>873712400</x:v>
      </x:c>
      <x:c r="G5410" s="32" t="n">
        <x:f t="shared" si="243">AVERAGE(E5211:E5410)</x:f>
        <x:v>1231.2649499999998</x:v>
      </x:c>
      <x:c r="H5410" s="37" t="n">
        <x:f t="shared" si="244">IFERROR(E5410/G5410-1,"")</x:f>
        <x:v>-0.1467880247870288</x:v>
      </x:c>
      <x:c r="I5410" s="38" t="b">
        <x:f t="shared" si="245">E5410&lt;G5410</x:f>
        <x:v>1</x:v>
      </x:c>
    </x:row>
    <x:row r="5411">
      <x:c r="A5411" s="31">
        <x:v>44904</x:v>
      </x:c>
      <x:c r="B5411" s="32">
        <x:v>1056.8499999999999</x:v>
      </x:c>
      <x:c r="C5411" s="32">
        <x:v>1061.21</x:v>
      </x:c>
      <x:c r="D5411" s="32">
        <x:v>1041.3900000000001</x:v>
      </x:c>
      <x:c r="E5411" s="32">
        <x:v>1051.81</x:v>
      </x:c>
      <x:c r="F5411" s="33">
        <x:v>725636400</x:v>
      </x:c>
      <x:c r="G5411" s="32" t="n">
        <x:f t="shared" si="243">AVERAGE(E5212:E5411)</x:f>
        <x:v>1229.02955</x:v>
      </x:c>
      <x:c r="H5411" s="37" t="n">
        <x:f t="shared" si="244">IFERROR(E5411/G5411-1,"")</x:f>
        <x:v>-0.1441947022347836</x:v>
      </x:c>
      <x:c r="I5411" s="38" t="b">
        <x:f t="shared" si="245">E5411&lt;G5411</x:f>
        <x:v>1</x:v>
      </x:c>
    </x:row>
    <x:row r="5412">
      <x:c r="A5412" s="31">
        <x:v>44907</x:v>
      </x:c>
      <x:c r="B5412" s="32">
        <x:v>1059.55</x:v>
      </x:c>
      <x:c r="C5412" s="32">
        <x:v>1065.1600000000001</x:v>
      </x:c>
      <x:c r="D5412" s="32">
        <x:v>1032.07</x:v>
      </x:c>
      <x:c r="E5412" s="32">
        <x:v>1032.07</x:v>
      </x:c>
      <x:c r="F5412" s="33">
        <x:v>808782100</x:v>
      </x:c>
      <x:c r="G5412" s="32" t="n">
        <x:f t="shared" si="243">AVERAGE(E5213:E5412)</x:f>
        <x:v>1226.73925</x:v>
      </x:c>
      <x:c r="H5412" s="37" t="n">
        <x:f t="shared" si="244">IFERROR(E5412/G5412-1,"")</x:f>
        <x:v>-0.15868836837168143</x:v>
      </x:c>
      <x:c r="I5412" s="38" t="b">
        <x:f t="shared" si="245">E5412&lt;G5412</x:f>
        <x:v>1</x:v>
      </x:c>
    </x:row>
    <x:row r="5413">
      <x:c r="A5413" s="31">
        <x:v>44908</x:v>
      </x:c>
      <x:c r="B5413" s="32">
        <x:v>1035.76</x:v>
      </x:c>
      <x:c r="C5413" s="32">
        <x:v>1047.45</x:v>
      </x:c>
      <x:c r="D5413" s="32">
        <x:v>1026.3</x:v>
      </x:c>
      <x:c r="E5413" s="32">
        <x:v>1047.45</x:v>
      </x:c>
      <x:c r="F5413" s="33">
        <x:v>735828900</x:v>
      </x:c>
      <x:c r="G5413" s="32" t="n">
        <x:f t="shared" si="243">AVERAGE(E5214:E5413)</x:f>
        <x:v>1224.4826</x:v>
      </x:c>
      <x:c r="H5413" s="37" t="n">
        <x:f t="shared" si="244">IFERROR(E5413/G5413-1,"")</x:f>
        <x:v>-0.14457747296694945</x:v>
      </x:c>
      <x:c r="I5413" s="38" t="b">
        <x:f t="shared" si="245">E5413&lt;G5413</x:f>
        <x:v>1</x:v>
      </x:c>
    </x:row>
    <x:row r="5414">
      <x:c r="A5414" s="31">
        <x:v>44909</x:v>
      </x:c>
      <x:c r="B5414" s="32">
        <x:v>1062.18</x:v>
      </x:c>
      <x:c r="C5414" s="32">
        <x:v>1062.18</x:v>
      </x:c>
      <x:c r="D5414" s="32">
        <x:v>1046.43</x:v>
      </x:c>
      <x:c r="E5414" s="32">
        <x:v>1050.43</x:v>
      </x:c>
      <x:c r="F5414" s="33">
        <x:v>667860400</x:v>
      </x:c>
      <x:c r="G5414" s="32" t="n">
        <x:f t="shared" si="243">AVERAGE(E5215:E5414)</x:f>
        <x:v>1222.3071499999999</x:v>
      </x:c>
      <x:c r="H5414" s="37" t="n">
        <x:f t="shared" si="244">IFERROR(E5414/G5414-1,"")</x:f>
        <x:v>-0.14061698812773848</x:v>
      </x:c>
      <x:c r="I5414" s="38" t="b">
        <x:f t="shared" si="245">E5414&lt;G5414</x:f>
        <x:v>1</x:v>
      </x:c>
    </x:row>
    <x:row r="5415">
      <x:c r="A5415" s="31">
        <x:v>44910</x:v>
      </x:c>
      <x:c r="B5415" s="32">
        <x:v>1049.06</x:v>
      </x:c>
      <x:c r="C5415" s="32">
        <x:v>1062.6099999999999</x:v>
      </x:c>
      <x:c r="D5415" s="32">
        <x:v>1049.06</x:v>
      </x:c>
      <x:c r="E5415" s="32">
        <x:v>1055.32</x:v>
      </x:c>
      <x:c r="F5415" s="33">
        <x:v>665769400</x:v>
      </x:c>
      <x:c r="G5415" s="32" t="n">
        <x:f t="shared" si="243">AVERAGE(E5216:E5415)</x:f>
        <x:v>1220.05875</x:v>
      </x:c>
      <x:c r="H5415" s="37" t="n">
        <x:f t="shared" si="244">IFERROR(E5415/G5415-1,"")</x:f>
        <x:v>-0.13502526005407522</x:v>
      </x:c>
      <x:c r="I5415" s="38" t="b">
        <x:f t="shared" si="245">E5415&lt;G5415</x:f>
        <x:v>1</x:v>
      </x:c>
    </x:row>
    <x:row r="5416">
      <x:c r="A5416" s="31">
        <x:v>44911</x:v>
      </x:c>
      <x:c r="B5416" s="32">
        <x:v>1048.6199999999999</x:v>
      </x:c>
      <x:c r="C5416" s="32">
        <x:v>1064.79</x:v>
      </x:c>
      <x:c r="D5416" s="32">
        <x:v>1047.1600000000001</x:v>
      </x:c>
      <x:c r="E5416" s="32">
        <x:v>1052.48</x:v>
      </x:c>
      <x:c r="F5416" s="33">
        <x:v>790237300</x:v>
      </x:c>
      <x:c r="G5416" s="32" t="n">
        <x:f t="shared" si="243">AVERAGE(E5217:E5416)</x:f>
        <x:v>1217.7945</x:v>
      </x:c>
      <x:c r="H5416" s="37" t="n">
        <x:f t="shared" si="244">IFERROR(E5416/G5416-1,"")</x:f>
        <x:v>-0.1357490939563284</x:v>
      </x:c>
      <x:c r="I5416" s="38" t="b">
        <x:f t="shared" si="245">E5416&lt;G5416</x:f>
        <x:v>1</x:v>
      </x:c>
    </x:row>
    <x:row r="5417">
      <x:c r="A5417" s="31">
        <x:v>44914</x:v>
      </x:c>
      <x:c r="B5417" s="32">
        <x:v>1053.9100000000001</x:v>
      </x:c>
      <x:c r="C5417" s="32">
        <x:v>1065.5899999999999</x:v>
      </x:c>
      <x:c r="D5417" s="32">
        <x:v>1038.4000000000001</x:v>
      </x:c>
      <x:c r="E5417" s="32">
        <x:v>1038.4000000000001</x:v>
      </x:c>
      <x:c r="F5417" s="33">
        <x:v>852324700</x:v>
      </x:c>
      <x:c r="G5417" s="32" t="n">
        <x:f t="shared" si="243">AVERAGE(E5218:E5417)</x:f>
        <x:v>1215.49125</x:v>
      </x:c>
      <x:c r="H5417" s="37" t="n">
        <x:f t="shared" si="244">IFERROR(E5417/G5417-1,"")</x:f>
        <x:v>-0.14569520759610566</x:v>
      </x:c>
      <x:c r="I5417" s="38" t="b">
        <x:f t="shared" si="245">E5417&lt;G5417</x:f>
        <x:v>1</x:v>
      </x:c>
    </x:row>
    <x:row r="5418">
      <x:c r="A5418" s="31">
        <x:v>44915</x:v>
      </x:c>
      <x:c r="B5418" s="32">
        <x:v>1035.82</x:v>
      </x:c>
      <x:c r="C5418" s="32">
        <x:v>1038.74</x:v>
      </x:c>
      <x:c r="D5418" s="32">
        <x:v>1010.08</x:v>
      </x:c>
      <x:c r="E5418" s="32">
        <x:v>1023.13</x:v>
      </x:c>
      <x:c r="F5418" s="33">
        <x:v>954038800</x:v>
      </x:c>
      <x:c r="G5418" s="32" t="n">
        <x:f t="shared" si="243">AVERAGE(E5219:E5418)</x:f>
        <x:v>1213.23835</x:v>
      </x:c>
      <x:c r="H5418" s="37" t="n">
        <x:f t="shared" si="244">IFERROR(E5418/G5418-1,"")</x:f>
        <x:v>-0.1566949725913297</x:v>
      </x:c>
      <x:c r="I5418" s="38" t="b">
        <x:f t="shared" si="245">E5418&lt;G5418</x:f>
        <x:v>1</x:v>
      </x:c>
    </x:row>
    <x:row r="5419">
      <x:c r="A5419" s="31">
        <x:v>44916</x:v>
      </x:c>
      <x:c r="B5419" s="32">
        <x:v>1033.3399999999999</x:v>
      </x:c>
      <x:c r="C5419" s="32">
        <x:v>1033.8399999999999</x:v>
      </x:c>
      <x:c r="D5419" s="32">
        <x:v>1005.43</x:v>
      </x:c>
      <x:c r="E5419" s="32">
        <x:v>1018.88</x:v>
      </x:c>
      <x:c r="F5419" s="33">
        <x:v>703570400</x:v>
      </x:c>
      <x:c r="G5419" s="32" t="n">
        <x:f t="shared" si="243">AVERAGE(E5220:E5419)</x:f>
        <x:v>1210.96405</x:v>
      </x:c>
      <x:c r="H5419" s="37" t="n">
        <x:f t="shared" si="244">IFERROR(E5419/G5419-1,"")</x:f>
        <x:v>-0.1586207699559702</x:v>
      </x:c>
      <x:c r="I5419" s="38" t="b">
        <x:f t="shared" si="245">E5419&lt;G5419</x:f>
        <x:v>1</x:v>
      </x:c>
    </x:row>
    <x:row r="5420">
      <x:c r="A5420" s="31">
        <x:v>44917</x:v>
      </x:c>
      <x:c r="B5420" s="32">
        <x:v>1026.49</x:v>
      </x:c>
      <x:c r="C5420" s="32">
        <x:v>1033.18</x:v>
      </x:c>
      <x:c r="D5420" s="32">
        <x:v>1016.54</x:v>
      </x:c>
      <x:c r="E5420" s="32">
        <x:v>1022.61</x:v>
      </x:c>
      <x:c r="F5420" s="33">
        <x:v>531712600</x:v>
      </x:c>
      <x:c r="G5420" s="32" t="n">
        <x:f t="shared" si="243">AVERAGE(E5221:E5420)</x:f>
        <x:v>1208.6817</x:v>
      </x:c>
      <x:c r="H5420" s="37" t="n">
        <x:f t="shared" si="244">IFERROR(E5420/G5420-1,"")</x:f>
        <x:v>-0.15394598925424297</x:v>
      </x:c>
      <x:c r="I5420" s="38" t="b">
        <x:f t="shared" si="245">E5420&lt;G5420</x:f>
        <x:v>1</x:v>
      </x:c>
    </x:row>
    <x:row r="5421">
      <x:c r="A5421" s="31">
        <x:v>44918</x:v>
      </x:c>
      <x:c r="B5421" s="32">
        <x:v>1023.69</x:v>
      </x:c>
      <x:c r="C5421" s="32">
        <x:v>1027.3399999999999</x:v>
      </x:c>
      <x:c r="D5421" s="32">
        <x:v>1013.2</x:v>
      </x:c>
      <x:c r="E5421" s="32">
        <x:v>1020.34</x:v>
      </x:c>
      <x:c r="F5421" s="33">
        <x:v>423823400</x:v>
      </x:c>
      <x:c r="G5421" s="32" t="n">
        <x:f t="shared" si="243">AVERAGE(E5222:E5421)</x:f>
        <x:v>1206.4506999999999</x:v>
      </x:c>
      <x:c r="H5421" s="37" t="n">
        <x:f t="shared" si="244">IFERROR(E5421/G5421-1,"")</x:f>
        <x:v>-0.15426299640756136</x:v>
      </x:c>
      <x:c r="I5421" s="38" t="b">
        <x:f t="shared" si="245">E5421&lt;G5421</x:f>
        <x:v>1</x:v>
      </x:c>
    </x:row>
    <x:row r="5422">
      <x:c r="A5422" s="31">
        <x:v>44921</x:v>
      </x:c>
      <x:c r="B5422" s="32">
        <x:v>1019.66</x:v>
      </x:c>
      <x:c r="C5422" s="32">
        <x:v>1021.89</x:v>
      </x:c>
      <x:c r="D5422" s="32">
        <x:v>985.21</x:v>
      </x:c>
      <x:c r="E5422" s="32">
        <x:v>985.21</x:v>
      </x:c>
      <x:c r="F5422" s="33">
        <x:v>566850100</x:v>
      </x:c>
      <x:c r="G5422" s="32" t="n">
        <x:f t="shared" si="243">AVERAGE(E5223:E5422)</x:f>
        <x:v>1204.1454999999999</x:v>
      </x:c>
      <x:c r="H5422" s="37" t="n">
        <x:f t="shared" si="244">IFERROR(E5422/G5422-1,"")</x:f>
        <x:v>-0.1818181440697988</x:v>
      </x:c>
      <x:c r="I5422" s="38" t="b">
        <x:f t="shared" si="245">E5422&lt;G5422</x:f>
        <x:v>1</x:v>
      </x:c>
    </x:row>
    <x:row r="5423">
      <x:c r="A5423" s="31">
        <x:v>44922</x:v>
      </x:c>
      <x:c r="B5423" s="32">
        <x:v>986.07</x:v>
      </x:c>
      <x:c r="C5423" s="32">
        <x:v>1007.88</x:v>
      </x:c>
      <x:c r="D5423" s="32">
        <x:v>983.67</x:v>
      </x:c>
      <x:c r="E5423" s="32">
        <x:v>1004.57</x:v>
      </x:c>
      <x:c r="F5423" s="33">
        <x:v>507205800</x:v>
      </x:c>
      <x:c r="G5423" s="32" t="n">
        <x:f t="shared" si="243">AVERAGE(E5224:E5423)</x:f>
        <x:v>1201.90465</x:v>
      </x:c>
      <x:c r="H5423" s="37" t="n">
        <x:f t="shared" si="244">IFERROR(E5423/G5423-1,"")</x:f>
        <x:v>-0.1641849459522433</x:v>
      </x:c>
      <x:c r="I5423" s="38" t="b">
        <x:f t="shared" si="245">E5423&lt;G5423</x:f>
        <x:v>1</x:v>
      </x:c>
    </x:row>
    <x:row r="5424">
      <x:c r="A5424" s="31">
        <x:v>44923</x:v>
      </x:c>
      <x:c r="B5424" s="32">
        <x:v>1008.41</x:v>
      </x:c>
      <x:c r="C5424" s="32">
        <x:v>1020.52</x:v>
      </x:c>
      <x:c r="D5424" s="32">
        <x:v>998.97</x:v>
      </x:c>
      <x:c r="E5424" s="32">
        <x:v>1015.66</x:v>
      </x:c>
      <x:c r="F5424" s="33">
        <x:v>392271900</x:v>
      </x:c>
      <x:c r="G5424" s="32" t="n">
        <x:f t="shared" si="243">AVERAGE(E5225:E5424)</x:f>
        <x:v>1199.6862999999998</x:v>
      </x:c>
      <x:c r="H5424" s="37" t="n">
        <x:f t="shared" si="244">IFERROR(E5424/G5424-1,"")</x:f>
        <x:v>-0.1533953501011055</x:v>
      </x:c>
      <x:c r="I5424" s="38" t="b">
        <x:f t="shared" si="245">E5424&lt;G5424</x:f>
        <x:v>1</x:v>
      </x:c>
    </x:row>
    <x:row r="5425">
      <x:c r="A5425" s="31">
        <x:v>44924</x:v>
      </x:c>
      <x:c r="B5425" s="32">
        <x:v>1016.06</x:v>
      </x:c>
      <x:c r="C5425" s="32">
        <x:v>1021.96</x:v>
      </x:c>
      <x:c r="D5425" s="32">
        <x:v>1009.29</x:v>
      </x:c>
      <x:c r="E5425" s="32">
        <x:v>1009.29</x:v>
      </x:c>
      <x:c r="F5425" s="33">
        <x:v>371300500</x:v>
      </x:c>
      <x:c r="G5425" s="32" t="n">
        <x:f t="shared" si="243">AVERAGE(E5226:E5425)</x:f>
        <x:v>1197.42605</x:v>
      </x:c>
      <x:c r="H5425" s="37" t="n">
        <x:f t="shared" si="244">IFERROR(E5425/G5425-1,"")</x:f>
        <x:v>-0.15711705119493602</x:v>
      </x:c>
      <x:c r="I5425" s="38" t="b">
        <x:f t="shared" si="245">E5425&lt;G5425</x:f>
        <x:v>1</x:v>
      </x:c>
    </x:row>
    <x:row r="5426">
      <x:c r="A5426" s="31">
        <x:v>44925</x:v>
      </x:c>
      <x:c r="B5426" s="32">
        <x:v>1017.45</x:v>
      </x:c>
      <x:c r="C5426" s="32">
        <x:v>1017.99</x:v>
      </x:c>
      <x:c r="D5426" s="32">
        <x:v>1007.09</x:v>
      </x:c>
      <x:c r="E5426" s="32">
        <x:v>1007.09</x:v>
      </x:c>
      <x:c r="F5426" s="33">
        <x:v>344378600</x:v>
      </x:c>
      <x:c r="G5426" s="32" t="n">
        <x:f t="shared" si="243">AVERAGE(E5227:E5426)</x:f>
        <x:v>1195.116</x:v>
      </x:c>
      <x:c r="H5426" s="37" t="n">
        <x:f t="shared" si="244">IFERROR(E5426/G5426-1,"")</x:f>
        <x:v>-0.15732866098353626</x:v>
      </x:c>
      <x:c r="I5426" s="38" t="b">
        <x:f t="shared" si="245">E5426&lt;G5426</x:f>
        <x:v>1</x:v>
      </x:c>
    </x:row>
    <x:row r="5427">
      <x:c r="A5427" s="31">
        <x:v>44929</x:v>
      </x:c>
      <x:c r="B5427" s="32">
        <x:v>1011.39</x:v>
      </x:c>
      <x:c r="C5427" s="32">
        <x:v>1043.9000000000001</x:v>
      </x:c>
      <x:c r="D5427" s="32">
        <x:v>1011.38</x:v>
      </x:c>
      <x:c r="E5427" s="32">
        <x:v>1043.9000000000001</x:v>
      </x:c>
      <x:c r="F5427" s="33">
        <x:v>518145400</x:v>
      </x:c>
      <x:c r="G5427" s="32" t="n">
        <x:f t="shared" si="243">AVERAGE(E5228:E5427)</x:f>
        <x:v>1192.86075</x:v>
      </x:c>
      <x:c r="H5427" s="37" t="n">
        <x:f t="shared" si="244">IFERROR(E5427/G5427-1,"")</x:f>
        <x:v>-0.1248768978273449</x:v>
      </x:c>
      <x:c r="I5427" s="38" t="b">
        <x:f t="shared" si="245">E5427&lt;G5427</x:f>
        <x:v>1</x:v>
      </x:c>
    </x:row>
    <x:row r="5428">
      <x:c r="A5428" s="31">
        <x:v>44930</x:v>
      </x:c>
      <x:c r="B5428" s="32">
        <x:v>1048.31</x:v>
      </x:c>
      <x:c r="C5428" s="32">
        <x:v>1052.5999999999999</x:v>
      </x:c>
      <x:c r="D5428" s="32">
        <x:v>1041.56</x:v>
      </x:c>
      <x:c r="E5428" s="32">
        <x:v>1046.3499999999999</x:v>
      </x:c>
      <x:c r="F5428" s="33">
        <x:v>566957000</x:v>
      </x:c>
      <x:c r="G5428" s="32" t="n">
        <x:f t="shared" si="243">AVERAGE(E5229:E5428)</x:f>
        <x:v>1190.5736</x:v>
      </x:c>
      <x:c r="H5428" s="37" t="n">
        <x:f t="shared" si="244">IFERROR(E5428/G5428-1,"")</x:f>
        <x:v>-0.1211379120114876</x:v>
      </x:c>
      <x:c r="I5428" s="38" t="b">
        <x:f t="shared" si="245">E5428&lt;G5428</x:f>
        <x:v>1</x:v>
      </x:c>
    </x:row>
    <x:row r="5429">
      <x:c r="A5429" s="31">
        <x:v>44931</x:v>
      </x:c>
      <x:c r="B5429" s="32">
        <x:v>1048.17</x:v>
      </x:c>
      <x:c r="C5429" s="32">
        <x:v>1058.1400000000001</x:v>
      </x:c>
      <x:c r="D5429" s="32">
        <x:v>1046.6400000000001</x:v>
      </x:c>
      <x:c r="E5429" s="32">
        <x:v>1055.82</x:v>
      </x:c>
      <x:c r="F5429" s="33">
        <x:v>496500700</x:v>
      </x:c>
      <x:c r="G5429" s="32" t="n">
        <x:f t="shared" si="243">AVERAGE(E5230:E5429)</x:f>
        <x:v>1188.3410000000001</x:v>
      </x:c>
      <x:c r="H5429" s="37" t="n">
        <x:f t="shared" si="244">IFERROR(E5429/G5429-1,"")</x:f>
        <x:v>-0.11151765360279597</x:v>
      </x:c>
      <x:c r="I5429" s="38" t="b">
        <x:f t="shared" si="245">E5429&lt;G5429</x:f>
        <x:v>1</x:v>
      </x:c>
    </x:row>
    <x:row r="5430">
      <x:c r="A5430" s="31">
        <x:v>44932</x:v>
      </x:c>
      <x:c r="B5430" s="32">
        <x:v>1055.51</x:v>
      </x:c>
      <x:c r="C5430" s="32">
        <x:v>1065.58</x:v>
      </x:c>
      <x:c r="D5430" s="32">
        <x:v>1047.26</x:v>
      </x:c>
      <x:c r="E5430" s="32">
        <x:v>1051.44</x:v>
      </x:c>
      <x:c r="F5430" s="33">
        <x:v>614634000</x:v>
      </x:c>
      <x:c r="G5430" s="32" t="n">
        <x:f t="shared" si="243">AVERAGE(E5231:E5430)</x:f>
        <x:v>1186.1069000000002</x:v>
      </x:c>
      <x:c r="H5430" s="37" t="n">
        <x:f t="shared" si="244">IFERROR(E5430/G5430-1,"")</x:f>
        <x:v>-0.11353689958299729</x:v>
      </x:c>
      <x:c r="I5430" s="38" t="b">
        <x:f t="shared" si="245">E5430&lt;G5430</x:f>
        <x:v>1</x:v>
      </x:c>
    </x:row>
    <x:row r="5431">
      <x:c r="A5431" s="31">
        <x:v>44935</x:v>
      </x:c>
      <x:c r="B5431" s="32">
        <x:v>1058.28</x:v>
      </x:c>
      <x:c r="C5431" s="32">
        <x:v>1062.1199999999999</x:v>
      </x:c>
      <x:c r="D5431" s="32">
        <x:v>1050.95</x:v>
      </x:c>
      <x:c r="E5431" s="32">
        <x:v>1054.21</x:v>
      </x:c>
      <x:c r="F5431" s="33">
        <x:v>386345500</x:v>
      </x:c>
      <x:c r="G5431" s="32" t="n">
        <x:f t="shared" si="243">AVERAGE(E5232:E5431)</x:f>
        <x:v>1183.8854500000002</x:v>
      </x:c>
      <x:c r="H5431" s="37" t="n">
        <x:f t="shared" si="244">IFERROR(E5431/G5431-1,"")</x:f>
        <x:v>-0.10953378132994218</x:v>
      </x:c>
      <x:c r="I5431" s="38" t="b">
        <x:f t="shared" si="245">E5431&lt;G5431</x:f>
        <x:v>1</x:v>
      </x:c>
    </x:row>
    <x:row r="5432">
      <x:c r="A5432" s="31">
        <x:v>44936</x:v>
      </x:c>
      <x:c r="B5432" s="32">
        <x:v>1054.8699999999999</x:v>
      </x:c>
      <x:c r="C5432" s="32">
        <x:v>1057.44</x:v>
      </x:c>
      <x:c r="D5432" s="32">
        <x:v>1045.75</x:v>
      </x:c>
      <x:c r="E5432" s="32">
        <x:v>1053.3499999999999</x:v>
      </x:c>
      <x:c r="F5432" s="33">
        <x:v>423409900</x:v>
      </x:c>
      <x:c r="G5432" s="32" t="n">
        <x:f t="shared" si="243">AVERAGE(E5233:E5432)</x:f>
        <x:v>1181.7363000000003</x:v>
      </x:c>
      <x:c r="H5432" s="37" t="n">
        <x:f t="shared" si="244">IFERROR(E5432/G5432-1,"")</x:f>
        <x:v>-0.10864208876379644</x:v>
      </x:c>
      <x:c r="I5432" s="38" t="b">
        <x:f t="shared" si="245">E5432&lt;G5432</x:f>
        <x:v>1</x:v>
      </x:c>
    </x:row>
    <x:row r="5433">
      <x:c r="A5433" s="31">
        <x:v>44937</x:v>
      </x:c>
      <x:c r="B5433" s="32">
        <x:v>1058.77</x:v>
      </x:c>
      <x:c r="C5433" s="32">
        <x:v>1065.69</x:v>
      </x:c>
      <x:c r="D5433" s="32">
        <x:v>1054.53</x:v>
      </x:c>
      <x:c r="E5433" s="32">
        <x:v>1055.76</x:v>
      </x:c>
      <x:c r="F5433" s="33">
        <x:v>508219700</x:v>
      </x:c>
      <x:c r="G5433" s="32" t="n">
        <x:f t="shared" si="243">AVERAGE(E5234:E5433)</x:f>
        <x:v>1179.5263000000002</x:v>
      </x:c>
      <x:c r="H5433" s="37" t="n">
        <x:f t="shared" si="244">IFERROR(E5433/G5433-1,"")</x:f>
        <x:v>-0.10492881761093431</x:v>
      </x:c>
      <x:c r="I5433" s="38" t="b">
        <x:f t="shared" si="245">E5433&lt;G5433</x:f>
        <x:v>1</x:v>
      </x:c>
    </x:row>
    <x:row r="5434">
      <x:c r="A5434" s="31">
        <x:v>44938</x:v>
      </x:c>
      <x:c r="B5434" s="32">
        <x:v>1058.52</x:v>
      </x:c>
      <x:c r="C5434" s="32">
        <x:v>1060.97</x:v>
      </x:c>
      <x:c r="D5434" s="32">
        <x:v>1050.27</x:v>
      </x:c>
      <x:c r="E5434" s="32">
        <x:v>1056.3900000000001</x:v>
      </x:c>
      <x:c r="F5434" s="33">
        <x:v>384586100</x:v>
      </x:c>
      <x:c r="G5434" s="32" t="n">
        <x:f t="shared" si="243">AVERAGE(E5235:E5434)</x:f>
        <x:v>1177.3557000000003</x:v>
      </x:c>
      <x:c r="H5434" s="37" t="n">
        <x:f t="shared" si="244">IFERROR(E5434/G5434-1,"")</x:f>
        <x:v>-0.1027435464065789</x:v>
      </x:c>
      <x:c r="I5434" s="38" t="b">
        <x:f t="shared" si="245">E5434&lt;G5434</x:f>
        <x:v>1</x:v>
      </x:c>
    </x:row>
    <x:row r="5435">
      <x:c r="A5435" s="31">
        <x:v>44939</x:v>
      </x:c>
      <x:c r="B5435" s="32">
        <x:v>1060.8900000000001</x:v>
      </x:c>
      <x:c r="C5435" s="32">
        <x:v>1066.3900000000001</x:v>
      </x:c>
      <x:c r="D5435" s="32">
        <x:v>1055.23</x:v>
      </x:c>
      <x:c r="E5435" s="32">
        <x:v>1060.17</x:v>
      </x:c>
      <x:c r="F5435" s="33">
        <x:v>475699700</x:v>
      </x:c>
      <x:c r="G5435" s="32" t="n">
        <x:f t="shared" si="243">AVERAGE(E5236:E5435)</x:f>
        <x:v>1175.1958000000004</x:v>
      </x:c>
      <x:c r="H5435" s="37" t="n">
        <x:f t="shared" si="244">IFERROR(E5435/G5435-1,"")</x:f>
        <x:v>-0.09787798765107936</x:v>
      </x:c>
      <x:c r="I5435" s="38" t="b">
        <x:f t="shared" si="245">E5435&lt;G5435</x:f>
        <x:v>1</x:v>
      </x:c>
    </x:row>
    <x:row r="5436">
      <x:c r="A5436" s="31">
        <x:v>44942</x:v>
      </x:c>
      <x:c r="B5436" s="32">
        <x:v>1062.19</x:v>
      </x:c>
      <x:c r="C5436" s="32">
        <x:v>1067.74</x:v>
      </x:c>
      <x:c r="D5436" s="32">
        <x:v>1057.8699999999999</x:v>
      </x:c>
      <x:c r="E5436" s="32">
        <x:v>1066.68</x:v>
      </x:c>
      <x:c r="F5436" s="33">
        <x:v>408111100</x:v>
      </x:c>
      <x:c r="G5436" s="32" t="n">
        <x:f t="shared" si="243">AVERAGE(E5237:E5436)</x:f>
        <x:v>1172.9470000000003</x:v>
      </x:c>
      <x:c r="H5436" s="37" t="n">
        <x:f t="shared" si="244">IFERROR(E5436/G5436-1,"")</x:f>
        <x:v>-0.090598296427716</x:v>
      </x:c>
      <x:c r="I5436" s="38" t="b">
        <x:f t="shared" si="245">E5436&lt;G5436</x:f>
        <x:v>1</x:v>
      </x:c>
    </x:row>
    <x:row r="5437">
      <x:c r="A5437" s="31">
        <x:v>44943</x:v>
      </x:c>
      <x:c r="B5437" s="32">
        <x:v>1071.3699999999999</x:v>
      </x:c>
      <x:c r="C5437" s="32">
        <x:v>1088.29</x:v>
      </x:c>
      <x:c r="D5437" s="32">
        <x:v>1069.8599999999999</x:v>
      </x:c>
      <x:c r="E5437" s="32">
        <x:v>1088.29</x:v>
      </x:c>
      <x:c r="F5437" s="33">
        <x:v>592759400</x:v>
      </x:c>
      <x:c r="G5437" s="32" t="n">
        <x:f t="shared" si="243">AVERAGE(E5238:E5437)</x:f>
        <x:v>1170.7649500000005</x:v>
      </x:c>
      <x:c r="H5437" s="37" t="n">
        <x:f t="shared" si="244">IFERROR(E5437/G5437-1,"")</x:f>
        <x:v>-0.07044535284388254</x:v>
      </x:c>
      <x:c r="I5437" s="38" t="b">
        <x:f t="shared" si="245">E5437&lt;G5437</x:f>
        <x:v>1</x:v>
      </x:c>
    </x:row>
    <x:row r="5438">
      <x:c r="A5438" s="31">
        <x:v>44944</x:v>
      </x:c>
      <x:c r="B5438" s="32">
        <x:v>1092.5</x:v>
      </x:c>
      <x:c r="C5438" s="32">
        <x:v>1100.3900000000001</x:v>
      </x:c>
      <x:c r="D5438" s="32">
        <x:v>1089.56</x:v>
      </x:c>
      <x:c r="E5438" s="32">
        <x:v>1098.28</x:v>
      </x:c>
      <x:c r="F5438" s="33">
        <x:v>553782600</x:v>
      </x:c>
      <x:c r="G5438" s="32" t="n">
        <x:f t="shared" si="243">AVERAGE(E5239:E5438)</x:f>
        <x:v>1168.6562000000004</x:v>
      </x:c>
      <x:c r="H5438" s="37" t="n">
        <x:f t="shared" si="244">IFERROR(E5438/G5438-1,"")</x:f>
        <x:v>-0.060219763519844705</x:v>
      </x:c>
      <x:c r="I5438" s="38" t="b">
        <x:f t="shared" si="245">E5438&lt;G5438</x:f>
        <x:v>1</x:v>
      </x:c>
    </x:row>
    <x:row r="5439">
      <x:c r="A5439" s="31">
        <x:v>44945</x:v>
      </x:c>
      <x:c r="B5439" s="32">
        <x:v>1095.55</x:v>
      </x:c>
      <x:c r="C5439" s="32">
        <x:v>1111.72</x:v>
      </x:c>
      <x:c r="D5439" s="32">
        <x:v>1094.46</x:v>
      </x:c>
      <x:c r="E5439" s="32">
        <x:v>1108.08</x:v>
      </x:c>
      <x:c r="F5439" s="33">
        <x:v>578271400</x:v>
      </x:c>
      <x:c r="G5439" s="32" t="n">
        <x:f t="shared" si="243">AVERAGE(E5240:E5439)</x:f>
        <x:v>1166.5821000000003</x:v>
      </x:c>
      <x:c r="H5439" s="37" t="n">
        <x:f t="shared" si="244">IFERROR(E5439/G5439-1,"")</x:f>
        <x:v>-0.05014829217763617</x:v>
      </x:c>
      <x:c r="I5439" s="38" t="b">
        <x:f t="shared" si="245">E5439&lt;G5439</x:f>
        <x:v>1</x:v>
      </x:c>
    </x:row>
    <x:row r="5440">
      <x:c r="A5440" s="31">
        <x:v>44953</x:v>
      </x:c>
      <x:c r="B5440" s="32">
        <x:v>1114.1500000000001</x:v>
      </x:c>
      <x:c r="C5440" s="32">
        <x:v>1124.3</x:v>
      </x:c>
      <x:c r="D5440" s="32">
        <x:v>1111.4100000000001</x:v>
      </x:c>
      <x:c r="E5440" s="32">
        <x:v>1117.0999999999999</x:v>
      </x:c>
      <x:c r="F5440" s="33">
        <x:v>571615000</x:v>
      </x:c>
      <x:c r="G5440" s="32" t="n">
        <x:f t="shared" si="243">AVERAGE(E5241:E5440)</x:f>
        <x:v>1164.65585</x:v>
      </x:c>
      <x:c r="H5440" s="37" t="n">
        <x:f t="shared" si="244">IFERROR(E5440/G5440-1,"")</x:f>
        <x:v>-0.04083253434909562</x:v>
      </x:c>
      <x:c r="I5440" s="38" t="b">
        <x:f t="shared" si="245">E5440&lt;G5440</x:f>
        <x:v>1</x:v>
      </x:c>
    </x:row>
    <x:row r="5441">
      <x:c r="A5441" s="31">
        <x:v>44956</x:v>
      </x:c>
      <x:c r="B5441" s="32">
        <x:v>1117.7</x:v>
      </x:c>
      <x:c r="C5441" s="32">
        <x:v>1118.46</x:v>
      </x:c>
      <x:c r="D5441" s="32">
        <x:v>1102.57</x:v>
      </x:c>
      <x:c r="E5441" s="32">
        <x:v>1102.57</x:v>
      </x:c>
      <x:c r="F5441" s="33">
        <x:v>751461500</x:v>
      </x:c>
      <x:c r="G5441" s="32" t="n">
        <x:f t="shared" si="243">AVERAGE(E5242:E5441)</x:f>
        <x:v>1162.7587000000003</x:v>
      </x:c>
      <x:c r="H5441" s="37" t="n">
        <x:f t="shared" si="244">IFERROR(E5441/G5441-1,"")</x:f>
        <x:v>-0.051763706433674006</x:v>
      </x:c>
      <x:c r="I5441" s="38" t="b">
        <x:f t="shared" si="245">E5441&lt;G5441</x:f>
        <x:v>1</x:v>
      </x:c>
    </x:row>
    <x:row r="5442">
      <x:c r="A5442" s="31">
        <x:v>44957</x:v>
      </x:c>
      <x:c r="B5442" s="32">
        <x:v>1100.74</x:v>
      </x:c>
      <x:c r="C5442" s="32">
        <x:v>1111.18</x:v>
      </x:c>
      <x:c r="D5442" s="32">
        <x:v>1088.25</x:v>
      </x:c>
      <x:c r="E5442" s="32">
        <x:v>1111.18</x:v>
      </x:c>
      <x:c r="F5442" s="33">
        <x:v>653586100</x:v>
      </x:c>
      <x:c r="G5442" s="32" t="n">
        <x:f t="shared" si="243">AVERAGE(E5243:E5442)</x:f>
        <x:v>1161.0383500000003</x:v>
      </x:c>
      <x:c r="H5442" s="37" t="n">
        <x:f t="shared" si="244">IFERROR(E5442/G5442-1,"")</x:f>
        <x:v>-0.04294289676133456</x:v>
      </x:c>
      <x:c r="I5442" s="38" t="b">
        <x:f t="shared" si="245">E5442&lt;G5442</x:f>
        <x:v>1</x:v>
      </x:c>
    </x:row>
    <x:row r="5443">
      <x:c r="A5443" s="31">
        <x:v>44958</x:v>
      </x:c>
      <x:c r="B5443" s="32">
        <x:v>1114.6600000000001</x:v>
      </x:c>
      <x:c r="C5443" s="32">
        <x:v>1116.96</x:v>
      </x:c>
      <x:c r="D5443" s="32">
        <x:v>1075.97</x:v>
      </x:c>
      <x:c r="E5443" s="32">
        <x:v>1075.97</x:v>
      </x:c>
      <x:c r="F5443" s="33">
        <x:v>974095400</x:v>
      </x:c>
      <x:c r="G5443" s="32" t="n">
        <x:f t="shared" si="243">AVERAGE(E5244:E5443)</x:f>
        <x:v>1159.0322</x:v>
      </x:c>
      <x:c r="H5443" s="37" t="n">
        <x:f t="shared" si="244">IFERROR(E5443/G5443-1,"")</x:f>
        <x:v>-0.07166513579174083</x:v>
      </x:c>
      <x:c r="I5443" s="38" t="b">
        <x:f t="shared" si="245">E5443&lt;G5443</x:f>
        <x:v>1</x:v>
      </x:c>
    </x:row>
    <x:row r="5444">
      <x:c r="A5444" s="31">
        <x:v>44959</x:v>
      </x:c>
      <x:c r="B5444" s="32">
        <x:v>1079.23</x:v>
      </x:c>
      <x:c r="C5444" s="32">
        <x:v>1083.3599999999999</x:v>
      </x:c>
      <x:c r="D5444" s="32">
        <x:v>1070.81</x:v>
      </x:c>
      <x:c r="E5444" s="32">
        <x:v>1077.5899999999999</x:v>
      </x:c>
      <x:c r="F5444" s="33">
        <x:v>592697500</x:v>
      </x:c>
      <x:c r="G5444" s="32" t="n">
        <x:f t="shared" si="243">AVERAGE(E5245:E5444)</x:f>
        <x:v>1157.0595500000002</x:v>
      </x:c>
      <x:c r="H5444" s="37" t="n">
        <x:f t="shared" si="244">IFERROR(E5444/G5444-1,"")</x:f>
        <x:v>-0.06868233359294273</x:v>
      </x:c>
      <x:c r="I5444" s="38" t="b">
        <x:f t="shared" si="245">E5444&lt;G5444</x:f>
        <x:v>1</x:v>
      </x:c>
    </x:row>
    <x:row r="5445">
      <x:c r="A5445" s="31">
        <x:v>44960</x:v>
      </x:c>
      <x:c r="B5445" s="32">
        <x:v>1078.79</x:v>
      </x:c>
      <x:c r="C5445" s="32">
        <x:v>1081.8900000000001</x:v>
      </x:c>
      <x:c r="D5445" s="32">
        <x:v>1070.46</x:v>
      </x:c>
      <x:c r="E5445" s="32">
        <x:v>1077.1500000000001</x:v>
      </x:c>
      <x:c r="F5445" s="33">
        <x:v>506090100</x:v>
      </x:c>
      <x:c r="G5445" s="32" t="n">
        <x:f t="shared" si="243">AVERAGE(E5246:E5445)</x:f>
        <x:v>1155.1525000000001</x:v>
      </x:c>
      <x:c r="H5445" s="37" t="n">
        <x:f t="shared" si="244">IFERROR(E5445/G5445-1,"")</x:f>
        <x:v>-0.06752571630152737</x:v>
      </x:c>
      <x:c r="I5445" s="38" t="b">
        <x:f t="shared" si="245">E5445&lt;G5445</x:f>
        <x:v>1</x:v>
      </x:c>
    </x:row>
    <x:row r="5446">
      <x:c r="A5446" s="31">
        <x:v>44963</x:v>
      </x:c>
      <x:c r="B5446" s="32">
        <x:v>1073.44</x:v>
      </x:c>
      <x:c r="C5446" s="32">
        <x:v>1089.29</x:v>
      </x:c>
      <x:c r="D5446" s="32">
        <x:v>1067.24</x:v>
      </x:c>
      <x:c r="E5446" s="32">
        <x:v>1089.29</x:v>
      </x:c>
      <x:c r="F5446" s="33">
        <x:v>415388100</x:v>
      </x:c>
      <x:c r="G5446" s="32" t="n">
        <x:f t="shared" si="243">AVERAGE(E5247:E5446)</x:f>
        <x:v>1153.4359500000003</x:v>
      </x:c>
      <x:c r="H5446" s="37" t="n">
        <x:f t="shared" si="244">IFERROR(E5446/G5446-1,"")</x:f>
        <x:v>-0.05561292761856462</x:v>
      </x:c>
      <x:c r="I5446" s="38" t="b">
        <x:f t="shared" si="245">E5446&lt;G5446</x:f>
        <x:v>1</x:v>
      </x:c>
    </x:row>
    <x:row r="5447">
      <x:c r="A5447" s="31">
        <x:v>44964</x:v>
      </x:c>
      <x:c r="B5447" s="32">
        <x:v>1088.07</x:v>
      </x:c>
      <x:c r="C5447" s="32">
        <x:v>1092.1199999999999</x:v>
      </x:c>
      <x:c r="D5447" s="32">
        <x:v>1065.18</x:v>
      </x:c>
      <x:c r="E5447" s="32">
        <x:v>1065.8399999999999</x:v>
      </x:c>
      <x:c r="F5447" s="33">
        <x:v>594951800</x:v>
      </x:c>
      <x:c r="G5447" s="32" t="n">
        <x:f t="shared" si="243">AVERAGE(E5248:E5447)</x:f>
        <x:v>1151.7329000000004</x:v>
      </x:c>
      <x:c r="H5447" s="37" t="n">
        <x:f t="shared" si="244">IFERROR(E5447/G5447-1,"")</x:f>
        <x:v>-0.07457710029816855</x:v>
      </x:c>
      <x:c r="I5447" s="38" t="b">
        <x:f t="shared" si="245">E5447&lt;G5447</x:f>
        <x:v>1</x:v>
      </x:c>
    </x:row>
    <x:row r="5448">
      <x:c r="A5448" s="31">
        <x:v>44965</x:v>
      </x:c>
      <x:c r="B5448" s="32">
        <x:v>1067.58</x:v>
      </x:c>
      <x:c r="C5448" s="32">
        <x:v>1079.51</x:v>
      </x:c>
      <x:c r="D5448" s="32">
        <x:v>1063.5</x:v>
      </x:c>
      <x:c r="E5448" s="32">
        <x:v>1072.22</x:v>
      </x:c>
      <x:c r="F5448" s="33">
        <x:v>480268400</x:v>
      </x:c>
      <x:c r="G5448" s="32" t="n">
        <x:f t="shared" si="243">AVERAGE(E5249:E5448)</x:f>
        <x:v>1150.1704000000004</x:v>
      </x:c>
      <x:c r="H5448" s="37" t="n">
        <x:f t="shared" si="244">IFERROR(E5448/G5448-1,"")</x:f>
        <x:v>-0.06777291434382282</x:v>
      </x:c>
      <x:c r="I5448" s="38" t="b">
        <x:f t="shared" si="245">E5448&lt;G5448</x:f>
        <x:v>1</x:v>
      </x:c>
    </x:row>
    <x:row r="5449">
      <x:c r="A5449" s="31">
        <x:v>44966</x:v>
      </x:c>
      <x:c r="B5449" s="32">
        <x:v>1070.3</x:v>
      </x:c>
      <x:c r="C5449" s="32">
        <x:v>1075.2</x:v>
      </x:c>
      <x:c r="D5449" s="32">
        <x:v>1064.03</x:v>
      </x:c>
      <x:c r="E5449" s="32">
        <x:v>1064.03</x:v>
      </x:c>
      <x:c r="F5449" s="33">
        <x:v>383279200</x:v>
      </x:c>
      <x:c r="G5449" s="32" t="n">
        <x:f t="shared" si="243">AVERAGE(E5250:E5449)</x:f>
        <x:v>1148.6395000000005</x:v>
      </x:c>
      <x:c r="H5449" s="37" t="n">
        <x:f t="shared" si="244">IFERROR(E5449/G5449-1,"")</x:f>
        <x:v>-0.07366062197930723</x:v>
      </x:c>
      <x:c r="I5449" s="38" t="b">
        <x:f t="shared" si="245">E5449&lt;G5449</x:f>
        <x:v>1</x:v>
      </x:c>
    </x:row>
    <x:row r="5450">
      <x:c r="A5450" s="31">
        <x:v>44967</x:v>
      </x:c>
      <x:c r="B5450" s="32">
        <x:v>1065.8399999999999</x:v>
      </x:c>
      <x:c r="C5450" s="32">
        <x:v>1066.28</x:v>
      </x:c>
      <x:c r="D5450" s="32">
        <x:v>1054.08</x:v>
      </x:c>
      <x:c r="E5450" s="32">
        <x:v>1055.3</x:v>
      </x:c>
      <x:c r="F5450" s="33">
        <x:v>405865100</x:v>
      </x:c>
      <x:c r="G5450" s="32" t="n">
        <x:f t="shared" si="243">AVERAGE(E5251:E5450)</x:f>
        <x:v>1147.0198500000004</x:v>
      </x:c>
      <x:c r="H5450" s="37" t="n">
        <x:f t="shared" si="244">IFERROR(E5450/G5450-1,"")</x:f>
        <x:v>-0.07996361178928191</x:v>
      </x:c>
      <x:c r="I5450" s="38" t="b">
        <x:f t="shared" si="245">E5450&lt;G5450</x:f>
        <x:v>1</x:v>
      </x:c>
    </x:row>
    <x:row r="5451">
      <x:c r="A5451" s="31">
        <x:v>44970</x:v>
      </x:c>
      <x:c r="B5451" s="32">
        <x:v>1050.92</x:v>
      </x:c>
      <x:c r="C5451" s="32">
        <x:v>1054.05</x:v>
      </x:c>
      <x:c r="D5451" s="32">
        <x:v>1031.7</x:v>
      </x:c>
      <x:c r="E5451" s="32">
        <x:v>1043.7</x:v>
      </x:c>
      <x:c r="F5451" s="33">
        <x:v>603924900</x:v>
      </x:c>
      <x:c r="G5451" s="32" t="n">
        <x:f t="shared" si="243">AVERAGE(E5252:E5451)</x:f>
        <x:v>1145.6837500000004</x:v>
      </x:c>
      <x:c r="H5451" s="37" t="n">
        <x:f t="shared" si="244">IFERROR(E5451/G5451-1,"")</x:f>
        <x:v>-0.08901562058465118</x:v>
      </x:c>
      <x:c r="I5451" s="38" t="b">
        <x:f t="shared" si="245">E5451&lt;G5451</x:f>
        <x:v>1</x:v>
      </x:c>
    </x:row>
    <x:row r="5452">
      <x:c r="A5452" s="31">
        <x:v>44971</x:v>
      </x:c>
      <x:c r="B5452" s="32">
        <x:v>1045.3800000000001</x:v>
      </x:c>
      <x:c r="C5452" s="32">
        <x:v>1046.6400000000001</x:v>
      </x:c>
      <x:c r="D5452" s="32">
        <x:v>1032.76</x:v>
      </x:c>
      <x:c r="E5452" s="32">
        <x:v>1038.6400000000001</x:v>
      </x:c>
      <x:c r="F5452" s="33">
        <x:v>338496800</x:v>
      </x:c>
      <x:c r="G5452" s="32" t="n">
        <x:f t="shared" si="243">AVERAGE(E5253:E5452)</x:f>
        <x:v>1144.1702500000006</x:v>
      </x:c>
      <x:c r="H5452" s="37" t="n">
        <x:f t="shared" si="244">IFERROR(E5452/G5452-1,"")</x:f>
        <x:v>-0.09223299591996947</x:v>
      </x:c>
      <x:c r="I5452" s="38" t="b">
        <x:f t="shared" si="245">E5452&lt;G5452</x:f>
        <x:v>1</x:v>
      </x:c>
    </x:row>
    <x:row r="5453">
      <x:c r="A5453" s="31">
        <x:v>44972</x:v>
      </x:c>
      <x:c r="B5453" s="32">
        <x:v>1037.17</x:v>
      </x:c>
      <x:c r="C5453" s="32">
        <x:v>1051.8900000000001</x:v>
      </x:c>
      <x:c r="D5453" s="32">
        <x:v>1034.3900000000001</x:v>
      </x:c>
      <x:c r="E5453" s="32">
        <x:v>1048.2</x:v>
      </x:c>
      <x:c r="F5453" s="33">
        <x:v>494079200</x:v>
      </x:c>
      <x:c r="G5453" s="32" t="n">
        <x:f t="shared" ref="G5453:G5516" si="246">AVERAGE(E5254:E5453)</x:f>
        <x:v>1142.6424000000004</x:v>
      </x:c>
      <x:c r="H5453" s="37" t="n">
        <x:f t="shared" ref="H5453:H5516" si="247">IFERROR(E5453/G5453-1,"")</x:f>
        <x:v>-0.08265263042925797</x:v>
      </x:c>
      <x:c r="I5453" s="38" t="b">
        <x:f t="shared" ref="I5453:I5516" si="248">E5453&lt;G5453</x:f>
        <x:v>1</x:v>
      </x:c>
    </x:row>
    <x:row r="5454">
      <x:c r="A5454" s="31">
        <x:v>44973</x:v>
      </x:c>
      <x:c r="B5454" s="32">
        <x:v>1051.1600000000001</x:v>
      </x:c>
      <x:c r="C5454" s="32">
        <x:v>1058.29</x:v>
      </x:c>
      <x:c r="D5454" s="32">
        <x:v>1047.45</x:v>
      </x:c>
      <x:c r="E5454" s="32">
        <x:v>1058.29</x:v>
      </x:c>
      <x:c r="F5454" s="33">
        <x:v>410294000</x:v>
      </x:c>
      <x:c r="G5454" s="32" t="n">
        <x:f t="shared" si="246">AVERAGE(E5255:E5454)</x:f>
        <x:v>1141.1789000000006</x:v>
      </x:c>
      <x:c r="H5454" s="37" t="n">
        <x:f t="shared" si="247">IFERROR(E5454/G5454-1,"")</x:f>
        <x:v>-0.07263444846377776</x:v>
      </x:c>
      <x:c r="I5454" s="38" t="b">
        <x:f t="shared" si="248">E5454&lt;G5454</x:f>
        <x:v>1</x:v>
      </x:c>
    </x:row>
    <x:row r="5455">
      <x:c r="A5455" s="31">
        <x:v>44974</x:v>
      </x:c>
      <x:c r="B5455" s="32">
        <x:v>1058.97</x:v>
      </x:c>
      <x:c r="C5455" s="32">
        <x:v>1062.25</x:v>
      </x:c>
      <x:c r="D5455" s="32">
        <x:v>1053.26</x:v>
      </x:c>
      <x:c r="E5455" s="32">
        <x:v>1059.31</x:v>
      </x:c>
      <x:c r="F5455" s="33">
        <x:v>429221700</x:v>
      </x:c>
      <x:c r="G5455" s="32" t="n">
        <x:f t="shared" si="246">AVERAGE(E5256:E5455)</x:f>
        <x:v>1139.6414500000005</x:v>
      </x:c>
      <x:c r="H5455" s="37" t="n">
        <x:f t="shared" si="247">IFERROR(E5455/G5455-1,"")</x:f>
        <x:v>-0.07048835403450848</x:v>
      </x:c>
      <x:c r="I5455" s="38" t="b">
        <x:f t="shared" si="248">E5455&lt;G5455</x:f>
        <x:v>1</x:v>
      </x:c>
    </x:row>
    <x:row r="5456">
      <x:c r="A5456" s="31">
        <x:v>44977</x:v>
      </x:c>
      <x:c r="B5456" s="32">
        <x:v>1059.56</x:v>
      </x:c>
      <x:c r="C5456" s="32">
        <x:v>1088.01</x:v>
      </x:c>
      <x:c r="D5456" s="32">
        <x:v>1059.56</x:v>
      </x:c>
      <x:c r="E5456" s="32">
        <x:v>1086.69</x:v>
      </x:c>
      <x:c r="F5456" s="33">
        <x:v>632141800</x:v>
      </x:c>
      <x:c r="G5456" s="32" t="n">
        <x:f t="shared" si="246">AVERAGE(E5257:E5456)</x:f>
        <x:v>1138.3315000000005</x:v>
      </x:c>
      <x:c r="H5456" s="37" t="n">
        <x:f t="shared" si="247">IFERROR(E5456/G5456-1,"")</x:f>
        <x:v>-0.045365958861720346</x:v>
      </x:c>
      <x:c r="I5456" s="38" t="b">
        <x:f t="shared" si="248">E5456&lt;G5456</x:f>
        <x:v>1</x:v>
      </x:c>
    </x:row>
    <x:row r="5457">
      <x:c r="A5457" s="31">
        <x:v>44978</x:v>
      </x:c>
      <x:c r="B5457" s="32">
        <x:v>1090.3499999999999</x:v>
      </x:c>
      <x:c r="C5457" s="32">
        <x:v>1095.0999999999999</x:v>
      </x:c>
      <x:c r="D5457" s="32">
        <x:v>1081.8</x:v>
      </x:c>
      <x:c r="E5457" s="32">
        <x:v>1082.23</x:v>
      </x:c>
      <x:c r="F5457" s="33">
        <x:v>654784700</x:v>
      </x:c>
      <x:c r="G5457" s="32" t="n">
        <x:f t="shared" si="246">AVERAGE(E5258:E5457)</x:f>
        <x:v>1136.9392500000004</x:v>
      </x:c>
      <x:c r="H5457" s="37" t="n">
        <x:f t="shared" si="247">IFERROR(E5457/G5457-1,"")</x:f>
        <x:v>-0.048119765414027516</x:v>
      </x:c>
      <x:c r="I5457" s="38" t="b">
        <x:f t="shared" si="248">E5457&lt;G5457</x:f>
        <x:v>1</x:v>
      </x:c>
    </x:row>
    <x:row r="5458">
      <x:c r="A5458" s="31">
        <x:v>44979</x:v>
      </x:c>
      <x:c r="B5458" s="32">
        <x:v>1073.6199999999999</x:v>
      </x:c>
      <x:c r="C5458" s="32">
        <x:v>1073.93</x:v>
      </x:c>
      <x:c r="D5458" s="32">
        <x:v>1054.28</x:v>
      </x:c>
      <x:c r="E5458" s="32">
        <x:v>1054.28</x:v>
      </x:c>
      <x:c r="F5458" s="33">
        <x:v>766700800</x:v>
      </x:c>
      <x:c r="G5458" s="32" t="n">
        <x:f t="shared" si="246">AVERAGE(E5259:E5458)</x:f>
        <x:v>1135.5643500000003</x:v>
      </x:c>
      <x:c r="H5458" s="37" t="n">
        <x:f t="shared" si="247">IFERROR(E5458/G5458-1,"")</x:f>
        <x:v>-0.07158057577274268</x:v>
      </x:c>
      <x:c r="I5458" s="38" t="b">
        <x:f t="shared" si="248">E5458&lt;G5458</x:f>
        <x:v>1</x:v>
      </x:c>
    </x:row>
    <x:row r="5459">
      <x:c r="A5459" s="31">
        <x:v>44980</x:v>
      </x:c>
      <x:c r="B5459" s="32">
        <x:v>1053.95</x:v>
      </x:c>
      <x:c r="C5459" s="32">
        <x:v>1054.48</x:v>
      </x:c>
      <x:c r="D5459" s="32">
        <x:v>1030.58</x:v>
      </x:c>
      <x:c r="E5459" s="32">
        <x:v>1053.6600000000001</x:v>
      </x:c>
      <x:c r="F5459" s="33">
        <x:v>635726600</x:v>
      </x:c>
      <x:c r="G5459" s="32" t="n">
        <x:f t="shared" si="246">AVERAGE(E5260:E5459)</x:f>
        <x:v>1134.4845500000004</x:v>
      </x:c>
      <x:c r="H5459" s="37" t="n">
        <x:f t="shared" si="247">IFERROR(E5459/G5459-1,"")</x:f>
        <x:v>-0.07124341182081351</x:v>
      </x:c>
      <x:c r="I5459" s="38" t="b">
        <x:f t="shared" si="248">E5459&lt;G5459</x:f>
        <x:v>1</x:v>
      </x:c>
    </x:row>
    <x:row r="5460">
      <x:c r="A5460" s="31">
        <x:v>44981</x:v>
      </x:c>
      <x:c r="B5460" s="32">
        <x:v>1051.55</x:v>
      </x:c>
      <x:c r="C5460" s="32">
        <x:v>1052.49</x:v>
      </x:c>
      <x:c r="D5460" s="32">
        <x:v>1034.6600000000001</x:v>
      </x:c>
      <x:c r="E5460" s="32">
        <x:v>1039.56</x:v>
      </x:c>
      <x:c r="F5460" s="33">
        <x:v>397316800</x:v>
      </x:c>
      <x:c r="G5460" s="32" t="n">
        <x:f t="shared" si="246">AVERAGE(E5261:E5460)</x:f>
        <x:v>1133.2145500000004</x:v>
      </x:c>
      <x:c r="H5460" s="37" t="n">
        <x:f t="shared" si="247">IFERROR(E5460/G5460-1,"")</x:f>
        <x:v>-0.08264502957537956</x:v>
      </x:c>
      <x:c r="I5460" s="38" t="b">
        <x:f t="shared" si="248">E5460&lt;G5460</x:f>
        <x:v>1</x:v>
      </x:c>
    </x:row>
    <x:row r="5461">
      <x:c r="A5461" s="31">
        <x:v>44984</x:v>
      </x:c>
      <x:c r="B5461" s="32">
        <x:v>1030.0999999999999</x:v>
      </x:c>
      <x:c r="C5461" s="32">
        <x:v>1031.5899999999999</x:v>
      </x:c>
      <x:c r="D5461" s="32">
        <x:v>1017.55</x:v>
      </x:c>
      <x:c r="E5461" s="32">
        <x:v>1021.25</x:v>
      </x:c>
      <x:c r="F5461" s="33">
        <x:v>513919000</x:v>
      </x:c>
      <x:c r="G5461" s="32" t="n">
        <x:f t="shared" si="246">AVERAGE(E5262:E5461)</x:f>
        <x:v>1131.8131500000004</x:v>
      </x:c>
      <x:c r="H5461" s="37" t="n">
        <x:f t="shared" si="247">IFERROR(E5461/G5461-1,"")</x:f>
        <x:v>-0.09768675156318896</x:v>
      </x:c>
      <x:c r="I5461" s="38" t="b">
        <x:f t="shared" si="248">E5461&lt;G5461</x:f>
        <x:v>1</x:v>
      </x:c>
    </x:row>
    <x:row r="5462">
      <x:c r="A5462" s="31">
        <x:v>44985</x:v>
      </x:c>
      <x:c r="B5462" s="32">
        <x:v>1027.79</x:v>
      </x:c>
      <x:c r="C5462" s="32">
        <x:v>1034.3599999999999</x:v>
      </x:c>
      <x:c r="D5462" s="32">
        <x:v>1018.72</x:v>
      </x:c>
      <x:c r="E5462" s="32">
        <x:v>1024.68</x:v>
      </x:c>
      <x:c r="F5462" s="33">
        <x:v>361724100</x:v>
      </x:c>
      <x:c r="G5462" s="32" t="n">
        <x:f t="shared" si="246">AVERAGE(E5263:E5462)</x:f>
        <x:v>1130.7423500000002</x:v>
      </x:c>
      <x:c r="H5462" s="37" t="n">
        <x:f t="shared" si="247">IFERROR(E5462/G5462-1,"")</x:f>
        <x:v>-0.09379886585127029</x:v>
      </x:c>
      <x:c r="I5462" s="38" t="b">
        <x:f t="shared" si="248">E5462&lt;G5462</x:f>
        <x:v>1</x:v>
      </x:c>
    </x:row>
    <x:row r="5463">
      <x:c r="A5463" s="31">
        <x:v>44986</x:v>
      </x:c>
      <x:c r="B5463" s="32">
        <x:v>1018.12</x:v>
      </x:c>
      <x:c r="C5463" s="32">
        <x:v>1040.55</x:v>
      </x:c>
      <x:c r="D5463" s="32">
        <x:v>1013.37</x:v>
      </x:c>
      <x:c r="E5463" s="32">
        <x:v>1040.55</x:v>
      </x:c>
      <x:c r="F5463" s="33">
        <x:v>468712200</x:v>
      </x:c>
      <x:c r="G5463" s="32" t="n">
        <x:f t="shared" si="246">AVERAGE(E5264:E5463)</x:f>
        <x:v>1130.0312500000002</x:v>
      </x:c>
      <x:c r="H5463" s="37" t="n">
        <x:f t="shared" si="247">IFERROR(E5463/G5463-1,"")</x:f>
        <x:v>-0.07918475705870986</x:v>
      </x:c>
      <x:c r="I5463" s="38" t="b">
        <x:f t="shared" si="248">E5463&lt;G5463</x:f>
        <x:v>1</x:v>
      </x:c>
    </x:row>
    <x:row r="5464">
      <x:c r="A5464" s="31">
        <x:v>44987</x:v>
      </x:c>
      <x:c r="B5464" s="32">
        <x:v>1039.05</x:v>
      </x:c>
      <x:c r="C5464" s="32">
        <x:v>1043.8</x:v>
      </x:c>
      <x:c r="D5464" s="32">
        <x:v>1033.07</x:v>
      </x:c>
      <x:c r="E5464" s="32">
        <x:v>1037.6099999999999</x:v>
      </x:c>
      <x:c r="F5464" s="33">
        <x:v>323479600</x:v>
      </x:c>
      <x:c r="G5464" s="32" t="n">
        <x:f t="shared" si="246">AVERAGE(E5265:E5464)</x:f>
        <x:v>1129.3595500000004</x:v>
      </x:c>
      <x:c r="H5464" s="37" t="n">
        <x:f t="shared" si="247">IFERROR(E5464/G5464-1,"")</x:f>
        <x:v>-0.08124033661379182</x:v>
      </x:c>
      <x:c r="I5464" s="38" t="b">
        <x:f t="shared" si="248">E5464&lt;G5464</x:f>
        <x:v>1</x:v>
      </x:c>
    </x:row>
    <x:row r="5465">
      <x:c r="A5465" s="31">
        <x:v>44988</x:v>
      </x:c>
      <x:c r="B5465" s="32">
        <x:v>1037.3800000000001</x:v>
      </x:c>
      <x:c r="C5465" s="32">
        <x:v>1041.82</x:v>
      </x:c>
      <x:c r="D5465" s="32">
        <x:v>1022.78</x:v>
      </x:c>
      <x:c r="E5465" s="32">
        <x:v>1024.77</x:v>
      </x:c>
      <x:c r="F5465" s="33">
        <x:v>384762000</x:v>
      </x:c>
      <x:c r="G5465" s="32" t="n">
        <x:f t="shared" si="246">AVERAGE(E5266:E5465)</x:f>
        <x:v>1128.3415500000003</x:v>
      </x:c>
      <x:c r="H5465" s="37" t="n">
        <x:f t="shared" si="247">IFERROR(E5465/G5465-1,"")</x:f>
        <x:v>-0.09179095638195744</x:v>
      </x:c>
      <x:c r="I5465" s="38" t="b">
        <x:f t="shared" si="248">E5465&lt;G5465</x:f>
        <x:v>1</x:v>
      </x:c>
    </x:row>
    <x:row r="5466">
      <x:c r="A5466" s="31">
        <x:v>44991</x:v>
      </x:c>
      <x:c r="B5466" s="32">
        <x:v>1032.42</x:v>
      </x:c>
      <x:c r="C5466" s="32">
        <x:v>1042.43</x:v>
      </x:c>
      <x:c r="D5466" s="32">
        <x:v>1026.73</x:v>
      </x:c>
      <x:c r="E5466" s="32">
        <x:v>1027.18</x:v>
      </x:c>
      <x:c r="F5466" s="33">
        <x:v>390065700</x:v>
      </x:c>
      <x:c r="G5466" s="32" t="n">
        <x:f t="shared" si="246">AVERAGE(E5267:E5466)</x:f>
        <x:v>1127.27365</x:v>
      </x:c>
      <x:c r="H5466" s="37" t="n">
        <x:f t="shared" si="247">IFERROR(E5466/G5466-1,"")</x:f>
        <x:v>-0.08879268135115193</x:v>
      </x:c>
      <x:c r="I5466" s="38" t="b">
        <x:f t="shared" si="248">E5466&lt;G5466</x:f>
        <x:v>1</x:v>
      </x:c>
    </x:row>
    <x:row r="5467">
      <x:c r="A5467" s="31">
        <x:v>44992</x:v>
      </x:c>
      <x:c r="B5467" s="32">
        <x:v>1033.96</x:v>
      </x:c>
      <x:c r="C5467" s="32">
        <x:v>1043.92</x:v>
      </x:c>
      <x:c r="D5467" s="32">
        <x:v>1033.32</x:v>
      </x:c>
      <x:c r="E5467" s="32">
        <x:v>1037.8399999999999</x:v>
      </x:c>
      <x:c r="F5467" s="33">
        <x:v>424641600</x:v>
      </x:c>
      <x:c r="G5467" s="32" t="n">
        <x:f t="shared" si="246">AVERAGE(E5268:E5467)</x:f>
        <x:v>1126.2546500000003</x:v>
      </x:c>
      <x:c r="H5467" s="37" t="n">
        <x:f t="shared" si="247">IFERROR(E5467/G5467-1,"")</x:f>
        <x:v>-0.07850324968691613</x:v>
      </x:c>
      <x:c r="I5467" s="38" t="b">
        <x:f t="shared" si="248">E5467&lt;G5467</x:f>
        <x:v>1</x:v>
      </x:c>
    </x:row>
    <x:row r="5468">
      <x:c r="A5468" s="31">
        <x:v>44993</x:v>
      </x:c>
      <x:c r="B5468" s="32">
        <x:v>1028.77</x:v>
      </x:c>
      <x:c r="C5468" s="32">
        <x:v>1049.18</x:v>
      </x:c>
      <x:c r="D5468" s="32">
        <x:v>1027.8</x:v>
      </x:c>
      <x:c r="E5468" s="32">
        <x:v>1049.18</x:v>
      </x:c>
      <x:c r="F5468" s="33">
        <x:v>480649600</x:v>
      </x:c>
      <x:c r="G5468" s="32" t="n">
        <x:f t="shared" si="246">AVERAGE(E5269:E5468)</x:f>
        <x:v>1125.2970000000003</x:v>
      </x:c>
      <x:c r="H5468" s="37" t="n">
        <x:f t="shared" si="247">IFERROR(E5468/G5468-1,"")</x:f>
        <x:v>-0.06764169814724486</x:v>
      </x:c>
      <x:c r="I5468" s="38" t="b">
        <x:f t="shared" si="248">E5468&lt;G5468</x:f>
        <x:v>1</x:v>
      </x:c>
    </x:row>
    <x:row r="5469">
      <x:c r="A5469" s="31">
        <x:v>44994</x:v>
      </x:c>
      <x:c r="B5469" s="32">
        <x:v>1050.6400000000001</x:v>
      </x:c>
      <x:c r="C5469" s="32">
        <x:v>1060.56</x:v>
      </x:c>
      <x:c r="D5469" s="32">
        <x:v>1049.45</x:v>
      </x:c>
      <x:c r="E5469" s="32">
        <x:v>1055.95</x:v>
      </x:c>
      <x:c r="F5469" s="33">
        <x:v>557648200</x:v>
      </x:c>
      <x:c r="G5469" s="32" t="n">
        <x:f t="shared" si="246">AVERAGE(E5270:E5469)</x:f>
        <x:v>1124.4827000000002</x:v>
      </x:c>
      <x:c r="H5469" s="37" t="n">
        <x:f t="shared" si="247">IFERROR(E5469/G5469-1,"")</x:f>
        <x:v>-0.06094597987145578</x:v>
      </x:c>
      <x:c r="I5469" s="38" t="b">
        <x:f t="shared" si="248">E5469&lt;G5469</x:f>
        <x:v>1</x:v>
      </x:c>
    </x:row>
    <x:row r="5470">
      <x:c r="A5470" s="31">
        <x:v>44995</x:v>
      </x:c>
      <x:c r="B5470" s="32">
        <x:v>1050.55</x:v>
      </x:c>
      <x:c r="C5470" s="32">
        <x:v>1053.8599999999999</x:v>
      </x:c>
      <x:c r="D5470" s="32">
        <x:v>1046.31</x:v>
      </x:c>
      <x:c r="E5470" s="32">
        <x:v>1053</x:v>
      </x:c>
      <x:c r="F5470" s="33">
        <x:v>456782100</x:v>
      </x:c>
      <x:c r="G5470" s="32" t="n">
        <x:f t="shared" si="246">AVERAGE(E5271:E5470)</x:f>
        <x:v>1123.5808000000002</x:v>
      </x:c>
      <x:c r="H5470" s="37" t="n">
        <x:f t="shared" si="247">IFERROR(E5470/G5470-1,"")</x:f>
        <x:v>-0.06281773415850478</x:v>
      </x:c>
      <x:c r="I5470" s="38" t="b">
        <x:f t="shared" si="248">E5470&lt;G5470</x:f>
        <x:v>1</x:v>
      </x:c>
    </x:row>
    <x:row r="5471">
      <x:c r="A5471" s="31">
        <x:v>44998</x:v>
      </x:c>
      <x:c r="B5471" s="32">
        <x:v>1047.01</x:v>
      </x:c>
      <x:c r="C5471" s="32">
        <x:v>1055.58</x:v>
      </x:c>
      <x:c r="D5471" s="32">
        <x:v>1045.46</x:v>
      </x:c>
      <x:c r="E5471" s="32">
        <x:v>1052.8</x:v>
      </x:c>
      <x:c r="F5471" s="33">
        <x:v>524575300</x:v>
      </x:c>
      <x:c r="G5471" s="32" t="n">
        <x:f t="shared" si="246">AVERAGE(E5272:E5471)</x:f>
        <x:v>1122.5026500000001</x:v>
      </x:c>
      <x:c r="H5471" s="37" t="n">
        <x:f t="shared" si="247">IFERROR(E5471/G5471-1,"")</x:f>
        <x:v>-0.062095755408684505</x:v>
      </x:c>
      <x:c r="I5471" s="38" t="b">
        <x:f t="shared" si="248">E5471&lt;G5471</x:f>
        <x:v>1</x:v>
      </x:c>
    </x:row>
    <x:row r="5472">
      <x:c r="A5472" s="31">
        <x:v>44999</x:v>
      </x:c>
      <x:c r="B5472" s="32">
        <x:v>1049.3</x:v>
      </x:c>
      <x:c r="C5472" s="32">
        <x:v>1051.56</x:v>
      </x:c>
      <x:c r="D5472" s="32">
        <x:v>1034.72</x:v>
      </x:c>
      <x:c r="E5472" s="32">
        <x:v>1040.1300000000001</x:v>
      </x:c>
      <x:c r="F5472" s="33">
        <x:v>559130000</x:v>
      </x:c>
      <x:c r="G5472" s="32" t="n">
        <x:f t="shared" si="246">AVERAGE(E5273:E5472)</x:f>
        <x:v>1121.3604500000001</x:v>
      </x:c>
      <x:c r="H5472" s="37" t="n">
        <x:f t="shared" si="247">IFERROR(E5472/G5472-1,"")</x:f>
        <x:v>-0.07243919651348507</x:v>
      </x:c>
      <x:c r="I5472" s="38" t="b">
        <x:f t="shared" si="248">E5472&lt;G5472</x:f>
        <x:v>1</x:v>
      </x:c>
    </x:row>
    <x:row r="5473">
      <x:c r="A5473" s="31">
        <x:v>45000</x:v>
      </x:c>
      <x:c r="B5473" s="32">
        <x:v>1052.06</x:v>
      </x:c>
      <x:c r="C5473" s="32">
        <x:v>1062.55</x:v>
      </x:c>
      <x:c r="D5473" s="32">
        <x:v>1049.26</x:v>
      </x:c>
      <x:c r="E5473" s="32">
        <x:v>1062.19</x:v>
      </x:c>
      <x:c r="F5473" s="33">
        <x:v>549186800</x:v>
      </x:c>
      <x:c r="G5473" s="32" t="n">
        <x:f t="shared" si="246">AVERAGE(E5274:E5473)</x:f>
        <x:v>1120.24415</x:v>
      </x:c>
      <x:c r="H5473" s="37" t="n">
        <x:f t="shared" si="247">IFERROR(E5473/G5473-1,"")</x:f>
        <x:v>-0.05182276559980248</x:v>
      </x:c>
      <x:c r="I5473" s="38" t="b">
        <x:f t="shared" si="248">E5473&lt;G5473</x:f>
        <x:v>1</x:v>
      </x:c>
    </x:row>
    <x:row r="5474">
      <x:c r="A5474" s="31">
        <x:v>45001</x:v>
      </x:c>
      <x:c r="B5474" s="32">
        <x:v>1056.18</x:v>
      </x:c>
      <x:c r="C5474" s="32">
        <x:v>1058.73</x:v>
      </x:c>
      <x:c r="D5474" s="32">
        <x:v>1043.6500000000001</x:v>
      </x:c>
      <x:c r="E5474" s="32">
        <x:v>1047.4000000000001</x:v>
      </x:c>
      <x:c r="F5474" s="33">
        <x:v>464145200</x:v>
      </x:c>
      <x:c r="G5474" s="32" t="n">
        <x:f t="shared" si="246">AVERAGE(E5275:E5474)</x:f>
        <x:v>1119.0115500000002</x:v>
      </x:c>
      <x:c r="H5474" s="37" t="n">
        <x:f t="shared" si="247">IFERROR(E5474/G5474-1,"")</x:f>
        <x:v>-0.06399536269308392</x:v>
      </x:c>
      <x:c r="I5474" s="38" t="b">
        <x:f t="shared" si="248">E5474&lt;G5474</x:f>
        <x:v>1</x:v>
      </x:c>
    </x:row>
    <x:row r="5475">
      <x:c r="A5475" s="31">
        <x:v>45002</x:v>
      </x:c>
      <x:c r="B5475" s="32">
        <x:v>1053.3699999999999</x:v>
      </x:c>
      <x:c r="C5475" s="32">
        <x:v>1055.42</x:v>
      </x:c>
      <x:c r="D5475" s="32">
        <x:v>1043.54</x:v>
      </x:c>
      <x:c r="E5475" s="32">
        <x:v>1045.1400000000001</x:v>
      </x:c>
      <x:c r="F5475" s="33">
        <x:v>491829800</x:v>
      </x:c>
      <x:c r="G5475" s="32" t="n">
        <x:f t="shared" si="246">AVERAGE(E5276:E5475)</x:f>
        <x:v>1117.7738500000003</x:v>
      </x:c>
      <x:c r="H5475" s="37" t="n">
        <x:f t="shared" si="247">IFERROR(E5475/G5475-1,"")</x:f>
        <x:v>-0.06498080984807453</x:v>
      </x:c>
      <x:c r="I5475" s="38" t="b">
        <x:f t="shared" si="248">E5475&lt;G5475</x:f>
        <x:v>1</x:v>
      </x:c>
    </x:row>
    <x:row r="5476">
      <x:c r="A5476" s="31">
        <x:v>45005</x:v>
      </x:c>
      <x:c r="B5476" s="32">
        <x:v>1041.99</x:v>
      </x:c>
      <x:c r="C5476" s="32">
        <x:v>1042.5999999999999</x:v>
      </x:c>
      <x:c r="D5476" s="32">
        <x:v>1022.71</x:v>
      </x:c>
      <x:c r="E5476" s="32">
        <x:v>1023.1</x:v>
      </x:c>
      <x:c r="F5476" s="33">
        <x:v>476089300</x:v>
      </x:c>
      <x:c r="G5476" s="32" t="n">
        <x:f t="shared" si="246">AVERAGE(E5277:E5476)</x:f>
        <x:v>1116.3917500000002</x:v>
      </x:c>
      <x:c r="H5476" s="37" t="n">
        <x:f t="shared" si="247">IFERROR(E5476/G5476-1,"")</x:f>
        <x:v>-0.08356542405477307</x:v>
      </x:c>
      <x:c r="I5476" s="38" t="b">
        <x:f t="shared" si="248">E5476&lt;G5476</x:f>
        <x:v>1</x:v>
      </x:c>
    </x:row>
    <x:row r="5477">
      <x:c r="A5477" s="31">
        <x:v>45006</x:v>
      </x:c>
      <x:c r="B5477" s="32">
        <x:v>1028.81</x:v>
      </x:c>
      <x:c r="C5477" s="32">
        <x:v>1036.1500000000001</x:v>
      </x:c>
      <x:c r="D5477" s="32">
        <x:v>1017.05</x:v>
      </x:c>
      <x:c r="E5477" s="32">
        <x:v>1032.43</x:v>
      </x:c>
      <x:c r="F5477" s="33">
        <x:v>381502100</x:v>
      </x:c>
      <x:c r="G5477" s="32" t="n">
        <x:f t="shared" si="246">AVERAGE(E5278:E5477)</x:f>
        <x:v>1115.1108000000002</x:v>
      </x:c>
      <x:c r="H5477" s="37" t="n">
        <x:f t="shared" si="247">IFERROR(E5477/G5477-1,"")</x:f>
        <x:v>-0.0741458158238626</x:v>
      </x:c>
      <x:c r="I5477" s="38" t="b">
        <x:f t="shared" si="248">E5477&lt;G5477</x:f>
        <x:v>1</x:v>
      </x:c>
    </x:row>
    <x:row r="5478">
      <x:c r="A5478" s="31">
        <x:v>45007</x:v>
      </x:c>
      <x:c r="B5478" s="32">
        <x:v>1035.8399999999999</x:v>
      </x:c>
      <x:c r="C5478" s="32">
        <x:v>1042.8399999999999</x:v>
      </x:c>
      <x:c r="D5478" s="32">
        <x:v>1033.73</x:v>
      </x:c>
      <x:c r="E5478" s="32">
        <x:v>1040.54</x:v>
      </x:c>
      <x:c r="F5478" s="33">
        <x:v>382708900</x:v>
      </x:c>
      <x:c r="G5478" s="32" t="n">
        <x:f t="shared" si="246">AVERAGE(E5279:E5478)</x:f>
        <x:v>1113.8736000000001</x:v>
      </x:c>
      <x:c r="H5478" s="37" t="n">
        <x:f t="shared" si="247">IFERROR(E5478/G5478-1,"")</x:f>
        <x:v>-0.06583655452467874</x:v>
      </x:c>
      <x:c r="I5478" s="38" t="b">
        <x:f t="shared" si="248">E5478&lt;G5478</x:f>
        <x:v>1</x:v>
      </x:c>
    </x:row>
    <x:row r="5479">
      <x:c r="A5479" s="31">
        <x:v>45008</x:v>
      </x:c>
      <x:c r="B5479" s="32">
        <x:v>1035.33</x:v>
      </x:c>
      <x:c r="C5479" s="32">
        <x:v>1045.0999999999999</x:v>
      </x:c>
      <x:c r="D5479" s="32">
        <x:v>1030.93</x:v>
      </x:c>
      <x:c r="E5479" s="32">
        <x:v>1045.0999999999999</x:v>
      </x:c>
      <x:c r="F5479" s="33">
        <x:v>369605000</x:v>
      </x:c>
      <x:c r="G5479" s="32" t="n">
        <x:f t="shared" si="246">AVERAGE(E5280:E5479)</x:f>
        <x:v>1112.6490500000002</x:v>
      </x:c>
      <x:c r="H5479" s="37" t="n">
        <x:f t="shared" si="247">IFERROR(E5479/G5479-1,"")</x:f>
        <x:v>-0.06071011340008814</x:v>
      </x:c>
      <x:c r="I5479" s="38" t="b">
        <x:f t="shared" si="248">E5479&lt;G5479</x:f>
        <x:v>1</x:v>
      </x:c>
    </x:row>
    <x:row r="5480">
      <x:c r="A5480" s="31">
        <x:v>45009</x:v>
      </x:c>
      <x:c r="B5480" s="32">
        <x:v>1047.1099999999999</x:v>
      </x:c>
      <x:c r="C5480" s="32">
        <x:v>1052.29</x:v>
      </x:c>
      <x:c r="D5480" s="32">
        <x:v>1044.02</x:v>
      </x:c>
      <x:c r="E5480" s="32">
        <x:v>1046.79</x:v>
      </x:c>
      <x:c r="F5480" s="33">
        <x:v>506946000</x:v>
      </x:c>
      <x:c r="G5480" s="32" t="n">
        <x:f t="shared" si="246">AVERAGE(E5281:E5480)</x:f>
        <x:v>1111.4262500000002</x:v>
      </x:c>
      <x:c r="H5480" s="37" t="n">
        <x:f t="shared" si="247">IFERROR(E5480/G5480-1,"")</x:f>
        <x:v>-0.05815613046749635</x:v>
      </x:c>
      <x:c r="I5480" s="38" t="b">
        <x:f t="shared" si="248">E5480&lt;G5480</x:f>
        <x:v>1</x:v>
      </x:c>
    </x:row>
    <x:row r="5481">
      <x:c r="A5481" s="31">
        <x:v>45012</x:v>
      </x:c>
      <x:c r="B5481" s="32">
        <x:v>1047.8900000000001</x:v>
      </x:c>
      <x:c r="C5481" s="32">
        <x:v>1053.78</x:v>
      </x:c>
      <x:c r="D5481" s="32">
        <x:v>1041.99</x:v>
      </x:c>
      <x:c r="E5481" s="32">
        <x:v>1052.25</x:v>
      </x:c>
      <x:c r="F5481" s="33">
        <x:v>510473100</x:v>
      </x:c>
      <x:c r="G5481" s="32" t="n">
        <x:f t="shared" si="246">AVERAGE(E5282:E5481)</x:f>
        <x:v>1110.1479500000005</x:v>
      </x:c>
      <x:c r="H5481" s="37" t="n">
        <x:f t="shared" si="247">IFERROR(E5481/G5481-1,"")</x:f>
        <x:v>-0.0521533638827153</x:v>
      </x:c>
      <x:c r="I5481" s="38" t="b">
        <x:f t="shared" si="248">E5481&lt;G5481</x:f>
        <x:v>1</x:v>
      </x:c>
    </x:row>
    <x:row r="5482">
      <x:c r="A5482" s="31">
        <x:v>45013</x:v>
      </x:c>
      <x:c r="B5482" s="32">
        <x:v>1055.1199999999999</x:v>
      </x:c>
      <x:c r="C5482" s="32">
        <x:v>1059.83</x:v>
      </x:c>
      <x:c r="D5482" s="32">
        <x:v>1051.75</x:v>
      </x:c>
      <x:c r="E5482" s="32">
        <x:v>1054.29</x:v>
      </x:c>
      <x:c r="F5482" s="33">
        <x:v>583110300</x:v>
      </x:c>
      <x:c r="G5482" s="32" t="n">
        <x:f t="shared" si="246">AVERAGE(E5283:E5482)</x:f>
        <x:v>1108.8804000000005</x:v>
      </x:c>
      <x:c r="H5482" s="37" t="n">
        <x:f t="shared" si="247">IFERROR(E5482/G5482-1,"")</x:f>
        <x:v>-0.04923019651172522</x:v>
      </x:c>
      <x:c r="I5482" s="38" t="b">
        <x:f t="shared" si="248">E5482&lt;G5482</x:f>
        <x:v>1</x:v>
      </x:c>
    </x:row>
    <x:row r="5483">
      <x:c r="A5483" s="31">
        <x:v>45014</x:v>
      </x:c>
      <x:c r="B5483" s="32">
        <x:v>1055.18</x:v>
      </x:c>
      <x:c r="C5483" s="32">
        <x:v>1056.33</x:v>
      </x:c>
      <x:c r="D5483" s="32">
        <x:v>1048.26</x:v>
      </x:c>
      <x:c r="E5483" s="32">
        <x:v>1056.33</x:v>
      </x:c>
      <x:c r="F5483" s="33">
        <x:v>415123800</x:v>
      </x:c>
      <x:c r="G5483" s="32" t="n">
        <x:f t="shared" si="246">AVERAGE(E5284:E5483)</x:f>
        <x:v>1107.7416500000004</x:v>
      </x:c>
      <x:c r="H5483" s="37" t="n">
        <x:f t="shared" si="247">IFERROR(E5483/G5483-1,"")</x:f>
        <x:v>-0.046411227744303396</x:v>
      </x:c>
      <x:c r="I5483" s="38" t="b">
        <x:f t="shared" si="248">E5483&lt;G5483</x:f>
        <x:v>1</x:v>
      </x:c>
    </x:row>
    <x:row r="5484">
      <x:c r="A5484" s="31">
        <x:v>45015</x:v>
      </x:c>
      <x:c r="B5484" s="32">
        <x:v>1061.32</x:v>
      </x:c>
      <x:c r="C5484" s="32">
        <x:v>1066.23</x:v>
      </x:c>
      <x:c r="D5484" s="32">
        <x:v>1058.8900000000001</x:v>
      </x:c>
      <x:c r="E5484" s="32">
        <x:v>1059.44</x:v>
      </x:c>
      <x:c r="F5484" s="33">
        <x:v>555220700</x:v>
      </x:c>
      <x:c r="G5484" s="32" t="n">
        <x:f t="shared" si="246">AVERAGE(E5285:E5484)</x:f>
        <x:v>1106.9036500000004</x:v>
      </x:c>
      <x:c r="H5484" s="37" t="n">
        <x:f t="shared" si="247">IFERROR(E5484/G5484-1,"")</x:f>
        <x:v>-0.0428796580443116</x:v>
      </x:c>
      <x:c r="I5484" s="38" t="b">
        <x:f t="shared" si="248">E5484&lt;G5484</x:f>
        <x:v>1</x:v>
      </x:c>
    </x:row>
    <x:row r="5485">
      <x:c r="A5485" s="31">
        <x:v>45016</x:v>
      </x:c>
      <x:c r="B5485" s="32">
        <x:v>1059.79</x:v>
      </x:c>
      <x:c r="C5485" s="32">
        <x:v>1067.55</x:v>
      </x:c>
      <x:c r="D5485" s="32">
        <x:v>1059.79</x:v>
      </x:c>
      <x:c r="E5485" s="32">
        <x:v>1064.6400000000001</x:v>
      </x:c>
      <x:c r="F5485" s="33">
        <x:v>574243800</x:v>
      </x:c>
      <x:c r="G5485" s="32" t="n">
        <x:f t="shared" si="246">AVERAGE(E5286:E5485)</x:f>
        <x:v>1106.0753000000002</x:v>
      </x:c>
      <x:c r="H5485" s="37" t="n">
        <x:f t="shared" si="247">IFERROR(E5485/G5485-1,"")</x:f>
        <x:v>-0.037461554380610496</x:v>
      </x:c>
      <x:c r="I5485" s="38" t="b">
        <x:f t="shared" si="248">E5485&lt;G5485</x:f>
        <x:v>1</x:v>
      </x:c>
    </x:row>
    <x:row r="5486">
      <x:c r="A5486" s="31">
        <x:v>45019</x:v>
      </x:c>
      <x:c r="B5486" s="32">
        <x:v>1074.2</x:v>
      </x:c>
      <x:c r="C5486" s="32">
        <x:v>1079.28</x:v>
      </x:c>
      <x:c r="D5486" s="32">
        <x:v>1071.6199999999999</x:v>
      </x:c>
      <x:c r="E5486" s="32">
        <x:v>1079.28</x:v>
      </x:c>
      <x:c r="F5486" s="33">
        <x:v>778917800</x:v>
      </x:c>
      <x:c r="G5486" s="32" t="n">
        <x:f t="shared" si="246">AVERAGE(E5287:E5486)</x:f>
        <x:v>1105.4020500000004</x:v>
      </x:c>
      <x:c r="H5486" s="37" t="n">
        <x:f t="shared" si="247">IFERROR(E5486/G5486-1,"")</x:f>
        <x:v>-0.02363126610811006</x:v>
      </x:c>
      <x:c r="I5486" s="38" t="b">
        <x:f t="shared" si="248">E5486&lt;G5486</x:f>
        <x:v>1</x:v>
      </x:c>
    </x:row>
    <x:row r="5487">
      <x:c r="A5487" s="31">
        <x:v>45020</x:v>
      </x:c>
      <x:c r="B5487" s="32">
        <x:v>1081.02</x:v>
      </x:c>
      <x:c r="C5487" s="32">
        <x:v>1082.21</x:v>
      </x:c>
      <x:c r="D5487" s="32">
        <x:v>1075.0999999999999</x:v>
      </x:c>
      <x:c r="E5487" s="32">
        <x:v>1078.45</x:v>
      </x:c>
      <x:c r="F5487" s="33">
        <x:v>746158000</x:v>
      </x:c>
      <x:c r="G5487" s="32" t="n">
        <x:f t="shared" si="246">AVERAGE(E5288:E5487)</x:f>
        <x:v>1104.6111500000004</x:v>
      </x:c>
      <x:c r="H5487" s="37" t="n">
        <x:f t="shared" si="247">IFERROR(E5487/G5487-1,"")</x:f>
        <x:v>-0.02368358313239949</x:v>
      </x:c>
      <x:c r="I5487" s="38" t="b">
        <x:f t="shared" si="248">E5487&lt;G5487</x:f>
        <x:v>1</x:v>
      </x:c>
    </x:row>
    <x:row r="5488">
      <x:c r="A5488" s="31">
        <x:v>45021</x:v>
      </x:c>
      <x:c r="B5488" s="32">
        <x:v>1079.06</x:v>
      </x:c>
      <x:c r="C5488" s="32">
        <x:v>1080.8599999999999</x:v>
      </x:c>
      <x:c r="D5488" s="32">
        <x:v>1074.0999999999999</x:v>
      </x:c>
      <x:c r="E5488" s="32">
        <x:v>1080.8599999999999</x:v>
      </x:c>
      <x:c r="F5488" s="33">
        <x:v>706897700</x:v>
      </x:c>
      <x:c r="G5488" s="32" t="n">
        <x:f t="shared" si="246">AVERAGE(E5289:E5488)</x:f>
        <x:v>1103.9289500000004</x:v>
      </x:c>
      <x:c r="H5488" s="37" t="n">
        <x:f t="shared" si="247">IFERROR(E5488/G5488-1,"")</x:f>
        <x:v>-0.020897132917839123</x:v>
      </x:c>
      <x:c r="I5488" s="38" t="b">
        <x:f t="shared" si="248">E5488&lt;G5488</x:f>
        <x:v>1</x:v>
      </x:c>
    </x:row>
    <x:row r="5489">
      <x:c r="A5489" s="31">
        <x:v>45022</x:v>
      </x:c>
      <x:c r="B5489" s="32">
        <x:v>1083.27</x:v>
      </x:c>
      <x:c r="C5489" s="32">
        <x:v>1084.52</x:v>
      </x:c>
      <x:c r="D5489" s="32">
        <x:v>1070.9100000000001</x:v>
      </x:c>
      <x:c r="E5489" s="32">
        <x:v>1070.9100000000001</x:v>
      </x:c>
      <x:c r="F5489" s="33">
        <x:v>955351800</x:v>
      </x:c>
      <x:c r="G5489" s="32" t="n">
        <x:f t="shared" si="246">AVERAGE(E5290:E5489)</x:f>
        <x:v>1103.3815000000004</x:v>
      </x:c>
      <x:c r="H5489" s="37" t="n">
        <x:f t="shared" si="247">IFERROR(E5489/G5489-1,"")</x:f>
        <x:v>-0.02942907779403614</x:v>
      </x:c>
      <x:c r="I5489" s="38" t="b">
        <x:f t="shared" si="248">E5489&lt;G5489</x:f>
        <x:v>1</x:v>
      </x:c>
    </x:row>
    <x:row r="5490">
      <x:c r="A5490" s="31">
        <x:v>45023</x:v>
      </x:c>
      <x:c r="B5490" s="32">
        <x:v>1071.0899999999999</x:v>
      </x:c>
      <x:c r="C5490" s="32">
        <x:v>1072.94</x:v>
      </x:c>
      <x:c r="D5490" s="32">
        <x:v>1063.7</x:v>
      </x:c>
      <x:c r="E5490" s="32">
        <x:v>1069.71</x:v>
      </x:c>
      <x:c r="F5490" s="33">
        <x:v>600601100</x:v>
      </x:c>
      <x:c r="G5490" s="32" t="n">
        <x:f t="shared" si="246">AVERAGE(E5291:E5490)</x:f>
        <x:v>1102.8677000000002</x:v>
      </x:c>
      <x:c r="H5490" s="37" t="n">
        <x:f t="shared" si="247">IFERROR(E5490/G5490-1,"")</x:f>
        <x:v>-0.030064984222495816</x:v>
      </x:c>
      <x:c r="I5490" s="38" t="b">
        <x:f t="shared" si="248">E5490&lt;G5490</x:f>
        <x:v>1</x:v>
      </x:c>
    </x:row>
    <x:row r="5491">
      <x:c r="A5491" s="31">
        <x:v>45026</x:v>
      </x:c>
      <x:c r="B5491" s="32">
        <x:v>1073.9000000000001</x:v>
      </x:c>
      <x:c r="C5491" s="32">
        <x:v>1075.54</x:v>
      </x:c>
      <x:c r="D5491" s="32">
        <x:v>1063.45</x:v>
      </x:c>
      <x:c r="E5491" s="32">
        <x:v>1065.3499999999999</x:v>
      </x:c>
      <x:c r="F5491" s="33">
        <x:v>789212200</x:v>
      </x:c>
      <x:c r="G5491" s="32" t="n">
        <x:f t="shared" si="246">AVERAGE(E5292:E5491)</x:f>
        <x:v>1102.3481000000002</x:v>
      </x:c>
      <x:c r="H5491" s="37" t="n">
        <x:f t="shared" si="247">IFERROR(E5491/G5491-1,"")</x:f>
        <x:v>-0.03356299158133469</x:v>
      </x:c>
      <x:c r="I5491" s="38" t="b">
        <x:f t="shared" si="248">E5491&lt;G5491</x:f>
        <x:v>1</x:v>
      </x:c>
    </x:row>
    <x:row r="5492">
      <x:c r="A5492" s="31">
        <x:v>45027</x:v>
      </x:c>
      <x:c r="B5492" s="32">
        <x:v>1063.67</x:v>
      </x:c>
      <x:c r="C5492" s="32">
        <x:v>1070.56</x:v>
      </x:c>
      <x:c r="D5492" s="32">
        <x:v>1056.9000000000001</x:v>
      </x:c>
      <x:c r="E5492" s="32">
        <x:v>1069.46</x:v>
      </x:c>
      <x:c r="F5492" s="33">
        <x:v>642643100</x:v>
      </x:c>
      <x:c r="G5492" s="32" t="n">
        <x:f t="shared" si="246">AVERAGE(E5293:E5492)</x:f>
        <x:v>1101.751</x:v>
      </x:c>
      <x:c r="H5492" s="37" t="n">
        <x:f t="shared" si="247">IFERROR(E5492/G5492-1,"")</x:f>
        <x:v>-0.02930880026430649</x:v>
      </x:c>
      <x:c r="I5492" s="38" t="b">
        <x:f t="shared" si="248">E5492&lt;G5492</x:f>
        <x:v>1</x:v>
      </x:c>
    </x:row>
    <x:row r="5493">
      <x:c r="A5493" s="31">
        <x:v>45028</x:v>
      </x:c>
      <x:c r="B5493" s="32">
        <x:v>1071.6600000000001</x:v>
      </x:c>
      <x:c r="C5493" s="32">
        <x:v>1072.7</x:v>
      </x:c>
      <x:c r="D5493" s="32">
        <x:v>1066.43</x:v>
      </x:c>
      <x:c r="E5493" s="32">
        <x:v>1069.45</x:v>
      </x:c>
      <x:c r="F5493" s="33">
        <x:v>660883000</x:v>
      </x:c>
      <x:c r="G5493" s="32" t="n">
        <x:f t="shared" si="246">AVERAGE(E5294:E5493)</x:f>
        <x:v>1101.1708500000002</x:v>
      </x:c>
      <x:c r="H5493" s="37" t="n">
        <x:f t="shared" si="247">IFERROR(E5493/G5493-1,"")</x:f>
        <x:v>-0.02880647449031193</x:v>
      </x:c>
      <x:c r="I5493" s="38" t="b">
        <x:f t="shared" si="248">E5493&lt;G5493</x:f>
        <x:v>1</x:v>
      </x:c>
    </x:row>
    <x:row r="5494">
      <x:c r="A5494" s="31">
        <x:v>45029</x:v>
      </x:c>
      <x:c r="B5494" s="32">
        <x:v>1070.8699999999999</x:v>
      </x:c>
      <x:c r="C5494" s="32">
        <x:v>1070.8800000000001</x:v>
      </x:c>
      <x:c r="D5494" s="32">
        <x:v>1062.26</x:v>
      </x:c>
      <x:c r="E5494" s="32">
        <x:v>1064.3</x:v>
      </x:c>
      <x:c r="F5494" s="33">
        <x:v>595747700</x:v>
      </x:c>
      <x:c r="G5494" s="32" t="n">
        <x:f t="shared" si="246">AVERAGE(E5295:E5494)</x:f>
        <x:v>1100.4782500000003</x:v>
      </x:c>
      <x:c r="H5494" s="37" t="n">
        <x:f t="shared" si="247">IFERROR(E5494/G5494-1,"")</x:f>
        <x:v>-0.03287502501753248</x:v>
      </x:c>
      <x:c r="I5494" s="38" t="b">
        <x:f t="shared" si="248">E5494&lt;G5494</x:f>
        <x:v>1</x:v>
      </x:c>
    </x:row>
    <x:row r="5495">
      <x:c r="A5495" s="31">
        <x:v>45030</x:v>
      </x:c>
      <x:c r="B5495" s="32">
        <x:v>1067.18</x:v>
      </x:c>
      <x:c r="C5495" s="32">
        <x:v>1068.79</x:v>
      </x:c>
      <x:c r="D5495" s="32">
        <x:v>1052.8900000000001</x:v>
      </x:c>
      <x:c r="E5495" s="32">
        <x:v>1052.8900000000001</x:v>
      </x:c>
      <x:c r="F5495" s="33">
        <x:v>724480200</x:v>
      </x:c>
      <x:c r="G5495" s="32" t="n">
        <x:f t="shared" si="246">AVERAGE(E5296:E5495)</x:f>
        <x:v>1099.6522000000002</x:v>
      </x:c>
      <x:c r="H5495" s="37" t="n">
        <x:f t="shared" si="247">IFERROR(E5495/G5495-1,"")</x:f>
        <x:v>-0.04252453639432552</x:v>
      </x:c>
      <x:c r="I5495" s="38" t="b">
        <x:f t="shared" si="248">E5495&lt;G5495</x:f>
        <x:v>1</x:v>
      </x:c>
    </x:row>
    <x:row r="5496">
      <x:c r="A5496" s="31">
        <x:v>45033</x:v>
      </x:c>
      <x:c r="B5496" s="32">
        <x:v>1053.1500000000001</x:v>
      </x:c>
      <x:c r="C5496" s="32">
        <x:v>1054.72</x:v>
      </x:c>
      <x:c r="D5496" s="32">
        <x:v>1049.1099999999999</x:v>
      </x:c>
      <x:c r="E5496" s="32">
        <x:v>1053.81</x:v>
      </x:c>
      <x:c r="F5496" s="33">
        <x:v>406570600</x:v>
      </x:c>
      <x:c r="G5496" s="32" t="n">
        <x:f t="shared" si="246">AVERAGE(E5297:E5496)</x:f>
        <x:v>1098.8308000000002</x:v>
      </x:c>
      <x:c r="H5496" s="37" t="n">
        <x:f t="shared" si="247">IFERROR(E5496/G5496-1,"")</x:f>
        <x:v>-0.040971549031934895</x:v>
      </x:c>
      <x:c r="I5496" s="38" t="b">
        <x:f t="shared" si="248">E5496&lt;G5496</x:f>
        <x:v>1</x:v>
      </x:c>
    </x:row>
    <x:row r="5497">
      <x:c r="A5497" s="31">
        <x:v>45034</x:v>
      </x:c>
      <x:c r="B5497" s="32">
        <x:v>1055.8499999999999</x:v>
      </x:c>
      <x:c r="C5497" s="32">
        <x:v>1057.1500000000001</x:v>
      </x:c>
      <x:c r="D5497" s="32">
        <x:v>1050.8900000000001</x:v>
      </x:c>
      <x:c r="E5497" s="32">
        <x:v>1055.02</x:v>
      </x:c>
      <x:c r="F5497" s="33">
        <x:v>494431200</x:v>
      </x:c>
      <x:c r="G5497" s="32" t="n">
        <x:f t="shared" si="246">AVERAGE(E5298:E5497)</x:f>
        <x:v>1098.1179000000002</x:v>
      </x:c>
      <x:c r="H5497" s="37" t="n">
        <x:f t="shared" si="247">IFERROR(E5497/G5497-1,"")</x:f>
        <x:v>-0.0392470608119585</x:v>
      </x:c>
      <x:c r="I5497" s="38" t="b">
        <x:f t="shared" si="248">E5497&lt;G5497</x:f>
        <x:v>1</x:v>
      </x:c>
    </x:row>
    <x:row r="5498">
      <x:c r="A5498" s="31">
        <x:v>45035</x:v>
      </x:c>
      <x:c r="B5498" s="32">
        <x:v>1057.8800000000001</x:v>
      </x:c>
      <x:c r="C5498" s="32">
        <x:v>1058.1400000000001</x:v>
      </x:c>
      <x:c r="D5498" s="32">
        <x:v>1047.47</x:v>
      </x:c>
      <x:c r="E5498" s="32">
        <x:v>1048.98</x:v>
      </x:c>
      <x:c r="F5498" s="33">
        <x:v>496274700</x:v>
      </x:c>
      <x:c r="G5498" s="32" t="n">
        <x:f t="shared" si="246">AVERAGE(E5299:E5498)</x:f>
        <x:v>1097.3683</x:v>
      </x:c>
      <x:c r="H5498" s="37" t="n">
        <x:f t="shared" si="247">IFERROR(E5498/G5498-1,"")</x:f>
        <x:v>-0.04409485858120743</x:v>
      </x:c>
      <x:c r="I5498" s="38" t="b">
        <x:f t="shared" si="248">E5498&lt;G5498</x:f>
        <x:v>1</x:v>
      </x:c>
    </x:row>
    <x:row r="5499">
      <x:c r="A5499" s="31">
        <x:v>45036</x:v>
      </x:c>
      <x:c r="B5499" s="32">
        <x:v>1050.02</x:v>
      </x:c>
      <x:c r="C5499" s="32">
        <x:v>1051.8599999999999</x:v>
      </x:c>
      <x:c r="D5499" s="32">
        <x:v>1045.8499999999999</x:v>
      </x:c>
      <x:c r="E5499" s="32">
        <x:v>1049.25</x:v>
      </x:c>
      <x:c r="F5499" s="33">
        <x:v>332580000</x:v>
      </x:c>
      <x:c r="G5499" s="32" t="n">
        <x:f t="shared" si="246">AVERAGE(E5300:E5499)</x:f>
        <x:v>1096.6369000000002</x:v>
      </x:c>
      <x:c r="H5499" s="37" t="n">
        <x:f t="shared" si="247">IFERROR(E5499/G5499-1,"")</x:f>
        <x:v>-0.04321111208276884</x:v>
      </x:c>
      <x:c r="I5499" s="38" t="b">
        <x:f t="shared" si="248">E5499&lt;G5499</x:f>
        <x:v>1</x:v>
      </x:c>
    </x:row>
    <x:row r="5500">
      <x:c r="A5500" s="31">
        <x:v>45037</x:v>
      </x:c>
      <x:c r="B5500" s="32">
        <x:v>1050.05</x:v>
      </x:c>
      <x:c r="C5500" s="32">
        <x:v>1050.4000000000001</x:v>
      </x:c>
      <x:c r="D5500" s="32">
        <x:v>1041.26</x:v>
      </x:c>
      <x:c r="E5500" s="32">
        <x:v>1042.9100000000001</x:v>
      </x:c>
      <x:c r="F5500" s="33">
        <x:v>512429100</x:v>
      </x:c>
      <x:c r="G5500" s="32" t="n">
        <x:f t="shared" si="246">AVERAGE(E5301:E5500)</x:f>
        <x:v>1095.9450000000002</x:v>
      </x:c>
      <x:c r="H5500" s="37" t="n">
        <x:f t="shared" si="247">IFERROR(E5500/G5500-1,"")</x:f>
        <x:v>-0.0483920269721565</x:v>
      </x:c>
      <x:c r="I5500" s="38" t="b">
        <x:f t="shared" si="248">E5500&lt;G5500</x:f>
        <x:v>1</x:v>
      </x:c>
    </x:row>
    <x:row r="5501">
      <x:c r="A5501" s="31">
        <x:v>45040</x:v>
      </x:c>
      <x:c r="B5501" s="32">
        <x:v>1045.31</x:v>
      </x:c>
      <x:c r="C5501" s="32">
        <x:v>1047.18</x:v>
      </x:c>
      <x:c r="D5501" s="32">
        <x:v>1038.3599999999999</x:v>
      </x:c>
      <x:c r="E5501" s="32">
        <x:v>1041.3599999999999</x:v>
      </x:c>
      <x:c r="F5501" s="33">
        <x:v>451137200</x:v>
      </x:c>
      <x:c r="G5501" s="32" t="n">
        <x:f t="shared" si="246">AVERAGE(E5302:E5501)</x:f>
        <x:v>1095.4037500000002</x:v>
      </x:c>
      <x:c r="H5501" s="37" t="n">
        <x:f t="shared" si="247">IFERROR(E5501/G5501-1,"")</x:f>
        <x:v>-0.049336831282529636</x:v>
      </x:c>
      <x:c r="I5501" s="38" t="b">
        <x:f t="shared" si="248">E5501&lt;G5501</x:f>
        <x:v>1</x:v>
      </x:c>
    </x:row>
    <x:row r="5502">
      <x:c r="A5502" s="31">
        <x:v>45041</x:v>
      </x:c>
      <x:c r="B5502" s="32">
        <x:v>1045.79</x:v>
      </x:c>
      <x:c r="C5502" s="32">
        <x:v>1045.79</x:v>
      </x:c>
      <x:c r="D5502" s="32">
        <x:v>1032.49</x:v>
      </x:c>
      <x:c r="E5502" s="32">
        <x:v>1034.8499999999999</x:v>
      </x:c>
      <x:c r="F5502" s="33">
        <x:v>485690900</x:v>
      </x:c>
      <x:c r="G5502" s="32" t="n">
        <x:f t="shared" si="246">AVERAGE(E5303:E5502)</x:f>
        <x:v>1094.7456000000002</x:v>
      </x:c>
      <x:c r="H5502" s="37" t="n">
        <x:f t="shared" si="247">IFERROR(E5502/G5502-1,"")</x:f>
        <x:v>-0.05471188922796333</x:v>
      </x:c>
      <x:c r="I5502" s="38" t="b">
        <x:f t="shared" si="248">E5502&lt;G5502</x:f>
        <x:v>1</x:v>
      </x:c>
    </x:row>
    <x:row r="5503">
      <x:c r="A5503" s="31">
        <x:v>45042</x:v>
      </x:c>
      <x:c r="B5503" s="32">
        <x:v>1034.02</x:v>
      </x:c>
      <x:c r="C5503" s="32">
        <x:v>1040.8</x:v>
      </x:c>
      <x:c r="D5503" s="32">
        <x:v>1029.19</x:v>
      </x:c>
      <x:c r="E5503" s="32">
        <x:v>1040.8</x:v>
      </x:c>
      <x:c r="F5503" s="33">
        <x:v>431573300</x:v>
      </x:c>
      <x:c r="G5503" s="32" t="n">
        <x:f t="shared" si="246">AVERAGE(E5304:E5503)</x:f>
        <x:v>1094.0930500000002</x:v>
      </x:c>
      <x:c r="H5503" s="37" t="n">
        <x:f t="shared" si="247">IFERROR(E5503/G5503-1,"")</x:f>
        <x:v>-0.04870979666674624</x:v>
      </x:c>
      <x:c r="I5503" s="38" t="b">
        <x:f t="shared" si="248">E5503&lt;G5503</x:f>
        <x:v>1</x:v>
      </x:c>
    </x:row>
    <x:row r="5504">
      <x:c r="A5504" s="31">
        <x:v>45043</x:v>
      </x:c>
      <x:c r="B5504" s="32">
        <x:v>1041.03</x:v>
      </x:c>
      <x:c r="C5504" s="32">
        <x:v>1044.25</x:v>
      </x:c>
      <x:c r="D5504" s="32">
        <x:v>1037.6199999999999</x:v>
      </x:c>
      <x:c r="E5504" s="32">
        <x:v>1039.6300000000001</x:v>
      </x:c>
      <x:c r="F5504" s="33">
        <x:v>466451200</x:v>
      </x:c>
      <x:c r="G5504" s="32" t="n">
        <x:f t="shared" si="246">AVERAGE(E5305:E5504)</x:f>
        <x:v>1093.5147500000003</x:v>
      </x:c>
      <x:c r="H5504" s="37" t="n">
        <x:f t="shared" si="247">IFERROR(E5504/G5504-1,"")</x:f>
        <x:v>-0.0492766558475779</x:v>
      </x:c>
      <x:c r="I5504" s="38" t="b">
        <x:f t="shared" si="248">E5504&lt;G5504</x:f>
        <x:v>1</x:v>
      </x:c>
    </x:row>
    <x:row r="5505">
      <x:c r="A5505" s="31">
        <x:v>45044</x:v>
      </x:c>
      <x:c r="B5505" s="32">
        <x:v>1043.18</x:v>
      </x:c>
      <x:c r="C5505" s="32">
        <x:v>1049.1199999999999</x:v>
      </x:c>
      <x:c r="D5505" s="32">
        <x:v>1042.04</x:v>
      </x:c>
      <x:c r="E5505" s="32">
        <x:v>1049.1199999999999</x:v>
      </x:c>
      <x:c r="F5505" s="33">
        <x:v>571699400</x:v>
      </x:c>
      <x:c r="G5505" s="32" t="n">
        <x:f t="shared" si="246">AVERAGE(E5306:E5505)</x:f>
        <x:v>1092.8862500000002</x:v>
      </x:c>
      <x:c r="H5505" s="37" t="n">
        <x:f t="shared" si="247">IFERROR(E5505/G5505-1,"")</x:f>
        <x:v>-0.040046482422118834</x:v>
      </x:c>
      <x:c r="I5505" s="38" t="b">
        <x:f t="shared" si="248">E5505&lt;G5505</x:f>
        <x:v>1</x:v>
      </x:c>
    </x:row>
    <x:row r="5506">
      <x:c r="A5506" s="31">
        <x:v>45050</x:v>
      </x:c>
      <x:c r="B5506" s="32">
        <x:v>1046</x:v>
      </x:c>
      <x:c r="C5506" s="32">
        <x:v>1048.1600000000001</x:v>
      </x:c>
      <x:c r="D5506" s="32">
        <x:v>1038.18</x:v>
      </x:c>
      <x:c r="E5506" s="32">
        <x:v>1040.6099999999999</x:v>
      </x:c>
      <x:c r="F5506" s="33">
        <x:v>571590000</x:v>
      </x:c>
      <x:c r="G5506" s="32" t="n">
        <x:f t="shared" si="246">AVERAGE(E5307:E5506)</x:f>
        <x:v>1092.2197</x:v>
      </x:c>
      <x:c r="H5506" s="37" t="n">
        <x:f t="shared" si="247">IFERROR(E5506/G5506-1,"")</x:f>
        <x:v>-0.04725212335943052</x:v>
      </x:c>
      <x:c r="I5506" s="38" t="b">
        <x:f t="shared" si="248">E5506&lt;G5506</x:f>
        <x:v>1</x:v>
      </x:c>
    </x:row>
    <x:row r="5507">
      <x:c r="A5507" s="31">
        <x:v>45051</x:v>
      </x:c>
      <x:c r="B5507" s="32">
        <x:v>1040.22</x:v>
      </x:c>
      <x:c r="C5507" s="32">
        <x:v>1043.22</x:v>
      </x:c>
      <x:c r="D5507" s="32">
        <x:v>1036.69</x:v>
      </x:c>
      <x:c r="E5507" s="32">
        <x:v>1040.31</x:v>
      </x:c>
      <x:c r="F5507" s="33">
        <x:v>439888400</x:v>
      </x:c>
      <x:c r="G5507" s="32" t="n">
        <x:f t="shared" si="246">AVERAGE(E5308:E5507)</x:f>
        <x:v>1091.5104000000001</x:v>
      </x:c>
      <x:c r="H5507" s="37" t="n">
        <x:f t="shared" si="247">IFERROR(E5507/G5507-1,"")</x:f>
        <x:v>-0.04690784439616902</x:v>
      </x:c>
      <x:c r="I5507" s="38" t="b">
        <x:f t="shared" si="248">E5507&lt;G5507</x:f>
        <x:v>1</x:v>
      </x:c>
    </x:row>
    <x:row r="5508">
      <x:c r="A5508" s="31">
        <x:v>45054</x:v>
      </x:c>
      <x:c r="B5508" s="32">
        <x:v>1040.31</x:v>
      </x:c>
      <x:c r="C5508" s="32">
        <x:v>1053.44</x:v>
      </x:c>
      <x:c r="D5508" s="32">
        <x:v>1040.31</x:v>
      </x:c>
      <x:c r="E5508" s="32">
        <x:v>1053.44</x:v>
      </x:c>
      <x:c r="F5508" s="33">
        <x:v>591247600</x:v>
      </x:c>
      <x:c r="G5508" s="32" t="n">
        <x:f t="shared" si="246">AVERAGE(E5309:E5508)</x:f>
        <x:v>1090.88135</x:v>
      </x:c>
      <x:c r="H5508" s="37" t="n">
        <x:f t="shared" si="247">IFERROR(E5508/G5508-1,"")</x:f>
        <x:v>-0.03432211028266274</x:v>
      </x:c>
      <x:c r="I5508" s="38" t="b">
        <x:f t="shared" si="248">E5508&lt;G5508</x:f>
        <x:v>1</x:v>
      </x:c>
    </x:row>
    <x:row r="5509">
      <x:c r="A5509" s="31">
        <x:v>45055</x:v>
      </x:c>
      <x:c r="B5509" s="32">
        <x:v>1055.42</x:v>
      </x:c>
      <x:c r="C5509" s="32">
        <x:v>1058.71</x:v>
      </x:c>
      <x:c r="D5509" s="32">
        <x:v>1052.68</x:v>
      </x:c>
      <x:c r="E5509" s="32">
        <x:v>1053.77</x:v>
      </x:c>
      <x:c r="F5509" s="33">
        <x:v>502515300</x:v>
      </x:c>
      <x:c r="G5509" s="32" t="n">
        <x:f t="shared" si="246">AVERAGE(E5310:E5509)</x:f>
        <x:v>1090.26775</x:v>
      </x:c>
      <x:c r="H5509" s="37" t="n">
        <x:f t="shared" si="247">IFERROR(E5509/G5509-1,"")</x:f>
        <x:v>-0.0334759512055639</x:v>
      </x:c>
      <x:c r="I5509" s="38" t="b">
        <x:f t="shared" si="248">E5509&lt;G5509</x:f>
        <x:v>1</x:v>
      </x:c>
    </x:row>
    <x:row r="5510">
      <x:c r="A5510" s="31">
        <x:v>45056</x:v>
      </x:c>
      <x:c r="B5510" s="32">
        <x:v>1055.6199999999999</x:v>
      </x:c>
      <x:c r="C5510" s="32">
        <x:v>1058.67</x:v>
      </x:c>
      <x:c r="D5510" s="32">
        <x:v>1053.3399999999999</x:v>
      </x:c>
      <x:c r="E5510" s="32">
        <x:v>1058.26</x:v>
      </x:c>
      <x:c r="F5510" s="33">
        <x:v>650680600</x:v>
      </x:c>
      <x:c r="G5510" s="32" t="n">
        <x:f t="shared" si="246">AVERAGE(E5311:E5510)</x:f>
        <x:v>1089.6674</x:v>
      </x:c>
      <x:c r="H5510" s="37" t="n">
        <x:f t="shared" si="247">IFERROR(E5510/G5510-1,"")</x:f>
        <x:v>-0.02882292339846093</x:v>
      </x:c>
      <x:c r="I5510" s="38" t="b">
        <x:f t="shared" si="248">E5510&lt;G5510</x:f>
        <x:v>1</x:v>
      </x:c>
    </x:row>
    <x:row r="5511">
      <x:c r="A5511" s="31">
        <x:v>45057</x:v>
      </x:c>
      <x:c r="B5511" s="32">
        <x:v>1060.75</x:v>
      </x:c>
      <x:c r="C5511" s="32">
        <x:v>1063.69</x:v>
      </x:c>
      <x:c r="D5511" s="32">
        <x:v>1056.72</x:v>
      </x:c>
      <x:c r="E5511" s="32">
        <x:v>1057.1199999999999</x:v>
      </x:c>
      <x:c r="F5511" s="33">
        <x:v>681482900</x:v>
      </x:c>
      <x:c r="G5511" s="32" t="n">
        <x:f t="shared" si="246">AVERAGE(E5312:E5511)</x:f>
        <x:v>1088.9823000000001</x:v>
      </x:c>
      <x:c r="H5511" s="37" t="n">
        <x:f t="shared" si="247">IFERROR(E5511/G5511-1,"")</x:f>
        <x:v>-0.029258785932517184</x:v>
      </x:c>
      <x:c r="I5511" s="38" t="b">
        <x:f t="shared" si="248">E5511&lt;G5511</x:f>
        <x:v>1</x:v>
      </x:c>
    </x:row>
    <x:row r="5512">
      <x:c r="A5512" s="31">
        <x:v>45058</x:v>
      </x:c>
      <x:c r="B5512" s="32">
        <x:v>1057.7</x:v>
      </x:c>
      <x:c r="C5512" s="32">
        <x:v>1066.9000000000001</x:v>
      </x:c>
      <x:c r="D5512" s="32">
        <x:v>1053.97</x:v>
      </x:c>
      <x:c r="E5512" s="32">
        <x:v>1066.9000000000001</x:v>
      </x:c>
      <x:c r="F5512" s="33">
        <x:v>688543800</x:v>
      </x:c>
      <x:c r="G5512" s="32" t="n">
        <x:f t="shared" si="246">AVERAGE(E5313:E5512)</x:f>
        <x:v>1088.32445</x:v>
      </x:c>
      <x:c r="H5512" s="37" t="n">
        <x:f t="shared" si="247">IFERROR(E5512/G5512-1,"")</x:f>
        <x:v>-0.019685719639947474</x:v>
      </x:c>
      <x:c r="I5512" s="38" t="b">
        <x:f t="shared" si="248">E5512&lt;G5512</x:f>
        <x:v>1</x:v>
      </x:c>
    </x:row>
    <x:row r="5513">
      <x:c r="A5513" s="31">
        <x:v>45061</x:v>
      </x:c>
      <x:c r="B5513" s="32">
        <x:v>1075.08</x:v>
      </x:c>
      <x:c r="C5513" s="32">
        <x:v>1076.32</x:v>
      </x:c>
      <x:c r="D5513" s="32">
        <x:v>1065.71</x:v>
      </x:c>
      <x:c r="E5513" s="32">
        <x:v>1065.71</x:v>
      </x:c>
      <x:c r="F5513" s="33">
        <x:v>783695300</x:v>
      </x:c>
      <x:c r="G5513" s="32" t="n">
        <x:f t="shared" si="246">AVERAGE(E5314:E5513)</x:f>
        <x:v>1087.6792</x:v>
      </x:c>
      <x:c r="H5513" s="37" t="n">
        <x:f t="shared" si="247">IFERROR(E5513/G5513-1,"")</x:f>
        <x:v>-0.02019823492073769</x:v>
      </x:c>
      <x:c r="I5513" s="38" t="b">
        <x:f t="shared" si="248">E5513&lt;G5513</x:f>
        <x:v>1</x:v>
      </x:c>
    </x:row>
    <x:row r="5514">
      <x:c r="A5514" s="31">
        <x:v>45062</x:v>
      </x:c>
      <x:c r="B5514" s="32">
        <x:v>1068.54</x:v>
      </x:c>
      <x:c r="C5514" s="32">
        <x:v>1069.27</x:v>
      </x:c>
      <x:c r="D5514" s="32">
        <x:v>1063.6500000000001</x:v>
      </x:c>
      <x:c r="E5514" s="32">
        <x:v>1065.9100000000001</x:v>
      </x:c>
      <x:c r="F5514" s="33">
        <x:v>592131700</x:v>
      </x:c>
      <x:c r="G5514" s="32" t="n">
        <x:f t="shared" si="246">AVERAGE(E5315:E5514)</x:f>
        <x:v>1087.06625</x:v>
      </x:c>
      <x:c r="H5514" s="37" t="n">
        <x:f t="shared" si="247">IFERROR(E5514/G5514-1,"")</x:f>
        <x:v>-0.019461785332770654</x:v>
      </x:c>
      <x:c r="I5514" s="38" t="b">
        <x:f t="shared" si="248">E5514&lt;G5514</x:f>
        <x:v>1</x:v>
      </x:c>
    </x:row>
    <x:row r="5515">
      <x:c r="A5515" s="31">
        <x:v>45063</x:v>
      </x:c>
      <x:c r="B5515" s="32">
        <x:v>1066.46</x:v>
      </x:c>
      <x:c r="C5515" s="32">
        <x:v>1069.95</x:v>
      </x:c>
      <x:c r="D5515" s="32">
        <x:v>1060.44</x:v>
      </x:c>
      <x:c r="E5515" s="32">
        <x:v>1060.44</x:v>
      </x:c>
      <x:c r="F5515" s="33">
        <x:v>762187700</x:v>
      </x:c>
      <x:c r="G5515" s="32" t="n">
        <x:f t="shared" si="246">AVERAGE(E5316:E5515)</x:f>
        <x:v>1086.4431</x:v>
      </x:c>
      <x:c r="H5515" s="37" t="n">
        <x:f t="shared" si="247">IFERROR(E5515/G5515-1,"")</x:f>
        <x:v>-0.023934157251309207</x:v>
      </x:c>
      <x:c r="I5515" s="38" t="b">
        <x:f t="shared" si="248">E5515&lt;G5515</x:f>
        <x:v>1</x:v>
      </x:c>
    </x:row>
    <x:row r="5516">
      <x:c r="A5516" s="31">
        <x:v>45064</x:v>
      </x:c>
      <x:c r="B5516" s="32">
        <x:v>1063.72</x:v>
      </x:c>
      <x:c r="C5516" s="32">
        <x:v>1073.4100000000001</x:v>
      </x:c>
      <x:c r="D5516" s="32">
        <x:v>1060.94</x:v>
      </x:c>
      <x:c r="E5516" s="32">
        <x:v>1068.31</x:v>
      </x:c>
      <x:c r="F5516" s="33">
        <x:v>590882500</x:v>
      </x:c>
      <x:c r="G5516" s="32" t="n">
        <x:f t="shared" si="246">AVERAGE(E5317:E5516)</x:f>
        <x:v>1085.82945</x:v>
      </x:c>
      <x:c r="H5516" s="37" t="n">
        <x:f t="shared" si="247">IFERROR(E5516/G5516-1,"")</x:f>
        <x:v>-0.016134624088525173</x:v>
      </x:c>
      <x:c r="I5516" s="38" t="b">
        <x:f t="shared" si="248">E5516&lt;G5516</x:f>
        <x:v>1</x:v>
      </x:c>
    </x:row>
    <x:row r="5517">
      <x:c r="A5517" s="31">
        <x:v>45065</x:v>
      </x:c>
      <x:c r="B5517" s="32">
        <x:v>1069.6199999999999</x:v>
      </x:c>
      <x:c r="C5517" s="32">
        <x:v>1070.1500000000001</x:v>
      </x:c>
      <x:c r="D5517" s="32">
        <x:v>1058.56</x:v>
      </x:c>
      <x:c r="E5517" s="32">
        <x:v>1067.07</x:v>
      </x:c>
      <x:c r="F5517" s="33">
        <x:v>661637200</x:v>
      </x:c>
      <x:c r="G5517" s="32" t="n">
        <x:f t="shared" ref="G5517:G5580" si="249">AVERAGE(E5318:E5517)</x:f>
        <x:v>1085.1241999999997</x:v>
      </x:c>
      <x:c r="H5517" s="37" t="n">
        <x:f t="shared" ref="H5517:H5580" si="250">IFERROR(E5517/G5517-1,"")</x:f>
        <x:v>-0.016637911125749305</x:v>
      </x:c>
      <x:c r="I5517" s="38" t="b">
        <x:f t="shared" ref="I5517:I5580" si="251">E5517&lt;G5517</x:f>
        <x:v>1</x:v>
      </x:c>
    </x:row>
    <x:row r="5518">
      <x:c r="A5518" s="31">
        <x:v>45068</x:v>
      </x:c>
      <x:c r="B5518" s="32">
        <x:v>1067.32</x:v>
      </x:c>
      <x:c r="C5518" s="32">
        <x:v>1070.6400000000001</x:v>
      </x:c>
      <x:c r="D5518" s="32">
        <x:v>1065.8800000000001</x:v>
      </x:c>
      <x:c r="E5518" s="32">
        <x:v>1070.6400000000001</x:v>
      </x:c>
      <x:c r="F5518" s="33">
        <x:v>634063400</x:v>
      </x:c>
      <x:c r="G5518" s="32" t="n">
        <x:f t="shared" si="249">AVERAGE(E5319:E5518)</x:f>
        <x:v>1084.4457499999999</x:v>
      </x:c>
      <x:c r="H5518" s="37" t="n">
        <x:f t="shared" si="250">IFERROR(E5518/G5518-1,"")</x:f>
        <x:v>-0.012730696763761373</x:v>
      </x:c>
      <x:c r="I5518" s="38" t="b">
        <x:f t="shared" si="251">E5518&lt;G5518</x:f>
        <x:v>1</x:v>
      </x:c>
    </x:row>
    <x:row r="5519">
      <x:c r="A5519" s="31">
        <x:v>45069</x:v>
      </x:c>
      <x:c r="B5519" s="32">
        <x:v>1073.2</x:v>
      </x:c>
      <x:c r="C5519" s="32">
        <x:v>1073.96</x:v>
      </x:c>
      <x:c r="D5519" s="32">
        <x:v>1062.1500000000001</x:v>
      </x:c>
      <x:c r="E5519" s="32">
        <x:v>1065.8499999999999</x:v>
      </x:c>
      <x:c r="F5519" s="33">
        <x:v>668600300</x:v>
      </x:c>
      <x:c r="G5519" s="32" t="n">
        <x:f t="shared" si="249">AVERAGE(E5320:E5519)</x:f>
        <x:v>1083.61825</x:v>
      </x:c>
      <x:c r="H5519" s="37" t="n">
        <x:f t="shared" si="250">IFERROR(E5519/G5519-1,"")</x:f>
        <x:v>-0.016397149088251406</x:v>
      </x:c>
      <x:c r="I5519" s="38" t="b">
        <x:f t="shared" si="251">E5519&lt;G5519</x:f>
        <x:v>1</x:v>
      </x:c>
    </x:row>
    <x:row r="5520">
      <x:c r="A5520" s="31">
        <x:v>45070</x:v>
      </x:c>
      <x:c r="B5520" s="32">
        <x:v>1069.1099999999999</x:v>
      </x:c>
      <x:c r="C5520" s="32">
        <x:v>1069.6099999999999</x:v>
      </x:c>
      <x:c r="D5520" s="32">
        <x:v>1060.5999999999999</x:v>
      </x:c>
      <x:c r="E5520" s="32">
        <x:v>1061.79</x:v>
      </x:c>
      <x:c r="F5520" s="33">
        <x:v>682648400</x:v>
      </x:c>
      <x:c r="G5520" s="32" t="n">
        <x:f t="shared" si="249">AVERAGE(E5321:E5520)</x:f>
        <x:v>1082.7190999999998</x:v>
      </x:c>
      <x:c r="H5520" s="37" t="n">
        <x:f t="shared" si="250">IFERROR(E5520/G5520-1,"")</x:f>
        <x:v>-0.0193301291165916</x:v>
      </x:c>
      <x:c r="I5520" s="38" t="b">
        <x:f t="shared" si="251">E5520&lt;G5520</x:f>
        <x:v>1</x:v>
      </x:c>
    </x:row>
    <x:row r="5521">
      <x:c r="A5521" s="31">
        <x:v>45071</x:v>
      </x:c>
      <x:c r="B5521" s="32">
        <x:v>1061.95</x:v>
      </x:c>
      <x:c r="C5521" s="32">
        <x:v>1065.5</x:v>
      </x:c>
      <x:c r="D5521" s="32">
        <x:v>1057.9100000000001</x:v>
      </x:c>
      <x:c r="E5521" s="32">
        <x:v>1064.6300000000001</x:v>
      </x:c>
      <x:c r="F5521" s="33">
        <x:v>614115100</x:v>
      </x:c>
      <x:c r="G5521" s="32" t="n">
        <x:f t="shared" si="249">AVERAGE(E5322:E5521)</x:f>
        <x:v>1081.7934500000001</x:v>
      </x:c>
      <x:c r="H5521" s="37" t="n">
        <x:f t="shared" si="250">IFERROR(E5521/G5521-1,"")</x:f>
        <x:v>-0.01586573666165203</x:v>
      </x:c>
      <x:c r="I5521" s="38" t="b">
        <x:f t="shared" si="251">E5521&lt;G5521</x:f>
        <x:v>1</x:v>
      </x:c>
    </x:row>
    <x:row r="5522">
      <x:c r="A5522" s="31">
        <x:v>45072</x:v>
      </x:c>
      <x:c r="B5522" s="32">
        <x:v>1067.1099999999999</x:v>
      </x:c>
      <x:c r="C5522" s="32">
        <x:v>1067.28</x:v>
      </x:c>
      <x:c r="D5522" s="32">
        <x:v>1063.76</x:v>
      </x:c>
      <x:c r="E5522" s="32">
        <x:v>1063.76</x:v>
      </x:c>
      <x:c r="F5522" s="33">
        <x:v>595849900</x:v>
      </x:c>
      <x:c r="G5522" s="32" t="n">
        <x:f t="shared" si="249">AVERAGE(E5323:E5522)</x:f>
        <x:v>1080.8415</x:v>
      </x:c>
      <x:c r="H5522" s="37" t="n">
        <x:f t="shared" si="250">IFERROR(E5522/G5522-1,"")</x:f>
        <x:v>-0.015803889839537066</x:v>
      </x:c>
      <x:c r="I5522" s="38" t="b">
        <x:f t="shared" si="251">E5522&lt;G5522</x:f>
        <x:v>1</x:v>
      </x:c>
    </x:row>
    <x:row r="5523">
      <x:c r="A5523" s="31">
        <x:v>45075</x:v>
      </x:c>
      <x:c r="B5523" s="32">
        <x:v>1067.27</x:v>
      </x:c>
      <x:c r="C5523" s="32">
        <x:v>1077.18</x:v>
      </x:c>
      <x:c r="D5523" s="32">
        <x:v>1067.27</x:v>
      </x:c>
      <x:c r="E5523" s="32">
        <x:v>1074.98</x:v>
      </x:c>
      <x:c r="F5523" s="33">
        <x:v>738474500</x:v>
      </x:c>
      <x:c r="G5523" s="32" t="n">
        <x:f t="shared" si="249">AVERAGE(E5324:E5523)</x:f>
        <x:v>1079.9527</x:v>
      </x:c>
      <x:c r="H5523" s="37" t="n">
        <x:f t="shared" si="250">IFERROR(E5523/G5523-1,"")</x:f>
        <x:v>-0.004604553514241938</x:v>
      </x:c>
      <x:c r="I5523" s="38" t="b">
        <x:f t="shared" si="251">E5523&lt;G5523</x:f>
        <x:v>1</x:v>
      </x:c>
    </x:row>
    <x:row r="5524">
      <x:c r="A5524" s="31">
        <x:v>45076</x:v>
      </x:c>
      <x:c r="B5524" s="32">
        <x:v>1078.82</x:v>
      </x:c>
      <x:c r="C5524" s="32">
        <x:v>1079.31</x:v>
      </x:c>
      <x:c r="D5524" s="32">
        <x:v>1071.01</x:v>
      </x:c>
      <x:c r="E5524" s="32">
        <x:v>1078.05</x:v>
      </x:c>
      <x:c r="F5524" s="33">
        <x:v>816002500</x:v>
      </x:c>
      <x:c r="G5524" s="32" t="n">
        <x:f t="shared" si="249">AVERAGE(E5325:E5524)</x:f>
        <x:v>1079.0592000000001</x:v>
      </x:c>
      <x:c r="H5524" s="37" t="n">
        <x:f t="shared" si="250">IFERROR(E5524/G5524-1,"")</x:f>
        <x:v>-0.000935259159089874</x:v>
      </x:c>
      <x:c r="I5524" s="38" t="b">
        <x:f t="shared" si="251">E5524&lt;G5524</x:f>
        <x:v>1</x:v>
      </x:c>
    </x:row>
    <x:row r="5525">
      <x:c r="A5525" s="31">
        <x:v>45077</x:v>
      </x:c>
      <x:c r="B5525" s="32">
        <x:v>1078.3900000000001</x:v>
      </x:c>
      <x:c r="C5525" s="32">
        <x:v>1079.1099999999999</x:v>
      </x:c>
      <x:c r="D5525" s="32">
        <x:v>1071.3800000000001</x:v>
      </x:c>
      <x:c r="E5525" s="32">
        <x:v>1075.17</x:v>
      </x:c>
      <x:c r="F5525" s="33">
        <x:v>861773100</x:v>
      </x:c>
      <x:c r="G5525" s="32" t="n">
        <x:f t="shared" si="249">AVERAGE(E5326:E5525)</x:f>
        <x:v>1078.1408000000001</x:v>
      </x:c>
      <x:c r="H5525" s="37" t="n">
        <x:f t="shared" si="250">IFERROR(E5525/G5525-1,"")</x:f>
        <x:v>-0.002755484255859808</x:v>
      </x:c>
      <x:c r="I5525" s="38" t="b">
        <x:f t="shared" si="251">E5525&lt;G5525</x:f>
        <x:v>1</x:v>
      </x:c>
    </x:row>
    <x:row r="5526">
      <x:c r="A5526" s="31">
        <x:v>45078</x:v>
      </x:c>
      <x:c r="B5526" s="32">
        <x:v>1076.27</x:v>
      </x:c>
      <x:c r="C5526" s="32">
        <x:v>1078.3900000000001</x:v>
      </x:c>
      <x:c r="D5526" s="32">
        <x:v>1071.6099999999999</x:v>
      </x:c>
      <x:c r="E5526" s="32">
        <x:v>1078.3900000000001</x:v>
      </x:c>
      <x:c r="F5526" s="33">
        <x:v>820193400</x:v>
      </x:c>
      <x:c r="G5526" s="32" t="n">
        <x:f t="shared" si="249">AVERAGE(E5327:E5526)</x:f>
        <x:v>1077.2502500000003</x:v>
      </x:c>
      <x:c r="H5526" s="37" t="n">
        <x:f t="shared" si="250">IFERROR(E5526/G5526-1,"")</x:f>
        <x:v>0.0010580178561108156</x:v>
      </x:c>
      <x:c r="I5526" s="38" t="b">
        <x:f t="shared" si="251">E5526&lt;G5526</x:f>
        <x:v>0</x:v>
      </x:c>
    </x:row>
    <x:row r="5527">
      <x:c r="A5527" s="31">
        <x:v>45079</x:v>
      </x:c>
      <x:c r="B5527" s="32">
        <x:v>1084.19</x:v>
      </x:c>
      <x:c r="C5527" s="32">
        <x:v>1092.24</x:v>
      </x:c>
      <x:c r="D5527" s="32">
        <x:v>1083.3599999999999</x:v>
      </x:c>
      <x:c r="E5527" s="32">
        <x:v>1090.8399999999999</x:v>
      </x:c>
      <x:c r="F5527" s="33">
        <x:v>973372400</x:v>
      </x:c>
      <x:c r="G5527" s="32" t="n">
        <x:f t="shared" si="249">AVERAGE(E5328:E5527)</x:f>
        <x:v>1076.4441</x:v>
      </x:c>
      <x:c r="H5527" s="37" t="n">
        <x:f t="shared" si="250">IFERROR(E5527/G5527-1,"")</x:f>
        <x:v>0.013373569514663952</x:v>
      </x:c>
      <x:c r="I5527" s="38" t="b">
        <x:f t="shared" si="251">E5527&lt;G5527</x:f>
        <x:v>0</x:v>
      </x:c>
    </x:row>
    <x:row r="5528">
      <x:c r="A5528" s="31">
        <x:v>45082</x:v>
      </x:c>
      <x:c r="B5528" s="32">
        <x:v>1100.2</x:v>
      </x:c>
      <x:c r="C5528" s="32">
        <x:v>1103.81</x:v>
      </x:c>
      <x:c r="D5528" s="32">
        <x:v>1096.76</x:v>
      </x:c>
      <x:c r="E5528" s="32">
        <x:v>1097.82</x:v>
      </x:c>
      <x:c r="F5528" s="33">
        <x:v>893972900</x:v>
      </x:c>
      <x:c r="G5528" s="32" t="n">
        <x:f t="shared" si="249">AVERAGE(E5329:E5528)</x:f>
        <x:v>1075.6215500000003</x:v>
      </x:c>
      <x:c r="H5528" s="37" t="n">
        <x:f t="shared" si="250">IFERROR(E5528/G5528-1,"")</x:f>
        <x:v>0.02063778844892017</x:v>
      </x:c>
      <x:c r="I5528" s="38" t="b">
        <x:f t="shared" si="251">E5528&lt;G5528</x:f>
        <x:v>0</x:v>
      </x:c>
    </x:row>
    <x:row r="5529">
      <x:c r="A5529" s="31">
        <x:v>45083</x:v>
      </x:c>
      <x:c r="B5529" s="32">
        <x:v>1099.99</x:v>
      </x:c>
      <x:c r="C5529" s="32">
        <x:v>1108.31</x:v>
      </x:c>
      <x:c r="D5529" s="32">
        <x:v>1098.28</x:v>
      </x:c>
      <x:c r="E5529" s="32">
        <x:v>1108.31</x:v>
      </x:c>
      <x:c r="F5529" s="33">
        <x:v>782675900</x:v>
      </x:c>
      <x:c r="G5529" s="32" t="n">
        <x:f t="shared" si="249">AVERAGE(E5330:E5529)</x:f>
        <x:v>1074.7921000000001</x:v>
      </x:c>
      <x:c r="H5529" s="37" t="n">
        <x:f t="shared" si="250">IFERROR(E5529/G5529-1,"")</x:f>
        <x:v>0.031185472985891804</x:v>
      </x:c>
      <x:c r="I5529" s="38" t="b">
        <x:f t="shared" si="251">E5529&lt;G5529</x:f>
        <x:v>0</x:v>
      </x:c>
    </x:row>
    <x:row r="5530">
      <x:c r="A5530" s="31">
        <x:v>45084</x:v>
      </x:c>
      <x:c r="B5530" s="32">
        <x:v>1111.67</x:v>
      </x:c>
      <x:c r="C5530" s="32">
        <x:v>1112.28</x:v>
      </x:c>
      <x:c r="D5530" s="32">
        <x:v>1104.26</x:v>
      </x:c>
      <x:c r="E5530" s="32">
        <x:v>1109.54</x:v>
      </x:c>
      <x:c r="F5530" s="33">
        <x:v>930395400</x:v>
      </x:c>
      <x:c r="G5530" s="32" t="n">
        <x:f t="shared" si="249">AVERAGE(E5331:E5530)</x:f>
        <x:v>1073.9663500000004</x:v>
      </x:c>
      <x:c r="H5530" s="37" t="n">
        <x:f t="shared" si="250">IFERROR(E5530/G5530-1,"")</x:f>
        <x:v>0.033123616955037294</x:v>
      </x:c>
      <x:c r="I5530" s="38" t="b">
        <x:f t="shared" si="251">E5530&lt;G5530</x:f>
        <x:v>0</x:v>
      </x:c>
    </x:row>
    <x:row r="5531">
      <x:c r="A5531" s="31">
        <x:v>45085</x:v>
      </x:c>
      <x:c r="B5531" s="32">
        <x:v>1111.8599999999999</x:v>
      </x:c>
      <x:c r="C5531" s="32">
        <x:v>1115.1400000000001</x:v>
      </x:c>
      <x:c r="D5531" s="32">
        <x:v>1101.32</x:v>
      </x:c>
      <x:c r="E5531" s="32">
        <x:v>1101.32</x:v>
      </x:c>
      <x:c r="F5531" s="33">
        <x:v>1211637500</x:v>
      </x:c>
      <x:c r="G5531" s="32" t="n">
        <x:f t="shared" si="249">AVERAGE(E5332:E5531)</x:f>
        <x:v>1073.0965500000002</x:v>
      </x:c>
      <x:c r="H5531" s="37" t="n">
        <x:f t="shared" si="250">IFERROR(E5531/G5531-1,"")</x:f>
        <x:v>0.026300941886356677</x:v>
      </x:c>
      <x:c r="I5531" s="38" t="b">
        <x:f t="shared" si="251">E5531&lt;G5531</x:f>
        <x:v>0</x:v>
      </x:c>
    </x:row>
    <x:row r="5532">
      <x:c r="A5532" s="31">
        <x:v>45086</x:v>
      </x:c>
      <x:c r="B5532" s="32">
        <x:v>1103.1099999999999</x:v>
      </x:c>
      <x:c r="C5532" s="32">
        <x:v>1107.53</x:v>
      </x:c>
      <x:c r="D5532" s="32">
        <x:v>1097.23</x:v>
      </x:c>
      <x:c r="E5532" s="32">
        <x:v>1107.53</x:v>
      </x:c>
      <x:c r="F5532" s="33">
        <x:v>839731400</x:v>
      </x:c>
      <x:c r="G5532" s="32" t="n">
        <x:f t="shared" si="249">AVERAGE(E5333:E5532)</x:f>
        <x:v>1072.2659</x:v>
      </x:c>
      <x:c r="H5532" s="37" t="n">
        <x:f t="shared" si="250">IFERROR(E5532/G5532-1,"")</x:f>
        <x:v>0.032887458232141675</x:v>
      </x:c>
      <x:c r="I5532" s="38" t="b">
        <x:f t="shared" si="251">E5532&lt;G5532</x:f>
        <x:v>0</x:v>
      </x:c>
    </x:row>
    <x:row r="5533">
      <x:c r="A5533" s="31">
        <x:v>45089</x:v>
      </x:c>
      <x:c r="B5533" s="32">
        <x:v>1110.26</x:v>
      </x:c>
      <x:c r="C5533" s="32">
        <x:v>1116.02</x:v>
      </x:c>
      <x:c r="D5533" s="32">
        <x:v>1100.08</x:v>
      </x:c>
      <x:c r="E5533" s="32">
        <x:v>1116.02</x:v>
      </x:c>
      <x:c r="F5533" s="33">
        <x:v>726269400</x:v>
      </x:c>
      <x:c r="G5533" s="32" t="n">
        <x:f t="shared" si="249">AVERAGE(E5334:E5533)</x:f>
        <x:v>1071.5001000000002</x:v>
      </x:c>
      <x:c r="H5533" s="37" t="n">
        <x:f t="shared" si="250">IFERROR(E5533/G5533-1,"")</x:f>
        <x:v>0.04154913284655759</x:v>
      </x:c>
      <x:c r="I5533" s="38" t="b">
        <x:f t="shared" si="251">E5533&lt;G5533</x:f>
        <x:v>0</x:v>
      </x:c>
    </x:row>
    <x:row r="5534">
      <x:c r="A5534" s="31">
        <x:v>45090</x:v>
      </x:c>
      <x:c r="B5534" s="32">
        <x:v>1117.43</x:v>
      </x:c>
      <x:c r="C5534" s="32">
        <x:v>1122.46</x:v>
      </x:c>
      <x:c r="D5534" s="32">
        <x:v>1116.0999999999999</x:v>
      </x:c>
      <x:c r="E5534" s="32">
        <x:v>1122.46</x:v>
      </x:c>
      <x:c r="F5534" s="33">
        <x:v>870411600</x:v>
      </x:c>
      <x:c r="G5534" s="32" t="n">
        <x:f t="shared" si="249">AVERAGE(E5335:E5534)</x:f>
        <x:v>1070.81025</x:v>
      </x:c>
      <x:c r="H5534" s="37" t="n">
        <x:f t="shared" si="250">IFERROR(E5534/G5534-1,"")</x:f>
        <x:v>0.04823426933016384</x:v>
      </x:c>
      <x:c r="I5534" s="38" t="b">
        <x:f t="shared" si="251">E5534&lt;G5534</x:f>
        <x:v>0</x:v>
      </x:c>
    </x:row>
    <x:row r="5535">
      <x:c r="A5535" s="31">
        <x:v>45091</x:v>
      </x:c>
      <x:c r="B5535" s="32">
        <x:v>1124.56</x:v>
      </x:c>
      <x:c r="C5535" s="32">
        <x:v>1129.49</x:v>
      </x:c>
      <x:c r="D5535" s="32">
        <x:v>1117.42</x:v>
      </x:c>
      <x:c r="E5535" s="32">
        <x:v>1117.42</x:v>
      </x:c>
      <x:c r="F5535" s="33">
        <x:v>845985500</x:v>
      </x:c>
      <x:c r="G5535" s="32" t="n">
        <x:f t="shared" si="249">AVERAGE(E5336:E5535)</x:f>
        <x:v>1070.0433</x:v>
      </x:c>
      <x:c r="H5535" s="37" t="n">
        <x:f t="shared" si="250">IFERROR(E5535/G5535-1,"")</x:f>
        <x:v>0.04427549801022068</x:v>
      </x:c>
      <x:c r="I5535" s="38" t="b">
        <x:f t="shared" si="251">E5535&lt;G5535</x:f>
        <x:v>0</x:v>
      </x:c>
    </x:row>
    <x:row r="5536">
      <x:c r="A5536" s="31">
        <x:v>45092</x:v>
      </x:c>
      <x:c r="B5536" s="32">
        <x:v>1117.06</x:v>
      </x:c>
      <x:c r="C5536" s="32">
        <x:v>1120.1300000000001</x:v>
      </x:c>
      <x:c r="D5536" s="32">
        <x:v>1112.1099999999999</x:v>
      </x:c>
      <x:c r="E5536" s="32">
        <x:v>1116.97</x:v>
      </x:c>
      <x:c r="F5536" s="33">
        <x:v>675615200</x:v>
      </x:c>
      <x:c r="G5536" s="32" t="n">
        <x:f t="shared" si="249">AVERAGE(E5337:E5536)</x:f>
        <x:v>1069.2423500000002</x:v>
      </x:c>
      <x:c r="H5536" s="37" t="n">
        <x:f t="shared" si="250">IFERROR(E5536/G5536-1,"")</x:f>
        <x:v>0.044636887044363416</x:v>
      </x:c>
      <x:c r="I5536" s="38" t="b">
        <x:f t="shared" si="251">E5536&lt;G5536</x:f>
        <x:v>0</x:v>
      </x:c>
    </x:row>
    <x:row r="5537">
      <x:c r="A5537" s="31">
        <x:v>45093</x:v>
      </x:c>
      <x:c r="B5537" s="32">
        <x:v>1121.92</x:v>
      </x:c>
      <x:c r="C5537" s="32">
        <x:v>1128.92</x:v>
      </x:c>
      <x:c r="D5537" s="32">
        <x:v>1112.51</x:v>
      </x:c>
      <x:c r="E5537" s="32">
        <x:v>1115.22</x:v>
      </x:c>
      <x:c r="F5537" s="33">
        <x:v>1075388700</x:v>
      </x:c>
      <x:c r="G5537" s="32" t="n">
        <x:f t="shared" si="249">AVERAGE(E5338:E5537)</x:f>
        <x:v>1068.3740500000001</x:v>
      </x:c>
      <x:c r="H5537" s="37" t="n">
        <x:f t="shared" si="250">IFERROR(E5537/G5537-1,"")</x:f>
        <x:v>0.04384789203743744</x:v>
      </x:c>
      <x:c r="I5537" s="38" t="b">
        <x:f t="shared" si="251">E5537&lt;G5537</x:f>
        <x:v>0</x:v>
      </x:c>
    </x:row>
    <x:row r="5538">
      <x:c r="A5538" s="31">
        <x:v>45096</x:v>
      </x:c>
      <x:c r="B5538" s="32">
        <x:v>1115.68</x:v>
      </x:c>
      <x:c r="C5538" s="32">
        <x:v>1117.23</x:v>
      </x:c>
      <x:c r="D5538" s="32">
        <x:v>1104.73</x:v>
      </x:c>
      <x:c r="E5538" s="32">
        <x:v>1105.4000000000001</x:v>
      </x:c>
      <x:c r="F5538" s="33">
        <x:v>723615800</x:v>
      </x:c>
      <x:c r="G5538" s="32" t="n">
        <x:f t="shared" si="249">AVERAGE(E5339:E5538)</x:f>
        <x:v>1067.4882</x:v>
      </x:c>
      <x:c r="H5538" s="37" t="n">
        <x:f t="shared" si="250">IFERROR(E5538/G5538-1,"")</x:f>
        <x:v>0.035514959322267003</x:v>
      </x:c>
      <x:c r="I5538" s="38" t="b">
        <x:f t="shared" si="251">E5538&lt;G5538</x:f>
        <x:v>0</x:v>
      </x:c>
    </x:row>
    <x:row r="5539">
      <x:c r="A5539" s="31">
        <x:v>45097</x:v>
      </x:c>
      <x:c r="B5539" s="32">
        <x:v>1105.75</x:v>
      </x:c>
      <x:c r="C5539" s="32">
        <x:v>1111.72</x:v>
      </x:c>
      <x:c r="D5539" s="32">
        <x:v>1102.58</x:v>
      </x:c>
      <x:c r="E5539" s="32">
        <x:v>1111.72</x:v>
      </x:c>
      <x:c r="F5539" s="33">
        <x:v>593021300</x:v>
      </x:c>
      <x:c r="G5539" s="32" t="n">
        <x:f t="shared" si="249">AVERAGE(E5340:E5539)</x:f>
        <x:v>1066.6928</x:v>
      </x:c>
      <x:c r="H5539" s="37" t="n">
        <x:f t="shared" si="250">IFERROR(E5539/G5539-1,"")</x:f>
        <x:v>0.042211965806837615</x:v>
      </x:c>
      <x:c r="I5539" s="38" t="b">
        <x:f t="shared" si="251">E5539&lt;G5539</x:f>
        <x:v>0</x:v>
      </x:c>
    </x:row>
    <x:row r="5540">
      <x:c r="A5540" s="31">
        <x:v>45098</x:v>
      </x:c>
      <x:c r="B5540" s="32">
        <x:v>1112.73</x:v>
      </x:c>
      <x:c r="C5540" s="32">
        <x:v>1118.46</x:v>
      </x:c>
      <x:c r="D5540" s="32">
        <x:v>1110.6500000000001</x:v>
      </x:c>
      <x:c r="E5540" s="32">
        <x:v>1118.46</x:v>
      </x:c>
      <x:c r="F5540" s="33">
        <x:v>800466000</x:v>
      </x:c>
      <x:c r="G5540" s="32" t="n">
        <x:f t="shared" si="249">AVERAGE(E5341:E5540)</x:f>
        <x:v>1065.88815</x:v>
      </x:c>
      <x:c r="H5540" s="37" t="n">
        <x:f t="shared" si="250">IFERROR(E5540/G5540-1,"")</x:f>
        <x:v>0.04932210757761024</x:v>
      </x:c>
      <x:c r="I5540" s="38" t="b">
        <x:f t="shared" si="251">E5540&lt;G5540</x:f>
        <x:v>0</x:v>
      </x:c>
    </x:row>
    <x:row r="5541">
      <x:c r="A5541" s="31">
        <x:v>45099</x:v>
      </x:c>
      <x:c r="B5541" s="32">
        <x:v>1126.23</x:v>
      </x:c>
      <x:c r="C5541" s="32">
        <x:v>1127.54</x:v>
      </x:c>
      <x:c r="D5541" s="32">
        <x:v>1122.27</x:v>
      </x:c>
      <x:c r="E5541" s="32">
        <x:v>1125.3</x:v>
      </x:c>
      <x:c r="F5541" s="33">
        <x:v>828954300</x:v>
      </x:c>
      <x:c r="G5541" s="32" t="n">
        <x:f t="shared" si="249">AVERAGE(E5342:E5541)</x:f>
        <x:v>1065.1121</x:v>
      </x:c>
      <x:c r="H5541" s="37" t="n">
        <x:f t="shared" si="250">IFERROR(E5541/G5541-1,"")</x:f>
        <x:v>0.05650851210872543</x:v>
      </x:c>
      <x:c r="I5541" s="38" t="b">
        <x:f t="shared" si="251">E5541&lt;G5541</x:f>
        <x:v>0</x:v>
      </x:c>
    </x:row>
    <x:row r="5542">
      <x:c r="A5542" s="31">
        <x:v>45100</x:v>
      </x:c>
      <x:c r="B5542" s="32">
        <x:v>1126.23</x:v>
      </x:c>
      <x:c r="C5542" s="32">
        <x:v>1130.6099999999999</x:v>
      </x:c>
      <x:c r="D5542" s="32">
        <x:v>1122.6199999999999</x:v>
      </x:c>
      <x:c r="E5542" s="32">
        <x:v>1129.3800000000001</x:v>
      </x:c>
      <x:c r="F5542" s="33">
        <x:v>857067500</x:v>
      </x:c>
      <x:c r="G5542" s="32" t="n">
        <x:f t="shared" si="249">AVERAGE(E5343:E5542)</x:f>
        <x:v>1064.3722500000003</x:v>
      </x:c>
      <x:c r="H5542" s="37" t="n">
        <x:f t="shared" si="250">IFERROR(E5542/G5542-1,"")</x:f>
        <x:v>0.061076141359378555</x:v>
      </x:c>
      <x:c r="I5542" s="38" t="b">
        <x:f t="shared" si="251">E5542&lt;G5542</x:f>
        <x:v>0</x:v>
      </x:c>
    </x:row>
    <x:row r="5543">
      <x:c r="A5543" s="31">
        <x:v>45103</x:v>
      </x:c>
      <x:c r="B5543" s="32">
        <x:v>1130.08</x:v>
      </x:c>
      <x:c r="C5543" s="32">
        <x:v>1134</x:v>
      </x:c>
      <x:c r="D5543" s="32">
        <x:v>1119.95</x:v>
      </x:c>
      <x:c r="E5543" s="32">
        <x:v>1132.03</x:v>
      </x:c>
      <x:c r="F5543" s="33">
        <x:v>955006800</x:v>
      </x:c>
      <x:c r="G5543" s="32" t="n">
        <x:f t="shared" si="249">AVERAGE(E5344:E5543)</x:f>
        <x:v>1063.6454000000003</x:v>
      </x:c>
      <x:c r="H5543" s="37" t="n">
        <x:f t="shared" si="250">IFERROR(E5543/G5543-1,"")</x:f>
        <x:v>0.06429266746229478</x:v>
      </x:c>
      <x:c r="I5543" s="38" t="b">
        <x:f t="shared" si="251">E5543&lt;G5543</x:f>
        <x:v>0</x:v>
      </x:c>
    </x:row>
    <x:row r="5544">
      <x:c r="A5544" s="31">
        <x:v>45104</x:v>
      </x:c>
      <x:c r="B5544" s="32">
        <x:v>1134.55</x:v>
      </x:c>
      <x:c r="C5544" s="32">
        <x:v>1136.49</x:v>
      </x:c>
      <x:c r="D5544" s="32">
        <x:v>1128.82</x:v>
      </x:c>
      <x:c r="E5544" s="32">
        <x:v>1134.33</x:v>
      </x:c>
      <x:c r="F5544" s="33">
        <x:v>641633700</x:v>
      </x:c>
      <x:c r="G5544" s="32" t="n">
        <x:f t="shared" si="249">AVERAGE(E5345:E5544)</x:f>
        <x:v>1063.1012000000003</x:v>
      </x:c>
      <x:c r="H5544" s="37" t="n">
        <x:f t="shared" si="250">IFERROR(E5544/G5544-1,"")</x:f>
        <x:v>0.06700095908084736</x:v>
      </x:c>
      <x:c r="I5544" s="38" t="b">
        <x:f t="shared" si="251">E5544&lt;G5544</x:f>
        <x:v>0</x:v>
      </x:c>
    </x:row>
    <x:row r="5545">
      <x:c r="A5545" s="31">
        <x:v>45105</x:v>
      </x:c>
      <x:c r="B5545" s="32">
        <x:v>1137.18</x:v>
      </x:c>
      <x:c r="C5545" s="32">
        <x:v>1140.56</x:v>
      </x:c>
      <x:c r="D5545" s="32">
        <x:v>1131.8599999999999</x:v>
      </x:c>
      <x:c r="E5545" s="32">
        <x:v>1138.3499999999999</x:v>
      </x:c>
      <x:c r="F5545" s="33">
        <x:v>772870700</x:v>
      </x:c>
      <x:c r="G5545" s="32" t="n">
        <x:f t="shared" si="249">AVERAGE(E5346:E5545)</x:f>
        <x:v>1062.6199500000002</x:v>
      </x:c>
      <x:c r="H5545" s="37" t="n">
        <x:f t="shared" si="250">IFERROR(E5545/G5545-1,"")</x:f>
        <x:v>0.07126729551802558</x:v>
      </x:c>
      <x:c r="I5545" s="38" t="b">
        <x:f t="shared" si="251">E5545&lt;G5545</x:f>
        <x:v>0</x:v>
      </x:c>
    </x:row>
    <x:row r="5546">
      <x:c r="A5546" s="31">
        <x:v>45106</x:v>
      </x:c>
      <x:c r="B5546" s="32">
        <x:v>1139.31</x:v>
      </x:c>
      <x:c r="C5546" s="32">
        <x:v>1140.43</x:v>
      </x:c>
      <x:c r="D5546" s="32">
        <x:v>1125.3900000000001</x:v>
      </x:c>
      <x:c r="E5546" s="32">
        <x:v>1125.3900000000001</x:v>
      </x:c>
      <x:c r="F5546" s="33">
        <x:v>839096000</x:v>
      </x:c>
      <x:c r="G5546" s="32" t="n">
        <x:f t="shared" si="249">AVERAGE(E5347:E5546)</x:f>
        <x:v>1062.0030000000002</x:v>
      </x:c>
      <x:c r="H5546" s="37" t="n">
        <x:f t="shared" si="250">IFERROR(E5546/G5546-1,"")</x:f>
        <x:v>0.059686272072677626</x:v>
      </x:c>
      <x:c r="I5546" s="38" t="b">
        <x:f t="shared" si="251">E5546&lt;G5546</x:f>
        <x:v>0</x:v>
      </x:c>
    </x:row>
    <x:row r="5547">
      <x:c r="A5547" s="31">
        <x:v>45107</x:v>
      </x:c>
      <x:c r="B5547" s="32">
        <x:v>1124.3</x:v>
      </x:c>
      <x:c r="C5547" s="32">
        <x:v>1126.33</x:v>
      </x:c>
      <x:c r="D5547" s="32">
        <x:v>1120.01</x:v>
      </x:c>
      <x:c r="E5547" s="32">
        <x:v>1120.18</x:v>
      </x:c>
      <x:c r="F5547" s="33">
        <x:v>543467000</x:v>
      </x:c>
      <x:c r="G5547" s="32" t="n">
        <x:f t="shared" si="249">AVERAGE(E5348:E5547)</x:f>
        <x:v>1061.3558000000003</x:v>
      </x:c>
      <x:c r="H5547" s="37" t="n">
        <x:f t="shared" si="250">IFERROR(E5547/G5547-1,"")</x:f>
        <x:v>0.05542363833127384</x:v>
      </x:c>
      <x:c r="I5547" s="38" t="b">
        <x:f t="shared" si="251">E5547&lt;G5547</x:f>
        <x:v>0</x:v>
      </x:c>
    </x:row>
    <x:row r="5548">
      <x:c r="A5548" s="31">
        <x:v>45110</x:v>
      </x:c>
      <x:c r="B5548" s="32">
        <x:v>1125.55</x:v>
      </x:c>
      <x:c r="C5548" s="32">
        <x:v>1128.3499999999999</x:v>
      </x:c>
      <x:c r="D5548" s="32">
        <x:v>1121.17</x:v>
      </x:c>
      <x:c r="E5548" s="32">
        <x:v>1125.5</x:v>
      </x:c>
      <x:c r="F5548" s="33">
        <x:v>502324200</x:v>
      </x:c>
      <x:c r="G5548" s="32" t="n">
        <x:f t="shared" si="249">AVERAGE(E5349:E5548)</x:f>
        <x:v>1060.7413000000001</x:v>
      </x:c>
      <x:c r="H5548" s="37" t="n">
        <x:f t="shared" si="250">IFERROR(E5548/G5548-1,"")</x:f>
        <x:v>0.061050418231099135</x:v>
      </x:c>
      <x:c r="I5548" s="38" t="b">
        <x:f t="shared" si="251">E5548&lt;G5548</x:f>
        <x:v>0</x:v>
      </x:c>
    </x:row>
    <x:row r="5549">
      <x:c r="A5549" s="31">
        <x:v>45111</x:v>
      </x:c>
      <x:c r="B5549" s="32">
        <x:v>1127.1099999999999</x:v>
      </x:c>
      <x:c r="C5549" s="32">
        <x:v>1132.1199999999999</x:v>
      </x:c>
      <x:c r="D5549" s="32">
        <x:v>1123.49</x:v>
      </x:c>
      <x:c r="E5549" s="32">
        <x:v>1132</x:v>
      </x:c>
      <x:c r="F5549" s="33">
        <x:v>638567700</x:v>
      </x:c>
      <x:c r="G5549" s="32" t="n">
        <x:f t="shared" si="249">AVERAGE(E5350:E5549)</x:f>
        <x:v>1060.1974500000003</x:v>
      </x:c>
      <x:c r="H5549" s="37" t="n">
        <x:f t="shared" si="250">IFERROR(E5549/G5549-1,"")</x:f>
        <x:v>0.06772563921937347</x:v>
      </x:c>
      <x:c r="I5549" s="38" t="b">
        <x:f t="shared" si="251">E5549&lt;G5549</x:f>
        <x:v>0</x:v>
      </x:c>
    </x:row>
    <x:row r="5550">
      <x:c r="A5550" s="31">
        <x:v>45112</x:v>
      </x:c>
      <x:c r="B5550" s="32">
        <x:v>1136.55</x:v>
      </x:c>
      <x:c r="C5550" s="32">
        <x:v>1138.67</x:v>
      </x:c>
      <x:c r="D5550" s="32">
        <x:v>1133.45</x:v>
      </x:c>
      <x:c r="E5550" s="32">
        <x:v>1134.6199999999999</x:v>
      </x:c>
      <x:c r="F5550" s="33">
        <x:v>744832500</x:v>
      </x:c>
      <x:c r="G5550" s="32" t="n">
        <x:f t="shared" si="249">AVERAGE(E5351:E5550)</x:f>
        <x:v>1059.64225</x:v>
      </x:c>
      <x:c r="H5550" s="37" t="n">
        <x:f t="shared" si="250">IFERROR(E5550/G5550-1,"")</x:f>
        <x:v>0.0707576071074929</x:v>
      </x:c>
      <x:c r="I5550" s="38" t="b">
        <x:f t="shared" si="251">E5550&lt;G5550</x:f>
        <x:v>0</x:v>
      </x:c>
    </x:row>
    <x:row r="5551">
      <x:c r="A5551" s="31">
        <x:v>45113</x:v>
      </x:c>
      <x:c r="B5551" s="32">
        <x:v>1133.7</x:v>
      </x:c>
      <x:c r="C5551" s="32">
        <x:v>1135.81</x:v>
      </x:c>
      <x:c r="D5551" s="32">
        <x:v>1122.3499999999999</x:v>
      </x:c>
      <x:c r="E5551" s="32">
        <x:v>1126.22</x:v>
      </x:c>
      <x:c r="F5551" s="33">
        <x:v>870574400</x:v>
      </x:c>
      <x:c r="G5551" s="32" t="n">
        <x:f t="shared" si="249">AVERAGE(E5352:E5551)</x:f>
        <x:v>1059.09465</x:v>
      </x:c>
      <x:c r="H5551" s="37" t="n">
        <x:f t="shared" si="250">IFERROR(E5551/G5551-1,"")</x:f>
        <x:v>0.06337993492838434</x:v>
      </x:c>
      <x:c r="I5551" s="38" t="b">
        <x:f t="shared" si="251">E5551&lt;G5551</x:f>
        <x:v>0</x:v>
      </x:c>
    </x:row>
    <x:row r="5552">
      <x:c r="A5552" s="31">
        <x:v>45114</x:v>
      </x:c>
      <x:c r="B5552" s="32">
        <x:v>1125.07</x:v>
      </x:c>
      <x:c r="C5552" s="32">
        <x:v>1138.07</x:v>
      </x:c>
      <x:c r="D5552" s="32">
        <x:v>1122.94</x:v>
      </x:c>
      <x:c r="E5552" s="32">
        <x:v>1138.07</x:v>
      </x:c>
      <x:c r="F5552" s="33">
        <x:v>713850500</x:v>
      </x:c>
      <x:c r="G5552" s="32" t="n">
        <x:f t="shared" si="249">AVERAGE(E5353:E5552)</x:f>
        <x:v>1058.75785</x:v>
      </x:c>
      <x:c r="H5552" s="37" t="n">
        <x:f t="shared" si="250">IFERROR(E5552/G5552-1,"")</x:f>
        <x:v>0.07491056618848213</x:v>
      </x:c>
      <x:c r="I5552" s="38" t="b">
        <x:f t="shared" si="251">E5552&lt;G5552</x:f>
        <x:v>0</x:v>
      </x:c>
    </x:row>
    <x:row r="5553">
      <x:c r="A5553" s="31">
        <x:v>45117</x:v>
      </x:c>
      <x:c r="B5553" s="32">
        <x:v>1142.6099999999999</x:v>
      </x:c>
      <x:c r="C5553" s="32">
        <x:v>1149.02</x:v>
      </x:c>
      <x:c r="D5553" s="32">
        <x:v>1140.03</x:v>
      </x:c>
      <x:c r="E5553" s="32">
        <x:v>1149.02</x:v>
      </x:c>
      <x:c r="F5553" s="33">
        <x:v>814696500</x:v>
      </x:c>
      <x:c r="G5553" s="32" t="n">
        <x:f t="shared" si="249">AVERAGE(E5354:E5553)</x:f>
        <x:v>1058.4083</x:v>
      </x:c>
      <x:c r="H5553" s="37" t="n">
        <x:f t="shared" si="250">IFERROR(E5553/G5553-1,"")</x:f>
        <x:v>0.0856112900853101</x:v>
      </x:c>
      <x:c r="I5553" s="38" t="b">
        <x:f t="shared" si="251">E5553&lt;G5553</x:f>
        <x:v>0</x:v>
      </x:c>
    </x:row>
    <x:row r="5554">
      <x:c r="A5554" s="31">
        <x:v>45118</x:v>
      </x:c>
      <x:c r="B5554" s="32">
        <x:v>1151.1300000000001</x:v>
      </x:c>
      <x:c r="C5554" s="32">
        <x:v>1157.01</x:v>
      </x:c>
      <x:c r="D5554" s="32">
        <x:v>1149.69</x:v>
      </x:c>
      <x:c r="E5554" s="32">
        <x:v>1151.77</x:v>
      </x:c>
      <x:c r="F5554" s="33">
        <x:v>851005600</x:v>
      </x:c>
      <x:c r="G5554" s="32" t="n">
        <x:f t="shared" si="249">AVERAGE(E5355:E5554)</x:f>
        <x:v>1058.1144</x:v>
      </x:c>
      <x:c r="H5554" s="37" t="n">
        <x:f t="shared" si="250">IFERROR(E5554/G5554-1,"")</x:f>
        <x:v>0.08851179040754009</x:v>
      </x:c>
      <x:c r="I5554" s="38" t="b">
        <x:f t="shared" si="251">E5554&lt;G5554</x:f>
        <x:v>0</x:v>
      </x:c>
    </x:row>
    <x:row r="5555">
      <x:c r="A5555" s="31">
        <x:v>45119</x:v>
      </x:c>
      <x:c r="B5555" s="32">
        <x:v>1154.3699999999999</x:v>
      </x:c>
      <x:c r="C5555" s="32">
        <x:v>1157.43</x:v>
      </x:c>
      <x:c r="D5555" s="32">
        <x:v>1149.28</x:v>
      </x:c>
      <x:c r="E5555" s="32">
        <x:v>1154.2</x:v>
      </x:c>
      <x:c r="F5555" s="33">
        <x:v>696536100</x:v>
      </x:c>
      <x:c r="G5555" s="32" t="n">
        <x:f t="shared" si="249">AVERAGE(E5356:E5555)</x:f>
        <x:v>1057.8119</x:v>
      </x:c>
      <x:c r="H5555" s="37" t="n">
        <x:f t="shared" si="250">IFERROR(E5555/G5555-1,"")</x:f>
        <x:v>0.09112026438726972</x:v>
      </x:c>
      <x:c r="I5555" s="38" t="b">
        <x:f t="shared" si="251">E5555&lt;G5555</x:f>
        <x:v>0</x:v>
      </x:c>
    </x:row>
    <x:row r="5556">
      <x:c r="A5556" s="31">
        <x:v>45120</x:v>
      </x:c>
      <x:c r="B5556" s="32">
        <x:v>1159.8800000000001</x:v>
      </x:c>
      <x:c r="C5556" s="32">
        <x:v>1165.42</x:v>
      </x:c>
      <x:c r="D5556" s="32">
        <x:v>1158.1500000000001</x:v>
      </x:c>
      <x:c r="E5556" s="32">
        <x:v>1165.42</x:v>
      </x:c>
      <x:c r="F5556" s="33">
        <x:v>760650800</x:v>
      </x:c>
      <x:c r="G5556" s="32" t="n">
        <x:f t="shared" si="249">AVERAGE(E5357:E5556)</x:f>
        <x:v>1057.6226</x:v>
      </x:c>
      <x:c r="H5556" s="37" t="n">
        <x:f t="shared" si="250">IFERROR(E5556/G5556-1,"")</x:f>
        <x:v>0.10192425918281267</x:v>
      </x:c>
      <x:c r="I5556" s="38" t="b">
        <x:f t="shared" si="251">E5556&lt;G5556</x:f>
        <x:v>0</x:v>
      </x:c>
    </x:row>
    <x:row r="5557">
      <x:c r="A5557" s="31">
        <x:v>45121</x:v>
      </x:c>
      <x:c r="B5557" s="32">
        <x:v>1169.2</x:v>
      </x:c>
      <x:c r="C5557" s="32">
        <x:v>1169.8399999999999</x:v>
      </x:c>
      <x:c r="D5557" s="32">
        <x:v>1156.28</x:v>
      </x:c>
      <x:c r="E5557" s="32">
        <x:v>1168.4000000000001</x:v>
      </x:c>
      <x:c r="F5557" s="33">
        <x:v>973749100</x:v>
      </x:c>
      <x:c r="G5557" s="32" t="n">
        <x:f t="shared" si="249">AVERAGE(E5358:E5557)</x:f>
        <x:v>1057.59285</x:v>
      </x:c>
      <x:c r="H5557" s="37" t="n">
        <x:f t="shared" si="250">IFERROR(E5557/G5557-1,"")</x:f>
        <x:v>0.10477297572501554</x:v>
      </x:c>
      <x:c r="I5557" s="38" t="b">
        <x:f t="shared" si="251">E5557&lt;G5557</x:f>
        <x:v>0</x:v>
      </x:c>
    </x:row>
    <x:row r="5558">
      <x:c r="A5558" s="31">
        <x:v>45124</x:v>
      </x:c>
      <x:c r="B5558" s="32">
        <x:v>1171.75</x:v>
      </x:c>
      <x:c r="C5558" s="32">
        <x:v>1174.8900000000001</x:v>
      </x:c>
      <x:c r="D5558" s="32">
        <x:v>1168.77</x:v>
      </x:c>
      <x:c r="E5558" s="32">
        <x:v>1173.1300000000001</x:v>
      </x:c>
      <x:c r="F5558" s="33">
        <x:v>851144600</x:v>
      </x:c>
      <x:c r="G5558" s="32" t="n">
        <x:f t="shared" si="249">AVERAGE(E5359:E5558)</x:f>
        <x:v>1057.6257999999998</x:v>
      </x:c>
      <x:c r="H5558" s="37" t="n">
        <x:f t="shared" si="250">IFERROR(E5558/G5558-1,"")</x:f>
        <x:v>0.10921083808659016</x:v>
      </x:c>
      <x:c r="I5558" s="38" t="b">
        <x:f t="shared" si="251">E5558&lt;G5558</x:f>
        <x:v>0</x:v>
      </x:c>
    </x:row>
    <x:row r="5559">
      <x:c r="A5559" s="31">
        <x:v>45125</x:v>
      </x:c>
      <x:c r="B5559" s="32">
        <x:v>1173.23</x:v>
      </x:c>
      <x:c r="C5559" s="32">
        <x:v>1175.7</x:v>
      </x:c>
      <x:c r="D5559" s="32">
        <x:v>1170.04</x:v>
      </x:c>
      <x:c r="E5559" s="32">
        <x:v>1174.0899999999999</x:v>
      </x:c>
      <x:c r="F5559" s="33">
        <x:v>755379600</x:v>
      </x:c>
      <x:c r="G5559" s="32" t="n">
        <x:f t="shared" si="249">AVERAGE(E5360:E5559)</x:f>
        <x:v>1057.7781499999999</x:v>
      </x:c>
      <x:c r="H5559" s="37" t="n">
        <x:f t="shared" si="250">IFERROR(E5559/G5559-1,"")</x:f>
        <x:v>0.10995864302925917</x:v>
      </x:c>
      <x:c r="I5559" s="38" t="b">
        <x:f t="shared" si="251">E5559&lt;G5559</x:f>
        <x:v>0</x:v>
      </x:c>
    </x:row>
    <x:row r="5560">
      <x:c r="A5560" s="31">
        <x:v>45126</x:v>
      </x:c>
      <x:c r="B5560" s="32">
        <x:v>1177.5</x:v>
      </x:c>
      <x:c r="C5560" s="32">
        <x:v>1178.55</x:v>
      </x:c>
      <x:c r="D5560" s="32">
        <x:v>1172.98</x:v>
      </x:c>
      <x:c r="E5560" s="32">
        <x:v>1172.98</x:v>
      </x:c>
      <x:c r="F5560" s="33">
        <x:v>798154200</x:v>
      </x:c>
      <x:c r="G5560" s="32" t="n">
        <x:f t="shared" si="249">AVERAGE(E5361:E5560)</x:f>
        <x:v>1058.0127</x:v>
      </x:c>
      <x:c r="H5560" s="37" t="n">
        <x:f t="shared" si="250">IFERROR(E5560/G5560-1,"")</x:f>
        <x:v>0.10866344042940135</x:v>
      </x:c>
      <x:c r="I5560" s="38" t="b">
        <x:f t="shared" si="251">E5560&lt;G5560</x:f>
        <x:v>0</x:v>
      </x:c>
    </x:row>
    <x:row r="5561">
      <x:c r="A5561" s="31">
        <x:v>45127</x:v>
      </x:c>
      <x:c r="B5561" s="32">
        <x:v>1171.83</x:v>
      </x:c>
      <x:c r="C5561" s="32">
        <x:v>1174.3900000000001</x:v>
      </x:c>
      <x:c r="D5561" s="32">
        <x:v>1166.6199999999999</x:v>
      </x:c>
      <x:c r="E5561" s="32">
        <x:v>1172.81</x:v>
      </x:c>
      <x:c r="F5561" s="33">
        <x:v>739529900</x:v>
      </x:c>
      <x:c r="G5561" s="32" t="n">
        <x:f t="shared" si="249">AVERAGE(E5362:E5561)</x:f>
        <x:v>1058.2161999999998</x:v>
      </x:c>
      <x:c r="H5561" s="37" t="n">
        <x:f t="shared" si="250">IFERROR(E5561/G5561-1,"")</x:f>
        <x:v>0.10828959148423567</x:v>
      </x:c>
      <x:c r="I5561" s="38" t="b">
        <x:f t="shared" si="251">E5561&lt;G5561</x:f>
        <x:v>0</x:v>
      </x:c>
    </x:row>
    <x:row r="5562">
      <x:c r="A5562" s="31">
        <x:v>45128</x:v>
      </x:c>
      <x:c r="B5562" s="32">
        <x:v>1173.18</x:v>
      </x:c>
      <x:c r="C5562" s="32">
        <x:v>1185.9000000000001</x:v>
      </x:c>
      <x:c r="D5562" s="32">
        <x:v>1172.07</x:v>
      </x:c>
      <x:c r="E5562" s="32">
        <x:v>1185.9000000000001</x:v>
      </x:c>
      <x:c r="F5562" s="33">
        <x:v>896244200</x:v>
      </x:c>
      <x:c r="G5562" s="32" t="n">
        <x:f t="shared" si="249">AVERAGE(E5363:E5562)</x:f>
        <x:v>1058.7134999999998</x:v>
      </x:c>
      <x:c r="H5562" s="37" t="n">
        <x:f t="shared" si="250">IFERROR(E5562/G5562-1,"")</x:f>
        <x:v>0.12013306716122951</x:v>
      </x:c>
      <x:c r="I5562" s="38" t="b">
        <x:f t="shared" si="251">E5562&lt;G5562</x:f>
        <x:v>0</x:v>
      </x:c>
    </x:row>
    <x:row r="5563">
      <x:c r="A5563" s="31">
        <x:v>45131</x:v>
      </x:c>
      <x:c r="B5563" s="32">
        <x:v>1190.74</x:v>
      </x:c>
      <x:c r="C5563" s="32">
        <x:v>1193.22</x:v>
      </x:c>
      <x:c r="D5563" s="32">
        <x:v>1183.3900000000001</x:v>
      </x:c>
      <x:c r="E5563" s="32">
        <x:v>1190.72</x:v>
      </x:c>
      <x:c r="F5563" s="33">
        <x:v>988720500</x:v>
      </x:c>
      <x:c r="G5563" s="32" t="n">
        <x:f t="shared" si="249">AVERAGE(E5364:E5563)</x:f>
        <x:v>1059.2763999999997</x:v>
      </x:c>
      <x:c r="H5563" s="37" t="n">
        <x:f t="shared" si="250">IFERROR(E5563/G5563-1,"")</x:f>
        <x:v>0.12408810391697611</x:v>
      </x:c>
      <x:c r="I5563" s="38" t="b">
        <x:f t="shared" si="251">E5563&lt;G5563</x:f>
        <x:v>0</x:v>
      </x:c>
    </x:row>
    <x:row r="5564">
      <x:c r="A5564" s="31">
        <x:v>45132</x:v>
      </x:c>
      <x:c r="B5564" s="32">
        <x:v>1194.6300000000001</x:v>
      </x:c>
      <x:c r="C5564" s="32">
        <x:v>1199.27</x:v>
      </x:c>
      <x:c r="D5564" s="32">
        <x:v>1193.3399999999999</x:v>
      </x:c>
      <x:c r="E5564" s="32">
        <x:v>1195.9000000000001</x:v>
      </x:c>
      <x:c r="F5564" s="33">
        <x:v>918186800</x:v>
      </x:c>
      <x:c r="G5564" s="32" t="n">
        <x:f t="shared" si="249">AVERAGE(E5365:E5564)</x:f>
        <x:v>1059.7345999999998</x:v>
      </x:c>
      <x:c r="H5564" s="37" t="n">
        <x:f t="shared" si="250">IFERROR(E5564/G5564-1,"")</x:f>
        <x:v>0.12849009553901558</x:v>
      </x:c>
      <x:c r="I5564" s="38" t="b">
        <x:f t="shared" si="251">E5564&lt;G5564</x:f>
        <x:v>0</x:v>
      </x:c>
    </x:row>
    <x:row r="5565">
      <x:c r="A5565" s="31">
        <x:v>45133</x:v>
      </x:c>
      <x:c r="B5565" s="32">
        <x:v>1195.5</x:v>
      </x:c>
      <x:c r="C5565" s="32">
        <x:v>1200.8399999999999</x:v>
      </x:c>
      <x:c r="D5565" s="32">
        <x:v>1195.44</x:v>
      </x:c>
      <x:c r="E5565" s="32">
        <x:v>1200.8399999999999</x:v>
      </x:c>
      <x:c r="F5565" s="33">
        <x:v>848117200</x:v>
      </x:c>
      <x:c r="G5565" s="32" t="n">
        <x:f t="shared" si="249">AVERAGE(E5366:E5565)</x:f>
        <x:v>1060.3661999999997</x:v>
      </x:c>
      <x:c r="H5565" s="37" t="n">
        <x:f t="shared" si="250">IFERROR(E5565/G5565-1,"")</x:f>
        <x:v>0.13247668588455586</x:v>
      </x:c>
      <x:c r="I5565" s="38" t="b">
        <x:f t="shared" si="251">E5565&lt;G5565</x:f>
        <x:v>0</x:v>
      </x:c>
    </x:row>
    <x:row r="5566">
      <x:c r="A5566" s="31">
        <x:v>45134</x:v>
      </x:c>
      <x:c r="B5566" s="32">
        <x:v>1201.69</x:v>
      </x:c>
      <x:c r="C5566" s="32">
        <x:v>1203.69</x:v>
      </x:c>
      <x:c r="D5566" s="32">
        <x:v>1191.08</x:v>
      </x:c>
      <x:c r="E5566" s="32">
        <x:v>1197.33</x:v>
      </x:c>
      <x:c r="F5566" s="33">
        <x:v>1078942000</x:v>
      </x:c>
      <x:c r="G5566" s="32" t="n">
        <x:f t="shared" si="249">AVERAGE(E5367:E5566)</x:f>
        <x:v>1061.1732999999997</x:v>
      </x:c>
      <x:c r="H5566" s="37" t="n">
        <x:f t="shared" si="250">IFERROR(E5566/G5566-1,"")</x:f>
        <x:v>0.1283076948882904</x:v>
      </x:c>
      <x:c r="I5566" s="38" t="b">
        <x:f t="shared" si="251">E5566&lt;G5566</x:f>
        <x:v>0</x:v>
      </x:c>
    </x:row>
    <x:row r="5567">
      <x:c r="A5567" s="31">
        <x:v>45135</x:v>
      </x:c>
      <x:c r="B5567" s="32">
        <x:v>1197.32</x:v>
      </x:c>
      <x:c r="C5567" s="32">
        <x:v>1207.67</x:v>
      </x:c>
      <x:c r="D5567" s="32">
        <x:v>1195.8599999999999</x:v>
      </x:c>
      <x:c r="E5567" s="32">
        <x:v>1207.67</x:v>
      </x:c>
      <x:c r="F5567" s="33">
        <x:v>1045384000</x:v>
      </x:c>
      <x:c r="G5567" s="32" t="n">
        <x:f t="shared" si="249">AVERAGE(E5368:E5567)</x:f>
        <x:v>1061.9992499999998</x:v>
      </x:c>
      <x:c r="H5567" s="37" t="n">
        <x:f t="shared" si="250">IFERROR(E5567/G5567-1,"")</x:f>
        <x:v>0.13716652813078745</x:v>
      </x:c>
      <x:c r="I5567" s="38" t="b">
        <x:f t="shared" si="251">E5567&lt;G5567</x:f>
        <x:v>0</x:v>
      </x:c>
    </x:row>
    <x:row r="5568">
      <x:c r="A5568" s="31">
        <x:v>45138</x:v>
      </x:c>
      <x:c r="B5568" s="32">
        <x:v>1219.6600000000001</x:v>
      </x:c>
      <x:c r="C5568" s="32">
        <x:v>1224.81</x:v>
      </x:c>
      <x:c r="D5568" s="32">
        <x:v>1212.81</x:v>
      </x:c>
      <x:c r="E5568" s="32">
        <x:v>1222.9000000000001</x:v>
      </x:c>
      <x:c r="F5568" s="33">
        <x:v>1122987500</x:v>
      </x:c>
      <x:c r="G5568" s="32" t="n">
        <x:f t="shared" si="249">AVERAGE(E5369:E5568)</x:f>
        <x:v>1063.0827499999998</x:v>
      </x:c>
      <x:c r="H5568" s="37" t="n">
        <x:f t="shared" si="250">IFERROR(E5568/G5568-1,"")</x:f>
        <x:v>0.15033378163647204</x:v>
      </x:c>
      <x:c r="I5568" s="38" t="b">
        <x:f t="shared" si="251">E5568&lt;G5568</x:f>
        <x:v>0</x:v>
      </x:c>
    </x:row>
    <x:row r="5569">
      <x:c r="A5569" s="31">
        <x:v>45139</x:v>
      </x:c>
      <x:c r="B5569" s="32">
        <x:v>1230.19</x:v>
      </x:c>
      <x:c r="C5569" s="32">
        <x:v>1234.5</x:v>
      </x:c>
      <x:c r="D5569" s="32">
        <x:v>1217.56</x:v>
      </x:c>
      <x:c r="E5569" s="32">
        <x:v>1217.56</x:v>
      </x:c>
      <x:c r="F5569" s="33">
        <x:v>1206705300</x:v>
      </x:c>
      <x:c r="G5569" s="32" t="n">
        <x:f t="shared" si="249">AVERAGE(E5370:E5569)</x:f>
        <x:v>1063.9964999999997</x:v>
      </x:c>
      <x:c r="H5569" s="37" t="n">
        <x:f t="shared" si="250">IFERROR(E5569/G5569-1,"")</x:f>
        <x:v>0.14432707250446808</x:v>
      </x:c>
      <x:c r="I5569" s="38" t="b">
        <x:f t="shared" si="251">E5569&lt;G5569</x:f>
        <x:v>0</x:v>
      </x:c>
    </x:row>
    <x:row r="5570">
      <x:c r="A5570" s="31">
        <x:v>45140</x:v>
      </x:c>
      <x:c r="B5570" s="32">
        <x:v>1217.17</x:v>
      </x:c>
      <x:c r="C5570" s="32">
        <x:v>1223.04</x:v>
      </x:c>
      <x:c r="D5570" s="32">
        <x:v>1213.18</x:v>
      </x:c>
      <x:c r="E5570" s="32">
        <x:v>1220.43</x:v>
      </x:c>
      <x:c r="F5570" s="33">
        <x:v>849434300</x:v>
      </x:c>
      <x:c r="G5570" s="32" t="n">
        <x:f t="shared" si="249">AVERAGE(E5371:E5570)</x:f>
        <x:v>1064.8437</x:v>
      </x:c>
      <x:c r="H5570" s="37" t="n">
        <x:f t="shared" si="250">IFERROR(E5570/G5570-1,"")</x:f>
        <x:v>0.14611186599498138</x:v>
      </x:c>
      <x:c r="I5570" s="38" t="b">
        <x:f t="shared" si="251">E5570&lt;G5570</x:f>
        <x:v>0</x:v>
      </x:c>
    </x:row>
    <x:row r="5571">
      <x:c r="A5571" s="31">
        <x:v>45141</x:v>
      </x:c>
      <x:c r="B5571" s="32">
        <x:v>1219.73</x:v>
      </x:c>
      <x:c r="C5571" s="32">
        <x:v>1222.3499999999999</x:v>
      </x:c>
      <x:c r="D5571" s="32">
        <x:v>1209.06</x:v>
      </x:c>
      <x:c r="E5571" s="32">
        <x:v>1210.95</x:v>
      </x:c>
      <x:c r="F5571" s="33">
        <x:v>978923300</x:v>
      </x:c>
      <x:c r="G5571" s="32" t="n">
        <x:f t="shared" si="249">AVERAGE(E5372:E5571)</x:f>
        <x:v>1065.5892</x:v>
      </x:c>
      <x:c r="H5571" s="37" t="n">
        <x:f t="shared" si="250">IFERROR(E5571/G5571-1,"")</x:f>
        <x:v>0.1364135447318724</x:v>
      </x:c>
      <x:c r="I5571" s="38" t="b">
        <x:f t="shared" si="251">E5571&lt;G5571</x:f>
        <x:v>0</x:v>
      </x:c>
    </x:row>
    <x:row r="5572">
      <x:c r="A5572" s="31">
        <x:v>45142</x:v>
      </x:c>
      <x:c r="B5572" s="32">
        <x:v>1216.27</x:v>
      </x:c>
      <x:c r="C5572" s="32">
        <x:v>1228.1199999999999</x:v>
      </x:c>
      <x:c r="D5572" s="32">
        <x:v>1214.17</x:v>
      </x:c>
      <x:c r="E5572" s="32">
        <x:v>1225.98</x:v>
      </x:c>
      <x:c r="F5572" s="33">
        <x:v>1086883100</x:v>
      </x:c>
      <x:c r="G5572" s="32" t="n">
        <x:f t="shared" si="249">AVERAGE(E5373:E5572)</x:f>
        <x:v>1066.4611999999997</x:v>
      </x:c>
      <x:c r="H5572" s="37" t="n">
        <x:f t="shared" si="250">IFERROR(E5572/G5572-1,"")</x:f>
        <x:v>0.14957768740203603</x:v>
      </x:c>
      <x:c r="I5572" s="38" t="b">
        <x:f t="shared" si="251">E5572&lt;G5572</x:f>
        <x:v>0</x:v>
      </x:c>
    </x:row>
    <x:row r="5573">
      <x:c r="A5573" s="31">
        <x:v>45145</x:v>
      </x:c>
      <x:c r="B5573" s="32">
        <x:v>1233.0999999999999</x:v>
      </x:c>
      <x:c r="C5573" s="32">
        <x:v>1241.42</x:v>
      </x:c>
      <x:c r="D5573" s="32">
        <x:v>1230.3800000000001</x:v>
      </x:c>
      <x:c r="E5573" s="32">
        <x:v>1241.42</x:v>
      </x:c>
      <x:c r="F5573" s="33">
        <x:v>1114331800</x:v>
      </x:c>
      <x:c r="G5573" s="32" t="n">
        <x:f t="shared" si="249">AVERAGE(E5374:E5573)</x:f>
        <x:v>1067.35</x:v>
      </x:c>
      <x:c r="H5573" s="37" t="n">
        <x:f t="shared" si="250">IFERROR(E5573/G5573-1,"")</x:f>
        <x:v>0.16308614793647846</x:v>
      </x:c>
      <x:c r="I5573" s="38" t="b">
        <x:f t="shared" si="251">E5573&lt;G5573</x:f>
        <x:v>0</x:v>
      </x:c>
    </x:row>
    <x:row r="5574">
      <x:c r="A5574" s="31">
        <x:v>45146</x:v>
      </x:c>
      <x:c r="B5574" s="32">
        <x:v>1244.3499999999999</x:v>
      </x:c>
      <x:c r="C5574" s="32">
        <x:v>1246.22</x:v>
      </x:c>
      <x:c r="D5574" s="32">
        <x:v>1239.01</x:v>
      </x:c>
      <x:c r="E5574" s="32">
        <x:v>1242.23</x:v>
      </x:c>
      <x:c r="F5574" s="33">
        <x:v>1115494500</x:v>
      </x:c>
      <x:c r="G5574" s="32" t="n">
        <x:f t="shared" si="249">AVERAGE(E5375:E5574)</x:f>
        <x:v>1068.2608</x:v>
      </x:c>
      <x:c r="H5574" s="37" t="n">
        <x:f t="shared" si="250">IFERROR(E5574/G5574-1,"")</x:f>
        <x:v>0.16285274157771212</x:v>
      </x:c>
      <x:c r="I5574" s="38" t="b">
        <x:f t="shared" si="251">E5574&lt;G5574</x:f>
        <x:v>0</x:v>
      </x:c>
    </x:row>
    <x:row r="5575">
      <x:c r="A5575" s="31">
        <x:v>45147</x:v>
      </x:c>
      <x:c r="B5575" s="32">
        <x:v>1240.68</x:v>
      </x:c>
      <x:c r="C5575" s="32">
        <x:v>1241.96</x:v>
      </x:c>
      <x:c r="D5575" s="32">
        <x:v>1231.28</x:v>
      </x:c>
      <x:c r="E5575" s="32">
        <x:v>1233.99</x:v>
      </x:c>
      <x:c r="F5575" s="33">
        <x:v>1011321100</x:v>
      </x:c>
      <x:c r="G5575" s="32" t="n">
        <x:f t="shared" si="249">AVERAGE(E5376:E5575)</x:f>
        <x:v>1069.1385</x:v>
      </x:c>
      <x:c r="H5575" s="37" t="n">
        <x:f t="shared" si="250">IFERROR(E5575/G5575-1,"")</x:f>
        <x:v>0.15419096777452124</x:v>
      </x:c>
      <x:c r="I5575" s="38" t="b">
        <x:f t="shared" si="251">E5575&lt;G5575</x:f>
        <x:v>0</x:v>
      </x:c>
    </x:row>
    <x:row r="5576">
      <x:c r="A5576" s="31">
        <x:v>45148</x:v>
      </x:c>
      <x:c r="B5576" s="32">
        <x:v>1236.31</x:v>
      </x:c>
      <x:c r="C5576" s="32">
        <x:v>1238.19</x:v>
      </x:c>
      <x:c r="D5576" s="32">
        <x:v>1220.6099999999999</x:v>
      </x:c>
      <x:c r="E5576" s="32">
        <x:v>1220.6099999999999</x:v>
      </x:c>
      <x:c r="F5576" s="33">
        <x:v>982441100</x:v>
      </x:c>
      <x:c r="G5576" s="32" t="n">
        <x:f t="shared" si="249">AVERAGE(E5377:E5576)</x:f>
        <x:v>1070.14245</x:v>
      </x:c>
      <x:c r="H5576" s="37" t="n">
        <x:f t="shared" si="250">IFERROR(E5576/G5576-1,"")</x:f>
        <x:v>0.14060515962150633</x:v>
      </x:c>
      <x:c r="I5576" s="38" t="b">
        <x:f t="shared" si="251">E5576&lt;G5576</x:f>
        <x:v>0</x:v>
      </x:c>
    </x:row>
    <x:row r="5577">
      <x:c r="A5577" s="31">
        <x:v>45149</x:v>
      </x:c>
      <x:c r="B5577" s="32">
        <x:v>1228.92</x:v>
      </x:c>
      <x:c r="C5577" s="32">
        <x:v>1232.21</x:v>
      </x:c>
      <x:c r="D5577" s="32">
        <x:v>1213.3699999999999</x:v>
      </x:c>
      <x:c r="E5577" s="32">
        <x:v>1232.21</x:v>
      </x:c>
      <x:c r="F5577" s="33">
        <x:v>983635900</x:v>
      </x:c>
      <x:c r="G5577" s="32" t="n">
        <x:f t="shared" si="249">AVERAGE(E5378:E5577)</x:f>
        <x:v>1071.3727499999998</x:v>
      </x:c>
      <x:c r="H5577" s="37" t="n">
        <x:f t="shared" si="250">IFERROR(E5577/G5577-1,"")</x:f>
        <x:v>0.15012258805350465</x:v>
      </x:c>
      <x:c r="I5577" s="38" t="b">
        <x:f t="shared" si="251">E5577&lt;G5577</x:f>
        <x:v>0</x:v>
      </x:c>
    </x:row>
    <x:row r="5578">
      <x:c r="A5578" s="31">
        <x:v>45152</x:v>
      </x:c>
      <x:c r="B5578" s="32">
        <x:v>1237.1400000000001</x:v>
      </x:c>
      <x:c r="C5578" s="32">
        <x:v>1239.6099999999999</x:v>
      </x:c>
      <x:c r="D5578" s="32">
        <x:v>1229.04</x:v>
      </x:c>
      <x:c r="E5578" s="32">
        <x:v>1236.8399999999999</x:v>
      </x:c>
      <x:c r="F5578" s="33">
        <x:v>1032952400</x:v>
      </x:c>
      <x:c r="G5578" s="32" t="n">
        <x:f t="shared" si="249">AVERAGE(E5379:E5578)</x:f>
        <x:v>1072.65105</x:v>
      </x:c>
      <x:c r="H5578" s="37" t="n">
        <x:f t="shared" si="250">IFERROR(E5578/G5578-1,"")</x:f>
        <x:v>0.1530683720488597</x:v>
      </x:c>
      <x:c r="I5578" s="38" t="b">
        <x:f t="shared" si="251">E5578&lt;G5578</x:f>
        <x:v>0</x:v>
      </x:c>
    </x:row>
    <x:row r="5579">
      <x:c r="A5579" s="31">
        <x:v>45153</x:v>
      </x:c>
      <x:c r="B5579" s="32">
        <x:v>1239.42</x:v>
      </x:c>
      <x:c r="C5579" s="32">
        <x:v>1239.42</x:v>
      </x:c>
      <x:c r="D5579" s="32">
        <x:v>1230.58</x:v>
      </x:c>
      <x:c r="E5579" s="32">
        <x:v>1234.05</x:v>
      </x:c>
      <x:c r="F5579" s="33">
        <x:v>850306500</x:v>
      </x:c>
      <x:c r="G5579" s="32" t="n">
        <x:f t="shared" si="249">AVERAGE(E5380:E5579)</x:f>
        <x:v>1073.8917</x:v>
      </x:c>
      <x:c r="H5579" s="37" t="n">
        <x:f t="shared" si="250">IFERROR(E5579/G5579-1,"")</x:f>
        <x:v>0.14913822315602232</x:v>
      </x:c>
      <x:c r="I5579" s="38" t="b">
        <x:f t="shared" si="251">E5579&lt;G5579</x:f>
        <x:v>0</x:v>
      </x:c>
    </x:row>
    <x:row r="5580">
      <x:c r="A5580" s="31">
        <x:v>45154</x:v>
      </x:c>
      <x:c r="B5580" s="32">
        <x:v>1239.95</x:v>
      </x:c>
      <x:c r="C5580" s="32">
        <x:v>1243.48</x:v>
      </x:c>
      <x:c r="D5580" s="32">
        <x:v>1235.27</x:v>
      </x:c>
      <x:c r="E5580" s="32">
        <x:v>1243.26</x:v>
      </x:c>
      <x:c r="F5580" s="33">
        <x:v>865531300</x:v>
      </x:c>
      <x:c r="G5580" s="32" t="n">
        <x:f t="shared" si="249">AVERAGE(E5381:E5580)</x:f>
        <x:v>1074.96795</x:v>
      </x:c>
      <x:c r="H5580" s="37" t="n">
        <x:f t="shared" si="250">IFERROR(E5580/G5580-1,"")</x:f>
        <x:v>0.15655541172180998</x:v>
      </x:c>
      <x:c r="I5580" s="38" t="b">
        <x:f t="shared" si="251">E5580&lt;G5580</x:f>
        <x:v>0</x:v>
      </x:c>
    </x:row>
    <x:row r="5581">
      <x:c r="A5581" s="31">
        <x:v>45155</x:v>
      </x:c>
      <x:c r="B5581" s="32">
        <x:v>1242.58</x:v>
      </x:c>
      <x:c r="C5581" s="32">
        <x:v>1243.98</x:v>
      </x:c>
      <x:c r="D5581" s="32">
        <x:v>1233.48</x:v>
      </x:c>
      <x:c r="E5581" s="32">
        <x:v>1233.48</x:v>
      </x:c>
      <x:c r="F5581" s="33">
        <x:v>1050181000</x:v>
      </x:c>
      <x:c r="G5581" s="32" t="n">
        <x:f t="shared" ref="G5581:G5644" si="252">AVERAGE(E5382:E5581)</x:f>
        <x:v>1075.99855</x:v>
      </x:c>
      <x:c r="H5581" s="37" t="n">
        <x:f t="shared" ref="H5581:H5644" si="253">IFERROR(E5581/G5581-1,"")</x:f>
        <x:v>0.1463584221372789</x:v>
      </x:c>
      <x:c r="I5581" s="38" t="b">
        <x:f t="shared" ref="I5581:I5644" si="254">E5581&lt;G5581</x:f>
        <x:v>0</x:v>
      </x:c>
    </x:row>
    <x:row r="5582">
      <x:c r="A5582" s="31">
        <x:v>45156</x:v>
      </x:c>
      <x:c r="B5582" s="32">
        <x:v>1227.02</x:v>
      </x:c>
      <x:c r="C5582" s="32">
        <x:v>1228.98</x:v>
      </x:c>
      <x:c r="D5582" s="32">
        <x:v>1177.74</x:v>
      </x:c>
      <x:c r="E5582" s="32">
        <x:v>1177.99</x:v>
      </x:c>
      <x:c r="F5582" s="33">
        <x:v>1645142600</x:v>
      </x:c>
      <x:c r="G5582" s="32" t="n">
        <x:f t="shared" si="252">AVERAGE(E5383:E5582)</x:f>
        <x:v>1076.7488</x:v>
      </x:c>
      <x:c r="H5582" s="37" t="n">
        <x:f t="shared" si="253">IFERROR(E5582/G5582-1,"")</x:f>
        <x:v>0.09402490162979515</x:v>
      </x:c>
      <x:c r="I5582" s="38" t="b">
        <x:f t="shared" si="254">E5582&lt;G5582</x:f>
        <x:v>0</x:v>
      </x:c>
    </x:row>
    <x:row r="5583">
      <x:c r="A5583" s="31">
        <x:v>45159</x:v>
      </x:c>
      <x:c r="B5583" s="32">
        <x:v>1177.01</x:v>
      </x:c>
      <x:c r="C5583" s="32">
        <x:v>1188.1600000000001</x:v>
      </x:c>
      <x:c r="D5583" s="32">
        <x:v>1164.6300000000001</x:v>
      </x:c>
      <x:c r="E5583" s="32">
        <x:v>1179.76</x:v>
      </x:c>
      <x:c r="F5583" s="33">
        <x:v>1000968600</x:v>
      </x:c>
      <x:c r="G5583" s="32" t="n">
        <x:f t="shared" si="252">AVERAGE(E5384:E5583)</x:f>
        <x:v>1077.4788500000002</x:v>
      </x:c>
      <x:c r="H5583" s="37" t="n">
        <x:f t="shared" si="253">IFERROR(E5583/G5583-1,"")</x:f>
        <x:v>0.09492636444789593</x:v>
      </x:c>
      <x:c r="I5583" s="38" t="b">
        <x:f t="shared" si="254">E5583&lt;G5583</x:f>
        <x:v>0</x:v>
      </x:c>
    </x:row>
    <x:row r="5584">
      <x:c r="A5584" s="31">
        <x:v>45160</x:v>
      </x:c>
      <x:c r="B5584" s="32">
        <x:v>1183.92</x:v>
      </x:c>
      <x:c r="C5584" s="32">
        <x:v>1184.43</x:v>
      </x:c>
      <x:c r="D5584" s="32">
        <x:v>1149.1300000000001</x:v>
      </x:c>
      <x:c r="E5584" s="32">
        <x:v>1180.49</x:v>
      </x:c>
      <x:c r="F5584" s="33">
        <x:v>979999200</x:v>
      </x:c>
      <x:c r="G5584" s="32" t="n">
        <x:f t="shared" si="252">AVERAGE(E5385:E5584)</x:f>
        <x:v>1078.2653500000001</x:v>
      </x:c>
      <x:c r="H5584" s="37" t="n">
        <x:f t="shared" si="253">IFERROR(E5584/G5584-1,"")</x:f>
        <x:v>0.09480472501504367</x:v>
      </x:c>
      <x:c r="I5584" s="38" t="b">
        <x:f t="shared" si="254">E5584&lt;G5584</x:f>
        <x:v>0</x:v>
      </x:c>
    </x:row>
    <x:row r="5585">
      <x:c r="A5585" s="31">
        <x:v>45161</x:v>
      </x:c>
      <x:c r="B5585" s="32">
        <x:v>1192.96</x:v>
      </x:c>
      <x:c r="C5585" s="32">
        <x:v>1193.79</x:v>
      </x:c>
      <x:c r="D5585" s="32">
        <x:v>1168.8900000000001</x:v>
      </x:c>
      <x:c r="E5585" s="32">
        <x:v>1172.56</x:v>
      </x:c>
      <x:c r="F5585" s="33">
        <x:v>653730100</x:v>
      </x:c>
      <x:c r="G5585" s="32" t="n">
        <x:f t="shared" si="252">AVERAGE(E5386:E5585)</x:f>
        <x:v>1079.0291000000002</x:v>
      </x:c>
      <x:c r="H5585" s="37" t="n">
        <x:f t="shared" si="253">IFERROR(E5585/G5585-1,"")</x:f>
        <x:v>0.08668060944788203</x:v>
      </x:c>
      <x:c r="I5585" s="38" t="b">
        <x:f t="shared" si="254">E5585&lt;G5585</x:f>
        <x:v>0</x:v>
      </x:c>
    </x:row>
    <x:row r="5586">
      <x:c r="A5586" s="31">
        <x:v>45162</x:v>
      </x:c>
      <x:c r="B5586" s="32">
        <x:v>1175.2</x:v>
      </x:c>
      <x:c r="C5586" s="32">
        <x:v>1189.99</x:v>
      </x:c>
      <x:c r="D5586" s="32">
        <x:v>1171.33</x:v>
      </x:c>
      <x:c r="E5586" s="32">
        <x:v>1189.3900000000001</x:v>
      </x:c>
      <x:c r="F5586" s="33">
        <x:v>790038300</x:v>
      </x:c>
      <x:c r="G5586" s="32" t="n">
        <x:f t="shared" si="252">AVERAGE(E5387:E5586)</x:f>
        <x:v>1079.9903000000002</x:v>
      </x:c>
      <x:c r="H5586" s="37" t="n">
        <x:f t="shared" si="253">IFERROR(E5586/G5586-1,"")</x:f>
        <x:v>0.10129692831500425</x:v>
      </x:c>
      <x:c r="I5586" s="38" t="b">
        <x:f t="shared" si="254">E5586&lt;G5586</x:f>
        <x:v>0</x:v>
      </x:c>
    </x:row>
    <x:row r="5587">
      <x:c r="A5587" s="31">
        <x:v>45163</x:v>
      </x:c>
      <x:c r="B5587" s="32">
        <x:v>1188.99</x:v>
      </x:c>
      <x:c r="C5587" s="32">
        <x:v>1192.5899999999999</x:v>
      </x:c>
      <x:c r="D5587" s="32">
        <x:v>1181.5999999999999</x:v>
      </x:c>
      <x:c r="E5587" s="32">
        <x:v>1183.3699999999999</x:v>
      </x:c>
      <x:c r="F5587" s="33">
        <x:v>812317900</x:v>
      </x:c>
      <x:c r="G5587" s="32" t="n">
        <x:f t="shared" si="252">AVERAGE(E5388:E5587)</x:f>
        <x:v>1081.0312000000004</x:v>
      </x:c>
      <x:c r="H5587" s="37" t="n">
        <x:f t="shared" si="253">IFERROR(E5587/G5587-1,"")</x:f>
        <x:v>0.09466775797035232</x:v>
      </x:c>
      <x:c r="I5587" s="38" t="b">
        <x:f t="shared" si="254">E5587&lt;G5587</x:f>
        <x:v>0</x:v>
      </x:c>
    </x:row>
    <x:row r="5588">
      <x:c r="A5588" s="31">
        <x:v>45166</x:v>
      </x:c>
      <x:c r="B5588" s="32">
        <x:v>1189.43</x:v>
      </x:c>
      <x:c r="C5588" s="32">
        <x:v>1202.02</x:v>
      </x:c>
      <x:c r="D5588" s="32">
        <x:v>1189.43</x:v>
      </x:c>
      <x:c r="E5588" s="32">
        <x:v>1201.72</x:v>
      </x:c>
      <x:c r="F5588" s="33">
        <x:v>763534500</x:v>
      </x:c>
      <x:c r="G5588" s="32" t="n">
        <x:f t="shared" si="252">AVERAGE(E5389:E5588)</x:f>
        <x:v>1082.1315500000003</x:v>
      </x:c>
      <x:c r="H5588" s="37" t="n">
        <x:f t="shared" si="253">IFERROR(E5588/G5588-1,"")</x:f>
        <x:v>0.1105119335999396</x:v>
      </x:c>
      <x:c r="I5588" s="38" t="b">
        <x:f t="shared" si="254">E5588&lt;G5588</x:f>
        <x:v>0</x:v>
      </x:c>
    </x:row>
    <x:row r="5589">
      <x:c r="A5589" s="31">
        <x:v>45167</x:v>
      </x:c>
      <x:c r="B5589" s="32">
        <x:v>1204.75</x:v>
      </x:c>
      <x:c r="C5589" s="32">
        <x:v>1208.78</x:v>
      </x:c>
      <x:c r="D5589" s="32">
        <x:v>1197.57</x:v>
      </x:c>
      <x:c r="E5589" s="32">
        <x:v>1204.43</x:v>
      </x:c>
      <x:c r="F5589" s="33">
        <x:v>904324000</x:v>
      </x:c>
      <x:c r="G5589" s="32" t="n">
        <x:f t="shared" si="252">AVERAGE(E5390:E5589)</x:f>
        <x:v>1083.2257500000003</x:v>
      </x:c>
      <x:c r="H5589" s="37" t="n">
        <x:f t="shared" si="253">IFERROR(E5589/G5589-1,"")</x:f>
        <x:v>0.1118919578859714</x:v>
      </x:c>
      <x:c r="I5589" s="38" t="b">
        <x:f t="shared" si="254">E5589&lt;G5589</x:f>
        <x:v>0</x:v>
      </x:c>
    </x:row>
    <x:row r="5590">
      <x:c r="A5590" s="31">
        <x:v>45168</x:v>
      </x:c>
      <x:c r="B5590" s="32">
        <x:v>1206.25</x:v>
      </x:c>
      <x:c r="C5590" s="32">
        <x:v>1213.52</x:v>
      </x:c>
      <x:c r="D5590" s="32">
        <x:v>1203.51</x:v>
      </x:c>
      <x:c r="E5590" s="32">
        <x:v>1213.1600000000001</x:v>
      </x:c>
      <x:c r="F5590" s="33">
        <x:v>864559000</x:v>
      </x:c>
      <x:c r="G5590" s="32" t="n">
        <x:f t="shared" si="252">AVERAGE(E5391:E5590)</x:f>
        <x:v>1084.5553500000003</x:v>
      </x:c>
      <x:c r="H5590" s="37" t="n">
        <x:f t="shared" si="253">IFERROR(E5590/G5590-1,"")</x:f>
        <x:v>0.11857822655155381</x:v>
      </x:c>
      <x:c r="I5590" s="38" t="b">
        <x:f t="shared" si="254">E5590&lt;G5590</x:f>
        <x:v>0</x:v>
      </x:c>
    </x:row>
    <x:row r="5591">
      <x:c r="A5591" s="31">
        <x:v>45169</x:v>
      </x:c>
      <x:c r="B5591" s="32">
        <x:v>1216</x:v>
      </x:c>
      <x:c r="C5591" s="32">
        <x:v>1224.8399999999999</x:v>
      </x:c>
      <x:c r="D5591" s="32">
        <x:v>1214.3900000000001</x:v>
      </x:c>
      <x:c r="E5591" s="32">
        <x:v>1224.05</x:v>
      </x:c>
      <x:c r="F5591" s="33">
        <x:v>887111900</x:v>
      </x:c>
      <x:c r="G5591" s="32" t="n">
        <x:f t="shared" si="252">AVERAGE(E5392:E5591)</x:f>
        <x:v>1085.9029500000001</x:v>
      </x:c>
      <x:c r="H5591" s="37" t="n">
        <x:f t="shared" si="253">IFERROR(E5591/G5591-1,"")</x:f>
        <x:v>0.12721859720521045</x:v>
      </x:c>
      <x:c r="I5591" s="38" t="b">
        <x:f t="shared" si="254">E5591&lt;G5591</x:f>
        <x:v>0</x:v>
      </x:c>
    </x:row>
    <x:row r="5592">
      <x:c r="A5592" s="31">
        <x:v>45174</x:v>
      </x:c>
      <x:c r="B5592" s="32">
        <x:v>1231.43</x:v>
      </x:c>
      <x:c r="C5592" s="32">
        <x:v>1236.21</x:v>
      </x:c>
      <x:c r="D5592" s="32">
        <x:v>1228.7</x:v>
      </x:c>
      <x:c r="E5592" s="32">
        <x:v>1234.98</x:v>
      </x:c>
      <x:c r="F5592" s="33">
        <x:v>983260400</x:v>
      </x:c>
      <x:c r="G5592" s="32" t="n">
        <x:f t="shared" si="252">AVERAGE(E5393:E5592)</x:f>
        <x:v>1087.3726500000002</x:v>
      </x:c>
      <x:c r="H5592" s="37" t="n">
        <x:f t="shared" si="253">IFERROR(E5592/G5592-1,"")</x:f>
        <x:v>0.13574679296927306</x:v>
      </x:c>
      <x:c r="I5592" s="38" t="b">
        <x:f t="shared" si="254">E5592&lt;G5592</x:f>
        <x:v>0</x:v>
      </x:c>
    </x:row>
    <x:row r="5593">
      <x:c r="A5593" s="31">
        <x:v>45175</x:v>
      </x:c>
      <x:c r="B5593" s="32">
        <x:v>1237.07</x:v>
      </x:c>
      <x:c r="C5593" s="32">
        <x:v>1245.5</x:v>
      </x:c>
      <x:c r="D5593" s="32">
        <x:v>1229.8900000000001</x:v>
      </x:c>
      <x:c r="E5593" s="32">
        <x:v>1245.5</x:v>
      </x:c>
      <x:c r="F5593" s="33">
        <x:v>1067480700</x:v>
      </x:c>
      <x:c r="G5593" s="32" t="n">
        <x:f t="shared" si="252">AVERAGE(E5394:E5593)</x:f>
        <x:v>1089.0406500000001</x:v>
      </x:c>
      <x:c r="H5593" s="37" t="n">
        <x:f t="shared" si="253">IFERROR(E5593/G5593-1,"")</x:f>
        <x:v>0.14366713492283312</x:v>
      </x:c>
      <x:c r="I5593" s="38" t="b">
        <x:f t="shared" si="254">E5593&lt;G5593</x:f>
        <x:v>0</x:v>
      </x:c>
    </x:row>
    <x:row r="5594">
      <x:c r="A5594" s="31">
        <x:v>45176</x:v>
      </x:c>
      <x:c r="B5594" s="32">
        <x:v>1248.9100000000001</x:v>
      </x:c>
      <x:c r="C5594" s="32">
        <x:v>1255.1099999999999</x:v>
      </x:c>
      <x:c r="D5594" s="32">
        <x:v>1240.82</x:v>
      </x:c>
      <x:c r="E5594" s="32">
        <x:v>1243.1400000000001</x:v>
      </x:c>
      <x:c r="F5594" s="33">
        <x:v>1099761600</x:v>
      </x:c>
      <x:c r="G5594" s="32" t="n">
        <x:f t="shared" si="252">AVERAGE(E5395:E5594)</x:f>
        <x:v>1090.5418500000003</x:v>
      </x:c>
      <x:c r="H5594" s="37" t="n">
        <x:f t="shared" si="253">IFERROR(E5594/G5594-1,"")</x:f>
        <x:v>0.1399287427621414</x:v>
      </x:c>
      <x:c r="I5594" s="38" t="b">
        <x:f t="shared" si="254">E5594&lt;G5594</x:f>
        <x:v>0</x:v>
      </x:c>
    </x:row>
    <x:row r="5595">
      <x:c r="A5595" s="31">
        <x:v>45177</x:v>
      </x:c>
      <x:c r="B5595" s="32">
        <x:v>1242.28</x:v>
      </x:c>
      <x:c r="C5595" s="32">
        <x:v>1248.0999999999999</x:v>
      </x:c>
      <x:c r="D5595" s="32">
        <x:v>1240.1500000000001</x:v>
      </x:c>
      <x:c r="E5595" s="32">
        <x:v>1241.48</x:v>
      </x:c>
      <x:c r="F5595" s="33">
        <x:v>973560500</x:v>
      </x:c>
      <x:c r="G5595" s="32" t="n">
        <x:f t="shared" si="252">AVERAGE(E5396:E5595)</x:f>
        <x:v>1091.9029500000004</x:v>
      </x:c>
      <x:c r="H5595" s="37" t="n">
        <x:f t="shared" si="253">IFERROR(E5595/G5595-1,"")</x:f>
        <x:v>0.13698749508827657</x:v>
      </x:c>
      <x:c r="I5595" s="38" t="b">
        <x:f t="shared" si="254">E5595&lt;G5595</x:f>
        <x:v>0</x:v>
      </x:c>
    </x:row>
    <x:row r="5596">
      <x:c r="A5596" s="31">
        <x:v>45180</x:v>
      </x:c>
      <x:c r="B5596" s="32">
        <x:v>1250.48</x:v>
      </x:c>
      <x:c r="C5596" s="32">
        <x:v>1251.3699999999999</x:v>
      </x:c>
      <x:c r="D5596" s="32">
        <x:v>1223.33</x:v>
      </x:c>
      <x:c r="E5596" s="32">
        <x:v>1223.6300000000001</x:v>
      </x:c>
      <x:c r="F5596" s="33">
        <x:v>1307561900</x:v>
      </x:c>
      <x:c r="G5596" s="32" t="n">
        <x:f t="shared" si="252">AVERAGE(E5397:E5596)</x:f>
        <x:v>1093.1744500000002</x:v>
      </x:c>
      <x:c r="H5596" s="37" t="n">
        <x:f t="shared" si="253">IFERROR(E5596/G5596-1,"")</x:f>
        <x:v>0.11933644259614717</x:v>
      </x:c>
      <x:c r="I5596" s="38" t="b">
        <x:f t="shared" si="254">E5596&lt;G5596</x:f>
        <x:v>0</x:v>
      </x:c>
    </x:row>
    <x:row r="5597">
      <x:c r="A5597" s="31">
        <x:v>45181</x:v>
      </x:c>
      <x:c r="B5597" s="32">
        <x:v>1227.1600000000001</x:v>
      </x:c>
      <x:c r="C5597" s="32">
        <x:v>1245.44</x:v>
      </x:c>
      <x:c r="D5597" s="32">
        <x:v>1220.8499999999999</x:v>
      </x:c>
      <x:c r="E5597" s="32">
        <x:v>1245.44</x:v>
      </x:c>
      <x:c r="F5597" s="33">
        <x:v>880808100</x:v>
      </x:c>
      <x:c r="G5597" s="32" t="n">
        <x:f t="shared" si="252">AVERAGE(E5398:E5597)</x:f>
        <x:v>1094.5984000000003</x:v>
      </x:c>
      <x:c r="H5597" s="37" t="n">
        <x:f t="shared" si="253">IFERROR(E5597/G5597-1,"")</x:f>
        <x:v>0.13780542708631738</x:v>
      </x:c>
      <x:c r="I5597" s="38" t="b">
        <x:f t="shared" si="254">E5597&lt;G5597</x:f>
        <x:v>0</x:v>
      </x:c>
    </x:row>
    <x:row r="5598">
      <x:c r="A5598" s="31">
        <x:v>45182</x:v>
      </x:c>
      <x:c r="B5598" s="32">
        <x:v>1248.94</x:v>
      </x:c>
      <x:c r="C5598" s="32">
        <x:v>1250.6099999999999</x:v>
      </x:c>
      <x:c r="D5598" s="32">
        <x:v>1232.8399999999999</x:v>
      </x:c>
      <x:c r="E5598" s="32">
        <x:v>1238.3900000000001</x:v>
      </x:c>
      <x:c r="F5598" s="33">
        <x:v>1191422500</x:v>
      </x:c>
      <x:c r="G5598" s="32" t="n">
        <x:f t="shared" si="252">AVERAGE(E5399:E5598)</x:f>
        <x:v>1096.0297500000001</x:v>
      </x:c>
      <x:c r="H5598" s="37" t="n">
        <x:f t="shared" si="253">IFERROR(E5598/G5598-1,"")</x:f>
        <x:v>0.12988721337171727</x:v>
      </x:c>
      <x:c r="I5598" s="38" t="b">
        <x:f t="shared" si="254">E5598&lt;G5598</x:f>
        <x:v>0</x:v>
      </x:c>
    </x:row>
    <x:row r="5599">
      <x:c r="A5599" s="31">
        <x:v>45183</x:v>
      </x:c>
      <x:c r="B5599" s="32">
        <x:v>1238.19</x:v>
      </x:c>
      <x:c r="C5599" s="32">
        <x:v>1244.21</x:v>
      </x:c>
      <x:c r="D5599" s="32">
        <x:v>1223.03</x:v>
      </x:c>
      <x:c r="E5599" s="32">
        <x:v>1223.81</x:v>
      </x:c>
      <x:c r="F5599" s="33">
        <x:v>1159894000</x:v>
      </x:c>
      <x:c r="G5599" s="32" t="n">
        <x:f t="shared" si="252">AVERAGE(E5400:E5599)</x:f>
        <x:v>1097.4188000000004</x:v>
      </x:c>
      <x:c r="H5599" s="37" t="n">
        <x:f t="shared" si="253">IFERROR(E5599/G5599-1,"")</x:f>
        <x:v>0.11517134570685283</x:v>
      </x:c>
      <x:c r="I5599" s="38" t="b">
        <x:f t="shared" si="254">E5599&lt;G5599</x:f>
        <x:v>0</x:v>
      </x:c>
    </x:row>
    <x:row r="5600">
      <x:c r="A5600" s="31">
        <x:v>45184</x:v>
      </x:c>
      <x:c r="B5600" s="32">
        <x:v>1228.8699999999999</x:v>
      </x:c>
      <x:c r="C5600" s="32">
        <x:v>1233.8699999999999</x:v>
      </x:c>
      <x:c r="D5600" s="32">
        <x:v>1220.27</x:v>
      </x:c>
      <x:c r="E5600" s="32">
        <x:v>1227.3599999999999</x:v>
      </x:c>
      <x:c r="F5600" s="33">
        <x:v>868066900</x:v>
      </x:c>
      <x:c r="G5600" s="32" t="n">
        <x:f t="shared" si="252">AVERAGE(E5401:E5600)</x:f>
        <x:v>1098.81705</x:v>
      </x:c>
      <x:c r="H5600" s="37" t="n">
        <x:f t="shared" si="253">IFERROR(E5600/G5600-1,"")</x:f>
        <x:v>0.11698303188870218</x:v>
      </x:c>
      <x:c r="I5600" s="38" t="b">
        <x:f t="shared" si="254">E5600&lt;G5600</x:f>
        <x:v>0</x:v>
      </x:c>
    </x:row>
    <x:row r="5601">
      <x:c r="A5601" s="31">
        <x:v>45187</x:v>
      </x:c>
      <x:c r="B5601" s="32">
        <x:v>1225.5999999999999</x:v>
      </x:c>
      <x:c r="C5601" s="32">
        <x:v>1226.56</x:v>
      </x:c>
      <x:c r="D5601" s="32">
        <x:v>1203.8800000000001</x:v>
      </x:c>
      <x:c r="E5601" s="32">
        <x:v>1211.81</x:v>
      </x:c>
      <x:c r="F5601" s="33">
        <x:v>762110800</x:v>
      </x:c>
      <x:c r="G5601" s="32" t="n">
        <x:f t="shared" si="252">AVERAGE(E5402:E5601)</x:f>
        <x:v>1100.0188</x:v>
      </x:c>
      <x:c r="H5601" s="37" t="n">
        <x:f t="shared" si="253">IFERROR(E5601/G5601-1,"")</x:f>
        <x:v>0.10162662674492462</x:v>
      </x:c>
      <x:c r="I5601" s="38" t="b">
        <x:f t="shared" si="254">E5601&lt;G5601</x:f>
        <x:v>0</x:v>
      </x:c>
    </x:row>
    <x:row r="5602">
      <x:c r="A5602" s="31">
        <x:v>45188</x:v>
      </x:c>
      <x:c r="B5602" s="32">
        <x:v>1215.96</x:v>
      </x:c>
      <x:c r="C5602" s="32">
        <x:v>1219.57</x:v>
      </x:c>
      <x:c r="D5602" s="32">
        <x:v>1199.8499999999999</x:v>
      </x:c>
      <x:c r="E5602" s="32">
        <x:v>1211.5</x:v>
      </x:c>
      <x:c r="F5602" s="33">
        <x:v>880971700</x:v>
      </x:c>
      <x:c r="G5602" s="32" t="n">
        <x:f t="shared" si="252">AVERAGE(E5403:E5602)</x:f>
        <x:v>1101.04785</x:v>
      </x:c>
      <x:c r="H5602" s="37" t="n">
        <x:f t="shared" si="253">IFERROR(E5602/G5602-1,"")</x:f>
        <x:v>0.1003154858346984</x:v>
      </x:c>
      <x:c r="I5602" s="38" t="b">
        <x:f t="shared" si="254">E5602&lt;G5602</x:f>
        <x:v>0</x:v>
      </x:c>
    </x:row>
    <x:row r="5603">
      <x:c r="A5603" s="31">
        <x:v>45189</x:v>
      </x:c>
      <x:c r="B5603" s="32">
        <x:v>1212.7</x:v>
      </x:c>
      <x:c r="C5603" s="32">
        <x:v>1226.1099999999999</x:v>
      </x:c>
      <x:c r="D5603" s="32">
        <x:v>1209.46</x:v>
      </x:c>
      <x:c r="E5603" s="32">
        <x:v>1226.1099999999999</x:v>
      </x:c>
      <x:c r="F5603" s="33">
        <x:v>763034400</x:v>
      </x:c>
      <x:c r="G5603" s="32" t="n">
        <x:f t="shared" si="252">AVERAGE(E5404:E5603)</x:f>
        <x:v>1102.0176</x:v>
      </x:c>
      <x:c r="H5603" s="37" t="n">
        <x:f t="shared" si="253">IFERROR(E5603/G5603-1,"")</x:f>
        <x:v>0.11260473516938396</x:v>
      </x:c>
      <x:c r="I5603" s="38" t="b">
        <x:f t="shared" si="254">E5603&lt;G5603</x:f>
        <x:v>0</x:v>
      </x:c>
    </x:row>
    <x:row r="5604">
      <x:c r="A5604" s="31">
        <x:v>45190</x:v>
      </x:c>
      <x:c r="B5604" s="32">
        <x:v>1226.79</x:v>
      </x:c>
      <x:c r="C5604" s="32">
        <x:v>1227.8800000000001</x:v>
      </x:c>
      <x:c r="D5604" s="32">
        <x:v>1211.6500000000001</x:v>
      </x:c>
      <x:c r="E5604" s="32">
        <x:v>1212.74</x:v>
      </x:c>
      <x:c r="F5604" s="33">
        <x:v>923870000</x:v>
      </x:c>
      <x:c r="G5604" s="32" t="n">
        <x:f t="shared" si="252">AVERAGE(E5405:E5604)</x:f>
        <x:v>1102.8392</x:v>
      </x:c>
      <x:c r="H5604" s="37" t="n">
        <x:f t="shared" si="253">IFERROR(E5604/G5604-1,"")</x:f>
        <x:v>0.09965260574705725</x:v>
      </x:c>
      <x:c r="I5604" s="38" t="b">
        <x:f t="shared" si="254">E5604&lt;G5604</x:f>
        <x:v>0</x:v>
      </x:c>
    </x:row>
    <x:row r="5605">
      <x:c r="A5605" s="31">
        <x:v>45191</x:v>
      </x:c>
      <x:c r="B5605" s="32">
        <x:v>1197.49</x:v>
      </x:c>
      <x:c r="C5605" s="32">
        <x:v>1199.1300000000001</x:v>
      </x:c>
      <x:c r="D5605" s="32">
        <x:v>1174.57</x:v>
      </x:c>
      <x:c r="E5605" s="32">
        <x:v>1193.05</x:v>
      </x:c>
      <x:c r="F5605" s="33">
        <x:v>1317432800</x:v>
      </x:c>
      <x:c r="G5605" s="32" t="n">
        <x:f t="shared" si="252">AVERAGE(E5406:E5605)</x:f>
        <x:v>1103.6230499999997</x:v>
      </x:c>
      <x:c r="H5605" s="37" t="n">
        <x:f t="shared" si="253">IFERROR(E5605/G5605-1,"")</x:f>
        <x:v>0.08103033911805335</x:v>
      </x:c>
      <x:c r="I5605" s="38" t="b">
        <x:f t="shared" si="254">E5605&lt;G5605</x:f>
        <x:v>0</x:v>
      </x:c>
    </x:row>
    <x:row r="5606">
      <x:c r="A5606" s="31">
        <x:v>45194</x:v>
      </x:c>
      <x:c r="B5606" s="32">
        <x:v>1190.58</x:v>
      </x:c>
      <x:c r="C5606" s="32">
        <x:v>1195.6199999999999</x:v>
      </x:c>
      <x:c r="D5606" s="32">
        <x:v>1153.2</x:v>
      </x:c>
      <x:c r="E5606" s="32">
        <x:v>1153.2</x:v>
      </x:c>
      <x:c r="F5606" s="33">
        <x:v>994304100</x:v>
      </x:c>
      <x:c r="G5606" s="32" t="n">
        <x:f t="shared" si="252">AVERAGE(E5407:E5606)</x:f>
        <x:v>1103.989</x:v>
      </x:c>
      <x:c r="H5606" s="37" t="n">
        <x:f t="shared" si="253">IFERROR(E5606/G5606-1,"")</x:f>
        <x:v>0.04457562530061443</x:v>
      </x:c>
      <x:c r="I5606" s="38" t="b">
        <x:f t="shared" si="254">E5606&lt;G5606</x:f>
        <x:v>0</x:v>
      </x:c>
    </x:row>
    <x:row r="5607">
      <x:c r="A5607" s="31">
        <x:v>45195</x:v>
      </x:c>
      <x:c r="B5607" s="32">
        <x:v>1150.94</x:v>
      </x:c>
      <x:c r="C5607" s="32">
        <x:v>1163.52</x:v>
      </x:c>
      <x:c r="D5607" s="32">
        <x:v>1137.96</x:v>
      </x:c>
      <x:c r="E5607" s="32">
        <x:v>1137.96</x:v>
      </x:c>
      <x:c r="F5607" s="33">
        <x:v>957913900</x:v>
      </x:c>
      <x:c r="G5607" s="32" t="n">
        <x:f t="shared" si="252">AVERAGE(E5408:E5607)</x:f>
        <x:v>1104.2104499999998</x:v>
      </x:c>
      <x:c r="H5607" s="37" t="n">
        <x:f t="shared" si="253">IFERROR(E5607/G5607-1,"")</x:f>
        <x:v>0.030564418222993828</x:v>
      </x:c>
      <x:c r="I5607" s="38" t="b">
        <x:f t="shared" si="254">E5607&lt;G5607</x:f>
        <x:v>0</x:v>
      </x:c>
    </x:row>
    <x:row r="5608">
      <x:c r="A5608" s="31">
        <x:v>45196</x:v>
      </x:c>
      <x:c r="B5608" s="32">
        <x:v>1139.76</x:v>
      </x:c>
      <x:c r="C5608" s="32">
        <x:v>1153.8499999999999</x:v>
      </x:c>
      <x:c r="D5608" s="32">
        <x:v>1126.3599999999999</x:v>
      </x:c>
      <x:c r="E5608" s="32">
        <x:v>1153.8499999999999</x:v>
      </x:c>
      <x:c r="F5608" s="33">
        <x:v>777264400</x:v>
      </x:c>
      <x:c r="G5608" s="32" t="n">
        <x:f t="shared" si="252">AVERAGE(E5409:E5608)</x:f>
        <x:v>1104.73625</x:v>
      </x:c>
      <x:c r="H5608" s="37" t="n">
        <x:f t="shared" si="253">IFERROR(E5608/G5608-1,"")</x:f>
        <x:v>0.04445744402792973</x:v>
      </x:c>
      <x:c r="I5608" s="38" t="b">
        <x:f t="shared" si="254">E5608&lt;G5608</x:f>
        <x:v>0</x:v>
      </x:c>
    </x:row>
    <x:row r="5609">
      <x:c r="A5609" s="31">
        <x:v>45197</x:v>
      </x:c>
      <x:c r="B5609" s="32">
        <x:v>1153.74</x:v>
      </x:c>
      <x:c r="C5609" s="32">
        <x:v>1155.3900000000001</x:v>
      </x:c>
      <x:c r="D5609" s="32">
        <x:v>1136.99</x:v>
      </x:c>
      <x:c r="E5609" s="32">
        <x:v>1152.43</x:v>
      </x:c>
      <x:c r="F5609" s="33">
        <x:v>649062500</x:v>
      </x:c>
      <x:c r="G5609" s="32" t="n">
        <x:f t="shared" si="252">AVERAGE(E5410:E5609)</x:f>
        <x:v>1105.2932999999998</x:v>
      </x:c>
      <x:c r="H5609" s="37" t="n">
        <x:f t="shared" si="253">IFERROR(E5609/G5609-1,"")</x:f>
        <x:v>0.04264632744991781</x:v>
      </x:c>
      <x:c r="I5609" s="38" t="b">
        <x:f t="shared" si="254">E5609&lt;G5609</x:f>
        <x:v>0</x:v>
      </x:c>
    </x:row>
    <x:row r="5610">
      <x:c r="A5610" s="31">
        <x:v>45198</x:v>
      </x:c>
      <x:c r="B5610" s="32">
        <x:v>1157.76</x:v>
      </x:c>
      <x:c r="C5610" s="32">
        <x:v>1163.8800000000001</x:v>
      </x:c>
      <x:c r="D5610" s="32">
        <x:v>1152.45</x:v>
      </x:c>
      <x:c r="E5610" s="32">
        <x:v>1154.1500000000001</x:v>
      </x:c>
      <x:c r="F5610" s="33">
        <x:v>535931100</x:v>
      </x:c>
      <x:c r="G5610" s="32" t="n">
        <x:f t="shared" si="252">AVERAGE(E5411:E5610)</x:f>
        <x:v>1105.8113999999998</x:v>
      </x:c>
      <x:c r="H5610" s="37" t="n">
        <x:f t="shared" si="253">IFERROR(E5610/G5610-1,"")</x:f>
        <x:v>0.04371324079314087</x:v>
      </x:c>
      <x:c r="I5610" s="38" t="b">
        <x:f t="shared" si="254">E5610&lt;G5610</x:f>
        <x:v>0</x:v>
      </x:c>
    </x:row>
    <x:row r="5611">
      <x:c r="A5611" s="31">
        <x:v>45201</x:v>
      </x:c>
      <x:c r="B5611" s="32">
        <x:v>1155.07</x:v>
      </x:c>
      <x:c r="C5611" s="32">
        <x:v>1161.48</x:v>
      </x:c>
      <x:c r="D5611" s="32">
        <x:v>1149.6300000000001</x:v>
      </x:c>
      <x:c r="E5611" s="32">
        <x:v>1155.25</x:v>
      </x:c>
      <x:c r="F5611" s="33">
        <x:v>465546100</x:v>
      </x:c>
      <x:c r="G5611" s="32" t="n">
        <x:f t="shared" si="252">AVERAGE(E5412:E5611)</x:f>
        <x:v>1106.3285999999998</x:v>
      </x:c>
      <x:c r="H5611" s="37" t="n">
        <x:f t="shared" si="253">IFERROR(E5611/G5611-1,"")</x:f>
        <x:v>0.04421959262374675</x:v>
      </x:c>
      <x:c r="I5611" s="38" t="b">
        <x:f t="shared" si="254">E5611&lt;G5611</x:f>
        <x:v>0</x:v>
      </x:c>
    </x:row>
    <x:row r="5612">
      <x:c r="A5612" s="31">
        <x:v>45202</x:v>
      </x:c>
      <x:c r="B5612" s="32">
        <x:v>1145.8499999999999</x:v>
      </x:c>
      <x:c r="C5612" s="32">
        <x:v>1146.5899999999999</x:v>
      </x:c>
      <x:c r="D5612" s="32">
        <x:v>1117.28</x:v>
      </x:c>
      <x:c r="E5612" s="32">
        <x:v>1118.0999999999999</x:v>
      </x:c>
      <x:c r="F5612" s="33">
        <x:v>940147700</x:v>
      </x:c>
      <x:c r="G5612" s="32" t="n">
        <x:f t="shared" si="252">AVERAGE(E5413:E5612)</x:f>
        <x:v>1106.75875</x:v>
      </x:c>
      <x:c r="H5612" s="37" t="n">
        <x:f t="shared" si="253">IFERROR(E5612/G5612-1,"")</x:f>
        <x:v>0.010247264817196955</x:v>
      </x:c>
      <x:c r="I5612" s="38" t="b">
        <x:f t="shared" si="254">E5612&lt;G5612</x:f>
        <x:v>0</x:v>
      </x:c>
    </x:row>
    <x:row r="5613">
      <x:c r="A5613" s="31">
        <x:v>45203</x:v>
      </x:c>
      <x:c r="B5613" s="32">
        <x:v>1106.6099999999999</x:v>
      </x:c>
      <x:c r="C5613" s="32">
        <x:v>1133.79</x:v>
      </x:c>
      <x:c r="D5613" s="32">
        <x:v>1106.4000000000001</x:v>
      </x:c>
      <x:c r="E5613" s="32">
        <x:v>1128.67</x:v>
      </x:c>
      <x:c r="F5613" s="33">
        <x:v>646114500</x:v>
      </x:c>
      <x:c r="G5613" s="32" t="n">
        <x:f t="shared" si="252">AVERAGE(E5414:E5613)</x:f>
        <x:v>1107.1648500000001</x:v>
      </x:c>
      <x:c r="H5613" s="37" t="n">
        <x:f t="shared" si="253">IFERROR(E5613/G5613-1,"")</x:f>
        <x:v>0.01942362061078806</x:v>
      </x:c>
      <x:c r="I5613" s="38" t="b">
        <x:f t="shared" si="254">E5613&lt;G5613</x:f>
        <x:v>0</x:v>
      </x:c>
    </x:row>
    <x:row r="5614">
      <x:c r="A5614" s="31">
        <x:v>45204</x:v>
      </x:c>
      <x:c r="B5614" s="32">
        <x:v>1131.3499999999999</x:v>
      </x:c>
      <x:c r="C5614" s="32">
        <x:v>1133.1199999999999</x:v>
      </x:c>
      <x:c r="D5614" s="32">
        <x:v>1113.8900000000001</x:v>
      </x:c>
      <x:c r="E5614" s="32">
        <x:v>1113.8900000000001</x:v>
      </x:c>
      <x:c r="F5614" s="33">
        <x:v>556516000</x:v>
      </x:c>
      <x:c r="G5614" s="32" t="n">
        <x:f t="shared" si="252">AVERAGE(E5415:E5614)</x:f>
        <x:v>1107.48215</x:v>
      </x:c>
      <x:c r="H5614" s="37" t="n">
        <x:f t="shared" si="253">IFERROR(E5614/G5614-1,"")</x:f>
        <x:v>0.005785962329054373</x:v>
      </x:c>
      <x:c r="I5614" s="38" t="b">
        <x:f t="shared" si="254">E5614&lt;G5614</x:f>
        <x:v>0</x:v>
      </x:c>
    </x:row>
    <x:row r="5615">
      <x:c r="A5615" s="31">
        <x:v>45205</x:v>
      </x:c>
      <x:c r="B5615" s="32">
        <x:v>1115.23</x:v>
      </x:c>
      <x:c r="C5615" s="32">
        <x:v>1129.1300000000001</x:v>
      </x:c>
      <x:c r="D5615" s="32">
        <x:v>1107.4000000000001</x:v>
      </x:c>
      <x:c r="E5615" s="32">
        <x:v>1128.54</x:v>
      </x:c>
      <x:c r="F5615" s="33">
        <x:v>586082400</x:v>
      </x:c>
      <x:c r="G5615" s="32" t="n">
        <x:f t="shared" si="252">AVERAGE(E5416:E5615)</x:f>
        <x:v>1107.84825</x:v>
      </x:c>
      <x:c r="H5615" s="37" t="n">
        <x:f t="shared" si="253">IFERROR(E5615/G5615-1,"")</x:f>
        <x:v>0.018677422652425557</x:v>
      </x:c>
      <x:c r="I5615" s="38" t="b">
        <x:f t="shared" si="254">E5615&lt;G5615</x:f>
        <x:v>0</x:v>
      </x:c>
    </x:row>
    <x:row r="5616">
      <x:c r="A5616" s="31">
        <x:v>45208</x:v>
      </x:c>
      <x:c r="B5616" s="32">
        <x:v>1130.25</x:v>
      </x:c>
      <x:c r="C5616" s="32">
        <x:v>1137.3599999999999</x:v>
      </x:c>
      <x:c r="D5616" s="32">
        <x:v>1127.03</x:v>
      </x:c>
      <x:c r="E5616" s="32">
        <x:v>1137.3599999999999</x:v>
      </x:c>
      <x:c r="F5616" s="33">
        <x:v>545012000</x:v>
      </x:c>
      <x:c r="G5616" s="32" t="n">
        <x:f t="shared" si="252">AVERAGE(E5417:E5616)</x:f>
        <x:v>1108.27265</x:v>
      </x:c>
      <x:c r="H5616" s="37" t="n">
        <x:f t="shared" si="253">IFERROR(E5616/G5616-1,"")</x:f>
        <x:v>0.026245662563268768</x:v>
      </x:c>
      <x:c r="I5616" s="38" t="b">
        <x:f t="shared" si="254">E5616&lt;G5616</x:f>
        <x:v>0</x:v>
      </x:c>
    </x:row>
    <x:row r="5617">
      <x:c r="A5617" s="31">
        <x:v>45209</x:v>
      </x:c>
      <x:c r="B5617" s="32">
        <x:v>1143.5999999999999</x:v>
      </x:c>
      <x:c r="C5617" s="32">
        <x:v>1150.3399999999999</x:v>
      </x:c>
      <x:c r="D5617" s="32">
        <x:v>1141.97</x:v>
      </x:c>
      <x:c r="E5617" s="32">
        <x:v>1143.69</x:v>
      </x:c>
      <x:c r="F5617" s="33">
        <x:v>627950000</x:v>
      </x:c>
      <x:c r="G5617" s="32" t="n">
        <x:f t="shared" si="252">AVERAGE(E5418:E5617)</x:f>
        <x:v>1108.7991000000002</x:v>
      </x:c>
      <x:c r="H5617" s="37" t="n">
        <x:f t="shared" si="253">IFERROR(E5617/G5617-1,"")</x:f>
        <x:v>0.03146728744639127</x:v>
      </x:c>
      <x:c r="I5617" s="38" t="b">
        <x:f t="shared" si="254">E5617&lt;G5617</x:f>
        <x:v>0</x:v>
      </x:c>
    </x:row>
    <x:row r="5618">
      <x:c r="A5618" s="31">
        <x:v>45210</x:v>
      </x:c>
      <x:c r="B5618" s="32">
        <x:v>1146.2</x:v>
      </x:c>
      <x:c r="C5618" s="32">
        <x:v>1150.81</x:v>
      </x:c>
      <x:c r="D5618" s="32">
        <x:v>1138.22</x:v>
      </x:c>
      <x:c r="E5618" s="32">
        <x:v>1150.81</x:v>
      </x:c>
      <x:c r="F5618" s="33">
        <x:v>496702300</x:v>
      </x:c>
      <x:c r="G5618" s="32" t="n">
        <x:f t="shared" si="252">AVERAGE(E5419:E5618)</x:f>
        <x:v>1109.4375000000002</x:v>
      </x:c>
      <x:c r="H5618" s="37" t="n">
        <x:f t="shared" si="253">IFERROR(E5618/G5618-1,"")</x:f>
        <x:v>0.03729142020167853</x:v>
      </x:c>
      <x:c r="I5618" s="38" t="b">
        <x:f t="shared" si="254">E5618&lt;G5618</x:f>
        <x:v>0</x:v>
      </x:c>
    </x:row>
    <x:row r="5619">
      <x:c r="A5619" s="31">
        <x:v>45211</x:v>
      </x:c>
      <x:c r="B5619" s="32">
        <x:v>1155.1199999999999</x:v>
      </x:c>
      <x:c r="C5619" s="32">
        <x:v>1156.73</x:v>
      </x:c>
      <x:c r="D5619" s="32">
        <x:v>1148.1099999999999</x:v>
      </x:c>
      <x:c r="E5619" s="32">
        <x:v>1151.6099999999999</x:v>
      </x:c>
      <x:c r="F5619" s="33">
        <x:v>619607000</x:v>
      </x:c>
      <x:c r="G5619" s="32" t="n">
        <x:f t="shared" si="252">AVERAGE(E5420:E5619)</x:f>
        <x:v>1110.1011500000004</x:v>
      </x:c>
      <x:c r="H5619" s="37" t="n">
        <x:f t="shared" si="253">IFERROR(E5619/G5619-1,"")</x:f>
        <x:v>0.037391952976536746</x:v>
      </x:c>
      <x:c r="I5619" s="38" t="b">
        <x:f t="shared" si="254">E5619&lt;G5619</x:f>
        <x:v>0</x:v>
      </x:c>
    </x:row>
    <x:row r="5620">
      <x:c r="A5620" s="31">
        <x:v>45212</x:v>
      </x:c>
      <x:c r="B5620" s="32">
        <x:v>1145.03</x:v>
      </x:c>
      <x:c r="C5620" s="32">
        <x:v>1155.0999999999999</x:v>
      </x:c>
      <x:c r="D5620" s="32">
        <x:v>1138.99</x:v>
      </x:c>
      <x:c r="E5620" s="32">
        <x:v>1154.73</x:v>
      </x:c>
      <x:c r="F5620" s="33">
        <x:v>593801400</x:v>
      </x:c>
      <x:c r="G5620" s="32" t="n">
        <x:f t="shared" si="252">AVERAGE(E5421:E5620)</x:f>
        <x:v>1110.7617500000003</x:v>
      </x:c>
      <x:c r="H5620" s="37" t="n">
        <x:f t="shared" si="253">IFERROR(E5620/G5620-1,"")</x:f>
        <x:v>0.039583871158688666</x:v>
      </x:c>
      <x:c r="I5620" s="38" t="b">
        <x:f t="shared" si="254">E5620&lt;G5620</x:f>
        <x:v>0</x:v>
      </x:c>
    </x:row>
    <x:row r="5621">
      <x:c r="A5621" s="31">
        <x:v>45215</x:v>
      </x:c>
      <x:c r="B5621" s="32">
        <x:v>1152.69</x:v>
      </x:c>
      <x:c r="C5621" s="32">
        <x:v>1157.46</x:v>
      </x:c>
      <x:c r="D5621" s="32">
        <x:v>1140.6400000000001</x:v>
      </x:c>
      <x:c r="E5621" s="32">
        <x:v>1141.42</x:v>
      </x:c>
      <x:c r="F5621" s="33">
        <x:v>622999800</x:v>
      </x:c>
      <x:c r="G5621" s="32" t="n">
        <x:f t="shared" si="252">AVERAGE(E5422:E5621)</x:f>
        <x:v>1111.3671500000005</x:v>
      </x:c>
      <x:c r="H5621" s="37" t="n">
        <x:f t="shared" si="253">IFERROR(E5621/G5621-1,"")</x:f>
        <x:v>0.02704133373026152</x:v>
      </x:c>
      <x:c r="I5621" s="38" t="b">
        <x:f t="shared" si="254">E5621&lt;G5621</x:f>
        <x:v>0</x:v>
      </x:c>
    </x:row>
    <x:row r="5622">
      <x:c r="A5622" s="31">
        <x:v>45216</x:v>
      </x:c>
      <x:c r="B5622" s="32">
        <x:v>1145.3399999999999</x:v>
      </x:c>
      <x:c r="C5622" s="32">
        <x:v>1147.8900000000001</x:v>
      </x:c>
      <x:c r="D5622" s="32">
        <x:v>1121.6500000000001</x:v>
      </x:c>
      <x:c r="E5622" s="32">
        <x:v>1121.6500000000001</x:v>
      </x:c>
      <x:c r="F5622" s="33">
        <x:v>566555000</x:v>
      </x:c>
      <x:c r="G5622" s="32" t="n">
        <x:f t="shared" si="252">AVERAGE(E5423:E5622)</x:f>
        <x:v>1112.0493500000005</x:v>
      </x:c>
      <x:c r="H5622" s="37" t="n">
        <x:f t="shared" si="253">IFERROR(E5622/G5622-1,"")</x:f>
        <x:v>0.008633294916272849</x:v>
      </x:c>
      <x:c r="I5622" s="38" t="b">
        <x:f t="shared" si="254">E5622&lt;G5622</x:f>
        <x:v>0</x:v>
      </x:c>
    </x:row>
    <x:row r="5623">
      <x:c r="A5623" s="31">
        <x:v>45217</x:v>
      </x:c>
      <x:c r="B5623" s="32">
        <x:v>1123.73</x:v>
      </x:c>
      <x:c r="C5623" s="32">
        <x:v>1125.27</x:v>
      </x:c>
      <x:c r="D5623" s="32">
        <x:v>1088.8699999999999</x:v>
      </x:c>
      <x:c r="E5623" s="32">
        <x:v>1103.4000000000001</x:v>
      </x:c>
      <x:c r="F5623" s="33">
        <x:v>930514000</x:v>
      </x:c>
      <x:c r="G5623" s="32" t="n">
        <x:f t="shared" si="252">AVERAGE(E5424:E5623)</x:f>
        <x:v>1112.5435000000004</x:v>
      </x:c>
      <x:c r="H5623" s="37" t="n">
        <x:f t="shared" si="253">IFERROR(E5623/G5623-1,"")</x:f>
        <x:v>-0.00821855504975788</x:v>
      </x:c>
      <x:c r="I5623" s="38" t="b">
        <x:f t="shared" si="254">E5623&lt;G5623</x:f>
        <x:v>1</x:v>
      </x:c>
    </x:row>
    <x:row r="5624">
      <x:c r="A5624" s="31">
        <x:v>45218</x:v>
      </x:c>
      <x:c r="B5624" s="32">
        <x:v>1102.93</x:v>
      </x:c>
      <x:c r="C5624" s="32">
        <x:v>1103.6500000000001</x:v>
      </x:c>
      <x:c r="D5624" s="32">
        <x:v>1087.8499999999999</x:v>
      </x:c>
      <x:c r="E5624" s="32">
        <x:v>1087.8499999999999</x:v>
      </x:c>
      <x:c r="F5624" s="33">
        <x:v>615746700</x:v>
      </x:c>
      <x:c r="G5624" s="32" t="n">
        <x:f t="shared" si="252">AVERAGE(E5425:E5624)</x:f>
        <x:v>1112.9044500000005</x:v>
      </x:c>
      <x:c r="H5624" s="37" t="n">
        <x:f t="shared" si="253">IFERROR(E5624/G5624-1,"")</x:f>
        <x:v>-0.022512669438962685</x:v>
      </x:c>
      <x:c r="I5624" s="38" t="b">
        <x:f t="shared" si="254">E5624&lt;G5624</x:f>
        <x:v>1</x:v>
      </x:c>
    </x:row>
    <x:row r="5625">
      <x:c r="A5625" s="31">
        <x:v>45219</x:v>
      </x:c>
      <x:c r="B5625" s="32">
        <x:v>1085.83</x:v>
      </x:c>
      <x:c r="C5625" s="32">
        <x:v>1108.1600000000001</x:v>
      </x:c>
      <x:c r="D5625" s="32">
        <x:v>1073.73</x:v>
      </x:c>
      <x:c r="E5625" s="32">
        <x:v>1108.03</x:v>
      </x:c>
      <x:c r="F5625" s="33">
        <x:v>592527800</x:v>
      </x:c>
      <x:c r="G5625" s="32" t="n">
        <x:f t="shared" si="252">AVERAGE(E5426:E5625)</x:f>
        <x:v>1113.3981500000002</x:v>
      </x:c>
      <x:c r="H5625" s="37" t="n">
        <x:f t="shared" si="253">IFERROR(E5625/G5625-1,"")</x:f>
        <x:v>-0.0048214109211518474</x:v>
      </x:c>
      <x:c r="I5625" s="38" t="b">
        <x:f t="shared" si="254">E5625&lt;G5625</x:f>
        <x:v>1</x:v>
      </x:c>
    </x:row>
    <x:row r="5626">
      <x:c r="A5626" s="31">
        <x:v>45222</x:v>
      </x:c>
      <x:c r="B5626" s="32">
        <x:v>1106.56</x:v>
      </x:c>
      <x:c r="C5626" s="32">
        <x:v>1106.8</x:v>
      </x:c>
      <x:c r="D5626" s="32">
        <x:v>1086.54</x:v>
      </x:c>
      <x:c r="E5626" s="32">
        <x:v>1093.53</x:v>
      </x:c>
      <x:c r="F5626" s="33">
        <x:v>500482000</x:v>
      </x:c>
      <x:c r="G5626" s="32" t="n">
        <x:f t="shared" si="252">AVERAGE(E5427:E5626)</x:f>
        <x:v>1113.8303500000004</x:v>
      </x:c>
      <x:c r="H5626" s="37" t="n">
        <x:f t="shared" si="253">IFERROR(E5626/G5626-1,"")</x:f>
        <x:v>-0.018225710944220874</x:v>
      </x:c>
      <x:c r="I5626" s="38" t="b">
        <x:f t="shared" si="254">E5626&lt;G5626</x:f>
        <x:v>1</x:v>
      </x:c>
    </x:row>
    <x:row r="5627">
      <x:c r="A5627" s="31">
        <x:v>45223</x:v>
      </x:c>
      <x:c r="B5627" s="32">
        <x:v>1095.42</x:v>
      </x:c>
      <x:c r="C5627" s="32">
        <x:v>1107.3</x:v>
      </x:c>
      <x:c r="D5627" s="32">
        <x:v>1088.17</x:v>
      </x:c>
      <x:c r="E5627" s="32">
        <x:v>1105.9000000000001</x:v>
      </x:c>
      <x:c r="F5627" s="33">
        <x:v>443128900</x:v>
      </x:c>
      <x:c r="G5627" s="32" t="n">
        <x:f t="shared" si="252">AVERAGE(E5428:E5627)</x:f>
        <x:v>1114.1403500000004</x:v>
      </x:c>
      <x:c r="H5627" s="37" t="n">
        <x:f t="shared" si="253">IFERROR(E5627/G5627-1,"")</x:f>
        <x:v>-0.00739615076323219</x:v>
      </x:c>
      <x:c r="I5627" s="38" t="b">
        <x:f t="shared" si="254">E5627&lt;G5627</x:f>
        <x:v>1</x:v>
      </x:c>
    </x:row>
    <x:row r="5628">
      <x:c r="A5628" s="31">
        <x:v>45224</x:v>
      </x:c>
      <x:c r="B5628" s="32">
        <x:v>1106.4100000000001</x:v>
      </x:c>
      <x:c r="C5628" s="32">
        <x:v>1111.3900000000001</x:v>
      </x:c>
      <x:c r="D5628" s="32">
        <x:v>1100.6400000000001</x:v>
      </x:c>
      <x:c r="E5628" s="32">
        <x:v>1101.6600000000001</x:v>
      </x:c>
      <x:c r="F5628" s="33">
        <x:v>482997000</x:v>
      </x:c>
      <x:c r="G5628" s="32" t="n">
        <x:f t="shared" si="252">AVERAGE(E5429:E5628)</x:f>
        <x:v>1114.4169000000004</x:v>
      </x:c>
      <x:c r="H5628" s="37" t="n">
        <x:f t="shared" si="253">IFERROR(E5628/G5628-1,"")</x:f>
        <x:v>-0.011447152317952347</x:v>
      </x:c>
      <x:c r="I5628" s="38" t="b">
        <x:f t="shared" si="254">E5628&lt;G5628</x:f>
        <x:v>1</x:v>
      </x:c>
    </x:row>
    <x:row r="5629">
      <x:c r="A5629" s="31">
        <x:v>45225</x:v>
      </x:c>
      <x:c r="B5629" s="32">
        <x:v>1082.8</x:v>
      </x:c>
      <x:c r="C5629" s="32">
        <x:v>1083.22</x:v>
      </x:c>
      <x:c r="D5629" s="32">
        <x:v>1049.71</x:v>
      </x:c>
      <x:c r="E5629" s="32">
        <x:v>1055.45</x:v>
      </x:c>
      <x:c r="F5629" s="33">
        <x:v>1129481400</x:v>
      </x:c>
      <x:c r="G5629" s="32" t="n">
        <x:f t="shared" si="252">AVERAGE(E5430:E5629)</x:f>
        <x:v>1114.4150500000003</x:v>
      </x:c>
      <x:c r="H5629" s="37" t="n">
        <x:f t="shared" si="253">IFERROR(E5629/G5629-1,"")</x:f>
        <x:v>-0.05291121113269259</x:v>
      </x:c>
      <x:c r="I5629" s="38" t="b">
        <x:f t="shared" si="254">E5629&lt;G5629</x:f>
        <x:v>1</x:v>
      </x:c>
    </x:row>
    <x:row r="5630">
      <x:c r="A5630" s="31">
        <x:v>45226</x:v>
      </x:c>
      <x:c r="B5630" s="32">
        <x:v>1059.4100000000001</x:v>
      </x:c>
      <x:c r="C5630" s="32">
        <x:v>1061.8699999999999</x:v>
      </x:c>
      <x:c r="D5630" s="32">
        <x:v>1037.46</x:v>
      </x:c>
      <x:c r="E5630" s="32">
        <x:v>1060.6199999999999</x:v>
      </x:c>
      <x:c r="F5630" s="33">
        <x:v>638920300</x:v>
      </x:c>
      <x:c r="G5630" s="32" t="n">
        <x:f t="shared" si="252">AVERAGE(E5431:E5630)</x:f>
        <x:v>1114.4609500000004</x:v>
      </x:c>
      <x:c r="H5630" s="37" t="n">
        <x:f t="shared" si="253">IFERROR(E5630/G5630-1,"")</x:f>
        <x:v>-0.04831120372589137</x:v>
      </x:c>
      <x:c r="I5630" s="38" t="b">
        <x:f t="shared" si="254">E5630&lt;G5630</x:f>
        <x:v>1</x:v>
      </x:c>
    </x:row>
    <x:row r="5631">
      <x:c r="A5631" s="31">
        <x:v>45229</x:v>
      </x:c>
      <x:c r="B5631" s="32">
        <x:v>1054.03</x:v>
      </x:c>
      <x:c r="C5631" s="32">
        <x:v>1060.3900000000001</x:v>
      </x:c>
      <x:c r="D5631" s="32">
        <x:v>1042.4000000000001</x:v>
      </x:c>
      <x:c r="E5631" s="32">
        <x:v>1042.4000000000001</x:v>
      </x:c>
      <x:c r="F5631" s="33">
        <x:v>465837000</x:v>
      </x:c>
      <x:c r="G5631" s="32" t="n">
        <x:f t="shared" si="252">AVERAGE(E5432:E5631)</x:f>
        <x:v>1114.4019000000003</x:v>
      </x:c>
      <x:c r="H5631" s="37" t="n">
        <x:f t="shared" si="253">IFERROR(E5631/G5631-1,"")</x:f>
        <x:v>-0.06461035287179628</x:v>
      </x:c>
      <x:c r="I5631" s="38" t="b">
        <x:f t="shared" si="254">E5631&lt;G5631</x:f>
        <x:v>1</x:v>
      </x:c>
    </x:row>
    <x:row r="5632">
      <x:c r="A5632" s="31">
        <x:v>45230</x:v>
      </x:c>
      <x:c r="B5632" s="32">
        <x:v>1045.5999999999999</x:v>
      </x:c>
      <x:c r="C5632" s="32">
        <x:v>1046.17</x:v>
      </x:c>
      <x:c r="D5632" s="32">
        <x:v>1025.03</x:v>
      </x:c>
      <x:c r="E5632" s="32">
        <x:v>1028.19</x:v>
      </x:c>
      <x:c r="F5632" s="33">
        <x:v>705940300</x:v>
      </x:c>
      <x:c r="G5632" s="32" t="n">
        <x:f t="shared" si="252">AVERAGE(E5433:E5632)</x:f>
        <x:v>1114.2761000000003</x:v>
      </x:c>
      <x:c r="H5632" s="37" t="n">
        <x:f t="shared" si="253">IFERROR(E5632/G5632-1,"")</x:f>
        <x:v>-0.07725742300314997</x:v>
      </x:c>
      <x:c r="I5632" s="38" t="b">
        <x:f t="shared" si="254">E5632&lt;G5632</x:f>
        <x:v>1</x:v>
      </x:c>
    </x:row>
    <x:row r="5633">
      <x:c r="A5633" s="31">
        <x:v>45231</x:v>
      </x:c>
      <x:c r="B5633" s="32">
        <x:v>1029</x:v>
      </x:c>
      <x:c r="C5633" s="32">
        <x:v>1039.6600000000001</x:v>
      </x:c>
      <x:c r="D5633" s="32">
        <x:v>1020.01</x:v>
      </x:c>
      <x:c r="E5633" s="32">
        <x:v>1039.6600000000001</x:v>
      </x:c>
      <x:c r="F5633" s="33">
        <x:v>603502200</x:v>
      </x:c>
      <x:c r="G5633" s="32" t="n">
        <x:f t="shared" si="252">AVERAGE(E5434:E5633)</x:f>
        <x:v>1114.1956000000002</x:v>
      </x:c>
      <x:c r="H5633" s="37" t="n">
        <x:f t="shared" si="253">IFERROR(E5633/G5633-1,"")</x:f>
        <x:v>-0.06689633310345167</x:v>
      </x:c>
      <x:c r="I5633" s="38" t="b">
        <x:f t="shared" si="254">E5633&lt;G5633</x:f>
        <x:v>1</x:v>
      </x:c>
    </x:row>
    <x:row r="5634">
      <x:c r="A5634" s="31">
        <x:v>45232</x:v>
      </x:c>
      <x:c r="B5634" s="32">
        <x:v>1048.6199999999999</x:v>
      </x:c>
      <x:c r="C5634" s="32">
        <x:v>1075.47</x:v>
      </x:c>
      <x:c r="D5634" s="32">
        <x:v>1045.1400000000001</x:v>
      </x:c>
      <x:c r="E5634" s="32">
        <x:v>1075.47</x:v>
      </x:c>
      <x:c r="F5634" s="33">
        <x:v>735677500</x:v>
      </x:c>
      <x:c r="G5634" s="32" t="n">
        <x:f t="shared" si="252">AVERAGE(E5435:E5634)</x:f>
        <x:v>1114.2910000000002</x:v>
      </x:c>
      <x:c r="H5634" s="37" t="n">
        <x:f t="shared" si="253">IFERROR(E5634/G5634-1,"")</x:f>
        <x:v>-0.034839193711517114</x:v>
      </x:c>
      <x:c r="I5634" s="38" t="b">
        <x:f t="shared" si="254">E5634&lt;G5634</x:f>
        <x:v>1</x:v>
      </x:c>
    </x:row>
    <x:row r="5635">
      <x:c r="A5635" s="31">
        <x:v>45233</x:v>
      </x:c>
      <x:c r="B5635" s="32">
        <x:v>1081.3499999999999</x:v>
      </x:c>
      <x:c r="C5635" s="32">
        <x:v>1082.23</x:v>
      </x:c>
      <x:c r="D5635" s="32">
        <x:v>1071.1099999999999</x:v>
      </x:c>
      <x:c r="E5635" s="32">
        <x:v>1076.78</x:v>
      </x:c>
      <x:c r="F5635" s="33">
        <x:v>703784300</x:v>
      </x:c>
      <x:c r="G5635" s="32" t="n">
        <x:f t="shared" si="252">AVERAGE(E5436:E5635)</x:f>
        <x:v>1114.3740500000004</x:v>
      </x:c>
      <x:c r="H5635" s="37" t="n">
        <x:f t="shared" si="253">IFERROR(E5635/G5635-1,"")</x:f>
        <x:v>-0.033735575590620015</x:v>
      </x:c>
      <x:c r="I5635" s="38" t="b">
        <x:f t="shared" si="254">E5635&lt;G5635</x:f>
        <x:v>1</x:v>
      </x:c>
    </x:row>
    <x:row r="5636">
      <x:c r="A5636" s="31">
        <x:v>45236</x:v>
      </x:c>
      <x:c r="B5636" s="32">
        <x:v>1082.21</x:v>
      </x:c>
      <x:c r="C5636" s="32">
        <x:v>1089.6600000000001</x:v>
      </x:c>
      <x:c r="D5636" s="32">
        <x:v>1076.78</x:v>
      </x:c>
      <x:c r="E5636" s="32">
        <x:v>1089.6600000000001</x:v>
      </x:c>
      <x:c r="F5636" s="33">
        <x:v>571437300</x:v>
      </x:c>
      <x:c r="G5636" s="32" t="n">
        <x:f t="shared" si="252">AVERAGE(E5437:E5636)</x:f>
        <x:v>1114.4889500000002</x:v>
      </x:c>
      <x:c r="H5636" s="37" t="n">
        <x:f t="shared" si="253">IFERROR(E5636/G5636-1,"")</x:f>
        <x:v>-0.02227832765860982</x:v>
      </x:c>
      <x:c r="I5636" s="38" t="b">
        <x:f t="shared" si="254">E5636&lt;G5636</x:f>
        <x:v>1</x:v>
      </x:c>
    </x:row>
    <x:row r="5637">
      <x:c r="A5637" s="31">
        <x:v>45237</x:v>
      </x:c>
      <x:c r="B5637" s="32">
        <x:v>1086.68</x:v>
      </x:c>
      <x:c r="C5637" s="32">
        <x:v>1089.8900000000001</x:v>
      </x:c>
      <x:c r="D5637" s="32">
        <x:v>1079.42</x:v>
      </x:c>
      <x:c r="E5637" s="32">
        <x:v>1080.29</x:v>
      </x:c>
      <x:c r="F5637" s="33">
        <x:v>535907500</x:v>
      </x:c>
      <x:c r="G5637" s="32" t="n">
        <x:f t="shared" si="252">AVERAGE(E5438:E5637)</x:f>
        <x:v>1114.4489500000004</x:v>
      </x:c>
      <x:c r="H5637" s="37" t="n">
        <x:f t="shared" si="253">IFERROR(E5637/G5637-1,"")</x:f>
        <x:v>-0.03065097777695469</x:v>
      </x:c>
      <x:c r="I5637" s="38" t="b">
        <x:f t="shared" si="254">E5637&lt;G5637</x:f>
        <x:v>1</x:v>
      </x:c>
    </x:row>
    <x:row r="5638">
      <x:c r="A5638" s="31">
        <x:v>45238</x:v>
      </x:c>
      <x:c r="B5638" s="32">
        <x:v>1079.1400000000001</x:v>
      </x:c>
      <x:c r="C5638" s="32">
        <x:v>1113.43</x:v>
      </x:c>
      <x:c r="D5638" s="32">
        <x:v>1075.8</x:v>
      </x:c>
      <x:c r="E5638" s="32">
        <x:v>1113.43</x:v>
      </x:c>
      <x:c r="F5638" s="33">
        <x:v>886220500</x:v>
      </x:c>
      <x:c r="G5638" s="32" t="n">
        <x:f t="shared" si="252">AVERAGE(E5439:E5638)</x:f>
        <x:v>1114.5247000000002</x:v>
      </x:c>
      <x:c r="H5638" s="37" t="n">
        <x:f t="shared" si="253">IFERROR(E5638/G5638-1,"")</x:f>
        <x:v>-0.0009822124175445923</x:v>
      </x:c>
      <x:c r="I5638" s="38" t="b">
        <x:f t="shared" si="254">E5638&lt;G5638</x:f>
        <x:v>1</x:v>
      </x:c>
    </x:row>
    <x:row r="5639">
      <x:c r="A5639" s="31">
        <x:v>45239</x:v>
      </x:c>
      <x:c r="B5639" s="32">
        <x:v>1116.42</x:v>
      </x:c>
      <x:c r="C5639" s="32">
        <x:v>1124.78</x:v>
      </x:c>
      <x:c r="D5639" s="32">
        <x:v>1112.1300000000001</x:v>
      </x:c>
      <x:c r="E5639" s="32">
        <x:v>1113.8900000000001</x:v>
      </x:c>
      <x:c r="F5639" s="33">
        <x:v>996860000</x:v>
      </x:c>
      <x:c r="G5639" s="32" t="n">
        <x:f t="shared" si="252">AVERAGE(E5440:E5639)</x:f>
        <x:v>1114.5537500000003</x:v>
      </x:c>
      <x:c r="H5639" s="37" t="n">
        <x:f t="shared" si="253">IFERROR(E5639/G5639-1,"")</x:f>
        <x:v>-0.0005955298252777741</x:v>
      </x:c>
      <x:c r="I5639" s="38" t="b">
        <x:f t="shared" si="254">E5639&lt;G5639</x:f>
        <x:v>1</x:v>
      </x:c>
    </x:row>
    <x:row r="5640">
      <x:c r="A5640" s="31">
        <x:v>45240</x:v>
      </x:c>
      <x:c r="B5640" s="32">
        <x:v>1105.75</x:v>
      </x:c>
      <x:c r="C5640" s="32">
        <x:v>1116.02</x:v>
      </x:c>
      <x:c r="D5640" s="32">
        <x:v>1101.23</x:v>
      </x:c>
      <x:c r="E5640" s="32">
        <x:v>1101.68</x:v>
      </x:c>
      <x:c r="F5640" s="33">
        <x:v>945389300</x:v>
      </x:c>
      <x:c r="G5640" s="32" t="n">
        <x:f t="shared" si="252">AVERAGE(E5441:E5640)</x:f>
        <x:v>1114.4766500000003</x:v>
      </x:c>
      <x:c r="H5640" s="37" t="n">
        <x:f t="shared" si="253">IFERROR(E5640/G5640-1,"")</x:f>
        <x:v>-0.011482205571556992</x:v>
      </x:c>
      <x:c r="I5640" s="38" t="b">
        <x:f t="shared" si="254">E5640&lt;G5640</x:f>
        <x:v>1</x:v>
      </x:c>
    </x:row>
    <x:row r="5641">
      <x:c r="A5641" s="31">
        <x:v>45243</x:v>
      </x:c>
      <x:c r="B5641" s="32">
        <x:v>1103.6600000000001</x:v>
      </x:c>
      <x:c r="C5641" s="32">
        <x:v>1107.9100000000001</x:v>
      </x:c>
      <x:c r="D5641" s="32">
        <x:v>1093.19</x:v>
      </x:c>
      <x:c r="E5641" s="32">
        <x:v>1100.07</x:v>
      </x:c>
      <x:c r="F5641" s="33">
        <x:v>730190300</x:v>
      </x:c>
      <x:c r="G5641" s="32" t="n">
        <x:f t="shared" si="252">AVERAGE(E5442:E5641)</x:f>
        <x:v>1114.4641500000002</x:v>
      </x:c>
      <x:c r="H5641" s="37" t="n">
        <x:f t="shared" si="253">IFERROR(E5641/G5641-1,"")</x:f>
        <x:v>-0.012915758663031296</x:v>
      </x:c>
      <x:c r="I5641" s="38" t="b">
        <x:f t="shared" si="254">E5641&lt;G5641</x:f>
        <x:v>1</x:v>
      </x:c>
    </x:row>
    <x:row r="5642">
      <x:c r="A5642" s="31">
        <x:v>45244</x:v>
      </x:c>
      <x:c r="B5642" s="32">
        <x:v>1109.08</x:v>
      </x:c>
      <x:c r="C5642" s="32">
        <x:v>1115.5999999999999</x:v>
      </x:c>
      <x:c r="D5642" s="32">
        <x:v>1101.67</x:v>
      </x:c>
      <x:c r="E5642" s="32">
        <x:v>1109.73</x:v>
      </x:c>
      <x:c r="F5642" s="33">
        <x:v>766022100</x:v>
      </x:c>
      <x:c r="G5642" s="32" t="n">
        <x:f t="shared" si="252">AVERAGE(E5443:E5642)</x:f>
        <x:v>1114.4569000000004</x:v>
      </x:c>
      <x:c r="H5642" s="37" t="n">
        <x:f t="shared" si="253">IFERROR(E5642/G5642-1,"")</x:f>
        <x:v>-0.004241438139061637</x:v>
      </x:c>
      <x:c r="I5642" s="38" t="b">
        <x:f t="shared" si="254">E5642&lt;G5642</x:f>
        <x:v>1</x:v>
      </x:c>
    </x:row>
    <x:row r="5643">
      <x:c r="A5643" s="31">
        <x:v>45245</x:v>
      </x:c>
      <x:c r="B5643" s="32">
        <x:v>1124.56</x:v>
      </x:c>
      <x:c r="C5643" s="32">
        <x:v>1132.75</x:v>
      </x:c>
      <x:c r="D5643" s="32">
        <x:v>1118.74</x:v>
      </x:c>
      <x:c r="E5643" s="32">
        <x:v>1122.5</x:v>
      </x:c>
      <x:c r="F5643" s="33">
        <x:v>882296600</x:v>
      </x:c>
      <x:c r="G5643" s="32" t="n">
        <x:f t="shared" si="252">AVERAGE(E5444:E5643)</x:f>
        <x:v>1114.6895500000003</x:v>
      </x:c>
      <x:c r="H5643" s="37" t="n">
        <x:f t="shared" si="253">IFERROR(E5643/G5643-1,"")</x:f>
        <x:v>0.007006838809962668</x:v>
      </x:c>
      <x:c r="I5643" s="38" t="b">
        <x:f t="shared" si="254">E5643&lt;G5643</x:f>
        <x:v>0</x:v>
      </x:c>
    </x:row>
    <x:row r="5644">
      <x:c r="A5644" s="31">
        <x:v>45246</x:v>
      </x:c>
      <x:c r="B5644" s="32">
        <x:v>1119.98</x:v>
      </x:c>
      <x:c r="C5644" s="32">
        <x:v>1125.53</x:v>
      </x:c>
      <x:c r="D5644" s="32">
        <x:v>1114.97</x:v>
      </x:c>
      <x:c r="E5644" s="32">
        <x:v>1125.53</x:v>
      </x:c>
      <x:c r="F5644" s="33">
        <x:v>605124900</x:v>
      </x:c>
      <x:c r="G5644" s="32" t="n">
        <x:f t="shared" si="252">AVERAGE(E5445:E5644)</x:f>
        <x:v>1114.9292500000004</x:v>
      </x:c>
      <x:c r="H5644" s="37" t="n">
        <x:f t="shared" si="253">IFERROR(E5644/G5644-1,"")</x:f>
        <x:v>0.00950800241360561</x:v>
      </x:c>
      <x:c r="I5644" s="38" t="b">
        <x:f t="shared" si="254">E5644&lt;G5644</x:f>
        <x:v>0</x:v>
      </x:c>
    </x:row>
    <x:row r="5645">
      <x:c r="A5645" s="31">
        <x:v>45247</x:v>
      </x:c>
      <x:c r="B5645" s="32">
        <x:v>1128.1400000000001</x:v>
      </x:c>
      <x:c r="C5645" s="32">
        <x:v>1129.8399999999999</x:v>
      </x:c>
      <x:c r="D5645" s="32">
        <x:v>1096.1600000000001</x:v>
      </x:c>
      <x:c r="E5645" s="32">
        <x:v>1101.19</x:v>
      </x:c>
      <x:c r="F5645" s="33">
        <x:v>1175535600</x:v>
      </x:c>
      <x:c r="G5645" s="32" t="n">
        <x:f t="shared" ref="G5645:G5708" si="255">AVERAGE(E5446:E5645)</x:f>
        <x:v>1115.0494500000004</x:v>
      </x:c>
      <x:c r="H5645" s="37" t="n">
        <x:f t="shared" ref="H5645:H5708" si="256">IFERROR(E5645/G5645-1,"")</x:f>
        <x:v>-0.012429448756734796</x:v>
      </x:c>
      <x:c r="I5645" s="38" t="b">
        <x:f t="shared" ref="I5645:I5708" si="257">E5645&lt;G5645</x:f>
        <x:v>1</x:v>
      </x:c>
    </x:row>
    <x:row r="5646">
      <x:c r="A5646" s="31">
        <x:v>45250</x:v>
      </x:c>
      <x:c r="B5646" s="32">
        <x:v>1085.4000000000001</x:v>
      </x:c>
      <x:c r="C5646" s="32">
        <x:v>1111.26</x:v>
      </x:c>
      <x:c r="D5646" s="32">
        <x:v>1085.32</x:v>
      </x:c>
      <x:c r="E5646" s="32">
        <x:v>1103.6600000000001</x:v>
      </x:c>
      <x:c r="F5646" s="33">
        <x:v>750883200</x:v>
      </x:c>
      <x:c r="G5646" s="32" t="n">
        <x:f t="shared" si="255">AVERAGE(E5447:E5646)</x:f>
        <x:v>1115.1213000000002</x:v>
      </x:c>
      <x:c r="H5646" s="37" t="n">
        <x:f t="shared" si="256">IFERROR(E5646/G5646-1,"")</x:f>
        <x:v>-0.010278074681203009</x:v>
      </x:c>
      <x:c r="I5646" s="38" t="b">
        <x:f t="shared" si="257">E5646&lt;G5646</x:f>
        <x:v>1</x:v>
      </x:c>
    </x:row>
    <x:row r="5647">
      <x:c r="A5647" s="31">
        <x:v>45251</x:v>
      </x:c>
      <x:c r="B5647" s="32">
        <x:v>1112.6099999999999</x:v>
      </x:c>
      <x:c r="C5647" s="32">
        <x:v>1112.77</x:v>
      </x:c>
      <x:c r="D5647" s="32">
        <x:v>1103.79</x:v>
      </x:c>
      <x:c r="E5647" s="32">
        <x:v>1110.46</x:v>
      </x:c>
      <x:c r="F5647" s="33">
        <x:v>601828500</x:v>
      </x:c>
      <x:c r="G5647" s="32" t="n">
        <x:f t="shared" si="255">AVERAGE(E5448:E5647)</x:f>
        <x:v>1115.3444000000004</x:v>
      </x:c>
      <x:c r="H5647" s="37" t="n">
        <x:f t="shared" si="256">IFERROR(E5647/G5647-1,"")</x:f>
        <x:v>-0.00437927513689973</x:v>
      </x:c>
      <x:c r="I5647" s="38" t="b">
        <x:f t="shared" si="257">E5647&lt;G5647</x:f>
        <x:v>1</x:v>
      </x:c>
    </x:row>
    <x:row r="5648">
      <x:c r="A5648" s="31">
        <x:v>45252</x:v>
      </x:c>
      <x:c r="B5648" s="32">
        <x:v>1111.3499999999999</x:v>
      </x:c>
      <x:c r="C5648" s="32">
        <x:v>1115.47</x:v>
      </x:c>
      <x:c r="D5648" s="32">
        <x:v>1103.26</x:v>
      </x:c>
      <x:c r="E5648" s="32">
        <x:v>1113.82</x:v>
      </x:c>
      <x:c r="F5648" s="33">
        <x:v>812231500</x:v>
      </x:c>
      <x:c r="G5648" s="32" t="n">
        <x:f t="shared" si="255">AVERAGE(E5449:E5648)</x:f>
        <x:v>1115.5524000000003</x:v>
      </x:c>
      <x:c r="H5648" s="37" t="n">
        <x:f t="shared" si="256">IFERROR(E5648/G5648-1,"")</x:f>
        <x:v>-0.0015529525999857796</x:v>
      </x:c>
      <x:c r="I5648" s="38" t="b">
        <x:f t="shared" si="257">E5648&lt;G5648</x:f>
        <x:v>1</x:v>
      </x:c>
    </x:row>
    <x:row r="5649">
      <x:c r="A5649" s="31">
        <x:v>45253</x:v>
      </x:c>
      <x:c r="B5649" s="32">
        <x:v>1117.71</x:v>
      </x:c>
      <x:c r="C5649" s="32">
        <x:v>1118.54</x:v>
      </x:c>
      <x:c r="D5649" s="32">
        <x:v>1088.49</x:v>
      </x:c>
      <x:c r="E5649" s="32">
        <x:v>1088.49</x:v>
      </x:c>
      <x:c r="F5649" s="33">
        <x:v>952327300</x:v>
      </x:c>
      <x:c r="G5649" s="32" t="n">
        <x:f t="shared" si="255">AVERAGE(E5450:E5649)</x:f>
        <x:v>1115.6747000000003</x:v>
      </x:c>
      <x:c r="H5649" s="37" t="n">
        <x:f t="shared" si="256">IFERROR(E5649/G5649-1,"")</x:f>
        <x:v>-0.024366152607028013</x:v>
      </x:c>
      <x:c r="I5649" s="38" t="b">
        <x:f t="shared" si="257">E5649&lt;G5649</x:f>
        <x:v>1</x:v>
      </x:c>
    </x:row>
    <x:row r="5650">
      <x:c r="A5650" s="31">
        <x:v>45254</x:v>
      </x:c>
      <x:c r="B5650" s="32">
        <x:v>1090.97</x:v>
      </x:c>
      <x:c r="C5650" s="32">
        <x:v>1095.6099999999999</x:v>
      </x:c>
      <x:c r="D5650" s="32">
        <x:v>1073.31</x:v>
      </x:c>
      <x:c r="E5650" s="32">
        <x:v>1095.6099999999999</x:v>
      </x:c>
      <x:c r="F5650" s="33">
        <x:v>900833700</x:v>
      </x:c>
      <x:c r="G5650" s="32" t="n">
        <x:f t="shared" si="255">AVERAGE(E5451:E5650)</x:f>
        <x:v>1115.8762500000003</x:v>
      </x:c>
      <x:c r="H5650" s="37" t="n">
        <x:f t="shared" si="256">IFERROR(E5650/G5650-1,"")</x:f>
        <x:v>-0.01816173612441374</x:v>
      </x:c>
      <x:c r="I5650" s="38" t="b">
        <x:f t="shared" si="257">E5650&lt;G5650</x:f>
        <x:v>1</x:v>
      </x:c>
    </x:row>
    <x:row r="5651">
      <x:c r="A5651" s="31">
        <x:v>45257</x:v>
      </x:c>
      <x:c r="B5651" s="32">
        <x:v>1095.5899999999999</x:v>
      </x:c>
      <x:c r="C5651" s="32">
        <x:v>1096.8399999999999</x:v>
      </x:c>
      <x:c r="D5651" s="32">
        <x:v>1085.69</x:v>
      </x:c>
      <x:c r="E5651" s="32">
        <x:v>1088.06</x:v>
      </x:c>
      <x:c r="F5651" s="33">
        <x:v>507177400</x:v>
      </x:c>
      <x:c r="G5651" s="32" t="n">
        <x:f t="shared" si="255">AVERAGE(E5452:E5651)</x:f>
        <x:v>1116.09805</x:v>
      </x:c>
      <x:c r="H5651" s="37" t="n">
        <x:f t="shared" si="256">IFERROR(E5651/G5651-1,"")</x:f>
        <x:v>-0.025121493582037968</x:v>
      </x:c>
      <x:c r="I5651" s="38" t="b">
        <x:f t="shared" si="257">E5651&lt;G5651</x:f>
        <x:v>1</x:v>
      </x:c>
    </x:row>
    <x:row r="5652">
      <x:c r="A5652" s="31">
        <x:v>45258</x:v>
      </x:c>
      <x:c r="B5652" s="32">
        <x:v>1088.5999999999999</x:v>
      </x:c>
      <x:c r="C5652" s="32">
        <x:v>1095.43</x:v>
      </x:c>
      <x:c r="D5652" s="32">
        <x:v>1076.45</x:v>
      </x:c>
      <x:c r="E5652" s="32">
        <x:v>1095.43</x:v>
      </x:c>
      <x:c r="F5652" s="33">
        <x:v>593255200</x:v>
      </x:c>
      <x:c r="G5652" s="32" t="n">
        <x:f t="shared" si="255">AVERAGE(E5453:E5652)</x:f>
        <x:v>1116.382</x:v>
      </x:c>
      <x:c r="H5652" s="37" t="n">
        <x:f t="shared" si="256">IFERROR(E5652/G5652-1,"")</x:f>
        <x:v>-0.018767769455258154</x:v>
      </x:c>
      <x:c r="I5652" s="38" t="b">
        <x:f t="shared" si="257">E5652&lt;G5652</x:f>
        <x:v>1</x:v>
      </x:c>
    </x:row>
    <x:row r="5653">
      <x:c r="A5653" s="31">
        <x:v>45259</x:v>
      </x:c>
      <x:c r="B5653" s="32">
        <x:v>1097.28</x:v>
      </x:c>
      <x:c r="C5653" s="32">
        <x:v>1105.28</x:v>
      </x:c>
      <x:c r="D5653" s="32">
        <x:v>1096.33</x:v>
      </x:c>
      <x:c r="E5653" s="32">
        <x:v>1102.8</x:v>
      </x:c>
      <x:c r="F5653" s="33">
        <x:v>562813100</x:v>
      </x:c>
      <x:c r="G5653" s="32" t="n">
        <x:f t="shared" si="255">AVERAGE(E5454:E5653)</x:f>
        <x:v>1116.655</x:v>
      </x:c>
      <x:c r="H5653" s="37" t="n">
        <x:f t="shared" si="256">IFERROR(E5653/G5653-1,"")</x:f>
        <x:v>-0.012407592318128713</x:v>
      </x:c>
      <x:c r="I5653" s="38" t="b">
        <x:f t="shared" si="257">E5653&lt;G5653</x:f>
        <x:v>1</x:v>
      </x:c>
    </x:row>
    <x:row r="5654">
      <x:c r="A5654" s="31">
        <x:v>45260</x:v>
      </x:c>
      <x:c r="B5654" s="32">
        <x:v>1101.75</x:v>
      </x:c>
      <x:c r="C5654" s="32">
        <x:v>1107.45</x:v>
      </x:c>
      <x:c r="D5654" s="32">
        <x:v>1094.1300000000001</x:v>
      </x:c>
      <x:c r="E5654" s="32">
        <x:v>1094.1300000000001</x:v>
      </x:c>
      <x:c r="F5654" s="33">
        <x:v>659979600</x:v>
      </x:c>
      <x:c r="G5654" s="32" t="n">
        <x:f t="shared" si="255">AVERAGE(E5455:E5654)</x:f>
        <x:v>1116.8341999999998</x:v>
      </x:c>
      <x:c r="H5654" s="37" t="n">
        <x:f t="shared" si="256">IFERROR(E5654/G5654-1,"")</x:f>
        <x:v>-0.02032906943573154</x:v>
      </x:c>
      <x:c r="I5654" s="38" t="b">
        <x:f t="shared" si="257">E5654&lt;G5654</x:f>
        <x:v>1</x:v>
      </x:c>
    </x:row>
    <x:row r="5655">
      <x:c r="A5655" s="31">
        <x:v>45261</x:v>
      </x:c>
      <x:c r="B5655" s="32">
        <x:v>1099.18</x:v>
      </x:c>
      <x:c r="C5655" s="32">
        <x:v>1102.2</x:v>
      </x:c>
      <x:c r="D5655" s="32">
        <x:v>1090.08</x:v>
      </x:c>
      <x:c r="E5655" s="32">
        <x:v>1102.1600000000001</x:v>
      </x:c>
      <x:c r="F5655" s="33">
        <x:v>569333300</x:v>
      </x:c>
      <x:c r="G5655" s="32" t="n">
        <x:f t="shared" si="255">AVERAGE(E5456:E5655)</x:f>
        <x:v>1117.0484499999998</x:v>
      </x:c>
      <x:c r="H5655" s="37" t="n">
        <x:f t="shared" si="256">IFERROR(E5655/G5655-1,"")</x:f>
        <x:v>-0.013328383383907516</x:v>
      </x:c>
      <x:c r="I5655" s="38" t="b">
        <x:f t="shared" si="257">E5655&lt;G5655</x:f>
        <x:v>1</x:v>
      </x:c>
    </x:row>
    <x:row r="5656">
      <x:c r="A5656" s="31">
        <x:v>45264</x:v>
      </x:c>
      <x:c r="B5656" s="32">
        <x:v>1107.74</x:v>
      </x:c>
      <x:c r="C5656" s="32">
        <x:v>1123.96</x:v>
      </x:c>
      <x:c r="D5656" s="32">
        <x:v>1106.6199999999999</x:v>
      </x:c>
      <x:c r="E5656" s="32">
        <x:v>1120.49</x:v>
      </x:c>
      <x:c r="F5656" s="33">
        <x:v>1038038200</x:v>
      </x:c>
      <x:c r="G5656" s="32" t="n">
        <x:f t="shared" si="255">AVERAGE(E5457:E5656)</x:f>
        <x:v>1117.2174499999999</x:v>
      </x:c>
      <x:c r="H5656" s="37" t="n">
        <x:f t="shared" si="256">IFERROR(E5656/G5656-1,"")</x:f>
        <x:v>0.002929196997415451</x:v>
      </x:c>
      <x:c r="I5656" s="38" t="b">
        <x:f t="shared" si="257">E5656&lt;G5656</x:f>
        <x:v>0</x:v>
      </x:c>
    </x:row>
    <x:row r="5657">
      <x:c r="A5657" s="31">
        <x:v>45265</x:v>
      </x:c>
      <x:c r="B5657" s="32">
        <x:v>1122.28</x:v>
      </x:c>
      <x:c r="C5657" s="32">
        <x:v>1124.1099999999999</x:v>
      </x:c>
      <x:c r="D5657" s="32">
        <x:v>1113.55</x:v>
      </x:c>
      <x:c r="E5657" s="32">
        <x:v>1115.97</x:v>
      </x:c>
      <x:c r="F5657" s="33">
        <x:v>753445900</x:v>
      </x:c>
      <x:c r="G5657" s="32" t="n">
        <x:f t="shared" si="255">AVERAGE(E5458:E5657)</x:f>
        <x:v>1117.3861499999998</x:v>
      </x:c>
      <x:c r="H5657" s="37" t="n">
        <x:f t="shared" si="256">IFERROR(E5657/G5657-1,"")</x:f>
        <x:v>-0.0012673774415404848</x:v>
      </x:c>
      <x:c r="I5657" s="38" t="b">
        <x:f t="shared" si="257">E5657&lt;G5657</x:f>
        <x:v>1</x:v>
      </x:c>
    </x:row>
    <x:row r="5658">
      <x:c r="A5658" s="31">
        <x:v>45266</x:v>
      </x:c>
      <x:c r="B5658" s="32">
        <x:v>1118.06</x:v>
      </x:c>
      <x:c r="C5658" s="32">
        <x:v>1126.43</x:v>
      </x:c>
      <x:c r="D5658" s="32">
        <x:v>1116.03</x:v>
      </x:c>
      <x:c r="E5658" s="32">
        <x:v>1126.43</x:v>
      </x:c>
      <x:c r="F5658" s="33">
        <x:v>776768800</x:v>
      </x:c>
      <x:c r="G5658" s="32" t="n">
        <x:f t="shared" si="255">AVERAGE(E5459:E5658)</x:f>
        <x:v>1117.7469</x:v>
      </x:c>
      <x:c r="H5658" s="37" t="n">
        <x:f t="shared" si="256">IFERROR(E5658/G5658-1,"")</x:f>
        <x:v>0.007768395510647341</x:v>
      </x:c>
      <x:c r="I5658" s="38" t="b">
        <x:f t="shared" si="257">E5658&lt;G5658</x:f>
        <x:v>0</x:v>
      </x:c>
    </x:row>
    <x:row r="5659">
      <x:c r="A5659" s="31">
        <x:v>45267</x:v>
      </x:c>
      <x:c r="B5659" s="32">
        <x:v>1128.67</x:v>
      </x:c>
      <x:c r="C5659" s="32">
        <x:v>1129.83</x:v>
      </x:c>
      <x:c r="D5659" s="32">
        <x:v>1109.51</x:v>
      </x:c>
      <x:c r="E5659" s="32">
        <x:v>1121.49</x:v>
      </x:c>
      <x:c r="F5659" s="33">
        <x:v>1298392700</x:v>
      </x:c>
      <x:c r="G5659" s="32" t="n">
        <x:f t="shared" si="255">AVERAGE(E5460:E5659)</x:f>
        <x:v>1118.08605</x:v>
      </x:c>
      <x:c r="H5659" s="37" t="n">
        <x:f t="shared" si="256">IFERROR(E5659/G5659-1,"")</x:f>
        <x:v>0.003044443672291619</x:v>
      </x:c>
      <x:c r="I5659" s="38" t="b">
        <x:f t="shared" si="257">E5659&lt;G5659</x:f>
        <x:v>0</x:v>
      </x:c>
    </x:row>
    <x:row r="5660">
      <x:c r="A5660" s="31">
        <x:v>45268</x:v>
      </x:c>
      <x:c r="B5660" s="32">
        <x:v>1122.0899999999999</x:v>
      </x:c>
      <x:c r="C5660" s="32">
        <x:v>1127.46</x:v>
      </x:c>
      <x:c r="D5660" s="32">
        <x:v>1119.43</x:v>
      </x:c>
      <x:c r="E5660" s="32">
        <x:v>1124.44</x:v>
      </x:c>
      <x:c r="F5660" s="33">
        <x:v>737605100</x:v>
      </x:c>
      <x:c r="G5660" s="32" t="n">
        <x:f t="shared" si="255">AVERAGE(E5461:E5660)</x:f>
        <x:v>1118.51045</x:v>
      </x:c>
      <x:c r="H5660" s="37" t="n">
        <x:f t="shared" si="256">IFERROR(E5660/G5660-1,"")</x:f>
        <x:v>0.005301291552528786</x:v>
      </x:c>
      <x:c r="I5660" s="38" t="b">
        <x:f t="shared" si="257">E5660&lt;G5660</x:f>
        <x:v>0</x:v>
      </x:c>
    </x:row>
    <x:row r="5661">
      <x:c r="A5661" s="31">
        <x:v>45271</x:v>
      </x:c>
      <x:c r="B5661" s="32">
        <x:v>1127.92</x:v>
      </x:c>
      <x:c r="C5661" s="32">
        <x:v>1129.1500000000001</x:v>
      </x:c>
      <x:c r="D5661" s="32">
        <x:v>1120.32</x:v>
      </x:c>
      <x:c r="E5661" s="32">
        <x:v>1125.5</x:v>
      </x:c>
      <x:c r="F5661" s="33">
        <x:v>618307400</x:v>
      </x:c>
      <x:c r="G5661" s="32" t="n">
        <x:f t="shared" si="255">AVERAGE(E5462:E5661)</x:f>
        <x:v>1119.0317</x:v>
      </x:c>
      <x:c r="H5661" s="37" t="n">
        <x:f t="shared" si="256">IFERROR(E5661/G5661-1,"")</x:f>
        <x:v>0.005780265206070556</x:v>
      </x:c>
      <x:c r="I5661" s="38" t="b">
        <x:f t="shared" si="257">E5661&lt;G5661</x:f>
        <x:v>0</x:v>
      </x:c>
    </x:row>
    <x:row r="5662">
      <x:c r="A5662" s="31">
        <x:v>45272</x:v>
      </x:c>
      <x:c r="B5662" s="32">
        <x:v>1127.55</x:v>
      </x:c>
      <x:c r="C5662" s="32">
        <x:v>1129.77</x:v>
      </x:c>
      <x:c r="D5662" s="32">
        <x:v>1123.3499999999999</x:v>
      </x:c>
      <x:c r="E5662" s="32">
        <x:v>1127.6300000000001</x:v>
      </x:c>
      <x:c r="F5662" s="33">
        <x:v>539184200</x:v>
      </x:c>
      <x:c r="G5662" s="32" t="n">
        <x:f t="shared" si="255">AVERAGE(E5463:E5662)</x:f>
        <x:v>1119.5464499999998</x:v>
      </x:c>
      <x:c r="H5662" s="37" t="n">
        <x:f t="shared" si="256">IFERROR(E5662/G5662-1,"")</x:f>
        <x:v>0.007220379288416456</x:v>
      </x:c>
      <x:c r="I5662" s="38" t="b">
        <x:f t="shared" si="257">E5662&lt;G5662</x:f>
        <x:v>0</x:v>
      </x:c>
    </x:row>
    <x:row r="5663">
      <x:c r="A5663" s="31">
        <x:v>45273</x:v>
      </x:c>
      <x:c r="B5663" s="32">
        <x:v>1129.94</x:v>
      </x:c>
      <x:c r="C5663" s="32">
        <x:v>1131.21</x:v>
      </x:c>
      <x:c r="D5663" s="32">
        <x:v>1112.08</x:v>
      </x:c>
      <x:c r="E5663" s="32">
        <x:v>1114.2</x:v>
      </x:c>
      <x:c r="F5663" s="33">
        <x:v>763977100</x:v>
      </x:c>
      <x:c r="G5663" s="32" t="n">
        <x:f t="shared" si="255">AVERAGE(E5464:E5663)</x:f>
        <x:v>1119.9147</x:v>
      </x:c>
      <x:c r="H5663" s="37" t="n">
        <x:f t="shared" si="256">IFERROR(E5663/G5663-1,"")</x:f>
        <x:v>-0.005102799347128872</x:v>
      </x:c>
      <x:c r="I5663" s="38" t="b">
        <x:f t="shared" si="257">E5663&lt;G5663</x:f>
        <x:v>1</x:v>
      </x:c>
    </x:row>
    <x:row r="5664">
      <x:c r="A5664" s="31">
        <x:v>45274</x:v>
      </x:c>
      <x:c r="B5664" s="32">
        <x:v>1119.6199999999999</x:v>
      </x:c>
      <x:c r="C5664" s="32">
        <x:v>1120.3599999999999</x:v>
      </x:c>
      <x:c r="D5664" s="32">
        <x:v>1107.8599999999999</x:v>
      </x:c>
      <x:c r="E5664" s="32">
        <x:v>1110.1300000000001</x:v>
      </x:c>
      <x:c r="F5664" s="33">
        <x:v>603922700</x:v>
      </x:c>
      <x:c r="G5664" s="32" t="n">
        <x:f t="shared" si="255">AVERAGE(E5465:E5664)</x:f>
        <x:v>1120.2773000000002</x:v>
      </x:c>
      <x:c r="H5664" s="37" t="n">
        <x:f t="shared" si="256">IFERROR(E5664/G5664-1,"")</x:f>
        <x:v>-0.009057846659929703</x:v>
      </x:c>
      <x:c r="I5664" s="38" t="b">
        <x:f t="shared" si="257">E5664&lt;G5664</x:f>
        <x:v>1</x:v>
      </x:c>
    </x:row>
    <x:row r="5665">
      <x:c r="A5665" s="31">
        <x:v>45275</x:v>
      </x:c>
      <x:c r="B5665" s="32">
        <x:v>1109.51</x:v>
      </x:c>
      <x:c r="C5665" s="32">
        <x:v>1112.79</x:v>
      </x:c>
      <x:c r="D5665" s="32">
        <x:v>1102.3</x:v>
      </x:c>
      <x:c r="E5665" s="32">
        <x:v>1102.3</x:v>
      </x:c>
      <x:c r="F5665" s="33">
        <x:v>684449900</x:v>
      </x:c>
      <x:c r="G5665" s="32" t="n">
        <x:f t="shared" si="255">AVERAGE(E5466:E5665)</x:f>
        <x:v>1120.6649499999999</x:v>
      </x:c>
      <x:c r="H5665" s="37" t="n">
        <x:f t="shared" si="256">IFERROR(E5665/G5665-1,"")</x:f>
        <x:v>-0.016387547411025882</x:v>
      </x:c>
      <x:c r="I5665" s="38" t="b">
        <x:f t="shared" si="257">E5665&lt;G5665</x:f>
        <x:v>1</x:v>
      </x:c>
    </x:row>
    <x:row r="5666">
      <x:c r="A5666" s="31">
        <x:v>45278</x:v>
      </x:c>
      <x:c r="B5666" s="32">
        <x:v>1103.3599999999999</x:v>
      </x:c>
      <x:c r="C5666" s="32">
        <x:v>1103.74</x:v>
      </x:c>
      <x:c r="D5666" s="32">
        <x:v>1091.45</x:v>
      </x:c>
      <x:c r="E5666" s="32">
        <x:v>1091.8800000000001</x:v>
      </x:c>
      <x:c r="F5666" s="33">
        <x:v>544297600</x:v>
      </x:c>
      <x:c r="G5666" s="32" t="n">
        <x:f t="shared" si="255">AVERAGE(E5467:E5666)</x:f>
        <x:v>1120.98845</x:v>
      </x:c>
      <x:c r="H5666" s="37" t="n">
        <x:f t="shared" si="256">IFERROR(E5666/G5666-1,"")</x:f>
        <x:v>-0.02596677066565667</x:v>
      </x:c>
      <x:c r="I5666" s="38" t="b">
        <x:f t="shared" si="257">E5666&lt;G5666</x:f>
        <x:v>1</x:v>
      </x:c>
    </x:row>
    <x:row r="5667">
      <x:c r="A5667" s="31">
        <x:v>45279</x:v>
      </x:c>
      <x:c r="B5667" s="32">
        <x:v>1091.26</x:v>
      </x:c>
      <x:c r="C5667" s="32">
        <x:v>1096.3</x:v>
      </x:c>
      <x:c r="D5667" s="32">
        <x:v>1082.29</x:v>
      </x:c>
      <x:c r="E5667" s="32">
        <x:v>1096.3</x:v>
      </x:c>
      <x:c r="F5667" s="33">
        <x:v>561157600</x:v>
      </x:c>
      <x:c r="G5667" s="32" t="n">
        <x:f t="shared" si="255">AVERAGE(E5468:E5667)</x:f>
        <x:v>1121.28075</x:v>
      </x:c>
      <x:c r="H5667" s="37" t="n">
        <x:f t="shared" si="256">IFERROR(E5667/G5667-1,"")</x:f>
        <x:v>-0.022278764707233223</x:v>
      </x:c>
      <x:c r="I5667" s="38" t="b">
        <x:f t="shared" si="257">E5667&lt;G5667</x:f>
        <x:v>1</x:v>
      </x:c>
    </x:row>
    <x:row r="5668">
      <x:c r="A5668" s="31">
        <x:v>45280</x:v>
      </x:c>
      <x:c r="B5668" s="32">
        <x:v>1098.0999999999999</x:v>
      </x:c>
      <x:c r="C5668" s="32">
        <x:v>1102.27</x:v>
      </x:c>
      <x:c r="D5668" s="32">
        <x:v>1093.3800000000001</x:v>
      </x:c>
      <x:c r="E5668" s="32">
        <x:v>1100.76</x:v>
      </x:c>
      <x:c r="F5668" s="33">
        <x:v>470483400</x:v>
      </x:c>
      <x:c r="G5668" s="32" t="n">
        <x:f t="shared" si="255">AVERAGE(E5469:E5668)</x:f>
        <x:v>1121.53865</x:v>
      </x:c>
      <x:c r="H5668" s="37" t="n">
        <x:f t="shared" si="256">IFERROR(E5668/G5668-1,"")</x:f>
        <x:v>-0.01852691389636907</x:v>
      </x:c>
      <x:c r="I5668" s="38" t="b">
        <x:f t="shared" si="257">E5668&lt;G5668</x:f>
        <x:v>1</x:v>
      </x:c>
    </x:row>
    <x:row r="5669">
      <x:c r="A5669" s="31">
        <x:v>45281</x:v>
      </x:c>
      <x:c r="B5669" s="32">
        <x:v>1096.22</x:v>
      </x:c>
      <x:c r="C5669" s="32">
        <x:v>1102.43</x:v>
      </x:c>
      <x:c r="D5669" s="32">
        <x:v>1094.47</x:v>
      </x:c>
      <x:c r="E5669" s="32">
        <x:v>1102.43</x:v>
      </x:c>
      <x:c r="F5669" s="33">
        <x:v>451416900</x:v>
      </x:c>
      <x:c r="G5669" s="32" t="n">
        <x:f t="shared" si="255">AVERAGE(E5470:E5669)</x:f>
        <x:v>1121.77105</x:v>
      </x:c>
      <x:c r="H5669" s="37" t="n">
        <x:f t="shared" si="256">IFERROR(E5669/G5669-1,"")</x:f>
        <x:v>-0.017241530702722274</x:v>
      </x:c>
      <x:c r="I5669" s="38" t="b">
        <x:f t="shared" si="257">E5669&lt;G5669</x:f>
        <x:v>1</x:v>
      </x:c>
    </x:row>
    <x:row r="5670">
      <x:c r="A5670" s="31">
        <x:v>45282</x:v>
      </x:c>
      <x:c r="B5670" s="32">
        <x:v>1103.08</x:v>
      </x:c>
      <x:c r="C5670" s="32">
        <x:v>1104.6500000000001</x:v>
      </x:c>
      <x:c r="D5670" s="32">
        <x:v>1099.32</x:v>
      </x:c>
      <x:c r="E5670" s="32">
        <x:v>1103.06</x:v>
      </x:c>
      <x:c r="F5670" s="33">
        <x:v>496287600</x:v>
      </x:c>
      <x:c r="G5670" s="32" t="n">
        <x:f t="shared" si="255">AVERAGE(E5471:E5670)</x:f>
        <x:v>1122.0213499999998</x:v>
      </x:c>
      <x:c r="H5670" s="37" t="n">
        <x:f t="shared" si="256">IFERROR(E5670/G5670-1,"")</x:f>
        <x:v>-0.0168992773622354</x:v>
      </x:c>
      <x:c r="I5670" s="38" t="b">
        <x:f t="shared" si="257">E5670&lt;G5670</x:f>
        <x:v>1</x:v>
      </x:c>
    </x:row>
    <x:row r="5671">
      <x:c r="A5671" s="31">
        <x:v>45285</x:v>
      </x:c>
      <x:c r="B5671" s="32">
        <x:v>1104.27</x:v>
      </x:c>
      <x:c r="C5671" s="32">
        <x:v>1118.31</x:v>
      </x:c>
      <x:c r="D5671" s="32">
        <x:v>1104.27</x:v>
      </x:c>
      <x:c r="E5671" s="32">
        <x:v>1117.6600000000001</x:v>
      </x:c>
      <x:c r="F5671" s="33">
        <x:v>550839600</x:v>
      </x:c>
      <x:c r="G5671" s="32" t="n">
        <x:f t="shared" si="255">AVERAGE(E5472:E5671)</x:f>
        <x:v>1122.34565</x:v>
      </x:c>
      <x:c r="H5671" s="37" t="n">
        <x:f t="shared" si="256">IFERROR(E5671/G5671-1,"")</x:f>
        <x:v>-0.004174872509195238</x:v>
      </x:c>
      <x:c r="I5671" s="38" t="b">
        <x:f t="shared" si="257">E5671&lt;G5671</x:f>
        <x:v>1</x:v>
      </x:c>
    </x:row>
    <x:row r="5672">
      <x:c r="A5672" s="31">
        <x:v>45286</x:v>
      </x:c>
      <x:c r="B5672" s="32">
        <x:v>1120.1099999999999</x:v>
      </x:c>
      <x:c r="C5672" s="32">
        <x:v>1123.1099999999999</x:v>
      </x:c>
      <x:c r="D5672" s="32">
        <x:v>1117.93</x:v>
      </x:c>
      <x:c r="E5672" s="32">
        <x:v>1122.25</x:v>
      </x:c>
      <x:c r="F5672" s="33">
        <x:v>575288900</x:v>
      </x:c>
      <x:c r="G5672" s="32" t="n">
        <x:f t="shared" si="255">AVERAGE(E5473:E5672)</x:f>
        <x:v>1122.7562499999997</x:v>
      </x:c>
      <x:c r="H5672" s="37" t="n">
        <x:f t="shared" si="256">IFERROR(E5672/G5672-1,"")</x:f>
        <x:v>-0.00045089929359087844</x:v>
      </x:c>
      <x:c r="I5672" s="38" t="b">
        <x:f t="shared" si="257">E5672&lt;G5672</x:f>
        <x:v>1</x:v>
      </x:c>
    </x:row>
    <x:row r="5673">
      <x:c r="A5673" s="31">
        <x:v>45287</x:v>
      </x:c>
      <x:c r="B5673" s="32">
        <x:v>1123.28</x:v>
      </x:c>
      <x:c r="C5673" s="32">
        <x:v>1126.47</x:v>
      </x:c>
      <x:c r="D5673" s="32">
        <x:v>1121.99</x:v>
      </x:c>
      <x:c r="E5673" s="32">
        <x:v>1121.99</x:v>
      </x:c>
      <x:c r="F5673" s="33">
        <x:v>570737700</x:v>
      </x:c>
      <x:c r="G5673" s="32" t="n">
        <x:f t="shared" si="255">AVERAGE(E5474:E5673)</x:f>
        <x:v>1123.05525</x:v>
      </x:c>
      <x:c r="H5673" s="37" t="n">
        <x:f t="shared" si="256">IFERROR(E5673/G5673-1,"")</x:f>
        <x:v>-0.0009485285786250408</x:v>
      </x:c>
      <x:c r="I5673" s="38" t="b">
        <x:f t="shared" si="257">E5673&lt;G5673</x:f>
        <x:v>1</x:v>
      </x:c>
    </x:row>
    <x:row r="5674">
      <x:c r="A5674" s="31">
        <x:v>45288</x:v>
      </x:c>
      <x:c r="B5674" s="32">
        <x:v>1122.57</x:v>
      </x:c>
      <x:c r="C5674" s="32">
        <x:v>1130.58</x:v>
      </x:c>
      <x:c r="D5674" s="32">
        <x:v>1120.5</x:v>
      </x:c>
      <x:c r="E5674" s="32">
        <x:v>1128.93</x:v>
      </x:c>
      <x:c r="F5674" s="33">
        <x:v>608466000</x:v>
      </x:c>
      <x:c r="G5674" s="32" t="n">
        <x:f t="shared" si="255">AVERAGE(E5475:E5674)</x:f>
        <x:v>1123.4628999999995</x:v>
      </x:c>
      <x:c r="H5674" s="37" t="n">
        <x:f t="shared" si="256">IFERROR(E5674/G5674-1,"")</x:f>
        <x:v>0.004866293315071157</x:v>
      </x:c>
      <x:c r="I5674" s="38" t="b">
        <x:f t="shared" si="257">E5674&lt;G5674</x:f>
        <x:v>0</x:v>
      </x:c>
    </x:row>
    <x:row r="5675">
      <x:c r="A5675" s="31">
        <x:v>45289</x:v>
      </x:c>
      <x:c r="B5675" s="32">
        <x:v>1131.75</x:v>
      </x:c>
      <x:c r="C5675" s="32">
        <x:v>1135.05</x:v>
      </x:c>
      <x:c r="D5675" s="32">
        <x:v>1129.93</x:v>
      </x:c>
      <x:c r="E5675" s="32">
        <x:v>1129.93</x:v>
      </x:c>
      <x:c r="F5675" s="33">
        <x:v>616484900</x:v>
      </x:c>
      <x:c r="G5675" s="32" t="n">
        <x:f t="shared" si="255">AVERAGE(E5476:E5675)</x:f>
        <x:v>1123.8868499999996</x:v>
      </x:c>
      <x:c r="H5675" s="37" t="n">
        <x:f t="shared" si="256">IFERROR(E5675/G5675-1,"")</x:f>
        <x:v>0.005377009260318699</x:v>
      </x:c>
      <x:c r="I5675" s="38" t="b">
        <x:f t="shared" si="257">E5675&lt;G5675</x:f>
        <x:v>0</x:v>
      </x:c>
    </x:row>
    <x:row r="5676">
      <x:c r="A5676" s="31">
        <x:v>45293</x:v>
      </x:c>
      <x:c r="B5676" s="32">
        <x:v>1136.3900000000001</x:v>
      </x:c>
      <x:c r="C5676" s="32">
        <x:v>1139.71</x:v>
      </x:c>
      <x:c r="D5676" s="32">
        <x:v>1128.69</x:v>
      </x:c>
      <x:c r="E5676" s="32">
        <x:v>1131.72</x:v>
      </x:c>
      <x:c r="F5676" s="33">
        <x:v>777337200</x:v>
      </x:c>
      <x:c r="G5676" s="32" t="n">
        <x:f t="shared" si="255">AVERAGE(E5477:E5676)</x:f>
        <x:v>1124.4299499999997</x:v>
      </x:c>
      <x:c r="H5676" s="37" t="n">
        <x:f t="shared" si="256">IFERROR(E5676/G5676-1,"")</x:f>
        <x:v>0.0064833296195998535</x:v>
      </x:c>
      <x:c r="I5676" s="38" t="b">
        <x:f t="shared" si="257">E5676&lt;G5676</x:f>
        <x:v>0</x:v>
      </x:c>
    </x:row>
    <x:row r="5677">
      <x:c r="A5677" s="31">
        <x:v>45294</x:v>
      </x:c>
      <x:c r="B5677" s="32">
        <x:v>1130.53</x:v>
      </x:c>
      <x:c r="C5677" s="32">
        <x:v>1144.17</x:v>
      </x:c>
      <x:c r="D5677" s="32">
        <x:v>1128.32</x:v>
      </x:c>
      <x:c r="E5677" s="32">
        <x:v>1144.17</x:v>
      </x:c>
      <x:c r="F5677" s="33">
        <x:v>657568100</x:v>
      </x:c>
      <x:c r="G5677" s="32" t="n">
        <x:f t="shared" si="255">AVERAGE(E5478:E5677)</x:f>
        <x:v>1124.9886499999998</x:v>
      </x:c>
      <x:c r="H5677" s="37" t="n">
        <x:f t="shared" si="256">IFERROR(E5677/G5677-1,"")</x:f>
        <x:v>0.017050260907077064</x:v>
      </x:c>
      <x:c r="I5677" s="38" t="b">
        <x:f t="shared" si="257">E5677&lt;G5677</x:f>
        <x:v>0</x:v>
      </x:c>
    </x:row>
    <x:row r="5678">
      <x:c r="A5678" s="31">
        <x:v>45295</x:v>
      </x:c>
      <x:c r="B5678" s="32">
        <x:v>1145.49</x:v>
      </x:c>
      <x:c r="C5678" s="32">
        <x:v>1160.08</x:v>
      </x:c>
      <x:c r="D5678" s="32">
        <x:v>1144.32</x:v>
      </x:c>
      <x:c r="E5678" s="32">
        <x:v>1150.72</x:v>
      </x:c>
      <x:c r="F5678" s="33">
        <x:v>1141608900</x:v>
      </x:c>
      <x:c r="G5678" s="32" t="n">
        <x:f t="shared" si="255">AVERAGE(E5479:E5678)</x:f>
        <x:v>1125.5395499999997</x:v>
      </x:c>
      <x:c r="H5678" s="37" t="n">
        <x:f t="shared" si="256">IFERROR(E5678/G5678-1,"")</x:f>
        <x:v>0.022371892662501613</x:v>
      </x:c>
      <x:c r="I5678" s="38" t="b">
        <x:f t="shared" si="257">E5678&lt;G5678</x:f>
        <x:v>0</x:v>
      </x:c>
    </x:row>
    <x:row r="5679">
      <x:c r="A5679" s="31">
        <x:v>45296</x:v>
      </x:c>
      <x:c r="B5679" s="32">
        <x:v>1152.3699999999999</x:v>
      </x:c>
      <x:c r="C5679" s="32">
        <x:v>1155.8399999999999</x:v>
      </x:c>
      <x:c r="D5679" s="32">
        <x:v>1149.08</x:v>
      </x:c>
      <x:c r="E5679" s="32">
        <x:v>1154.68</x:v>
      </x:c>
      <x:c r="F5679" s="33">
        <x:v>760282600</x:v>
      </x:c>
      <x:c r="G5679" s="32" t="n">
        <x:f t="shared" si="255">AVERAGE(E5480:E5679)</x:f>
        <x:v>1126.0874499999995</x:v>
      </x:c>
      <x:c r="H5679" s="37" t="n">
        <x:f t="shared" si="256">IFERROR(E5679/G5679-1,"")</x:f>
        <x:v>0.025391056440599247</x:v>
      </x:c>
      <x:c r="I5679" s="38" t="b">
        <x:f t="shared" si="257">E5679&lt;G5679</x:f>
        <x:v>0</x:v>
      </x:c>
    </x:row>
    <x:row r="5680">
      <x:c r="A5680" s="31">
        <x:v>45299</x:v>
      </x:c>
      <x:c r="B5680" s="32">
        <x:v>1159.42</x:v>
      </x:c>
      <x:c r="C5680" s="32">
        <x:v>1162.56</x:v>
      </x:c>
      <x:c r="D5680" s="32">
        <x:v>1155.48</x:v>
      </x:c>
      <x:c r="E5680" s="32">
        <x:v>1160.19</x:v>
      </x:c>
      <x:c r="F5680" s="33">
        <x:v>814410600</x:v>
      </x:c>
      <x:c r="G5680" s="32" t="n">
        <x:f t="shared" si="255">AVERAGE(E5481:E5680)</x:f>
        <x:v>1126.6544499999995</x:v>
      </x:c>
      <x:c r="H5680" s="37" t="n">
        <x:f t="shared" si="256">IFERROR(E5680/G5680-1,"")</x:f>
        <x:v>0.029765603819343678</x:v>
      </x:c>
      <x:c r="I5680" s="38" t="b">
        <x:f t="shared" si="257">E5680&lt;G5680</x:f>
        <x:v>0</x:v>
      </x:c>
    </x:row>
    <x:row r="5681">
      <x:c r="A5681" s="31">
        <x:v>45300</x:v>
      </x:c>
      <x:c r="B5681" s="32">
        <x:v>1161.71</x:v>
      </x:c>
      <x:c r="C5681" s="32">
        <x:v>1162.83</x:v>
      </x:c>
      <x:c r="D5681" s="32">
        <x:v>1155.46</x:v>
      </x:c>
      <x:c r="E5681" s="32">
        <x:v>1158.5899999999999</x:v>
      </x:c>
      <x:c r="F5681" s="33">
        <x:v>799457700</x:v>
      </x:c>
      <x:c r="G5681" s="32" t="n">
        <x:f t="shared" si="255">AVERAGE(E5482:E5681)</x:f>
        <x:v>1127.1861499999995</x:v>
      </x:c>
      <x:c r="H5681" s="37" t="n">
        <x:f t="shared" si="256">IFERROR(E5681/G5681-1,"")</x:f>
        <x:v>0.027860393777904724</x:v>
      </x:c>
      <x:c r="I5681" s="38" t="b">
        <x:f t="shared" si="257">E5681&lt;G5681</x:f>
        <x:v>0</x:v>
      </x:c>
    </x:row>
    <x:row r="5682">
      <x:c r="A5682" s="31">
        <x:v>45301</x:v>
      </x:c>
      <x:c r="B5682" s="32">
        <x:v>1158.79</x:v>
      </x:c>
      <x:c r="C5682" s="32">
        <x:v>1166.0999999999999</x:v>
      </x:c>
      <x:c r="D5682" s="32">
        <x:v>1155.94</x:v>
      </x:c>
      <x:c r="E5682" s="32">
        <x:v>1161.54</x:v>
      </x:c>
      <x:c r="F5682" s="33">
        <x:v>935719400</x:v>
      </x:c>
      <x:c r="G5682" s="32" t="n">
        <x:f t="shared" si="255">AVERAGE(E5483:E5682)</x:f>
        <x:v>1127.7223999999994</x:v>
      </x:c>
      <x:c r="H5682" s="37" t="n">
        <x:f t="shared" si="256">IFERROR(E5682/G5682-1,"")</x:f>
        <x:v>0.029987521751807522</x:v>
      </x:c>
      <x:c r="I5682" s="38" t="b">
        <x:f t="shared" si="257">E5682&lt;G5682</x:f>
        <x:v>0</x:v>
      </x:c>
    </x:row>
    <x:row r="5683">
      <x:c r="A5683" s="31">
        <x:v>45302</x:v>
      </x:c>
      <x:c r="B5683" s="32">
        <x:v>1162.49</x:v>
      </x:c>
      <x:c r="C5683" s="32">
        <x:v>1169.0999999999999</x:v>
      </x:c>
      <x:c r="D5683" s="32">
        <x:v>1157.43</x:v>
      </x:c>
      <x:c r="E5683" s="32">
        <x:v>1162.22</x:v>
      </x:c>
      <x:c r="F5683" s="33">
        <x:v>782237200</x:v>
      </x:c>
      <x:c r="G5683" s="32" t="n">
        <x:f t="shared" si="255">AVERAGE(E5484:E5683)</x:f>
        <x:v>1128.2518499999994</x:v>
      </x:c>
      <x:c r="H5683" s="37" t="n">
        <x:f t="shared" si="256">IFERROR(E5683/G5683-1,"")</x:f>
        <x:v>0.03010688615312329</x:v>
      </x:c>
      <x:c r="I5683" s="38" t="b">
        <x:f t="shared" si="257">E5683&lt;G5683</x:f>
        <x:v>0</x:v>
      </x:c>
    </x:row>
    <x:row r="5684">
      <x:c r="A5684" s="31">
        <x:v>45303</x:v>
      </x:c>
      <x:c r="B5684" s="32">
        <x:v>1154.9100000000001</x:v>
      </x:c>
      <x:c r="C5684" s="32">
        <x:v>1161.9100000000001</x:v>
      </x:c>
      <x:c r="D5684" s="32">
        <x:v>1146.75</x:v>
      </x:c>
      <x:c r="E5684" s="32">
        <x:v>1154.7</x:v>
      </x:c>
      <x:c r="F5684" s="33">
        <x:v>1037940400</x:v>
      </x:c>
      <x:c r="G5684" s="32" t="n">
        <x:f t="shared" si="255">AVERAGE(E5485:E5684)</x:f>
        <x:v>1128.7281499999997</x:v>
      </x:c>
      <x:c r="H5684" s="37" t="n">
        <x:f t="shared" si="256">IFERROR(E5684/G5684-1,"")</x:f>
        <x:v>0.023009836336588485</x:v>
      </x:c>
      <x:c r="I5684" s="38" t="b">
        <x:f t="shared" si="257">E5684&lt;G5684</x:f>
        <x:v>0</x:v>
      </x:c>
    </x:row>
    <x:row r="5685">
      <x:c r="A5685" s="31">
        <x:v>45306</x:v>
      </x:c>
      <x:c r="B5685" s="32">
        <x:v>1159.3699999999999</x:v>
      </x:c>
      <x:c r="C5685" s="32">
        <x:v>1163.75</x:v>
      </x:c>
      <x:c r="D5685" s="32">
        <x:v>1154.1199999999999</x:v>
      </x:c>
      <x:c r="E5685" s="32">
        <x:v>1154.1199999999999</x:v>
      </x:c>
      <x:c r="F5685" s="33">
        <x:v>559640600</x:v>
      </x:c>
      <x:c r="G5685" s="32" t="n">
        <x:f t="shared" si="255">AVERAGE(E5486:E5685)</x:f>
        <x:v>1129.1755499999995</x:v>
      </x:c>
      <x:c r="H5685" s="37" t="n">
        <x:f t="shared" si="256">IFERROR(E5685/G5685-1,"")</x:f>
        <x:v>0.022090852038020525</x:v>
      </x:c>
      <x:c r="I5685" s="38" t="b">
        <x:f t="shared" si="257">E5685&lt;G5685</x:f>
        <x:v>0</x:v>
      </x:c>
    </x:row>
    <x:row r="5686">
      <x:c r="A5686" s="31">
        <x:v>45307</x:v>
      </x:c>
      <x:c r="B5686" s="32">
        <x:v>1150.31</x:v>
      </x:c>
      <x:c r="C5686" s="32">
        <x:v>1163.1199999999999</x:v>
      </x:c>
      <x:c r="D5686" s="32">
        <x:v>1147.71</x:v>
      </x:c>
      <x:c r="E5686" s="32">
        <x:v>1163.1199999999999</x:v>
      </x:c>
      <x:c r="F5686" s="33">
        <x:v>570974600</x:v>
      </x:c>
      <x:c r="G5686" s="32" t="n">
        <x:f t="shared" si="255">AVERAGE(E5487:E5686)</x:f>
        <x:v>1129.5947499999995</x:v>
      </x:c>
      <x:c r="H5686" s="37" t="n">
        <x:f t="shared" si="256">IFERROR(E5686/G5686-1,"")</x:f>
        <x:v>0.029679006564079957</x:v>
      </x:c>
      <x:c r="I5686" s="38" t="b">
        <x:f t="shared" si="257">E5686&lt;G5686</x:f>
        <x:v>0</x:v>
      </x:c>
    </x:row>
    <x:row r="5687">
      <x:c r="A5687" s="31">
        <x:v>45308</x:v>
      </x:c>
      <x:c r="B5687" s="32">
        <x:v>1161.95</x:v>
      </x:c>
      <x:c r="C5687" s="32">
        <x:v>1168.46</x:v>
      </x:c>
      <x:c r="D5687" s="32">
        <x:v>1160.45</x:v>
      </x:c>
      <x:c r="E5687" s="32">
        <x:v>1162.53</x:v>
      </x:c>
      <x:c r="F5687" s="33">
        <x:v>694094400</x:v>
      </x:c>
      <x:c r="G5687" s="32" t="n">
        <x:f t="shared" si="255">AVERAGE(E5488:E5687)</x:f>
        <x:v>1130.0151499999995</x:v>
      </x:c>
      <x:c r="H5687" s="37" t="n">
        <x:f t="shared" si="256">IFERROR(E5687/G5687-1,"")</x:f>
        <x:v>0.028773817766956977</x:v>
      </x:c>
      <x:c r="I5687" s="38" t="b">
        <x:f t="shared" si="257">E5687&lt;G5687</x:f>
        <x:v>0</x:v>
      </x:c>
    </x:row>
    <x:row r="5688">
      <x:c r="A5688" s="31">
        <x:v>45309</x:v>
      </x:c>
      <x:c r="B5688" s="32">
        <x:v>1164.32</x:v>
      </x:c>
      <x:c r="C5688" s="32">
        <x:v>1169.73</x:v>
      </x:c>
      <x:c r="D5688" s="32">
        <x:v>1162.6199999999999</x:v>
      </x:c>
      <x:c r="E5688" s="32">
        <x:v>1169.06</x:v>
      </x:c>
      <x:c r="F5688" s="33">
        <x:v>569563600</x:v>
      </x:c>
      <x:c r="G5688" s="32" t="n">
        <x:f t="shared" si="255">AVERAGE(E5489:E5688)</x:f>
        <x:v>1130.4561499999995</x:v>
      </x:c>
      <x:c r="H5688" s="37" t="n">
        <x:f t="shared" si="256">IFERROR(E5688/G5688-1,"")</x:f>
        <x:v>0.03414891413523691</x:v>
      </x:c>
      <x:c r="I5688" s="38" t="b">
        <x:f t="shared" si="257">E5688&lt;G5688</x:f>
        <x:v>0</x:v>
      </x:c>
    </x:row>
    <x:row r="5689">
      <x:c r="A5689" s="31">
        <x:v>45310</x:v>
      </x:c>
      <x:c r="B5689" s="32">
        <x:v>1171.5</x:v>
      </x:c>
      <x:c r="C5689" s="32">
        <x:v>1181.5</x:v>
      </x:c>
      <x:c r="D5689" s="32">
        <x:v>1171.47</x:v>
      </x:c>
      <x:c r="E5689" s="32">
        <x:v>1181.5</x:v>
      </x:c>
      <x:c r="F5689" s="33">
        <x:v>630781700</x:v>
      </x:c>
      <x:c r="G5689" s="32" t="n">
        <x:f t="shared" si="255">AVERAGE(E5490:E5689)</x:f>
        <x:v>1131.0090999999998</x:v>
      </x:c>
      <x:c r="H5689" s="37" t="n">
        <x:f t="shared" si="256">IFERROR(E5689/G5689-1,"")</x:f>
        <x:v>0.04464234637899933</x:v>
      </x:c>
      <x:c r="I5689" s="38" t="b">
        <x:f t="shared" si="257">E5689&lt;G5689</x:f>
        <x:v>0</x:v>
      </x:c>
    </x:row>
    <x:row r="5690">
      <x:c r="A5690" s="31">
        <x:v>45313</x:v>
      </x:c>
      <x:c r="B5690" s="32">
        <x:v>1186.29</x:v>
      </x:c>
      <x:c r="C5690" s="32">
        <x:v>1186.96</x:v>
      </x:c>
      <x:c r="D5690" s="32">
        <x:v>1175.54</x:v>
      </x:c>
      <x:c r="E5690" s="32">
        <x:v>1182.8599999999999</x:v>
      </x:c>
      <x:c r="F5690" s="33">
        <x:v>770796000</x:v>
      </x:c>
      <x:c r="G5690" s="32" t="n">
        <x:f t="shared" si="255">AVERAGE(E5491:E5690)</x:f>
        <x:v>1131.5748499999997</x:v>
      </x:c>
      <x:c r="H5690" s="37" t="n">
        <x:f t="shared" si="256">IFERROR(E5690/G5690-1,"")</x:f>
        <x:v>0.04532192457264328</x:v>
      </x:c>
      <x:c r="I5690" s="38" t="b">
        <x:f t="shared" si="257">E5690&lt;G5690</x:f>
        <x:v>0</x:v>
      </x:c>
    </x:row>
    <x:row r="5691">
      <x:c r="A5691" s="31">
        <x:v>45314</x:v>
      </x:c>
      <x:c r="B5691" s="32">
        <x:v>1183.96</x:v>
      </x:c>
      <x:c r="C5691" s="32">
        <x:v>1184.74</x:v>
      </x:c>
      <x:c r="D5691" s="32">
        <x:v>1173.78</x:v>
      </x:c>
      <x:c r="E5691" s="32">
        <x:v>1177.5</x:v>
      </x:c>
      <x:c r="F5691" s="33">
        <x:v>600595700</x:v>
      </x:c>
      <x:c r="G5691" s="32" t="n">
        <x:f t="shared" si="255">AVERAGE(E5492:E5691)</x:f>
        <x:v>1132.1355999999996</x:v>
      </x:c>
      <x:c r="H5691" s="37" t="n">
        <x:f t="shared" si="256">IFERROR(E5691/G5691-1,"")</x:f>
        <x:v>0.04006975842823102</x:v>
      </x:c>
      <x:c r="I5691" s="38" t="b">
        <x:f t="shared" si="257">E5691&lt;G5691</x:f>
        <x:v>0</x:v>
      </x:c>
    </x:row>
    <x:row r="5692">
      <x:c r="A5692" s="31">
        <x:v>45315</x:v>
      </x:c>
      <x:c r="B5692" s="32">
        <x:v>1175.58</x:v>
      </x:c>
      <x:c r="C5692" s="32">
        <x:v>1180.3</x:v>
      </x:c>
      <x:c r="D5692" s="32">
        <x:v>1172</x:v>
      </x:c>
      <x:c r="E5692" s="32">
        <x:v>1172.97</x:v>
      </x:c>
      <x:c r="F5692" s="33">
        <x:v>644055900</x:v>
      </x:c>
      <x:c r="G5692" s="32" t="n">
        <x:f t="shared" si="255">AVERAGE(E5493:E5692)</x:f>
        <x:v>1132.6531499999996</x:v>
      </x:c>
      <x:c r="H5692" s="37" t="n">
        <x:f t="shared" si="256">IFERROR(E5692/G5692-1,"")</x:f>
        <x:v>0.03559505396687457</x:v>
      </x:c>
      <x:c r="I5692" s="38" t="b">
        <x:f t="shared" si="257">E5692&lt;G5692</x:f>
        <x:v>0</x:v>
      </x:c>
    </x:row>
    <x:row r="5693">
      <x:c r="A5693" s="31">
        <x:v>45316</x:v>
      </x:c>
      <x:c r="B5693" s="32">
        <x:v>1173.58</x:v>
      </x:c>
      <x:c r="C5693" s="32">
        <x:v>1173.83</x:v>
      </x:c>
      <x:c r="D5693" s="32">
        <x:v>1168.5</x:v>
      </x:c>
      <x:c r="E5693" s="32">
        <x:v>1170.3699999999999</x:v>
      </x:c>
      <x:c r="F5693" s="33">
        <x:v>480699500</x:v>
      </x:c>
      <x:c r="G5693" s="32" t="n">
        <x:f t="shared" si="255">AVERAGE(E5494:E5693)</x:f>
        <x:v>1133.1577499999994</x:v>
      </x:c>
      <x:c r="H5693" s="37" t="n">
        <x:f t="shared" si="256">IFERROR(E5693/G5693-1,"")</x:f>
        <x:v>0.032839425931650235</x:v>
      </x:c>
      <x:c r="I5693" s="38" t="b">
        <x:f t="shared" si="257">E5693&lt;G5693</x:f>
        <x:v>0</x:v>
      </x:c>
    </x:row>
    <x:row r="5694">
      <x:c r="A5694" s="31">
        <x:v>45317</x:v>
      </x:c>
      <x:c r="B5694" s="32">
        <x:v>1173.43</x:v>
      </x:c>
      <x:c r="C5694" s="32">
        <x:v>1176.76</x:v>
      </x:c>
      <x:c r="D5694" s="32">
        <x:v>1173.43</x:v>
      </x:c>
      <x:c r="E5694" s="32">
        <x:v>1175.67</x:v>
      </x:c>
      <x:c r="F5694" s="33">
        <x:v>498217000</x:v>
      </x:c>
      <x:c r="G5694" s="32" t="n">
        <x:f t="shared" si="255">AVERAGE(E5495:E5694)</x:f>
        <x:v>1133.7145999999996</x:v>
      </x:c>
      <x:c r="H5694" s="37" t="n">
        <x:f t="shared" si="256">IFERROR(E5694/G5694-1,"")</x:f>
        <x:v>0.03700702099099762</x:v>
      </x:c>
      <x:c r="I5694" s="38" t="b">
        <x:f t="shared" si="257">E5694&lt;G5694</x:f>
        <x:v>0</x:v>
      </x:c>
    </x:row>
    <x:row r="5695">
      <x:c r="A5695" s="31">
        <x:v>45320</x:v>
      </x:c>
      <x:c r="B5695" s="32">
        <x:v>1177.23</x:v>
      </x:c>
      <x:c r="C5695" s="32">
        <x:v>1180.46</x:v>
      </x:c>
      <x:c r="D5695" s="32">
        <x:v>1174.8800000000001</x:v>
      </x:c>
      <x:c r="E5695" s="32">
        <x:v>1175.69</x:v>
      </x:c>
      <x:c r="F5695" s="33">
        <x:v>552811300</x:v>
      </x:c>
      <x:c r="G5695" s="32" t="n">
        <x:f t="shared" si="255">AVERAGE(E5496:E5695)</x:f>
        <x:v>1134.3285999999998</x:v>
      </x:c>
      <x:c r="H5695" s="37" t="n">
        <x:f t="shared" si="256">IFERROR(E5695/G5695-1,"")</x:f>
        <x:v>0.0364633317012375</x:v>
      </x:c>
      <x:c r="I5695" s="38" t="b">
        <x:f t="shared" si="257">E5695&lt;G5695</x:f>
        <x:v>0</x:v>
      </x:c>
    </x:row>
    <x:row r="5696">
      <x:c r="A5696" s="31">
        <x:v>45321</x:v>
      </x:c>
      <x:c r="B5696" s="32">
        <x:v>1176.02</x:v>
      </x:c>
      <x:c r="C5696" s="32">
        <x:v>1179.92</x:v>
      </x:c>
      <x:c r="D5696" s="32">
        <x:v>1174.1300000000001</x:v>
      </x:c>
      <x:c r="E5696" s="32">
        <x:v>1179.6500000000001</x:v>
      </x:c>
      <x:c r="F5696" s="33">
        <x:v>564656400</x:v>
      </x:c>
      <x:c r="G5696" s="32" t="n">
        <x:f t="shared" si="255">AVERAGE(E5497:E5696)</x:f>
        <x:v>1134.9577999999995</x:v>
      </x:c>
      <x:c r="H5696" s="37" t="n">
        <x:f t="shared" si="256">IFERROR(E5696/G5696-1,"")</x:f>
        <x:v>0.039377851758013005</x:v>
      </x:c>
      <x:c r="I5696" s="38" t="b">
        <x:f t="shared" si="257">E5696&lt;G5696</x:f>
        <x:v>0</x:v>
      </x:c>
    </x:row>
    <x:row r="5697">
      <x:c r="A5697" s="31">
        <x:v>45322</x:v>
      </x:c>
      <x:c r="B5697" s="32">
        <x:v>1181.6199999999999</x:v>
      </x:c>
      <x:c r="C5697" s="32">
        <x:v>1182.53</x:v>
      </x:c>
      <x:c r="D5697" s="32">
        <x:v>1163.1300000000001</x:v>
      </x:c>
      <x:c r="E5697" s="32">
        <x:v>1164.31</x:v>
      </x:c>
      <x:c r="F5697" s="33">
        <x:v>1022547900</x:v>
      </x:c>
      <x:c r="G5697" s="32" t="n">
        <x:f t="shared" si="255">AVERAGE(E5498:E5697)</x:f>
        <x:v>1135.5042499999995</x:v>
      </x:c>
      <x:c r="H5697" s="37" t="n">
        <x:f t="shared" si="256">IFERROR(E5697/G5697-1,"")</x:f>
        <x:v>0.025368244988955846</x:v>
      </x:c>
      <x:c r="I5697" s="38" t="b">
        <x:f t="shared" si="257">E5697&lt;G5697</x:f>
        <x:v>0</x:v>
      </x:c>
    </x:row>
    <x:row r="5698">
      <x:c r="A5698" s="31">
        <x:v>45323</x:v>
      </x:c>
      <x:c r="B5698" s="32">
        <x:v>1162.78</x:v>
      </x:c>
      <x:c r="C5698" s="32">
        <x:v>1174.5</x:v>
      </x:c>
      <x:c r="D5698" s="32">
        <x:v>1162.45</x:v>
      </x:c>
      <x:c r="E5698" s="32">
        <x:v>1173.02</x:v>
      </x:c>
      <x:c r="F5698" s="33">
        <x:v>578639500</x:v>
      </x:c>
      <x:c r="G5698" s="32" t="n">
        <x:f t="shared" si="255">AVERAGE(E5499:E5698)</x:f>
        <x:v>1136.1244499999996</x:v>
      </x:c>
      <x:c r="H5698" s="37" t="n">
        <x:f t="shared" si="256">IFERROR(E5698/G5698-1,"")</x:f>
        <x:v>0.03247491945094616</x:v>
      </x:c>
      <x:c r="I5698" s="38" t="b">
        <x:f t="shared" si="257">E5698&lt;G5698</x:f>
        <x:v>0</x:v>
      </x:c>
    </x:row>
    <x:row r="5699">
      <x:c r="A5699" s="31">
        <x:v>45324</x:v>
      </x:c>
      <x:c r="B5699" s="32">
        <x:v>1173.93</x:v>
      </x:c>
      <x:c r="C5699" s="32">
        <x:v>1178.27</x:v>
      </x:c>
      <x:c r="D5699" s="32">
        <x:v>1169.7</x:v>
      </x:c>
      <x:c r="E5699" s="32">
        <x:v>1172.55</x:v>
      </x:c>
      <x:c r="F5699" s="33">
        <x:v>790756000</x:v>
      </x:c>
      <x:c r="G5699" s="32" t="n">
        <x:f t="shared" si="255">AVERAGE(E5500:E5699)</x:f>
        <x:v>1136.7409499999994</x:v>
      </x:c>
      <x:c r="H5699" s="37" t="n">
        <x:f t="shared" si="256">IFERROR(E5699/G5699-1,"")</x:f>
        <x:v>0.03150150436649657</x:v>
      </x:c>
      <x:c r="I5699" s="38" t="b">
        <x:f t="shared" si="257">E5699&lt;G5699</x:f>
        <x:v>0</x:v>
      </x:c>
    </x:row>
    <x:row r="5700">
      <x:c r="A5700" s="31">
        <x:v>45327</x:v>
      </x:c>
      <x:c r="B5700" s="32">
        <x:v>1174.22</x:v>
      </x:c>
      <x:c r="C5700" s="32">
        <x:v>1188.45</x:v>
      </x:c>
      <x:c r="D5700" s="32">
        <x:v>1173.54</x:v>
      </x:c>
      <x:c r="E5700" s="32">
        <x:v>1186.06</x:v>
      </x:c>
      <x:c r="F5700" s="33">
        <x:v>769953100</x:v>
      </x:c>
      <x:c r="G5700" s="32" t="n">
        <x:f t="shared" si="255">AVERAGE(E5501:E5700)</x:f>
        <x:v>1137.4566999999995</x:v>
      </x:c>
      <x:c r="H5700" s="37" t="n">
        <x:f t="shared" si="256">IFERROR(E5700/G5700-1,"")</x:f>
        <x:v>0.042729802374016135</x:v>
      </x:c>
      <x:c r="I5700" s="38" t="b">
        <x:f t="shared" si="257">E5700&lt;G5700</x:f>
        <x:v>0</x:v>
      </x:c>
    </x:row>
    <x:row r="5701">
      <x:c r="A5701" s="31">
        <x:v>45328</x:v>
      </x:c>
      <x:c r="B5701" s="32">
        <x:v>1189.08</x:v>
      </x:c>
      <x:c r="C5701" s="32">
        <x:v>1190.92</x:v>
      </x:c>
      <x:c r="D5701" s="32">
        <x:v>1185.68</x:v>
      </x:c>
      <x:c r="E5701" s="32">
        <x:v>1188.48</x:v>
      </x:c>
      <x:c r="F5701" s="33">
        <x:v>566198900</x:v>
      </x:c>
      <x:c r="G5701" s="32" t="n">
        <x:f t="shared" si="255">AVERAGE(E5502:E5701)</x:f>
        <x:v>1138.1922999999995</x:v>
      </x:c>
      <x:c r="H5701" s="37" t="n">
        <x:f t="shared" si="256">IFERROR(E5701/G5701-1,"")</x:f>
        <x:v>0.04418207714109523</x:v>
      </x:c>
      <x:c r="I5701" s="38" t="b">
        <x:f t="shared" si="257">E5701&lt;G5701</x:f>
        <x:v>0</x:v>
      </x:c>
    </x:row>
    <x:row r="5702">
      <x:c r="A5702" s="31">
        <x:v>45329</x:v>
      </x:c>
      <x:c r="B5702" s="32">
        <x:v>1190.51</x:v>
      </x:c>
      <x:c r="C5702" s="32">
        <x:v>1199.52</x:v>
      </x:c>
      <x:c r="D5702" s="32">
        <x:v>1190.5</x:v>
      </x:c>
      <x:c r="E5702" s="32">
        <x:v>1198.53</x:v>
      </x:c>
      <x:c r="F5702" s="33">
        <x:v>664714300</x:v>
      </x:c>
      <x:c r="G5702" s="32" t="n">
        <x:f t="shared" si="255">AVERAGE(E5503:E5702)</x:f>
        <x:v>1139.0106999999996</x:v>
      </x:c>
      <x:c r="H5702" s="37" t="n">
        <x:f t="shared" si="256">IFERROR(E5702/G5702-1,"")</x:f>
        <x:v>0.0522552597618271</x:v>
      </x:c>
      <x:c r="I5702" s="38" t="b">
        <x:f t="shared" si="257">E5702&lt;G5702</x:f>
        <x:v>0</x:v>
      </x:c>
    </x:row>
    <x:row r="5703">
      <x:c r="A5703" s="31">
        <x:v>45337</x:v>
      </x:c>
      <x:c r="B5703" s="32">
        <x:v>1203.08</x:v>
      </x:c>
      <x:c r="C5703" s="32">
        <x:v>1207.56</x:v>
      </x:c>
      <x:c r="D5703" s="32">
        <x:v>1198.81</x:v>
      </x:c>
      <x:c r="E5703" s="32">
        <x:v>1202.5</x:v>
      </x:c>
      <x:c r="F5703" s="33">
        <x:v>843733100</x:v>
      </x:c>
      <x:c r="G5703" s="32" t="n">
        <x:f t="shared" si="255">AVERAGE(E5504:E5703)</x:f>
        <x:v>1139.8191999999995</x:v>
      </x:c>
      <x:c r="H5703" s="37" t="n">
        <x:f t="shared" si="256">IFERROR(E5703/G5703-1,"")</x:f>
        <x:v>0.05499187941385841</x:v>
      </x:c>
      <x:c r="I5703" s="38" t="b">
        <x:f t="shared" si="257">E5703&lt;G5703</x:f>
        <x:v>0</x:v>
      </x:c>
    </x:row>
    <x:row r="5704">
      <x:c r="A5704" s="31">
        <x:v>45338</x:v>
      </x:c>
      <x:c r="B5704" s="32">
        <x:v>1204.9000000000001</x:v>
      </x:c>
      <x:c r="C5704" s="32">
        <x:v>1210.25</x:v>
      </x:c>
      <x:c r="D5704" s="32">
        <x:v>1204.29</x:v>
      </x:c>
      <x:c r="E5704" s="32">
        <x:v>1209.7</x:v>
      </x:c>
      <x:c r="F5704" s="33">
        <x:v>783875500</x:v>
      </x:c>
      <x:c r="G5704" s="32" t="n">
        <x:f t="shared" si="255">AVERAGE(E5505:E5704)</x:f>
        <x:v>1140.6695499999996</x:v>
      </x:c>
      <x:c r="H5704" s="37" t="n">
        <x:f t="shared" si="256">IFERROR(E5704/G5704-1,"")</x:f>
        <x:v>0.060517482911681464</x:v>
      </x:c>
      <x:c r="I5704" s="38" t="b">
        <x:f t="shared" si="257">E5704&lt;G5704</x:f>
        <x:v>0</x:v>
      </x:c>
    </x:row>
    <x:row r="5705">
      <x:c r="A5705" s="31">
        <x:v>45341</x:v>
      </x:c>
      <x:c r="B5705" s="32">
        <x:v>1213.24</x:v>
      </x:c>
      <x:c r="C5705" s="32">
        <x:v>1225.48</x:v>
      </x:c>
      <x:c r="D5705" s="32">
        <x:v>1212.58</x:v>
      </x:c>
      <x:c r="E5705" s="32">
        <x:v>1224.97</x:v>
      </x:c>
      <x:c r="F5705" s="33">
        <x:v>975154800</x:v>
      </x:c>
      <x:c r="G5705" s="32" t="n">
        <x:f t="shared" si="255">AVERAGE(E5506:E5705)</x:f>
        <x:v>1141.5487999999996</x:v>
      </x:c>
      <x:c r="H5705" s="37" t="n">
        <x:f t="shared" si="256">IFERROR(E5705/G5705-1,"")</x:f>
        <x:v>0.07307720878862156</x:v>
      </x:c>
      <x:c r="I5705" s="38" t="b">
        <x:f t="shared" si="257">E5705&lt;G5705</x:f>
        <x:v>0</x:v>
      </x:c>
    </x:row>
    <x:row r="5706">
      <x:c r="A5706" s="31">
        <x:v>45342</x:v>
      </x:c>
      <x:c r="B5706" s="32">
        <x:v>1227.75</x:v>
      </x:c>
      <x:c r="C5706" s="32">
        <x:v>1230.47</x:v>
      </x:c>
      <x:c r="D5706" s="32">
        <x:v>1222.6600000000001</x:v>
      </x:c>
      <x:c r="E5706" s="32">
        <x:v>1230.06</x:v>
      </x:c>
      <x:c r="F5706" s="33">
        <x:v>843779800</x:v>
      </x:c>
      <x:c r="G5706" s="32" t="n">
        <x:f t="shared" si="255">AVERAGE(E5507:E5706)</x:f>
        <x:v>1142.4960499999997</x:v>
      </x:c>
      <x:c r="H5706" s="37" t="n">
        <x:f t="shared" si="256">IFERROR(E5706/G5706-1,"")</x:f>
        <x:v>0.07664267198122943</x:v>
      </x:c>
      <x:c r="I5706" s="38" t="b">
        <x:f t="shared" si="257">E5706&lt;G5706</x:f>
        <x:v>0</x:v>
      </x:c>
    </x:row>
    <x:row r="5707">
      <x:c r="A5707" s="31">
        <x:v>45343</x:v>
      </x:c>
      <x:c r="B5707" s="32">
        <x:v>1231.78</x:v>
      </x:c>
      <x:c r="C5707" s="32">
        <x:v>1234.22</x:v>
      </x:c>
      <x:c r="D5707" s="32">
        <x:v>1222.92</x:v>
      </x:c>
      <x:c r="E5707" s="32">
        <x:v>1230.04</x:v>
      </x:c>
      <x:c r="F5707" s="33">
        <x:v>886110400</x:v>
      </x:c>
      <x:c r="G5707" s="32" t="n">
        <x:f t="shared" si="255">AVERAGE(E5508:E5707)</x:f>
        <x:v>1143.4446999999996</x:v>
      </x:c>
      <x:c r="H5707" s="37" t="n">
        <x:f t="shared" si="256">IFERROR(E5707/G5707-1,"")</x:f>
        <x:v>0.07573195275643885</x:v>
      </x:c>
      <x:c r="I5707" s="38" t="b">
        <x:f t="shared" si="257">E5707&lt;G5707</x:f>
        <x:v>0</x:v>
      </x:c>
    </x:row>
    <x:row r="5708">
      <x:c r="A5708" s="31">
        <x:v>45344</x:v>
      </x:c>
      <x:c r="B5708" s="32">
        <x:v>1229.8499999999999</x:v>
      </x:c>
      <x:c r="C5708" s="32">
        <x:v>1232.0899999999999</x:v>
      </x:c>
      <x:c r="D5708" s="32">
        <x:v>1226.1500000000001</x:v>
      </x:c>
      <x:c r="E5708" s="32">
        <x:v>1227.31</x:v>
      </x:c>
      <x:c r="F5708" s="33">
        <x:v>795021800</x:v>
      </x:c>
      <x:c r="G5708" s="32" t="n">
        <x:f t="shared" si="255">AVERAGE(E5509:E5708)</x:f>
        <x:v>1144.3140499999997</x:v>
      </x:c>
      <x:c r="H5708" s="37" t="n">
        <x:f t="shared" si="256">IFERROR(E5708/G5708-1,"")</x:f>
        <x:v>0.07252899673826452</x:v>
      </x:c>
      <x:c r="I5708" s="38" t="b">
        <x:f t="shared" si="257">E5708&lt;G5708</x:f>
        <x:v>0</x:v>
      </x:c>
    </x:row>
    <x:row r="5709">
      <x:c r="A5709" s="31">
        <x:v>45345</x:v>
      </x:c>
      <x:c r="B5709" s="32">
        <x:v>1230.3</x:v>
      </x:c>
      <x:c r="C5709" s="32">
        <x:v>1240.81</x:v>
      </x:c>
      <x:c r="D5709" s="32">
        <x:v>1211.55</x:v>
      </x:c>
      <x:c r="E5709" s="32">
        <x:v>1212</x:v>
      </x:c>
      <x:c r="F5709" s="33">
        <x:v>1327429400</x:v>
      </x:c>
      <x:c r="G5709" s="32" t="n">
        <x:f t="shared" ref="G5709:G5772" si="258">AVERAGE(E5510:E5709)</x:f>
        <x:v>1145.1051999999995</x:v>
      </x:c>
      <x:c r="H5709" s="37" t="n">
        <x:f t="shared" ref="H5709:H5772" si="259">IFERROR(E5709/G5709-1,"")</x:f>
        <x:v>0.0584180387967852</x:v>
      </x:c>
      <x:c r="I5709" s="38" t="b">
        <x:f t="shared" ref="I5709:I5772" si="260">E5709&lt;G5709</x:f>
        <x:v>0</x:v>
      </x:c>
    </x:row>
    <x:row r="5710">
      <x:c r="A5710" s="31">
        <x:v>45348</x:v>
      </x:c>
      <x:c r="B5710" s="32">
        <x:v>1212.93</x:v>
      </x:c>
      <x:c r="C5710" s="32">
        <x:v>1225.21</x:v>
      </x:c>
      <x:c r="D5710" s="32">
        <x:v>1210.52</x:v>
      </x:c>
      <x:c r="E5710" s="32">
        <x:v>1224.17</x:v>
      </x:c>
      <x:c r="F5710" s="33">
        <x:v>834749900</x:v>
      </x:c>
      <x:c r="G5710" s="32" t="n">
        <x:f t="shared" si="258">AVERAGE(E5511:E5710)</x:f>
        <x:v>1145.9347499999997</x:v>
      </x:c>
      <x:c r="H5710" s="37" t="n">
        <x:f t="shared" si="259">IFERROR(E5710/G5710-1,"")</x:f>
        <x:v>0.06827199367154235</x:v>
      </x:c>
      <x:c r="I5710" s="38" t="b">
        <x:f t="shared" si="260">E5710&lt;G5710</x:f>
        <x:v>0</x:v>
      </x:c>
    </x:row>
    <x:row r="5711">
      <x:c r="A5711" s="31">
        <x:v>45349</x:v>
      </x:c>
      <x:c r="B5711" s="32">
        <x:v>1228.93</x:v>
      </x:c>
      <x:c r="C5711" s="32">
        <x:v>1237.5999999999999</x:v>
      </x:c>
      <x:c r="D5711" s="32">
        <x:v>1226.49</x:v>
      </x:c>
      <x:c r="E5711" s="32">
        <x:v>1237.46</x:v>
      </x:c>
      <x:c r="F5711" s="33">
        <x:v>916784900</x:v>
      </x:c>
      <x:c r="G5711" s="32" t="n">
        <x:f t="shared" si="258">AVERAGE(E5512:E5711)</x:f>
        <x:v>1146.8364499999998</x:v>
      </x:c>
      <x:c r="H5711" s="37" t="n">
        <x:f t="shared" si="259">IFERROR(E5711/G5711-1,"")</x:f>
        <x:v>0.07902046538545249</x:v>
      </x:c>
      <x:c r="I5711" s="38" t="b">
        <x:f t="shared" si="260">E5711&lt;G5711</x:f>
        <x:v>0</x:v>
      </x:c>
    </x:row>
    <x:row r="5712">
      <x:c r="A5712" s="31">
        <x:v>45350</x:v>
      </x:c>
      <x:c r="B5712" s="32">
        <x:v>1241.77</x:v>
      </x:c>
      <x:c r="C5712" s="32">
        <x:v>1254.55</x:v>
      </x:c>
      <x:c r="D5712" s="32">
        <x:v>1236.32</x:v>
      </x:c>
      <x:c r="E5712" s="32">
        <x:v>1254.55</x:v>
      </x:c>
      <x:c r="F5712" s="33">
        <x:v>899523200</x:v>
      </x:c>
      <x:c r="G5712" s="32" t="n">
        <x:f t="shared" si="258">AVERAGE(E5513:E5712)</x:f>
        <x:v>1147.7746999999997</x:v>
      </x:c>
      <x:c r="H5712" s="37" t="n">
        <x:f t="shared" si="259">IFERROR(E5712/G5712-1,"")</x:f>
        <x:v>0.09302810037544851</x:v>
      </x:c>
      <x:c r="I5712" s="38" t="b">
        <x:f t="shared" si="260">E5712&lt;G5712</x:f>
        <x:v>0</x:v>
      </x:c>
    </x:row>
    <x:row r="5713">
      <x:c r="A5713" s="31">
        <x:v>45351</x:v>
      </x:c>
      <x:c r="B5713" s="32">
        <x:v>1259.5899999999999</x:v>
      </x:c>
      <x:c r="C5713" s="32">
        <x:v>1264.3900000000001</x:v>
      </x:c>
      <x:c r="D5713" s="32">
        <x:v>1247.7</x:v>
      </x:c>
      <x:c r="E5713" s="32">
        <x:v>1252.73</x:v>
      </x:c>
      <x:c r="F5713" s="33">
        <x:v>1012951600</x:v>
      </x:c>
      <x:c r="G5713" s="32" t="n">
        <x:f t="shared" si="258">AVERAGE(E5514:E5713)</x:f>
        <x:v>1148.7097999999996</x:v>
      </x:c>
      <x:c r="H5713" s="37" t="n">
        <x:f t="shared" si="259">IFERROR(E5713/G5713-1,"")</x:f>
        <x:v>0.09055394147416562</x:v>
      </x:c>
      <x:c r="I5713" s="38" t="b">
        <x:f t="shared" si="260">E5713&lt;G5713</x:f>
        <x:v>0</x:v>
      </x:c>
    </x:row>
    <x:row r="5714">
      <x:c r="A5714" s="31">
        <x:v>45352</x:v>
      </x:c>
      <x:c r="B5714" s="32">
        <x:v>1256.72</x:v>
      </x:c>
      <x:c r="C5714" s="32">
        <x:v>1258.76</x:v>
      </x:c>
      <x:c r="D5714" s="32">
        <x:v>1247.8699999999999</x:v>
      </x:c>
      <x:c r="E5714" s="32">
        <x:v>1258.28</x:v>
      </x:c>
      <x:c r="F5714" s="33">
        <x:v>890614800</x:v>
      </x:c>
      <x:c r="G5714" s="32" t="n">
        <x:f t="shared" si="258">AVERAGE(E5515:E5714)</x:f>
        <x:v>1149.6716499999995</x:v>
      </x:c>
      <x:c r="H5714" s="37" t="n">
        <x:f t="shared" si="259">IFERROR(E5714/G5714-1,"")</x:f>
        <x:v>0.09446901643612815</x:v>
      </x:c>
      <x:c r="I5714" s="38" t="b">
        <x:f t="shared" si="260">E5714&lt;G5714</x:f>
        <x:v>0</x:v>
      </x:c>
    </x:row>
    <x:row r="5715">
      <x:c r="A5715" s="31">
        <x:v>45355</x:v>
      </x:c>
      <x:c r="B5715" s="32">
        <x:v>1264.07</x:v>
      </x:c>
      <x:c r="C5715" s="32">
        <x:v>1268.25</x:v>
      </x:c>
      <x:c r="D5715" s="32">
        <x:v>1256.54</x:v>
      </x:c>
      <x:c r="E5715" s="32">
        <x:v>1261.4100000000001</x:v>
      </x:c>
      <x:c r="F5715" s="33">
        <x:v>1060738400</x:v>
      </x:c>
      <x:c r="G5715" s="32" t="n">
        <x:f t="shared" si="258">AVERAGE(E5516:E5715)</x:f>
        <x:v>1150.6764999999996</x:v>
      </x:c>
      <x:c r="H5715" s="37" t="n">
        <x:f t="shared" si="259">IFERROR(E5715/G5715-1,"")</x:f>
        <x:v>0.09623338966251649</x:v>
      </x:c>
      <x:c r="I5715" s="38" t="b">
        <x:f t="shared" si="260">E5715&lt;G5715</x:f>
        <x:v>0</x:v>
      </x:c>
    </x:row>
    <x:row r="5716">
      <x:c r="A5716" s="31">
        <x:v>45356</x:v>
      </x:c>
      <x:c r="B5716" s="32">
        <x:v>1262.8900000000001</x:v>
      </x:c>
      <x:c r="C5716" s="32">
        <x:v>1269.98</x:v>
      </x:c>
      <x:c r="D5716" s="32">
        <x:v>1257.81</x:v>
      </x:c>
      <x:c r="E5716" s="32">
        <x:v>1269.98</x:v>
      </x:c>
      <x:c r="F5716" s="33">
        <x:v>927988200</x:v>
      </x:c>
      <x:c r="G5716" s="32" t="n">
        <x:f t="shared" si="258">AVERAGE(E5517:E5716)</x:f>
        <x:v>1151.6848499999996</x:v>
      </x:c>
      <x:c r="H5716" s="37" t="n">
        <x:f t="shared" si="259">IFERROR(E5716/G5716-1,"")</x:f>
        <x:v>0.10271486162208388</x:v>
      </x:c>
      <x:c r="I5716" s="38" t="b">
        <x:f t="shared" si="260">E5716&lt;G5716</x:f>
        <x:v>0</x:v>
      </x:c>
    </x:row>
    <x:row r="5717">
      <x:c r="A5717" s="31">
        <x:v>45357</x:v>
      </x:c>
      <x:c r="B5717" s="32">
        <x:v>1269.8</x:v>
      </x:c>
      <x:c r="C5717" s="32">
        <x:v>1277.51</x:v>
      </x:c>
      <x:c r="D5717" s="32">
        <x:v>1256.3</x:v>
      </x:c>
      <x:c r="E5717" s="32">
        <x:v>1262.73</x:v>
      </x:c>
      <x:c r="F5717" s="33">
        <x:v>1001243800</x:v>
      </x:c>
      <x:c r="G5717" s="32" t="n">
        <x:f t="shared" si="258">AVERAGE(E5518:E5717)</x:f>
        <x:v>1152.6631499999996</x:v>
      </x:c>
      <x:c r="H5717" s="37" t="n">
        <x:f t="shared" si="259">IFERROR(E5717/G5717-1,"")</x:f>
        <x:v>0.09548917218356512</x:v>
      </x:c>
      <x:c r="I5717" s="38" t="b">
        <x:f t="shared" si="260">E5717&lt;G5717</x:f>
        <x:v>0</x:v>
      </x:c>
    </x:row>
    <x:row r="5718">
      <x:c r="A5718" s="31">
        <x:v>45358</x:v>
      </x:c>
      <x:c r="B5718" s="32">
        <x:v>1263.23</x:v>
      </x:c>
      <x:c r="C5718" s="32">
        <x:v>1269.8800000000001</x:v>
      </x:c>
      <x:c r="D5718" s="32">
        <x:v>1260.24</x:v>
      </x:c>
      <x:c r="E5718" s="32">
        <x:v>1268.46</x:v>
      </x:c>
      <x:c r="F5718" s="33">
        <x:v>948074000</x:v>
      </x:c>
      <x:c r="G5718" s="32" t="n">
        <x:f t="shared" si="258">AVERAGE(E5519:E5718)</x:f>
        <x:v>1153.6522499999996</x:v>
      </x:c>
      <x:c r="H5718" s="37" t="n">
        <x:f t="shared" si="259">IFERROR(E5718/G5718-1,"")</x:f>
        <x:v>0.0995167737938365</x:v>
      </x:c>
      <x:c r="I5718" s="38" t="b">
        <x:f t="shared" si="260">E5718&lt;G5718</x:f>
        <x:v>0</x:v>
      </x:c>
    </x:row>
    <x:row r="5719">
      <x:c r="A5719" s="31">
        <x:v>45359</x:v>
      </x:c>
      <x:c r="B5719" s="32">
        <x:v>1272.6199999999999</x:v>
      </x:c>
      <x:c r="C5719" s="32">
        <x:v>1274.3</x:v>
      </x:c>
      <x:c r="D5719" s="32">
        <x:v>1247.3499999999999</x:v>
      </x:c>
      <x:c r="E5719" s="32">
        <x:v>1247.3499999999999</x:v>
      </x:c>
      <x:c r="F5719" s="33">
        <x:v>1308498300</x:v>
      </x:c>
      <x:c r="G5719" s="32" t="n">
        <x:f t="shared" si="258">AVERAGE(E5520:E5719)</x:f>
        <x:v>1154.5597499999997</x:v>
      </x:c>
      <x:c r="H5719" s="37" t="n">
        <x:f t="shared" si="259">IFERROR(E5719/G5719-1,"")</x:f>
        <x:v>0.0803685127599505</x:v>
      </x:c>
      <x:c r="I5719" s="38" t="b">
        <x:f t="shared" si="260">E5719&lt;G5719</x:f>
        <x:v>0</x:v>
      </x:c>
    </x:row>
    <x:row r="5720">
      <x:c r="A5720" s="31">
        <x:v>45362</x:v>
      </x:c>
      <x:c r="B5720" s="32">
        <x:v>1248.32</x:v>
      </x:c>
      <x:c r="C5720" s="32">
        <x:v>1254.01</x:v>
      </x:c>
      <x:c r="D5720" s="32">
        <x:v>1233.49</x:v>
      </x:c>
      <x:c r="E5720" s="32">
        <x:v>1235.49</x:v>
      </x:c>
      <x:c r="F5720" s="33">
        <x:v>922753300</x:v>
      </x:c>
      <x:c r="G5720" s="32" t="n">
        <x:f t="shared" si="258">AVERAGE(E5521:E5720)</x:f>
        <x:v>1155.4282499999997</x:v>
      </x:c>
      <x:c r="H5720" s="37" t="n">
        <x:f t="shared" si="259">IFERROR(E5720/G5720-1,"")</x:f>
        <x:v>0.06929184049290837</x:v>
      </x:c>
      <x:c r="I5720" s="38" t="b">
        <x:f t="shared" si="260">E5720&lt;G5720</x:f>
        <x:v>0</x:v>
      </x:c>
    </x:row>
    <x:row r="5721">
      <x:c r="A5721" s="31">
        <x:v>45363</x:v>
      </x:c>
      <x:c r="B5721" s="32">
        <x:v>1235.4000000000001</x:v>
      </x:c>
      <x:c r="C5721" s="32">
        <x:v>1248.33</x:v>
      </x:c>
      <x:c r="D5721" s="32">
        <x:v>1233.1400000000001</x:v>
      </x:c>
      <x:c r="E5721" s="32">
        <x:v>1245</x:v>
      </x:c>
      <x:c r="F5721" s="33">
        <x:v>792213500</x:v>
      </x:c>
      <x:c r="G5721" s="32" t="n">
        <x:f t="shared" si="258">AVERAGE(E5522:E5721)</x:f>
        <x:v>1156.3300999999997</x:v>
      </x:c>
      <x:c r="H5721" s="37" t="n">
        <x:f t="shared" si="259">IFERROR(E5721/G5721-1,"")</x:f>
        <x:v>0.0766821688720205</x:v>
      </x:c>
      <x:c r="I5721" s="38" t="b">
        <x:f t="shared" si="260">E5721&lt;G5721</x:f>
        <x:v>0</x:v>
      </x:c>
    </x:row>
    <x:row r="5722">
      <x:c r="A5722" s="31">
        <x:v>45364</x:v>
      </x:c>
      <x:c r="B5722" s="32">
        <x:v>1250.2</x:v>
      </x:c>
      <x:c r="C5722" s="32">
        <x:v>1270.51</x:v>
      </x:c>
      <x:c r="D5722" s="32">
        <x:v>1247.6400000000001</x:v>
      </x:c>
      <x:c r="E5722" s="32">
        <x:v>1270.51</x:v>
      </x:c>
      <x:c r="F5722" s="33">
        <x:v>890291900</x:v>
      </x:c>
      <x:c r="G5722" s="32" t="n">
        <x:f t="shared" si="258">AVERAGE(E5523:E5722)</x:f>
        <x:v>1157.3638499999997</x:v>
      </x:c>
      <x:c r="H5722" s="37" t="n">
        <x:f t="shared" si="259">IFERROR(E5722/G5722-1,"")</x:f>
        <x:v>0.09776195273422461</x:v>
      </x:c>
      <x:c r="I5722" s="38" t="b">
        <x:f t="shared" si="260">E5722&lt;G5722</x:f>
        <x:v>0</x:v>
      </x:c>
    </x:row>
    <x:row r="5723">
      <x:c r="A5723" s="31">
        <x:v>45365</x:v>
      </x:c>
      <x:c r="B5723" s="32">
        <x:v>1276</x:v>
      </x:c>
      <x:c r="C5723" s="32">
        <x:v>1276.4100000000001</x:v>
      </x:c>
      <x:c r="D5723" s="32">
        <x:v>1258.67</x:v>
      </x:c>
      <x:c r="E5723" s="32">
        <x:v>1264.26</x:v>
      </x:c>
      <x:c r="F5723" s="33">
        <x:v>1021281000</x:v>
      </x:c>
      <x:c r="G5723" s="32" t="n">
        <x:f t="shared" si="258">AVERAGE(E5524:E5723)</x:f>
        <x:v>1158.3102499999995</x:v>
      </x:c>
      <x:c r="H5723" s="37" t="n">
        <x:f t="shared" si="259">IFERROR(E5723/G5723-1,"")</x:f>
        <x:v>0.09146923287608</x:v>
      </x:c>
      <x:c r="I5723" s="38" t="b">
        <x:f t="shared" si="260">E5723&lt;G5723</x:f>
        <x:v>0</x:v>
      </x:c>
    </x:row>
    <x:row r="5724">
      <x:c r="A5724" s="31">
        <x:v>45366</x:v>
      </x:c>
      <x:c r="B5724" s="32">
        <x:v>1263.76</x:v>
      </x:c>
      <x:c r="C5724" s="32">
        <x:v>1271.6300000000001</x:v>
      </x:c>
      <x:c r="D5724" s="32">
        <x:v>1252.3599999999999</x:v>
      </x:c>
      <x:c r="E5724" s="32">
        <x:v>1263.78</x:v>
      </x:c>
      <x:c r="F5724" s="33">
        <x:v>1008834600</x:v>
      </x:c>
      <x:c r="G5724" s="32" t="n">
        <x:f t="shared" si="258">AVERAGE(E5525:E5724)</x:f>
        <x:v>1159.2388999999996</x:v>
      </x:c>
      <x:c r="H5724" s="37" t="n">
        <x:f t="shared" si="259">IFERROR(E5724/G5724-1,"")</x:f>
        <x:v>0.090180807424596</x:v>
      </x:c>
      <x:c r="I5724" s="38" t="b">
        <x:f t="shared" si="260">E5724&lt;G5724</x:f>
        <x:v>0</x:v>
      </x:c>
    </x:row>
    <x:row r="5725">
      <x:c r="A5725" s="31">
        <x:v>45369</x:v>
      </x:c>
      <x:c r="B5725" s="32">
        <x:v>1266.1099999999999</x:v>
      </x:c>
      <x:c r="C5725" s="32">
        <x:v>1269.9000000000001</x:v>
      </x:c>
      <x:c r="D5725" s="32">
        <x:v>1221.67</x:v>
      </x:c>
      <x:c r="E5725" s="32">
        <x:v>1243.56</x:v>
      </x:c>
      <x:c r="F5725" s="33">
        <x:v>1616423600</x:v>
      </x:c>
      <x:c r="G5725" s="32" t="n">
        <x:f t="shared" si="258">AVERAGE(E5526:E5725)</x:f>
        <x:v>1160.0808499999996</x:v>
      </x:c>
      <x:c r="H5725" s="37" t="n">
        <x:f t="shared" si="259">IFERROR(E5725/G5725-1,"")</x:f>
        <x:v>0.07195976901092749</x:v>
      </x:c>
      <x:c r="I5725" s="38" t="b">
        <x:f t="shared" si="260">E5725&lt;G5725</x:f>
        <x:v>0</x:v>
      </x:c>
    </x:row>
    <x:row r="5726">
      <x:c r="A5726" s="31">
        <x:v>45370</x:v>
      </x:c>
      <x:c r="B5726" s="32">
        <x:v>1246.54</x:v>
      </x:c>
      <x:c r="C5726" s="32">
        <x:v>1249.75</x:v>
      </x:c>
      <x:c r="D5726" s="32">
        <x:v>1238.92</x:v>
      </x:c>
      <x:c r="E5726" s="32">
        <x:v>1242.46</x:v>
      </x:c>
      <x:c r="F5726" s="33">
        <x:v>782479600</x:v>
      </x:c>
      <x:c r="G5726" s="32" t="n">
        <x:f t="shared" si="258">AVERAGE(E5527:E5726)</x:f>
        <x:v>1160.9011999999996</x:v>
      </x:c>
      <x:c r="H5726" s="37" t="n">
        <x:f t="shared" si="259">IFERROR(E5726/G5726-1,"")</x:f>
        <x:v>0.0702547296875915</x:v>
      </x:c>
      <x:c r="I5726" s="38" t="b">
        <x:f t="shared" si="260">E5726&lt;G5726</x:f>
        <x:v>0</x:v>
      </x:c>
    </x:row>
    <x:row r="5727">
      <x:c r="A5727" s="31">
        <x:v>45371</x:v>
      </x:c>
      <x:c r="B5727" s="32">
        <x:v>1243.79</x:v>
      </x:c>
      <x:c r="C5727" s="32">
        <x:v>1261.55</x:v>
      </x:c>
      <x:c r="D5727" s="32">
        <x:v>1235.46</x:v>
      </x:c>
      <x:c r="E5727" s="32">
        <x:v>1260.08</x:v>
      </x:c>
      <x:c r="F5727" s="33">
        <x:v>859094600</x:v>
      </x:c>
      <x:c r="G5727" s="32" t="n">
        <x:f t="shared" si="258">AVERAGE(E5528:E5727)</x:f>
        <x:v>1161.7473999999995</x:v>
      </x:c>
      <x:c r="H5727" s="37" t="n">
        <x:f t="shared" si="259">IFERROR(E5727/G5727-1,"")</x:f>
        <x:v>0.08464197983141641</x:v>
      </x:c>
      <x:c r="I5727" s="38" t="b">
        <x:f t="shared" si="260">E5727&lt;G5727</x:f>
        <x:v>0</x:v>
      </x:c>
    </x:row>
    <x:row r="5728">
      <x:c r="A5728" s="31">
        <x:v>45372</x:v>
      </x:c>
      <x:c r="B5728" s="32">
        <x:v>1269.96</x:v>
      </x:c>
      <x:c r="C5728" s="32">
        <x:v>1276.42</x:v>
      </x:c>
      <x:c r="D5728" s="32">
        <x:v>1264.2</x:v>
      </x:c>
      <x:c r="E5728" s="32">
        <x:v>1276.42</x:v>
      </x:c>
      <x:c r="F5728" s="33">
        <x:v>1135242300</x:v>
      </x:c>
      <x:c r="G5728" s="32" t="n">
        <x:f t="shared" si="258">AVERAGE(E5529:E5728)</x:f>
        <x:v>1162.6403999999995</x:v>
      </x:c>
      <x:c r="H5728" s="37" t="n">
        <x:f t="shared" si="259">IFERROR(E5728/G5728-1,"")</x:f>
        <x:v>0.09786310539355125</x:v>
      </x:c>
      <x:c r="I5728" s="38" t="b">
        <x:f t="shared" si="260">E5728&lt;G5728</x:f>
        <x:v>0</x:v>
      </x:c>
    </x:row>
    <x:row r="5729">
      <x:c r="A5729" s="31">
        <x:v>45373</x:v>
      </x:c>
      <x:c r="B5729" s="32">
        <x:v>1281.56</x:v>
      </x:c>
      <x:c r="C5729" s="32">
        <x:v>1291.27</x:v>
      </x:c>
      <x:c r="D5729" s="32">
        <x:v>1276.3800000000001</x:v>
      </x:c>
      <x:c r="E5729" s="32">
        <x:v>1281.8</x:v>
      </x:c>
      <x:c r="F5729" s="33">
        <x:v>1180774200</x:v>
      </x:c>
      <x:c r="G5729" s="32" t="n">
        <x:f t="shared" si="258">AVERAGE(E5530:E5729)</x:f>
        <x:v>1163.5078499999995</x:v>
      </x:c>
      <x:c r="H5729" s="37" t="n">
        <x:f t="shared" si="259">IFERROR(E5729/G5729-1,"")</x:f>
        <x:v>0.10166854482331211</x:v>
      </x:c>
      <x:c r="I5729" s="38" t="b">
        <x:f t="shared" si="260">E5729&lt;G5729</x:f>
        <x:v>0</x:v>
      </x:c>
    </x:row>
    <x:row r="5730">
      <x:c r="A5730" s="31">
        <x:v>45376</x:v>
      </x:c>
      <x:c r="B5730" s="32">
        <x:v>1278.8599999999999</x:v>
      </x:c>
      <x:c r="C5730" s="32">
        <x:v>1286.8399999999999</x:v>
      </x:c>
      <x:c r="D5730" s="32">
        <x:v>1264.51</x:v>
      </x:c>
      <x:c r="E5730" s="32">
        <x:v>1267.8599999999999</x:v>
      </x:c>
      <x:c r="F5730" s="33">
        <x:v>1165944800</x:v>
      </x:c>
      <x:c r="G5730" s="32" t="n">
        <x:f t="shared" si="258">AVERAGE(E5531:E5730)</x:f>
        <x:v>1164.2994499999995</x:v>
      </x:c>
      <x:c r="H5730" s="37" t="n">
        <x:f t="shared" si="259">IFERROR(E5730/G5730-1,"")</x:f>
        <x:v>0.08894666230410087</x:v>
      </x:c>
      <x:c r="I5730" s="38" t="b">
        <x:f t="shared" si="260">E5730&lt;G5730</x:f>
        <x:v>0</x:v>
      </x:c>
    </x:row>
    <x:row r="5731">
      <x:c r="A5731" s="31">
        <x:v>45377</x:v>
      </x:c>
      <x:c r="B5731" s="32">
        <x:v>1267.95</x:v>
      </x:c>
      <x:c r="C5731" s="32">
        <x:v>1282.5</x:v>
      </x:c>
      <x:c r="D5731" s="32">
        <x:v>1264.42</x:v>
      </x:c>
      <x:c r="E5731" s="32">
        <x:v>1282.21</x:v>
      </x:c>
      <x:c r="F5731" s="33">
        <x:v>858426100</x:v>
      </x:c>
      <x:c r="G5731" s="32" t="n">
        <x:f t="shared" si="258">AVERAGE(E5532:E5731)</x:f>
        <x:v>1165.2038999999995</x:v>
      </x:c>
      <x:c r="H5731" s="37" t="n">
        <x:f t="shared" si="259">IFERROR(E5731/G5731-1,"")</x:f>
        <x:v>0.10041684549802876</x:v>
      </x:c>
      <x:c r="I5731" s="38" t="b">
        <x:f t="shared" si="260">E5731&lt;G5731</x:f>
        <x:v>0</x:v>
      </x:c>
    </x:row>
    <x:row r="5732">
      <x:c r="A5732" s="31">
        <x:v>45378</x:v>
      </x:c>
      <x:c r="B5732" s="32">
        <x:v>1286.3399999999999</x:v>
      </x:c>
      <x:c r="C5732" s="32">
        <x:v>1286.72</x:v>
      </x:c>
      <x:c r="D5732" s="32">
        <x:v>1276.95</x:v>
      </x:c>
      <x:c r="E5732" s="32">
        <x:v>1283.0899999999999</x:v>
      </x:c>
      <x:c r="F5732" s="33">
        <x:v>803249600</x:v>
      </x:c>
      <x:c r="G5732" s="32" t="n">
        <x:f t="shared" si="258">AVERAGE(E5533:E5732)</x:f>
        <x:v>1166.0816999999995</x:v>
      </x:c>
      <x:c r="H5732" s="37" t="n">
        <x:f t="shared" si="259">IFERROR(E5732/G5732-1,"")</x:f>
        <x:v>0.1003431406221369</x:v>
      </x:c>
      <x:c r="I5732" s="38" t="b">
        <x:f t="shared" si="260">E5732&lt;G5732</x:f>
        <x:v>0</x:v>
      </x:c>
    </x:row>
    <x:row r="5733">
      <x:c r="A5733" s="31">
        <x:v>45379</x:v>
      </x:c>
      <x:c r="B5733" s="32">
        <x:v>1293.03</x:v>
      </x:c>
      <x:c r="C5733" s="32">
        <x:v>1293.9000000000001</x:v>
      </x:c>
      <x:c r="D5733" s="32">
        <x:v>1285.52</x:v>
      </x:c>
      <x:c r="E5733" s="32">
        <x:v>1290.18</x:v>
      </x:c>
      <x:c r="F5733" s="33">
        <x:v>888388100</x:v>
      </x:c>
      <x:c r="G5733" s="32" t="n">
        <x:f t="shared" si="258">AVERAGE(E5534:E5733)</x:f>
        <x:v>1166.9524999999994</x:v>
      </x:c>
      <x:c r="H5733" s="37" t="n">
        <x:f t="shared" si="259">IFERROR(E5733/G5733-1,"")</x:f>
        <x:v>0.10559769999207402</x:v>
      </x:c>
      <x:c r="I5733" s="38" t="b">
        <x:f t="shared" si="260">E5733&lt;G5733</x:f>
        <x:v>0</x:v>
      </x:c>
    </x:row>
    <x:row r="5734">
      <x:c r="A5734" s="31">
        <x:v>45380</x:v>
      </x:c>
      <x:c r="B5734" s="32">
        <x:v>1292.7</x:v>
      </x:c>
      <x:c r="C5734" s="32">
        <x:v>1292.75</x:v>
      </x:c>
      <x:c r="D5734" s="32">
        <x:v>1282.44</x:v>
      </x:c>
      <x:c r="E5734" s="32">
        <x:v>1284.0899999999999</x:v>
      </x:c>
      <x:c r="F5734" s="33">
        <x:v>790542600</x:v>
      </x:c>
      <x:c r="G5734" s="32" t="n">
        <x:f t="shared" si="258">AVERAGE(E5535:E5734)</x:f>
        <x:v>1167.7606499999995</x:v>
      </x:c>
      <x:c r="H5734" s="37" t="n">
        <x:f t="shared" si="259">IFERROR(E5734/G5734-1,"")</x:f>
        <x:v>0.0996174601362021</x:v>
      </x:c>
      <x:c r="I5734" s="38" t="b">
        <x:f t="shared" si="260">E5734&lt;G5734</x:f>
        <x:v>0</x:v>
      </x:c>
    </x:row>
    <x:row r="5735">
      <x:c r="A5735" s="31">
        <x:v>45383</x:v>
      </x:c>
      <x:c r="B5735" s="32">
        <x:v>1282.8399999999999</x:v>
      </x:c>
      <x:c r="C5735" s="32">
        <x:v>1286.8</x:v>
      </x:c>
      <x:c r="D5735" s="32">
        <x:v>1274.0899999999999</x:v>
      </x:c>
      <x:c r="E5735" s="32">
        <x:v>1281.52</x:v>
      </x:c>
      <x:c r="F5735" s="33">
        <x:v>899388500</x:v>
      </x:c>
      <x:c r="G5735" s="32" t="n">
        <x:f t="shared" si="258">AVERAGE(E5536:E5735)</x:f>
        <x:v>1168.5811499999995</x:v>
      </x:c>
      <x:c r="H5735" s="37" t="n">
        <x:f t="shared" si="259">IFERROR(E5735/G5735-1,"")</x:f>
        <x:v>0.09664613364677366</x:v>
      </x:c>
      <x:c r="I5735" s="38" t="b">
        <x:f t="shared" si="260">E5735&lt;G5735</x:f>
        <x:v>0</x:v>
      </x:c>
    </x:row>
    <x:row r="5736">
      <x:c r="A5736" s="31">
        <x:v>45384</x:v>
      </x:c>
      <x:c r="B5736" s="32">
        <x:v>1276.3800000000001</x:v>
      </x:c>
      <x:c r="C5736" s="32">
        <x:v>1287.04</x:v>
      </x:c>
      <x:c r="D5736" s="32">
        <x:v>1268.48</x:v>
      </x:c>
      <x:c r="E5736" s="32">
        <x:v>1287.04</x:v>
      </x:c>
      <x:c r="F5736" s="33">
        <x:v>1031022100</x:v>
      </x:c>
      <x:c r="G5736" s="32" t="n">
        <x:f t="shared" si="258">AVERAGE(E5537:E5736)</x:f>
        <x:v>1169.4314999999997</x:v>
      </x:c>
      <x:c r="H5736" s="37" t="n">
        <x:f t="shared" si="259">IFERROR(E5736/G5736-1,"")</x:f>
        <x:v>0.10056895166583102</x:v>
      </x:c>
      <x:c r="I5736" s="38" t="b">
        <x:f t="shared" si="260">E5736&lt;G5736</x:f>
        <x:v>0</x:v>
      </x:c>
    </x:row>
    <x:row r="5737">
      <x:c r="A5737" s="31">
        <x:v>45385</x:v>
      </x:c>
      <x:c r="B5737" s="32">
        <x:v>1285.3</x:v>
      </x:c>
      <x:c r="C5737" s="32">
        <x:v>1288.99</x:v>
      </x:c>
      <x:c r="D5737" s="32">
        <x:v>1271.47</x:v>
      </x:c>
      <x:c r="E5737" s="32">
        <x:v>1271.47</x:v>
      </x:c>
      <x:c r="F5737" s="33">
        <x:v>995560400</x:v>
      </x:c>
      <x:c r="G5737" s="32" t="n">
        <x:f t="shared" si="258">AVERAGE(E5538:E5737)</x:f>
        <x:v>1170.2127499999997</x:v>
      </x:c>
      <x:c r="H5737" s="37" t="n">
        <x:f t="shared" si="259">IFERROR(E5737/G5737-1,"")</x:f>
        <x:v>0.0865289239072129</x:v>
      </x:c>
      <x:c r="I5737" s="38" t="b">
        <x:f t="shared" si="260">E5737&lt;G5737</x:f>
        <x:v>0</x:v>
      </x:c>
    </x:row>
    <x:row r="5738">
      <x:c r="A5738" s="31">
        <x:v>45386</x:v>
      </x:c>
      <x:c r="B5738" s="32">
        <x:v>1271.8699999999999</x:v>
      </x:c>
      <x:c r="C5738" s="32">
        <x:v>1277.6199999999999</x:v>
      </x:c>
      <x:c r="D5738" s="32">
        <x:v>1265.1199999999999</x:v>
      </x:c>
      <x:c r="E5738" s="32">
        <x:v>1268.25</x:v>
      </x:c>
      <x:c r="F5738" s="33">
        <x:v>921606500</x:v>
      </x:c>
      <x:c r="G5738" s="32" t="n">
        <x:f t="shared" si="258">AVERAGE(E5539:E5738)</x:f>
        <x:v>1171.0269999999996</x:v>
      </x:c>
      <x:c r="H5738" s="37" t="n">
        <x:f t="shared" si="259">IFERROR(E5738/G5738-1,"")</x:f>
        <x:v>0.0830237048334499</x:v>
      </x:c>
      <x:c r="I5738" s="38" t="b">
        <x:f t="shared" si="260">E5738&lt;G5738</x:f>
        <x:v>0</x:v>
      </x:c>
    </x:row>
    <x:row r="5739">
      <x:c r="A5739" s="31">
        <x:v>45387</x:v>
      </x:c>
      <x:c r="B5739" s="32">
        <x:v>1258.58</x:v>
      </x:c>
      <x:c r="C5739" s="32">
        <x:v>1265.1400000000001</x:v>
      </x:c>
      <x:c r="D5739" s="32">
        <x:v>1253.56</x:v>
      </x:c>
      <x:c r="E5739" s="32">
        <x:v>1255.1099999999999</x:v>
      </x:c>
      <x:c r="F5739" s="33">
        <x:v>1034849200</x:v>
      </x:c>
      <x:c r="G5739" s="32" t="n">
        <x:f t="shared" si="258">AVERAGE(E5540:E5739)</x:f>
        <x:v>1171.7439499999996</x:v>
      </x:c>
      <x:c r="H5739" s="37" t="n">
        <x:f t="shared" si="259">IFERROR(E5739/G5739-1,"")</x:f>
        <x:v>0.07114698565330801</x:v>
      </x:c>
      <x:c r="I5739" s="38" t="b">
        <x:f t="shared" si="260">E5739&lt;G5739</x:f>
        <x:v>0</x:v>
      </x:c>
    </x:row>
    <x:row r="5740">
      <x:c r="A5740" s="31">
        <x:v>45390</x:v>
      </x:c>
      <x:c r="B5740" s="32">
        <x:v>1255.3699999999999</x:v>
      </x:c>
      <x:c r="C5740" s="32">
        <x:v>1258.4000000000001</x:v>
      </x:c>
      <x:c r="D5740" s="32">
        <x:v>1246.8699999999999</x:v>
      </x:c>
      <x:c r="E5740" s="32">
        <x:v>1250.3499999999999</x:v>
      </x:c>
      <x:c r="F5740" s="33">
        <x:v>790344900</x:v>
      </x:c>
      <x:c r="G5740" s="32" t="n">
        <x:f t="shared" si="258">AVERAGE(E5541:E5740)</x:f>
        <x:v>1172.4033999999997</x:v>
      </x:c>
      <x:c r="H5740" s="37" t="n">
        <x:f t="shared" si="259">IFERROR(E5740/G5740-1,"")</x:f>
        <x:v>0.06648445407101367</x:v>
      </x:c>
      <x:c r="I5740" s="38" t="b">
        <x:f t="shared" si="260">E5740&lt;G5740</x:f>
        <x:v>0</x:v>
      </x:c>
    </x:row>
    <x:row r="5741">
      <x:c r="A5741" s="31">
        <x:v>45391</x:v>
      </x:c>
      <x:c r="B5741" s="32">
        <x:v>1252.4000000000001</x:v>
      </x:c>
      <x:c r="C5741" s="32">
        <x:v>1262.82</x:v>
      </x:c>
      <x:c r="D5741" s="32">
        <x:v>1247.7</x:v>
      </x:c>
      <x:c r="E5741" s="32">
        <x:v>1262.82</x:v>
      </x:c>
      <x:c r="F5741" s="33">
        <x:v>648177200</x:v>
      </x:c>
      <x:c r="G5741" s="32" t="n">
        <x:f t="shared" si="258">AVERAGE(E5542:E5741)</x:f>
        <x:v>1173.0909999999997</x:v>
      </x:c>
      <x:c r="H5741" s="37" t="n">
        <x:f t="shared" si="259">IFERROR(E5741/G5741-1,"")</x:f>
        <x:v>0.07648937720944105</x:v>
      </x:c>
      <x:c r="I5741" s="38" t="b">
        <x:f t="shared" si="260">E5741&lt;G5741</x:f>
        <x:v>0</x:v>
      </x:c>
    </x:row>
    <x:row r="5742">
      <x:c r="A5742" s="31">
        <x:v>45392</x:v>
      </x:c>
      <x:c r="B5742" s="32">
        <x:v>1266.48</x:v>
      </x:c>
      <x:c r="C5742" s="32">
        <x:v>1268.72</x:v>
      </x:c>
      <x:c r="D5742" s="32">
        <x:v>1258.56</x:v>
      </x:c>
      <x:c r="E5742" s="32">
        <x:v>1258.56</x:v>
      </x:c>
      <x:c r="F5742" s="33">
        <x:v>633149400</x:v>
      </x:c>
      <x:c r="G5742" s="32" t="n">
        <x:f t="shared" si="258">AVERAGE(E5543:E5742)</x:f>
        <x:v>1173.7368999999997</x:v>
      </x:c>
      <x:c r="H5742" s="37" t="n">
        <x:f t="shared" si="259">IFERROR(E5742/G5742-1,"")</x:f>
        <x:v>0.07226755842812849</x:v>
      </x:c>
      <x:c r="I5742" s="38" t="b">
        <x:f t="shared" si="260">E5742&lt;G5742</x:f>
        <x:v>0</x:v>
      </x:c>
    </x:row>
    <x:row r="5743">
      <x:c r="A5743" s="31">
        <x:v>45393</x:v>
      </x:c>
      <x:c r="B5743" s="32">
        <x:v>1249.8800000000001</x:v>
      </x:c>
      <x:c r="C5743" s="32">
        <x:v>1262.03</x:v>
      </x:c>
      <x:c r="D5743" s="32">
        <x:v>1248.1099999999999</x:v>
      </x:c>
      <x:c r="E5743" s="32">
        <x:v>1258.2</x:v>
      </x:c>
      <x:c r="F5743" s="33">
        <x:v>642873900</x:v>
      </x:c>
      <x:c r="G5743" s="32" t="n">
        <x:f t="shared" si="258">AVERAGE(E5544:E5743)</x:f>
        <x:v>1174.36775</x:v>
      </x:c>
      <x:c r="H5743" s="37" t="n">
        <x:f t="shared" si="259">IFERROR(E5743/G5743-1,"")</x:f>
        <x:v>0.07138500695374184</x:v>
      </x:c>
      <x:c r="I5743" s="38" t="b">
        <x:f t="shared" si="260">E5743&lt;G5743</x:f>
        <x:v>0</x:v>
      </x:c>
    </x:row>
    <x:row r="5744">
      <x:c r="A5744" s="31">
        <x:v>45394</x:v>
      </x:c>
      <x:c r="B5744" s="32">
        <x:v>1262.96</x:v>
      </x:c>
      <x:c r="C5744" s="32">
        <x:v>1278.3900000000001</x:v>
      </x:c>
      <x:c r="D5744" s="32">
        <x:v>1259.5</x:v>
      </x:c>
      <x:c r="E5744" s="32">
        <x:v>1276.5999999999999</x:v>
      </x:c>
      <x:c r="F5744" s="33">
        <x:v>696705300</x:v>
      </x:c>
      <x:c r="G5744" s="32" t="n">
        <x:f t="shared" si="258">AVERAGE(E5545:E5744)</x:f>
        <x:v>1175.0791</x:v>
      </x:c>
      <x:c r="H5744" s="37" t="n">
        <x:f t="shared" si="259">IFERROR(E5744/G5744-1,"")</x:f>
        <x:v>0.0863949499229455</x:v>
      </x:c>
      <x:c r="I5744" s="38" t="b">
        <x:f t="shared" si="260">E5744&lt;G5744</x:f>
        <x:v>0</x:v>
      </x:c>
    </x:row>
    <x:row r="5745">
      <x:c r="A5745" s="31">
        <x:v>45397</x:v>
      </x:c>
      <x:c r="B5745" s="32">
        <x:v>1274.02</x:v>
      </x:c>
      <x:c r="C5745" s="32">
        <x:v>1281.81</x:v>
      </x:c>
      <x:c r="D5745" s="32">
        <x:v>1216.6099999999999</x:v>
      </x:c>
      <x:c r="E5745" s="32">
        <x:v>1216.6099999999999</x:v>
      </x:c>
      <x:c r="F5745" s="33">
        <x:v>1317882800</x:v>
      </x:c>
      <x:c r="G5745" s="32" t="n">
        <x:f t="shared" si="258">AVERAGE(E5546:E5745)</x:f>
        <x:v>1175.4703999999997</x:v>
      </x:c>
      <x:c r="H5745" s="37" t="n">
        <x:f t="shared" si="259">IFERROR(E5745/G5745-1,"")</x:f>
        <x:v>0.034998414251860455</x:v>
      </x:c>
      <x:c r="I5745" s="38" t="b">
        <x:f t="shared" si="260">E5745&lt;G5745</x:f>
        <x:v>0</x:v>
      </x:c>
    </x:row>
    <x:row r="5746">
      <x:c r="A5746" s="31">
        <x:v>45398</x:v>
      </x:c>
      <x:c r="B5746" s="32">
        <x:v>1218.6400000000001</x:v>
      </x:c>
      <x:c r="C5746" s="32">
        <x:v>1222.45</x:v>
      </x:c>
      <x:c r="D5746" s="32">
        <x:v>1191.73</x:v>
      </x:c>
      <x:c r="E5746" s="32">
        <x:v>1215.68</x:v>
      </x:c>
      <x:c r="F5746" s="33">
        <x:v>1214696500</x:v>
      </x:c>
      <x:c r="G5746" s="32" t="n">
        <x:f t="shared" si="258">AVERAGE(E5547:E5746)</x:f>
        <x:v>1175.9218499999997</x:v>
      </x:c>
      <x:c r="H5746" s="37" t="n">
        <x:f t="shared" si="259">IFERROR(E5746/G5746-1,"")</x:f>
        <x:v>0.03381019750589753</x:v>
      </x:c>
      <x:c r="I5746" s="38" t="b">
        <x:f t="shared" si="260">E5746&lt;G5746</x:f>
        <x:v>0</x:v>
      </x:c>
    </x:row>
    <x:row r="5747">
      <x:c r="A5747" s="31">
        <x:v>45399</x:v>
      </x:c>
      <x:c r="B5747" s="32">
        <x:v>1221.47</x:v>
      </x:c>
      <x:c r="C5747" s="32">
        <x:v>1221.47</x:v>
      </x:c>
      <x:c r="D5747" s="32">
        <x:v>1193.01</x:v>
      </x:c>
      <x:c r="E5747" s="32">
        <x:v>1193.01</x:v>
      </x:c>
      <x:c r="F5747" s="33">
        <x:v>766171800</x:v>
      </x:c>
      <x:c r="G5747" s="32" t="n">
        <x:f t="shared" si="258">AVERAGE(E5548:E5747)</x:f>
        <x:v>1176.2859999999998</x:v>
      </x:c>
      <x:c r="H5747" s="37" t="n">
        <x:f t="shared" si="259">IFERROR(E5747/G5747-1,"")</x:f>
        <x:v>0.014217630746264254</x:v>
      </x:c>
      <x:c r="I5747" s="38" t="b">
        <x:f t="shared" si="260">E5747&lt;G5747</x:f>
        <x:v>0</x:v>
      </x:c>
    </x:row>
    <x:row r="5748">
      <x:c r="A5748" s="31">
        <x:v>45401</x:v>
      </x:c>
      <x:c r="B5748" s="32">
        <x:v>1180.8699999999999</x:v>
      </x:c>
      <x:c r="C5748" s="32">
        <x:v>1190.96</x:v>
      </x:c>
      <x:c r="D5748" s="32">
        <x:v>1165.99</x:v>
      </x:c>
      <x:c r="E5748" s="32">
        <x:v>1174.8499999999999</x:v>
      </x:c>
      <x:c r="F5748" s="33">
        <x:v>1024630300</x:v>
      </x:c>
      <x:c r="G5748" s="32" t="n">
        <x:f t="shared" si="258">AVERAGE(E5549:E5748)</x:f>
        <x:v>1176.5327499999999</x:v>
      </x:c>
      <x:c r="H5748" s="37" t="n">
        <x:f t="shared" si="259">IFERROR(E5748/G5748-1,"")</x:f>
        <x:v>-0.001430261928535348</x:v>
      </x:c>
      <x:c r="I5748" s="38" t="b">
        <x:f t="shared" si="260">E5748&lt;G5748</x:f>
        <x:v>1</x:v>
      </x:c>
    </x:row>
    <x:row r="5749">
      <x:c r="A5749" s="31">
        <x:v>45404</x:v>
      </x:c>
      <x:c r="B5749" s="32">
        <x:v>1186.6600000000001</x:v>
      </x:c>
      <x:c r="C5749" s="32">
        <x:v>1193.8800000000001</x:v>
      </x:c>
      <x:c r="D5749" s="32">
        <x:v>1181.1300000000001</x:v>
      </x:c>
      <x:c r="E5749" s="32">
        <x:v>1190.22</x:v>
      </x:c>
      <x:c r="F5749" s="33">
        <x:v>615914300</x:v>
      </x:c>
      <x:c r="G5749" s="32" t="n">
        <x:f t="shared" si="258">AVERAGE(E5550:E5749)</x:f>
        <x:v>1176.8238499999998</x:v>
      </x:c>
      <x:c r="H5749" s="37" t="n">
        <x:f t="shared" si="259">IFERROR(E5749/G5749-1,"")</x:f>
        <x:v>0.011383309405226916</x:v>
      </x:c>
      <x:c r="I5749" s="38" t="b">
        <x:f t="shared" si="260">E5749&lt;G5749</x:f>
        <x:v>0</x:v>
      </x:c>
    </x:row>
    <x:row r="5750">
      <x:c r="A5750" s="31">
        <x:v>45405</x:v>
      </x:c>
      <x:c r="B5750" s="32">
        <x:v>1190.56</x:v>
      </x:c>
      <x:c r="C5750" s="32">
        <x:v>1192.8</x:v>
      </x:c>
      <x:c r="D5750" s="32">
        <x:v>1169.6099999999999</x:v>
      </x:c>
      <x:c r="E5750" s="32">
        <x:v>1177.4000000000001</x:v>
      </x:c>
      <x:c r="F5750" s="33">
        <x:v>672945800</x:v>
      </x:c>
      <x:c r="G5750" s="32" t="n">
        <x:f t="shared" si="258">AVERAGE(E5551:E5750)</x:f>
        <x:v>1177.0377499999997</x:v>
      </x:c>
      <x:c r="H5750" s="37" t="n">
        <x:f t="shared" si="259">IFERROR(E5750/G5750-1,"")</x:f>
        <x:v>0.00030776413075983555</x:v>
      </x:c>
      <x:c r="I5750" s="38" t="b">
        <x:f t="shared" si="260">E5750&lt;G5750</x:f>
        <x:v>0</x:v>
      </x:c>
    </x:row>
    <x:row r="5751">
      <x:c r="A5751" s="31">
        <x:v>45406</x:v>
      </x:c>
      <x:c r="B5751" s="32">
        <x:v>1186.47</x:v>
      </x:c>
      <x:c r="C5751" s="32">
        <x:v>1207.6099999999999</x:v>
      </x:c>
      <x:c r="D5751" s="32">
        <x:v>1185.1300000000001</x:v>
      </x:c>
      <x:c r="E5751" s="32">
        <x:v>1205.6099999999999</x:v>
      </x:c>
      <x:c r="F5751" s="33">
        <x:v>691475300</x:v>
      </x:c>
      <x:c r="G5751" s="32" t="n">
        <x:f t="shared" si="258">AVERAGE(E5552:E5751)</x:f>
        <x:v>1177.4346999999998</x:v>
      </x:c>
      <x:c r="H5751" s="37" t="n">
        <x:f t="shared" si="259">IFERROR(E5751/G5751-1,"")</x:f>
        <x:v>0.02392939498046065</x:v>
      </x:c>
      <x:c r="I5751" s="38" t="b">
        <x:f t="shared" si="260">E5751&lt;G5751</x:f>
        <x:v>0</x:v>
      </x:c>
    </x:row>
    <x:row r="5752">
      <x:c r="A5752" s="31">
        <x:v>45407</x:v>
      </x:c>
      <x:c r="B5752" s="32">
        <x:v>1206.25</x:v>
      </x:c>
      <x:c r="C5752" s="32">
        <x:v>1208.4100000000001</x:v>
      </x:c>
      <x:c r="D5752" s="32">
        <x:v>1200.21</x:v>
      </x:c>
      <x:c r="E5752" s="32">
        <x:v>1204.97</x:v>
      </x:c>
      <x:c r="F5752" s="33">
        <x:v>489174900</x:v>
      </x:c>
      <x:c r="G5752" s="32" t="n">
        <x:f t="shared" si="258">AVERAGE(E5553:E5752)</x:f>
        <x:v>1177.7691999999997</x:v>
      </x:c>
      <x:c r="H5752" s="37" t="n">
        <x:f t="shared" si="259">IFERROR(E5752/G5752-1,"")</x:f>
        <x:v>0.02309518707060798</x:v>
      </x:c>
      <x:c r="I5752" s="38" t="b">
        <x:f t="shared" si="260">E5752&lt;G5752</x:f>
        <x:v>0</x:v>
      </x:c>
    </x:row>
    <x:row r="5753">
      <x:c r="A5753" s="31">
        <x:v>45408</x:v>
      </x:c>
      <x:c r="B5753" s="32">
        <x:v>1199.83</x:v>
      </x:c>
      <x:c r="C5753" s="32">
        <x:v>1216.5999999999999</x:v>
      </x:c>
      <x:c r="D5753" s="32">
        <x:v>1198.73</x:v>
      </x:c>
      <x:c r="E5753" s="32">
        <x:v>1209.52</x:v>
      </x:c>
      <x:c r="F5753" s="33">
        <x:v>574409200</x:v>
      </x:c>
      <x:c r="G5753" s="32" t="n">
        <x:f t="shared" si="258">AVERAGE(E5554:E5753)</x:f>
        <x:v>1178.0716999999997</x:v>
      </x:c>
      <x:c r="H5753" s="37" t="n">
        <x:f t="shared" si="259">IFERROR(E5753/G5753-1,"")</x:f>
        <x:v>0.026694724947556425</x:v>
      </x:c>
      <x:c r="I5753" s="38" t="b">
        <x:f t="shared" si="260">E5753&lt;G5753</x:f>
        <x:v>0</x:v>
      </x:c>
    </x:row>
    <x:row r="5754">
      <x:c r="A5754" s="31">
        <x:v>45414</x:v>
      </x:c>
      <x:c r="B5754" s="32">
        <x:v>1212.1300000000001</x:v>
      </x:c>
      <x:c r="C5754" s="32">
        <x:v>1216.3599999999999</x:v>
      </x:c>
      <x:c r="D5754" s="32">
        <x:v>1206.28</x:v>
      </x:c>
      <x:c r="E5754" s="32">
        <x:v>1216.3599999999999</x:v>
      </x:c>
      <x:c r="F5754" s="33">
        <x:v>513763800</x:v>
      </x:c>
      <x:c r="G5754" s="32" t="n">
        <x:f t="shared" si="258">AVERAGE(E5555:E5754)</x:f>
        <x:v>1178.3946499999995</x:v>
      </x:c>
      <x:c r="H5754" s="37" t="n">
        <x:f t="shared" si="259">IFERROR(E5754/G5754-1,"")</x:f>
        <x:v>0.03221785672567368</x:v>
      </x:c>
      <x:c r="I5754" s="38" t="b">
        <x:f t="shared" si="260">E5754&lt;G5754</x:f>
        <x:v>0</x:v>
      </x:c>
    </x:row>
    <x:row r="5755">
      <x:c r="A5755" s="31">
        <x:v>45415</x:v>
      </x:c>
      <x:c r="B5755" s="32">
        <x:v>1222.54</x:v>
      </x:c>
      <x:c r="C5755" s="32">
        <x:v>1225.75</x:v>
      </x:c>
      <x:c r="D5755" s="32">
        <x:v>1218.33</x:v>
      </x:c>
      <x:c r="E5755" s="32">
        <x:v>1221.03</x:v>
      </x:c>
      <x:c r="F5755" s="33">
        <x:v>567269900</x:v>
      </x:c>
      <x:c r="G5755" s="32" t="n">
        <x:f t="shared" si="258">AVERAGE(E5556:E5755)</x:f>
        <x:v>1178.7287999999996</x:v>
      </x:c>
      <x:c r="H5755" s="37" t="n">
        <x:f t="shared" si="259">IFERROR(E5755/G5755-1,"")</x:f>
        <x:v>0.035887135361416744</x:v>
      </x:c>
      <x:c r="I5755" s="38" t="b">
        <x:f t="shared" si="260">E5755&lt;G5755</x:f>
        <x:v>0</x:v>
      </x:c>
    </x:row>
    <x:row r="5756">
      <x:c r="A5756" s="31">
        <x:v>45418</x:v>
      </x:c>
      <x:c r="B5756" s="32">
        <x:v>1226.8900000000001</x:v>
      </x:c>
      <x:c r="C5756" s="32">
        <x:v>1241.58</x:v>
      </x:c>
      <x:c r="D5756" s="32">
        <x:v>1224.22</x:v>
      </x:c>
      <x:c r="E5756" s="32">
        <x:v>1241.58</x:v>
      </x:c>
      <x:c r="F5756" s="33">
        <x:v>666198300</x:v>
      </x:c>
      <x:c r="G5756" s="32" t="n">
        <x:f t="shared" si="258">AVERAGE(E5557:E5756)</x:f>
        <x:v>1179.1095999999995</x:v>
      </x:c>
      <x:c r="H5756" s="37" t="n">
        <x:f t="shared" si="259">IFERROR(E5756/G5756-1,"")</x:f>
        <x:v>0.0529809951509177</x:v>
      </x:c>
      <x:c r="I5756" s="38" t="b">
        <x:f t="shared" si="260">E5756&lt;G5756</x:f>
        <x:v>0</x:v>
      </x:c>
    </x:row>
    <x:row r="5757">
      <x:c r="A5757" s="31">
        <x:v>45419</x:v>
      </x:c>
      <x:c r="B5757" s="32">
        <x:v>1245.5</x:v>
      </x:c>
      <x:c r="C5757" s="32">
        <x:v>1250.6300000000001</x:v>
      </x:c>
      <x:c r="D5757" s="32">
        <x:v>1240.0899999999999</x:v>
      </x:c>
      <x:c r="E5757" s="32">
        <x:v>1248.6300000000001</x:v>
      </x:c>
      <x:c r="F5757" s="33">
        <x:v>592485900</x:v>
      </x:c>
      <x:c r="G5757" s="32" t="n">
        <x:f t="shared" si="258">AVERAGE(E5558:E5757)</x:f>
        <x:v>1179.5107499999995</x:v>
      </x:c>
      <x:c r="H5757" s="37" t="n">
        <x:f t="shared" si="259">IFERROR(E5757/G5757-1,"")</x:f>
        <x:v>0.058599932217659356</x:v>
      </x:c>
      <x:c r="I5757" s="38" t="b">
        <x:f t="shared" si="260">E5757&lt;G5757</x:f>
        <x:v>0</x:v>
      </x:c>
    </x:row>
    <x:row r="5758">
      <x:c r="A5758" s="31">
        <x:v>45420</x:v>
      </x:c>
      <x:c r="B5758" s="32">
        <x:v>1243.32</x:v>
      </x:c>
      <x:c r="C5758" s="32">
        <x:v>1251.6199999999999</x:v>
      </x:c>
      <x:c r="D5758" s="32">
        <x:v>1234.76</x:v>
      </x:c>
      <x:c r="E5758" s="32">
        <x:v>1250.46</x:v>
      </x:c>
      <x:c r="F5758" s="33">
        <x:v>819607600</x:v>
      </x:c>
      <x:c r="G5758" s="32" t="n">
        <x:f t="shared" si="258">AVERAGE(E5559:E5758)</x:f>
        <x:v>1179.8973999999996</x:v>
      </x:c>
      <x:c r="H5758" s="37" t="n">
        <x:f t="shared" si="259">IFERROR(E5758/G5758-1,"")</x:f>
        <x:v>0.059804013467612105</x:v>
      </x:c>
      <x:c r="I5758" s="38" t="b">
        <x:f t="shared" si="260">E5758&lt;G5758</x:f>
        <x:v>0</x:v>
      </x:c>
    </x:row>
    <x:row r="5759">
      <x:c r="A5759" s="31">
        <x:v>45421</x:v>
      </x:c>
      <x:c r="B5759" s="32">
        <x:v>1252.81</x:v>
      </x:c>
      <x:c r="C5759" s="32">
        <x:v>1256.8</x:v>
      </x:c>
      <x:c r="D5759" s="32">
        <x:v>1243.29</x:v>
      </x:c>
      <x:c r="E5759" s="32">
        <x:v>1248.6400000000001</x:v>
      </x:c>
      <x:c r="F5759" s="33">
        <x:v>638850100</x:v>
      </x:c>
      <x:c r="G5759" s="32" t="n">
        <x:f t="shared" si="258">AVERAGE(E5560:E5759)</x:f>
        <x:v>1180.2701499999996</x:v>
      </x:c>
      <x:c r="H5759" s="37" t="n">
        <x:f t="shared" si="259">IFERROR(E5759/G5759-1,"")</x:f>
        <x:v>0.05792728893465671</x:v>
      </x:c>
      <x:c r="I5759" s="38" t="b">
        <x:f t="shared" si="260">E5759&lt;G5759</x:f>
        <x:v>0</x:v>
      </x:c>
    </x:row>
    <x:row r="5760">
      <x:c r="A5760" s="31">
        <x:v>45422</x:v>
      </x:c>
      <x:c r="B5760" s="32">
        <x:v>1251.78</x:v>
      </x:c>
      <x:c r="C5760" s="32">
        <x:v>1252.5</x:v>
      </x:c>
      <x:c r="D5760" s="32">
        <x:v>1237.46</x:v>
      </x:c>
      <x:c r="E5760" s="32">
        <x:v>1244.7</x:v>
      </x:c>
      <x:c r="F5760" s="33">
        <x:v>593429800</x:v>
      </x:c>
      <x:c r="G5760" s="32" t="n">
        <x:f t="shared" si="258">AVERAGE(E5561:E5760)</x:f>
        <x:v>1180.6287499999996</x:v>
      </x:c>
      <x:c r="H5760" s="37" t="n">
        <x:f t="shared" si="259">IFERROR(E5760/G5760-1,"")</x:f>
        <x:v>0.05426875298437417</x:v>
      </x:c>
      <x:c r="I5760" s="38" t="b">
        <x:f t="shared" si="260">E5760&lt;G5760</x:f>
        <x:v>0</x:v>
      </x:c>
    </x:row>
    <x:row r="5761">
      <x:c r="A5761" s="31">
        <x:v>45425</x:v>
      </x:c>
      <x:c r="B5761" s="32">
        <x:v>1248.19</x:v>
      </x:c>
      <x:c r="C5761" s="32">
        <x:v>1249.2</x:v>
      </x:c>
      <x:c r="D5761" s="32">
        <x:v>1233.56</x:v>
      </x:c>
      <x:c r="E5761" s="32">
        <x:v>1240.18</x:v>
      </x:c>
      <x:c r="F5761" s="33">
        <x:v>636191500</x:v>
      </x:c>
      <x:c r="G5761" s="32" t="n">
        <x:f t="shared" si="258">AVERAGE(E5562:E5761)</x:f>
        <x:v>1180.9655999999998</x:v>
      </x:c>
      <x:c r="H5761" s="37" t="n">
        <x:f t="shared" si="259">IFERROR(E5761/G5761-1,"")</x:f>
        <x:v>0.05014066455449706</x:v>
      </x:c>
      <x:c r="I5761" s="38" t="b">
        <x:f t="shared" si="260">E5761&lt;G5761</x:f>
        <x:v>0</x:v>
      </x:c>
    </x:row>
    <x:row r="5762">
      <x:c r="A5762" s="31">
        <x:v>45426</x:v>
      </x:c>
      <x:c r="B5762" s="32">
        <x:v>1246.23</x:v>
      </x:c>
      <x:c r="C5762" s="32">
        <x:v>1252.52</x:v>
      </x:c>
      <x:c r="D5762" s="32">
        <x:v>1240.8800000000001</x:v>
      </x:c>
      <x:c r="E5762" s="32">
        <x:v>1243.28</x:v>
      </x:c>
      <x:c r="F5762" s="33">
        <x:v>529153100</x:v>
      </x:c>
      <x:c r="G5762" s="32" t="n">
        <x:f t="shared" si="258">AVERAGE(E5563:E5762)</x:f>
        <x:v>1181.2524999999996</x:v>
      </x:c>
      <x:c r="H5762" s="37" t="n">
        <x:f t="shared" si="259">IFERROR(E5762/G5762-1,"")</x:f>
        <x:v>0.05250994177790136</x:v>
      </x:c>
      <x:c r="I5762" s="38" t="b">
        <x:f t="shared" si="260">E5762&lt;G5762</x:f>
        <x:v>0</x:v>
      </x:c>
    </x:row>
    <x:row r="5763">
      <x:c r="A5763" s="31">
        <x:v>45427</x:v>
      </x:c>
      <x:c r="B5763" s="32">
        <x:v>1248.6099999999999</x:v>
      </x:c>
      <x:c r="C5763" s="32">
        <x:v>1257.92</x:v>
      </x:c>
      <x:c r="D5763" s="32">
        <x:v>1248.02</x:v>
      </x:c>
      <x:c r="E5763" s="32">
        <x:v>1254.3900000000001</x:v>
      </x:c>
      <x:c r="F5763" s="33">
        <x:v>759159700</x:v>
      </x:c>
      <x:c r="G5763" s="32" t="n">
        <x:f t="shared" si="258">AVERAGE(E5564:E5763)</x:f>
        <x:v>1181.5708499999998</x:v>
      </x:c>
      <x:c r="H5763" s="37" t="n">
        <x:f t="shared" si="259">IFERROR(E5763/G5763-1,"")</x:f>
        <x:v>0.06162910163195057</x:v>
      </x:c>
      <x:c r="I5763" s="38" t="b">
        <x:f t="shared" si="260">E5763&lt;G5763</x:f>
        <x:v>0</x:v>
      </x:c>
    </x:row>
    <x:row r="5764">
      <x:c r="A5764" s="31">
        <x:v>45428</x:v>
      </x:c>
      <x:c r="B5764" s="32">
        <x:v>1264.51</x:v>
      </x:c>
      <x:c r="C5764" s="32">
        <x:v>1271.6600000000001</x:v>
      </x:c>
      <x:c r="D5764" s="32">
        <x:v>1261.19</x:v>
      </x:c>
      <x:c r="E5764" s="32">
        <x:v>1268.78</x:v>
      </x:c>
      <x:c r="F5764" s="33">
        <x:v>808769400</x:v>
      </x:c>
      <x:c r="G5764" s="32" t="n">
        <x:f t="shared" si="258">AVERAGE(E5565:E5764)</x:f>
        <x:v>1181.9352499999995</x:v>
      </x:c>
      <x:c r="H5764" s="37" t="n">
        <x:f t="shared" si="259">IFERROR(E5764/G5764-1,"")</x:f>
        <x:v>0.07347674079438815</x:v>
      </x:c>
      <x:c r="I5764" s="38" t="b">
        <x:f t="shared" si="260">E5764&lt;G5764</x:f>
        <x:v>0</x:v>
      </x:c>
    </x:row>
    <x:row r="5765">
      <x:c r="A5765" s="31">
        <x:v>45432</x:v>
      </x:c>
      <x:c r="B5765" s="32">
        <x:v>1281.5</x:v>
      </x:c>
      <x:c r="C5765" s="32">
        <x:v>1285.19</x:v>
      </x:c>
      <x:c r="D5765" s="32">
        <x:v>1277.3599999999999</x:v>
      </x:c>
      <x:c r="E5765" s="32">
        <x:v>1277.58</x:v>
      </x:c>
      <x:c r="F5765" s="33">
        <x:v>957652300</x:v>
      </x:c>
      <x:c r="G5765" s="32" t="n">
        <x:f t="shared" si="258">AVERAGE(E5566:E5765)</x:f>
        <x:v>1182.3189499999996</x:v>
      </x:c>
      <x:c r="H5765" s="37" t="n">
        <x:f t="shared" si="259">IFERROR(E5765/G5765-1,"")</x:f>
        <x:v>0.08057136359017192</x:v>
      </x:c>
      <x:c r="I5765" s="38" t="b">
        <x:f t="shared" si="260">E5765&lt;G5765</x:f>
        <x:v>0</x:v>
      </x:c>
    </x:row>
    <x:row r="5766">
      <x:c r="A5766" s="31">
        <x:v>45433</x:v>
      </x:c>
      <x:c r="B5766" s="32">
        <x:v>1277.8499999999999</x:v>
      </x:c>
      <x:c r="C5766" s="32">
        <x:v>1281.29</x:v>
      </x:c>
      <x:c r="D5766" s="32">
        <x:v>1267.29</x:v>
      </x:c>
      <x:c r="E5766" s="32">
        <x:v>1277.1400000000001</x:v>
      </x:c>
      <x:c r="F5766" s="33">
        <x:v>840139100</x:v>
      </x:c>
      <x:c r="G5766" s="32" t="n">
        <x:f t="shared" si="258">AVERAGE(E5567:E5766)</x:f>
        <x:v>1182.7179999999998</x:v>
      </x:c>
      <x:c r="H5766" s="37" t="n">
        <x:f t="shared" si="259">IFERROR(E5766/G5766-1,"")</x:f>
        <x:v>0.07983475350844427</x:v>
      </x:c>
      <x:c r="I5766" s="38" t="b">
        <x:f t="shared" si="260">E5766&lt;G5766</x:f>
        <x:v>0</x:v>
      </x:c>
    </x:row>
    <x:row r="5767">
      <x:c r="A5767" s="31">
        <x:v>45434</x:v>
      </x:c>
      <x:c r="B5767" s="32">
        <x:v>1280.26</x:v>
      </x:c>
      <x:c r="C5767" s="32">
        <x:v>1283.06</x:v>
      </x:c>
      <x:c r="D5767" s="32">
        <x:v>1263.8699999999999</x:v>
      </x:c>
      <x:c r="E5767" s="32">
        <x:v>1266.9100000000001</x:v>
      </x:c>
      <x:c r="F5767" s="33">
        <x:v>987232400</x:v>
      </x:c>
      <x:c r="G5767" s="32" t="n">
        <x:f t="shared" si="258">AVERAGE(E5568:E5767)</x:f>
        <x:v>1183.0141999999996</x:v>
      </x:c>
      <x:c r="H5767" s="37" t="n">
        <x:f t="shared" si="259">IFERROR(E5767/G5767-1,"")</x:f>
        <x:v>0.07091698476654007</x:v>
      </x:c>
      <x:c r="I5767" s="38" t="b">
        <x:f t="shared" si="260">E5767&lt;G5767</x:f>
        <x:v>0</x:v>
      </x:c>
    </x:row>
    <x:row r="5768">
      <x:c r="A5768" s="31">
        <x:v>45435</x:v>
      </x:c>
      <x:c r="B5768" s="32">
        <x:v>1265.5999999999999</x:v>
      </x:c>
      <x:c r="C5768" s="32">
        <x:v>1281.03</x:v>
      </x:c>
      <x:c r="D5768" s="32">
        <x:v>1262.29</x:v>
      </x:c>
      <x:c r="E5768" s="32">
        <x:v>1281.03</x:v>
      </x:c>
      <x:c r="F5768" s="33">
        <x:v>833709000</x:v>
      </x:c>
      <x:c r="G5768" s="32" t="n">
        <x:f t="shared" si="258">AVERAGE(E5569:E5768)</x:f>
        <x:v>1183.3048499999995</x:v>
      </x:c>
      <x:c r="H5768" s="37" t="n">
        <x:f t="shared" si="259">IFERROR(E5768/G5768-1,"")</x:f>
        <x:v>0.08258662169769737</x:v>
      </x:c>
      <x:c r="I5768" s="38" t="b">
        <x:f t="shared" si="260">E5768&lt;G5768</x:f>
        <x:v>0</x:v>
      </x:c>
    </x:row>
    <x:row r="5769">
      <x:c r="A5769" s="31">
        <x:v>45436</x:v>
      </x:c>
      <x:c r="B5769" s="32">
        <x:v>1276.68</x:v>
      </x:c>
      <x:c r="C5769" s="32">
        <x:v>1285.07</x:v>
      </x:c>
      <x:c r="D5769" s="32">
        <x:v>1250.28</x:v>
      </x:c>
      <x:c r="E5769" s="32">
        <x:v>1261.93</x:v>
      </x:c>
      <x:c r="F5769" s="33">
        <x:v>1244825200</x:v>
      </x:c>
      <x:c r="G5769" s="32" t="n">
        <x:f t="shared" si="258">AVERAGE(E5570:E5769)</x:f>
        <x:v>1183.5266999999994</x:v>
      </x:c>
      <x:c r="H5769" s="37" t="n">
        <x:f t="shared" si="259">IFERROR(E5769/G5769-1,"")</x:f>
        <x:v>0.06624548478712033</x:v>
      </x:c>
      <x:c r="I5769" s="38" t="b">
        <x:f t="shared" si="260">E5769&lt;G5769</x:f>
        <x:v>0</x:v>
      </x:c>
    </x:row>
    <x:row r="5770">
      <x:c r="A5770" s="31">
        <x:v>45439</x:v>
      </x:c>
      <x:c r="B5770" s="32">
        <x:v>1263.46</x:v>
      </x:c>
      <x:c r="C5770" s="32">
        <x:v>1267.68</x:v>
      </x:c>
      <x:c r="D5770" s="32">
        <x:v>1257.27</x:v>
      </x:c>
      <x:c r="E5770" s="32">
        <x:v>1267.68</x:v>
      </x:c>
      <x:c r="F5770" s="33">
        <x:v>598637500</x:v>
      </x:c>
      <x:c r="G5770" s="32" t="n">
        <x:f t="shared" si="258">AVERAGE(E5571:E5770)</x:f>
        <x:v>1183.7629499999996</x:v>
      </x:c>
      <x:c r="H5770" s="37" t="n">
        <x:f t="shared" si="259">IFERROR(E5770/G5770-1,"")</x:f>
        <x:v>0.07089007980863093</x:v>
      </x:c>
      <x:c r="I5770" s="38" t="b">
        <x:f t="shared" si="260">E5770&lt;G5770</x:f>
        <x:v>0</x:v>
      </x:c>
    </x:row>
    <x:row r="5771">
      <x:c r="A5771" s="31">
        <x:v>45440</x:v>
      </x:c>
      <x:c r="B5771" s="32">
        <x:v>1272.23</x:v>
      </x:c>
      <x:c r="C5771" s="32">
        <x:v>1281.73</x:v>
      </x:c>
      <x:c r="D5771" s="32">
        <x:v>1269.3699999999999</x:v>
      </x:c>
      <x:c r="E5771" s="32">
        <x:v>1281.73</x:v>
      </x:c>
      <x:c r="F5771" s="33">
        <x:v>744100500</x:v>
      </x:c>
      <x:c r="G5771" s="32" t="n">
        <x:f t="shared" si="258">AVERAGE(E5572:E5771)</x:f>
        <x:v>1184.1168499999994</x:v>
      </x:c>
      <x:c r="H5771" s="37" t="n">
        <x:f t="shared" si="259">IFERROR(E5771/G5771-1,"")</x:f>
        <x:v>0.08243540322899778</x:v>
      </x:c>
      <x:c r="I5771" s="38" t="b">
        <x:f t="shared" si="260">E5771&lt;G5771</x:f>
        <x:v>0</x:v>
      </x:c>
    </x:row>
    <x:row r="5772">
      <x:c r="A5772" s="31">
        <x:v>45441</x:v>
      </x:c>
      <x:c r="B5772" s="32">
        <x:v>1284.74</x:v>
      </x:c>
      <x:c r="C5772" s="32">
        <x:v>1285.6300000000001</x:v>
      </x:c>
      <x:c r="D5772" s="32">
        <x:v>1271.5999999999999</x:v>
      </x:c>
      <x:c r="E5772" s="32">
        <x:v>1272.6400000000001</x:v>
      </x:c>
      <x:c r="F5772" s="33">
        <x:v>967116000</x:v>
      </x:c>
      <x:c r="G5772" s="32" t="n">
        <x:f t="shared" si="258">AVERAGE(E5573:E5772)</x:f>
        <x:v>1184.3501499999998</x:v>
      </x:c>
      <x:c r="H5772" s="37" t="n">
        <x:f t="shared" si="259">IFERROR(E5772/G5772-1,"")</x:f>
        <x:v>0.07454708390082132</x:v>
      </x:c>
      <x:c r="I5772" s="38" t="b">
        <x:f t="shared" si="260">E5772&lt;G5772</x:f>
        <x:v>0</x:v>
      </x:c>
    </x:row>
    <x:row r="5773">
      <x:c r="A5773" s="31">
        <x:v>45442</x:v>
      </x:c>
      <x:c r="B5773" s="32">
        <x:v>1264.45</x:v>
      </x:c>
      <x:c r="C5773" s="32">
        <x:v>1269.07</x:v>
      </x:c>
      <x:c r="D5773" s="32">
        <x:v>1251.8</x:v>
      </x:c>
      <x:c r="E5773" s="32">
        <x:v>1266.32</x:v>
      </x:c>
      <x:c r="F5773" s="33">
        <x:v>958531600</x:v>
      </x:c>
      <x:c r="G5773" s="32" t="n">
        <x:f t="shared" ref="G5773:G5836" si="261">AVERAGE(E5574:E5773)</x:f>
        <x:v>1184.4746499999999</x:v>
      </x:c>
      <x:c r="H5773" s="37" t="n">
        <x:f t="shared" ref="H5773:H5836" si="262">IFERROR(E5773/G5773-1,"")</x:f>
        <x:v>0.0690984395487062</x:v>
      </x:c>
      <x:c r="I5773" s="38" t="b">
        <x:f t="shared" ref="I5773:I5836" si="263">E5773&lt;G5773</x:f>
        <x:v>0</x:v>
      </x:c>
    </x:row>
    <x:row r="5774">
      <x:c r="A5774" s="31">
        <x:v>45443</x:v>
      </x:c>
      <x:c r="B5774" s="32">
        <x:v>1268.3699999999999</x:v>
      </x:c>
      <x:c r="C5774" s="32">
        <x:v>1271.07</x:v>
      </x:c>
      <x:c r="D5774" s="32">
        <x:v>1261.43</x:v>
      </x:c>
      <x:c r="E5774" s="32">
        <x:v>1261.72</x:v>
      </x:c>
      <x:c r="F5774" s="33">
        <x:v>617748900</x:v>
      </x:c>
      <x:c r="G5774" s="32" t="n">
        <x:f t="shared" si="261">AVERAGE(E5575:E5774)</x:f>
        <x:v>1184.5720999999999</x:v>
      </x:c>
      <x:c r="H5774" s="37" t="n">
        <x:f t="shared" si="262">IFERROR(E5774/G5774-1,"")</x:f>
        <x:v>0.06512723033068246</x:v>
      </x:c>
      <x:c r="I5774" s="38" t="b">
        <x:f t="shared" si="263">E5774&lt;G5774</x:f>
        <x:v>0</x:v>
      </x:c>
    </x:row>
    <x:row r="5775">
      <x:c r="A5775" s="31">
        <x:v>45446</x:v>
      </x:c>
      <x:c r="B5775" s="32">
        <x:v>1271.6500000000001</x:v>
      </x:c>
      <x:c r="C5775" s="32">
        <x:v>1284.48</x:v>
      </x:c>
      <x:c r="D5775" s="32">
        <x:v>1271.6500000000001</x:v>
      </x:c>
      <x:c r="E5775" s="32">
        <x:v>1280</x:v>
      </x:c>
      <x:c r="F5775" s="33">
        <x:v>930997200</x:v>
      </x:c>
      <x:c r="G5775" s="32" t="n">
        <x:f t="shared" si="261">AVERAGE(E5576:E5775)</x:f>
        <x:v>1184.8021499999998</x:v>
      </x:c>
      <x:c r="H5775" s="37" t="n">
        <x:f t="shared" si="262">IFERROR(E5775/G5775-1,"")</x:f>
        <x:v>0.08034915365405126</x:v>
      </x:c>
      <x:c r="I5775" s="38" t="b">
        <x:f t="shared" si="263">E5775&lt;G5775</x:f>
        <x:v>0</x:v>
      </x:c>
    </x:row>
    <x:row r="5776">
      <x:c r="A5776" s="31">
        <x:v>45447</x:v>
      </x:c>
      <x:c r="B5776" s="32">
        <x:v>1285.51</x:v>
      </x:c>
      <x:c r="C5776" s="32">
        <x:v>1289.31</x:v>
      </x:c>
      <x:c r="D5776" s="32">
        <x:v>1281.98</x:v>
      </x:c>
      <x:c r="E5776" s="32">
        <x:v>1283.52</x:v>
      </x:c>
      <x:c r="F5776" s="33">
        <x:v>785860800</x:v>
      </x:c>
      <x:c r="G5776" s="32" t="n">
        <x:f t="shared" si="261">AVERAGE(E5577:E5776)</x:f>
        <x:v>1185.1166999999996</x:v>
      </x:c>
      <x:c r="H5776" s="37" t="n">
        <x:f t="shared" si="262">IFERROR(E5776/G5776-1,"")</x:f>
        <x:v>0.08303258236087663</x:v>
      </x:c>
      <x:c r="I5776" s="38" t="b">
        <x:f t="shared" si="263">E5776&lt;G5776</x:f>
        <x:v>0</x:v>
      </x:c>
    </x:row>
    <x:row r="5777">
      <x:c r="A5777" s="31">
        <x:v>45448</x:v>
      </x:c>
      <x:c r="B5777" s="32">
        <x:v>1287.1199999999999</x:v>
      </x:c>
      <x:c r="C5777" s="32">
        <x:v>1293.93</x:v>
      </x:c>
      <x:c r="D5777" s="32">
        <x:v>1284.3499999999999</x:v>
      </x:c>
      <x:c r="E5777" s="32">
        <x:v>1284.3499999999999</x:v>
      </x:c>
      <x:c r="F5777" s="33">
        <x:v>810156400</x:v>
      </x:c>
      <x:c r="G5777" s="32" t="n">
        <x:f t="shared" si="261">AVERAGE(E5578:E5777)</x:f>
        <x:v>1185.3773999999999</x:v>
      </x:c>
      <x:c r="H5777" s="37" t="n">
        <x:f t="shared" si="262">IFERROR(E5777/G5777-1,"")</x:f>
        <x:v>0.08349458999302684</x:v>
      </x:c>
      <x:c r="I5777" s="38" t="b">
        <x:f t="shared" si="263">E5777&lt;G5777</x:f>
        <x:v>0</x:v>
      </x:c>
    </x:row>
    <x:row r="5778">
      <x:c r="A5778" s="31">
        <x:v>45449</x:v>
      </x:c>
      <x:c r="B5778" s="32">
        <x:v>1288.53</x:v>
      </x:c>
      <x:c r="C5778" s="32">
        <x:v>1292.02</x:v>
      </x:c>
      <x:c r="D5778" s="32">
        <x:v>1278.4000000000001</x:v>
      </x:c>
      <x:c r="E5778" s="32">
        <x:v>1283.56</x:v>
      </x:c>
      <x:c r="F5778" s="33">
        <x:v>797941200</x:v>
      </x:c>
      <x:c r="G5778" s="32" t="n">
        <x:f t="shared" si="261">AVERAGE(E5579:E5778)</x:f>
        <x:v>1185.6109999999999</x:v>
      </x:c>
      <x:c r="H5778" s="37" t="n">
        <x:f t="shared" si="262">IFERROR(E5778/G5778-1,"")</x:f>
        <x:v>0.08261478680612777</x:v>
      </x:c>
      <x:c r="I5778" s="38" t="b">
        <x:f t="shared" si="263">E5778&lt;G5778</x:f>
        <x:v>0</x:v>
      </x:c>
    </x:row>
    <x:row r="5779">
      <x:c r="A5779" s="31">
        <x:v>45450</x:v>
      </x:c>
      <x:c r="B5779" s="32">
        <x:v>1289.05</x:v>
      </x:c>
      <x:c r="C5779" s="32">
        <x:v>1293.03</x:v>
      </x:c>
      <x:c r="D5779" s="32">
        <x:v>1283.1300000000001</x:v>
      </x:c>
      <x:c r="E5779" s="32">
        <x:v>1287.58</x:v>
      </x:c>
      <x:c r="F5779" s="33">
        <x:v>604686400</x:v>
      </x:c>
      <x:c r="G5779" s="32" t="n">
        <x:f t="shared" si="261">AVERAGE(E5580:E5779)</x:f>
        <x:v>1185.8786499999997</x:v>
      </x:c>
      <x:c r="H5779" s="37" t="n">
        <x:f t="shared" si="262">IFERROR(E5779/G5779-1,"")</x:f>
        <x:v>0.08576033475263278</x:v>
      </x:c>
      <x:c r="I5779" s="38" t="b">
        <x:f t="shared" si="263">E5779&lt;G5779</x:f>
        <x:v>0</x:v>
      </x:c>
    </x:row>
    <x:row r="5780">
      <x:c r="A5780" s="31">
        <x:v>45453</x:v>
      </x:c>
      <x:c r="B5780" s="32">
        <x:v>1292.67</x:v>
      </x:c>
      <x:c r="C5780" s="32">
        <x:v>1297.3900000000001</x:v>
      </x:c>
      <x:c r="D5780" s="32">
        <x:v>1287.44</x:v>
      </x:c>
      <x:c r="E5780" s="32">
        <x:v>1290.67</x:v>
      </x:c>
      <x:c r="F5780" s="33">
        <x:v>778972900</x:v>
      </x:c>
      <x:c r="G5780" s="32" t="n">
        <x:f t="shared" si="261">AVERAGE(E5581:E5780)</x:f>
        <x:v>1186.1156999999998</x:v>
      </x:c>
      <x:c r="H5780" s="37" t="n">
        <x:f t="shared" si="262">IFERROR(E5780/G5780-1,"")</x:f>
        <x:v>0.0881484833224957</x:v>
      </x:c>
      <x:c r="I5780" s="38" t="b">
        <x:f t="shared" si="263">E5780&lt;G5780</x:f>
        <x:v>0</x:v>
      </x:c>
    </x:row>
    <x:row r="5781">
      <x:c r="A5781" s="31">
        <x:v>45454</x:v>
      </x:c>
      <x:c r="B5781" s="32">
        <x:v>1295.03</x:v>
      </x:c>
      <x:c r="C5781" s="32">
        <x:v>1296.4100000000001</x:v>
      </x:c>
      <x:c r="D5781" s="32">
        <x:v>1279.47</x:v>
      </x:c>
      <x:c r="E5781" s="32">
        <x:v>1284.4100000000001</x:v>
      </x:c>
      <x:c r="F5781" s="33">
        <x:v>859304400</x:v>
      </x:c>
      <x:c r="G5781" s="32" t="n">
        <x:f t="shared" si="261">AVERAGE(E5582:E5781)</x:f>
        <x:v>1186.37035</x:v>
      </x:c>
      <x:c r="H5781" s="37" t="n">
        <x:f t="shared" si="262">IFERROR(E5781/G5781-1,"")</x:f>
        <x:v>0.08263831779005626</x:v>
      </x:c>
      <x:c r="I5781" s="38" t="b">
        <x:f t="shared" si="263">E5781&lt;G5781</x:f>
        <x:v>0</x:v>
      </x:c>
    </x:row>
    <x:row r="5782">
      <x:c r="A5782" s="31">
        <x:v>45455</x:v>
      </x:c>
      <x:c r="B5782" s="32">
        <x:v>1285.01</x:v>
      </x:c>
      <x:c r="C5782" s="32">
        <x:v>1301.3499999999999</x:v>
      </x:c>
      <x:c r="D5782" s="32">
        <x:v>1281.71</x:v>
      </x:c>
      <x:c r="E5782" s="32">
        <x:v>1300.19</x:v>
      </x:c>
      <x:c r="F5782" s="33">
        <x:v>769901500</x:v>
      </x:c>
      <x:c r="G5782" s="32" t="n">
        <x:f t="shared" si="261">AVERAGE(E5583:E5782)</x:f>
        <x:v>1186.98135</x:v>
      </x:c>
      <x:c r="H5782" s="37" t="n">
        <x:f t="shared" si="262">IFERROR(E5782/G5782-1,"")</x:f>
        <x:v>0.09537525589597506</x:v>
      </x:c>
      <x:c r="I5782" s="38" t="b">
        <x:f t="shared" si="263">E5782&lt;G5782</x:f>
        <x:v>0</x:v>
      </x:c>
    </x:row>
    <x:row r="5783">
      <x:c r="A5783" s="31">
        <x:v>45456</x:v>
      </x:c>
      <x:c r="B5783" s="32">
        <x:v>1305.69</x:v>
      </x:c>
      <x:c r="C5783" s="32">
        <x:v>1306.01</x:v>
      </x:c>
      <x:c r="D5783" s="32">
        <x:v>1297.5999999999999</x:v>
      </x:c>
      <x:c r="E5783" s="32">
        <x:v>1301.51</x:v>
      </x:c>
      <x:c r="F5783" s="33">
        <x:v>829312700</x:v>
      </x:c>
      <x:c r="G5783" s="32" t="n">
        <x:f t="shared" si="261">AVERAGE(E5584:E5783)</x:f>
        <x:v>1187.5901</x:v>
      </x:c>
      <x:c r="H5783" s="37" t="n">
        <x:f t="shared" si="262">IFERROR(E5783/G5783-1,"")</x:f>
        <x:v>0.09592526916484068</x:v>
      </x:c>
      <x:c r="I5783" s="38" t="b">
        <x:f t="shared" si="263">E5783&lt;G5783</x:f>
        <x:v>0</x:v>
      </x:c>
    </x:row>
    <x:row r="5784">
      <x:c r="A5784" s="31">
        <x:v>45457</x:v>
      </x:c>
      <x:c r="B5784" s="32">
        <x:v>1303.24</x:v>
      </x:c>
      <x:c r="C5784" s="32">
        <x:v>1305.02</x:v>
      </x:c>
      <x:c r="D5784" s="32">
        <x:v>1279.9100000000001</x:v>
      </x:c>
      <x:c r="E5784" s="32">
        <x:v>1279.9100000000001</x:v>
      </x:c>
      <x:c r="F5784" s="33">
        <x:v>1009525700</x:v>
      </x:c>
      <x:c r="G5784" s="32" t="n">
        <x:f t="shared" si="261">AVERAGE(E5585:E5784)</x:f>
        <x:v>1188.0872000000002</x:v>
      </x:c>
      <x:c r="H5784" s="37" t="n">
        <x:f t="shared" si="262">IFERROR(E5784/G5784-1,"")</x:f>
        <x:v>0.07728624632939396</x:v>
      </x:c>
      <x:c r="I5784" s="38" t="b">
        <x:f t="shared" si="263">E5784&lt;G5784</x:f>
        <x:v>0</x:v>
      </x:c>
    </x:row>
    <x:row r="5785">
      <x:c r="A5785" s="31">
        <x:v>45460</x:v>
      </x:c>
      <x:c r="B5785" s="32">
        <x:v>1282.08</x:v>
      </x:c>
      <x:c r="C5785" s="32">
        <x:v>1283.0999999999999</x:v>
      </x:c>
      <x:c r="D5785" s="32">
        <x:v>1272.54</x:v>
      </x:c>
      <x:c r="E5785" s="32">
        <x:v>1274.77</x:v>
      </x:c>
      <x:c r="F5785" s="33">
        <x:v>779686100</x:v>
      </x:c>
      <x:c r="G5785" s="32" t="n">
        <x:f t="shared" si="261">AVERAGE(E5586:E5785)</x:f>
        <x:v>1188.59825</x:v>
      </x:c>
      <x:c r="H5785" s="37" t="n">
        <x:f t="shared" si="262">IFERROR(E5785/G5785-1,"")</x:f>
        <x:v>0.07249863442083981</x:v>
      </x:c>
      <x:c r="I5785" s="38" t="b">
        <x:f t="shared" si="263">E5785&lt;G5785</x:f>
        <x:v>0</x:v>
      </x:c>
    </x:row>
    <x:row r="5786">
      <x:c r="A5786" s="31">
        <x:v>45461</x:v>
      </x:c>
      <x:c r="B5786" s="32">
        <x:v>1279.3900000000001</x:v>
      </x:c>
      <x:c r="C5786" s="32">
        <x:v>1286.52</x:v>
      </x:c>
      <x:c r="D5786" s="32">
        <x:v>1278.3800000000001</x:v>
      </x:c>
      <x:c r="E5786" s="32">
        <x:v>1279.5</x:v>
      </x:c>
      <x:c r="F5786" s="33">
        <x:v>633180900</x:v>
      </x:c>
      <x:c r="G5786" s="32" t="n">
        <x:f t="shared" si="261">AVERAGE(E5587:E5786)</x:f>
        <x:v>1189.0488</x:v>
      </x:c>
      <x:c r="H5786" s="37" t="n">
        <x:f t="shared" si="262">IFERROR(E5786/G5786-1,"")</x:f>
        <x:v>0.07607021679850301</x:v>
      </x:c>
      <x:c r="I5786" s="38" t="b">
        <x:f t="shared" si="263">E5786&lt;G5786</x:f>
        <x:v>0</x:v>
      </x:c>
    </x:row>
    <x:row r="5787">
      <x:c r="A5787" s="31">
        <x:v>45462</x:v>
      </x:c>
      <x:c r="B5787" s="32">
        <x:v>1283</x:v>
      </x:c>
      <x:c r="C5787" s="32">
        <x:v>1284.1400000000001</x:v>
      </x:c>
      <x:c r="D5787" s="32">
        <x:v>1270.6600000000001</x:v>
      </x:c>
      <x:c r="E5787" s="32">
        <x:v>1279.79</x:v>
      </x:c>
      <x:c r="F5787" s="33">
        <x:v>767825600</x:v>
      </x:c>
      <x:c r="G5787" s="32" t="n">
        <x:f t="shared" si="261">AVERAGE(E5588:E5787)</x:f>
        <x:v>1189.5309000000002</x:v>
      </x:c>
      <x:c r="H5787" s="37" t="n">
        <x:f t="shared" si="262">IFERROR(E5787/G5787-1,"")</x:f>
        <x:v>0.07587789438677017</x:v>
      </x:c>
      <x:c r="I5787" s="38" t="b">
        <x:f t="shared" si="263">E5787&lt;G5787</x:f>
        <x:v>0</x:v>
      </x:c>
    </x:row>
    <x:row r="5788">
      <x:c r="A5788" s="31">
        <x:v>45463</x:v>
      </x:c>
      <x:c r="B5788" s="32">
        <x:v>1280.98</x:v>
      </x:c>
      <x:c r="C5788" s="32">
        <x:v>1286.54</x:v>
      </x:c>
      <x:c r="D5788" s="32">
        <x:v>1273.54</x:v>
      </x:c>
      <x:c r="E5788" s="32">
        <x:v>1282.3</x:v>
      </x:c>
      <x:c r="F5788" s="33">
        <x:v>818094800</x:v>
      </x:c>
      <x:c r="G5788" s="32" t="n">
        <x:f t="shared" si="261">AVERAGE(E5589:E5788)</x:f>
        <x:v>1189.9338</x:v>
      </x:c>
      <x:c r="H5788" s="37" t="n">
        <x:f t="shared" si="262">IFERROR(E5788/G5788-1,"")</x:f>
        <x:v>0.0776229736477776</x:v>
      </x:c>
      <x:c r="I5788" s="38" t="b">
        <x:f t="shared" si="263">E5788&lt;G5788</x:f>
        <x:v>0</x:v>
      </x:c>
    </x:row>
    <x:row r="5789">
      <x:c r="A5789" s="31">
        <x:v>45464</x:v>
      </x:c>
      <x:c r="B5789" s="32">
        <x:v>1285.07</x:v>
      </x:c>
      <x:c r="C5789" s="32">
        <x:v>1288.06</x:v>
      </x:c>
      <x:c r="D5789" s="32">
        <x:v>1279.44</x:v>
      </x:c>
      <x:c r="E5789" s="32">
        <x:v>1282.02</x:v>
      </x:c>
      <x:c r="F5789" s="33">
        <x:v>702735900</x:v>
      </x:c>
      <x:c r="G5789" s="32" t="n">
        <x:f t="shared" si="261">AVERAGE(E5590:E5789)</x:f>
        <x:v>1190.3217499999998</x:v>
      </x:c>
      <x:c r="H5789" s="37" t="n">
        <x:f t="shared" si="262">IFERROR(E5789/G5789-1,"")</x:f>
        <x:v>0.077036523948252</x:v>
      </x:c>
      <x:c r="I5789" s="38" t="b">
        <x:f t="shared" si="263">E5789&lt;G5789</x:f>
        <x:v>0</x:v>
      </x:c>
    </x:row>
    <x:row r="5790">
      <x:c r="A5790" s="31">
        <x:v>45467</x:v>
      </x:c>
      <x:c r="B5790" s="32">
        <x:v>1281.07</x:v>
      </x:c>
      <x:c r="C5790" s="32">
        <x:v>1284.8399999999999</x:v>
      </x:c>
      <x:c r="D5790" s="32">
        <x:v>1252.6600000000001</x:v>
      </x:c>
      <x:c r="E5790" s="32">
        <x:v>1254.1199999999999</x:v>
      </x:c>
      <x:c r="F5790" s="33">
        <x:v>1098142200</x:v>
      </x:c>
      <x:c r="G5790" s="32" t="n">
        <x:f t="shared" si="261">AVERAGE(E5591:E5790)</x:f>
        <x:v>1190.5265499999996</x:v>
      </x:c>
      <x:c r="H5790" s="37" t="n">
        <x:f t="shared" si="262">IFERROR(E5790/G5790-1,"")</x:f>
        <x:v>0.053416238386283954</x:v>
      </x:c>
      <x:c r="I5790" s="38" t="b">
        <x:f t="shared" si="263">E5790&lt;G5790</x:f>
        <x:v>0</x:v>
      </x:c>
    </x:row>
    <x:row r="5791">
      <x:c r="A5791" s="31">
        <x:v>45468</x:v>
      </x:c>
      <x:c r="B5791" s="32">
        <x:v>1255.77</x:v>
      </x:c>
      <x:c r="C5791" s="32">
        <x:v>1260.07</x:v>
      </x:c>
      <x:c r="D5791" s="32">
        <x:v>1250.25</x:v>
      </x:c>
      <x:c r="E5791" s="32">
        <x:v>1256.56</x:v>
      </x:c>
      <x:c r="F5791" s="33">
        <x:v>547152400</x:v>
      </x:c>
      <x:c r="G5791" s="32" t="n">
        <x:f t="shared" si="261">AVERAGE(E5592:E5791)</x:f>
        <x:v>1190.6890999999998</x:v>
      </x:c>
      <x:c r="H5791" s="37" t="n">
        <x:f t="shared" si="262">IFERROR(E5791/G5791-1,"")</x:f>
        <x:v>0.05532166205267197</x:v>
      </x:c>
      <x:c r="I5791" s="38" t="b">
        <x:f t="shared" si="263">E5791&lt;G5791</x:f>
        <x:v>0</x:v>
      </x:c>
    </x:row>
    <x:row r="5792">
      <x:c r="A5792" s="31">
        <x:v>45469</x:v>
      </x:c>
      <x:c r="B5792" s="32">
        <x:v>1258.95</x:v>
      </x:c>
      <x:c r="C5792" s="32">
        <x:v>1262.67</x:v>
      </x:c>
      <x:c r="D5792" s="32">
        <x:v>1247.55</x:v>
      </x:c>
      <x:c r="E5792" s="32">
        <x:v>1261.24</x:v>
      </x:c>
      <x:c r="F5792" s="33">
        <x:v>589079700</x:v>
      </x:c>
      <x:c r="G5792" s="32" t="n">
        <x:f t="shared" si="261">AVERAGE(E5593:E5792)</x:f>
        <x:v>1190.8203999999996</x:v>
      </x:c>
      <x:c r="H5792" s="37" t="n">
        <x:f t="shared" si="262">IFERROR(E5792/G5792-1,"")</x:f>
        <x:v>0.05913536583686385</x:v>
      </x:c>
      <x:c r="I5792" s="38" t="b">
        <x:f t="shared" si="263">E5792&lt;G5792</x:f>
        <x:v>0</x:v>
      </x:c>
    </x:row>
    <x:row r="5793">
      <x:c r="A5793" s="31">
        <x:v>45470</x:v>
      </x:c>
      <x:c r="B5793" s="32">
        <x:v>1260.71</x:v>
      </x:c>
      <x:c r="C5793" s="32">
        <x:v>1262.49</x:v>
      </x:c>
      <x:c r="D5793" s="32">
        <x:v>1255.1199999999999</x:v>
      </x:c>
      <x:c r="E5793" s="32">
        <x:v>1259.0899999999999</x:v>
      </x:c>
      <x:c r="F5793" s="33">
        <x:v>469667500</x:v>
      </x:c>
      <x:c r="G5793" s="32" t="n">
        <x:f t="shared" si="261">AVERAGE(E5594:E5793)</x:f>
        <x:v>1190.8883499999997</x:v>
      </x:c>
      <x:c r="H5793" s="37" t="n">
        <x:f t="shared" si="262">IFERROR(E5793/G5793-1,"")</x:f>
        <x:v>0.057269558477081706</x:v>
      </x:c>
      <x:c r="I5793" s="38" t="b">
        <x:f t="shared" si="263">E5793&lt;G5793</x:f>
        <x:v>0</x:v>
      </x:c>
    </x:row>
    <x:row r="5794">
      <x:c r="A5794" s="31">
        <x:v>45471</x:v>
      </x:c>
      <x:c r="B5794" s="32">
        <x:v>1260.27</x:v>
      </x:c>
      <x:c r="C5794" s="32">
        <x:v>1262.6099999999999</x:v>
      </x:c>
      <x:c r="D5794" s="32">
        <x:v>1240.1500000000001</x:v>
      </x:c>
      <x:c r="E5794" s="32">
        <x:v>1245.32</x:v>
      </x:c>
      <x:c r="F5794" s="33">
        <x:v>671599000</x:v>
      </x:c>
      <x:c r="G5794" s="32" t="n">
        <x:f t="shared" si="261">AVERAGE(E5595:E5794)</x:f>
        <x:v>1190.8992499999995</x:v>
      </x:c>
      <x:c r="H5794" s="37" t="n">
        <x:f t="shared" si="262">IFERROR(E5794/G5794-1,"")</x:f>
        <x:v>0.0456971905893806</x:v>
      </x:c>
      <x:c r="I5794" s="38" t="b">
        <x:f t="shared" si="263">E5794&lt;G5794</x:f>
        <x:v>0</x:v>
      </x:c>
    </x:row>
    <x:row r="5795">
      <x:c r="A5795" s="31">
        <x:v>45474</x:v>
      </x:c>
      <x:c r="B5795" s="32">
        <x:v>1246.33</x:v>
      </x:c>
      <x:c r="C5795" s="32">
        <x:v>1254.56</x:v>
      </x:c>
      <x:c r="D5795" s="32">
        <x:v>1240.07</x:v>
      </x:c>
      <x:c r="E5795" s="32">
        <x:v>1254.56</x:v>
      </x:c>
      <x:c r="F5795" s="33">
        <x:v>432927800</x:v>
      </x:c>
      <x:c r="G5795" s="32" t="n">
        <x:f t="shared" si="261">AVERAGE(E5596:E5795)</x:f>
        <x:v>1190.9646499999994</x:v>
      </x:c>
      <x:c r="H5795" s="37" t="n">
        <x:f t="shared" si="262">IFERROR(E5795/G5795-1,"")</x:f>
        <x:v>0.05339818440455013</x:v>
      </x:c>
      <x:c r="I5795" s="38" t="b">
        <x:f t="shared" si="263">E5795&lt;G5795</x:f>
        <x:v>0</x:v>
      </x:c>
    </x:row>
    <x:row r="5796">
      <x:c r="A5796" s="31">
        <x:v>45475</x:v>
      </x:c>
      <x:c r="B5796" s="32">
        <x:v>1258.8699999999999</x:v>
      </x:c>
      <x:c r="C5796" s="32">
        <x:v>1270.47</x:v>
      </x:c>
      <x:c r="D5796" s="32">
        <x:v>1257.93</x:v>
      </x:c>
      <x:c r="E5796" s="32">
        <x:v>1269.79</x:v>
      </x:c>
      <x:c r="F5796" s="33">
        <x:v>470400200</x:v>
      </x:c>
      <x:c r="G5796" s="32" t="n">
        <x:f t="shared" si="261">AVERAGE(E5597:E5796)</x:f>
        <x:v>1191.1954499999995</x:v>
      </x:c>
      <x:c r="H5796" s="37" t="n">
        <x:f t="shared" si="262">IFERROR(E5796/G5796-1,"")</x:f>
        <x:v>0.06597955860224314</x:v>
      </x:c>
      <x:c r="I5796" s="38" t="b">
        <x:f t="shared" si="263">E5796&lt;G5796</x:f>
        <x:v>0</x:v>
      </x:c>
    </x:row>
    <x:row r="5797">
      <x:c r="A5797" s="31">
        <x:v>45476</x:v>
      </x:c>
      <x:c r="B5797" s="32">
        <x:v>1273.26</x:v>
      </x:c>
      <x:c r="C5797" s="32">
        <x:v>1278.1400000000001</x:v>
      </x:c>
      <x:c r="D5797" s="32">
        <x:v>1268.23</x:v>
      </x:c>
      <x:c r="E5797" s="32">
        <x:v>1276.8499999999999</x:v>
      </x:c>
      <x:c r="F5797" s="33">
        <x:v>501951100</x:v>
      </x:c>
      <x:c r="G5797" s="32" t="n">
        <x:f t="shared" si="261">AVERAGE(E5598:E5797)</x:f>
        <x:v>1191.3524999999997</x:v>
      </x:c>
      <x:c r="H5797" s="37" t="n">
        <x:f t="shared" si="262">IFERROR(E5797/G5797-1,"")</x:f>
        <x:v>0.07176507372922813</x:v>
      </x:c>
      <x:c r="I5797" s="38" t="b">
        <x:f t="shared" si="263">E5797&lt;G5797</x:f>
        <x:v>0</x:v>
      </x:c>
    </x:row>
    <x:row r="5798">
      <x:c r="A5798" s="31">
        <x:v>45477</x:v>
      </x:c>
      <x:c r="B5798" s="32">
        <x:v>1278.8699999999999</x:v>
      </x:c>
      <x:c r="C5798" s="32">
        <x:v>1283.1300000000001</x:v>
      </x:c>
      <x:c r="D5798" s="32">
        <x:v>1274.58</x:v>
      </x:c>
      <x:c r="E5798" s="32">
        <x:v>1279.8900000000001</x:v>
      </x:c>
      <x:c r="F5798" s="33">
        <x:v>475717900</x:v>
      </x:c>
      <x:c r="G5798" s="32" t="n">
        <x:f t="shared" si="261">AVERAGE(E5599:E5798)</x:f>
        <x:v>1191.5599999999997</x:v>
      </x:c>
      <x:c r="H5798" s="37" t="n">
        <x:f t="shared" si="262">IFERROR(E5798/G5798-1,"")</x:f>
        <x:v>0.07412971230991339</x:v>
      </x:c>
      <x:c r="I5798" s="38" t="b">
        <x:f t="shared" si="263">E5798&lt;G5798</x:f>
        <x:v>0</x:v>
      </x:c>
    </x:row>
    <x:row r="5799">
      <x:c r="A5799" s="31">
        <x:v>45478</x:v>
      </x:c>
      <x:c r="B5799" s="32">
        <x:v>1281.21</x:v>
      </x:c>
      <x:c r="C5799" s="32">
        <x:v>1284.98</x:v>
      </x:c>
      <x:c r="D5799" s="32">
        <x:v>1276.93</x:v>
      </x:c>
      <x:c r="E5799" s="32">
        <x:v>1283.04</x:v>
      </x:c>
      <x:c r="F5799" s="33">
        <x:v>589226400</x:v>
      </x:c>
      <x:c r="G5799" s="32" t="n">
        <x:f t="shared" si="261">AVERAGE(E5600:E5799)</x:f>
        <x:v>1191.8561499999998</x:v>
      </x:c>
      <x:c r="H5799" s="37" t="n">
        <x:f t="shared" si="262">IFERROR(E5799/G5799-1,"")</x:f>
        <x:v>0.07650575113448066</x:v>
      </x:c>
      <x:c r="I5799" s="38" t="b">
        <x:f t="shared" si="263">E5799&lt;G5799</x:f>
        <x:v>0</x:v>
      </x:c>
    </x:row>
    <x:row r="5800">
      <x:c r="A5800" s="31">
        <x:v>45481</x:v>
      </x:c>
      <x:c r="B5800" s="32">
        <x:v>1285.3399999999999</x:v>
      </x:c>
      <x:c r="C5800" s="32">
        <x:v>1287.1400000000001</x:v>
      </x:c>
      <x:c r="D5800" s="32">
        <x:v>1277.68</x:v>
      </x:c>
      <x:c r="E5800" s="32">
        <x:v>1283.56</x:v>
      </x:c>
      <x:c r="F5800" s="33">
        <x:v>664000500</x:v>
      </x:c>
      <x:c r="G5800" s="32" t="n">
        <x:f t="shared" si="261">AVERAGE(E5601:E5800)</x:f>
        <x:v>1192.1371499999996</x:v>
      </x:c>
      <x:c r="H5800" s="37" t="n">
        <x:f t="shared" si="262">IFERROR(E5800/G5800-1,"")</x:f>
        <x:v>0.07668819816579031</x:v>
      </x:c>
      <x:c r="I5800" s="38" t="b">
        <x:f t="shared" si="263">E5800&lt;G5800</x:f>
        <x:v>0</x:v>
      </x:c>
    </x:row>
    <x:row r="5801">
      <x:c r="A5801" s="31">
        <x:v>45482</x:v>
      </x:c>
      <x:c r="B5801" s="32">
        <x:v>1286.33</x:v>
      </x:c>
      <x:c r="C5801" s="32">
        <x:v>1294.1500000000001</x:v>
      </x:c>
      <x:c r="D5801" s="32">
        <x:v>1283.6199999999999</x:v>
      </x:c>
      <x:c r="E5801" s="32">
        <x:v>1293.71</x:v>
      </x:c>
      <x:c r="F5801" s="33">
        <x:v>757408500</x:v>
      </x:c>
      <x:c r="G5801" s="32" t="n">
        <x:f t="shared" si="261">AVERAGE(E5602:E5801)</x:f>
        <x:v>1192.5466499999995</x:v>
      </x:c>
      <x:c r="H5801" s="37" t="n">
        <x:f t="shared" si="262">IFERROR(E5801/G5801-1,"")</x:f>
        <x:v>0.0848296794091874</x:v>
      </x:c>
      <x:c r="I5801" s="38" t="b">
        <x:f t="shared" si="263">E5801&lt;G5801</x:f>
        <x:v>0</x:v>
      </x:c>
    </x:row>
    <x:row r="5802">
      <x:c r="A5802" s="31">
        <x:v>45483</x:v>
      </x:c>
      <x:c r="B5802" s="32">
        <x:v>1295.57</x:v>
      </x:c>
      <x:c r="C5802" s="32">
        <x:v>1297.96</x:v>
      </x:c>
      <x:c r="D5802" s="32">
        <x:v>1285.94</x:v>
      </x:c>
      <x:c r="E5802" s="32">
        <x:v>1285.94</x:v>
      </x:c>
      <x:c r="F5802" s="33">
        <x:v>678093600</x:v>
      </x:c>
      <x:c r="G5802" s="32" t="n">
        <x:f t="shared" si="261">AVERAGE(E5603:E5802)</x:f>
        <x:v>1192.9188499999996</x:v>
      </x:c>
      <x:c r="H5802" s="37" t="n">
        <x:f t="shared" si="262">IFERROR(E5802/G5802-1,"")</x:f>
        <x:v>0.07797776856321836</x:v>
      </x:c>
      <x:c r="I5802" s="38" t="b">
        <x:f t="shared" si="263">E5802&lt;G5802</x:f>
        <x:v>0</x:v>
      </x:c>
    </x:row>
    <x:row r="5803">
      <x:c r="A5803" s="31">
        <x:v>45484</x:v>
      </x:c>
      <x:c r="B5803" s="32">
        <x:v>1291.1400000000001</x:v>
      </x:c>
      <x:c r="C5803" s="32">
        <x:v>1293.32</x:v>
      </x:c>
      <x:c r="D5803" s="32">
        <x:v>1283.8</x:v>
      </x:c>
      <x:c r="E5803" s="32">
        <x:v>1283.8</x:v>
      </x:c>
      <x:c r="F5803" s="33">
        <x:v>636332300</x:v>
      </x:c>
      <x:c r="G5803" s="32" t="n">
        <x:f t="shared" si="261">AVERAGE(E5604:E5803)</x:f>
        <x:v>1193.2072999999996</x:v>
      </x:c>
      <x:c r="H5803" s="37" t="n">
        <x:f t="shared" si="262">IFERROR(E5803/G5803-1,"")</x:f>
        <x:v>0.07592368903542623</x:v>
      </x:c>
      <x:c r="I5803" s="38" t="b">
        <x:f t="shared" si="263">E5803&lt;G5803</x:f>
        <x:v>0</x:v>
      </x:c>
    </x:row>
    <x:row r="5804">
      <x:c r="A5804" s="31">
        <x:v>45485</x:v>
      </x:c>
      <x:c r="B5804" s="32">
        <x:v>1284.79</x:v>
      </x:c>
      <x:c r="C5804" s="32">
        <x:v>1288.67</x:v>
      </x:c>
      <x:c r="D5804" s="32">
        <x:v>1277.1600000000001</x:v>
      </x:c>
      <x:c r="E5804" s="32">
        <x:v>1280.75</x:v>
      </x:c>
      <x:c r="F5804" s="33">
        <x:v>546830500</x:v>
      </x:c>
      <x:c r="G5804" s="32" t="n">
        <x:f t="shared" si="261">AVERAGE(E5605:E5804)</x:f>
        <x:v>1193.5473499999994</x:v>
      </x:c>
      <x:c r="H5804" s="37" t="n">
        <x:f t="shared" si="262">IFERROR(E5804/G5804-1,"")</x:f>
        <x:v>0.07306174321446113</x:v>
      </x:c>
      <x:c r="I5804" s="38" t="b">
        <x:f t="shared" si="263">E5804&lt;G5804</x:f>
        <x:v>0</x:v>
      </x:c>
    </x:row>
    <x:row r="5805">
      <x:c r="A5805" s="31">
        <x:v>45488</x:v>
      </x:c>
      <x:c r="B5805" s="32">
        <x:v>1284.1400000000001</x:v>
      </x:c>
      <x:c r="C5805" s="32">
        <x:v>1286.3699999999999</x:v>
      </x:c>
      <x:c r="D5805" s="32">
        <x:v>1276.27</x:v>
      </x:c>
      <x:c r="E5805" s="32">
        <x:v>1279.82</x:v>
      </x:c>
      <x:c r="F5805" s="33">
        <x:v>474359200</x:v>
      </x:c>
      <x:c r="G5805" s="32" t="n">
        <x:f t="shared" si="261">AVERAGE(E5606:E5805)</x:f>
        <x:v>1193.9811999999995</x:v>
      </x:c>
      <x:c r="H5805" s="37" t="n">
        <x:f t="shared" si="262">IFERROR(E5805/G5805-1,"")</x:f>
        <x:v>0.07189292427720018</x:v>
      </x:c>
      <x:c r="I5805" s="38" t="b">
        <x:f t="shared" si="263">E5805&lt;G5805</x:f>
        <x:v>0</x:v>
      </x:c>
    </x:row>
    <x:row r="5806">
      <x:c r="A5806" s="31">
        <x:v>45489</x:v>
      </x:c>
      <x:c r="B5806" s="32">
        <x:v>1282.83</x:v>
      </x:c>
      <x:c r="C5806" s="32">
        <x:v>1291.47</x:v>
      </x:c>
      <x:c r="D5806" s="32">
        <x:v>1279.3699999999999</x:v>
      </x:c>
      <x:c r="E5806" s="32">
        <x:v>1281.18</x:v>
      </x:c>
      <x:c r="F5806" s="33">
        <x:v>637199000</x:v>
      </x:c>
      <x:c r="G5806" s="32" t="n">
        <x:f t="shared" si="261">AVERAGE(E5607:E5806)</x:f>
        <x:v>1194.6210999999994</x:v>
      </x:c>
      <x:c r="H5806" s="37" t="n">
        <x:f t="shared" si="262">IFERROR(E5806/G5806-1,"")</x:f>
        <x:v>0.0724572000276913</x:v>
      </x:c>
      <x:c r="I5806" s="38" t="b">
        <x:f t="shared" si="263">E5806&lt;G5806</x:f>
        <x:v>0</x:v>
      </x:c>
    </x:row>
    <x:row r="5807">
      <x:c r="A5807" s="31">
        <x:v>45490</x:v>
      </x:c>
      <x:c r="B5807" s="32">
        <x:v>1286.07</x:v>
      </x:c>
      <x:c r="C5807" s="32">
        <x:v>1290.76</x:v>
      </x:c>
      <x:c r="D5807" s="32">
        <x:v>1256.42</x:v>
      </x:c>
      <x:c r="E5807" s="32">
        <x:v>1268.6600000000001</x:v>
      </x:c>
      <x:c r="F5807" s="33">
        <x:v>1174014800</x:v>
      </x:c>
      <x:c r="G5807" s="32" t="n">
        <x:f t="shared" si="261">AVERAGE(E5608:E5807)</x:f>
        <x:v>1195.2745999999995</x:v>
      </x:c>
      <x:c r="H5807" s="37" t="n">
        <x:f t="shared" si="262">IFERROR(E5807/G5807-1,"")</x:f>
        <x:v>0.06139626827174327</x:v>
      </x:c>
      <x:c r="I5807" s="38" t="b">
        <x:f t="shared" si="263">E5807&lt;G5807</x:f>
        <x:v>0</x:v>
      </x:c>
    </x:row>
    <x:row r="5808">
      <x:c r="A5808" s="31">
        <x:v>45491</x:v>
      </x:c>
      <x:c r="B5808" s="32">
        <x:v>1270.95</x:v>
      </x:c>
      <x:c r="C5808" s="32">
        <x:v>1274.67</x:v>
      </x:c>
      <x:c r="D5808" s="32">
        <x:v>1256.21</x:v>
      </x:c>
      <x:c r="E5808" s="32">
        <x:v>1274.44</x:v>
      </x:c>
      <x:c r="F5808" s="33">
        <x:v>652389000</x:v>
      </x:c>
      <x:c r="G5808" s="32" t="n">
        <x:f t="shared" si="261">AVERAGE(E5609:E5808)</x:f>
        <x:v>1195.8775499999992</x:v>
      </x:c>
      <x:c r="H5808" s="37" t="n">
        <x:f t="shared" si="262">IFERROR(E5808/G5808-1,"")</x:f>
        <x:v>0.06569439320940584</x:v>
      </x:c>
      <x:c r="I5808" s="38" t="b">
        <x:f t="shared" si="263">E5808&lt;G5808</x:f>
        <x:v>0</x:v>
      </x:c>
    </x:row>
    <x:row r="5809">
      <x:c r="A5809" s="31">
        <x:v>45492</x:v>
      </x:c>
      <x:c r="B5809" s="32">
        <x:v>1275.28</x:v>
      </x:c>
      <x:c r="C5809" s="32">
        <x:v>1279.94</x:v>
      </x:c>
      <x:c r="D5809" s="32">
        <x:v>1260.68</x:v>
      </x:c>
      <x:c r="E5809" s="32">
        <x:v>1264.78</x:v>
      </x:c>
      <x:c r="F5809" s="33">
        <x:v>726065300</x:v>
      </x:c>
      <x:c r="G5809" s="32" t="n">
        <x:f t="shared" si="261">AVERAGE(E5610:E5809)</x:f>
        <x:v>1196.4392999999995</x:v>
      </x:c>
      <x:c r="H5809" s="37" t="n">
        <x:f t="shared" si="262">IFERROR(E5809/G5809-1,"")</x:f>
        <x:v>0.057120072869556004</x:v>
      </x:c>
      <x:c r="I5809" s="38" t="b">
        <x:f t="shared" si="263">E5809&lt;G5809</x:f>
        <x:v>0</x:v>
      </x:c>
    </x:row>
    <x:row r="5810">
      <x:c r="A5810" s="31">
        <x:v>45495</x:v>
      </x:c>
      <x:c r="B5810" s="32">
        <x:v>1261.42</x:v>
      </x:c>
      <x:c r="C5810" s="32">
        <x:v>1267.43</x:v>
      </x:c>
      <x:c r="D5810" s="32">
        <x:v>1245.02</x:v>
      </x:c>
      <x:c r="E5810" s="32">
        <x:v>1254.6400000000001</x:v>
      </x:c>
      <x:c r="F5810" s="33">
        <x:v>834239700</x:v>
      </x:c>
      <x:c r="G5810" s="32" t="n">
        <x:f t="shared" si="261">AVERAGE(E5611:E5810)</x:f>
        <x:v>1196.9417499999995</x:v>
      </x:c>
      <x:c r="H5810" s="37" t="n">
        <x:f t="shared" si="262">IFERROR(E5810/G5810-1,"")</x:f>
        <x:v>0.04820472675466503</x:v>
      </x:c>
      <x:c r="I5810" s="38" t="b">
        <x:f t="shared" si="263">E5810&lt;G5810</x:f>
        <x:v>0</x:v>
      </x:c>
    </x:row>
    <x:row r="5811">
      <x:c r="A5811" s="31">
        <x:v>45496</x:v>
      </x:c>
      <x:c r="B5811" s="32">
        <x:v>1256.72</x:v>
      </x:c>
      <x:c r="C5811" s="32">
        <x:v>1258.74</x:v>
      </x:c>
      <x:c r="D5811" s="32">
        <x:v>1231.81</x:v>
      </x:c>
      <x:c r="E5811" s="32">
        <x:v>1231.81</x:v>
      </x:c>
      <x:c r="F5811" s="33">
        <x:v>662804800</x:v>
      </x:c>
      <x:c r="G5811" s="32" t="n">
        <x:f t="shared" si="261">AVERAGE(E5612:E5811)</x:f>
        <x:v>1197.3245499999994</x:v>
      </x:c>
      <x:c r="H5811" s="37" t="n">
        <x:f t="shared" si="262">IFERROR(E5811/G5811-1,"")</x:f>
        <x:v>0.02880209046076998</x:v>
      </x:c>
      <x:c r="I5811" s="38" t="b">
        <x:f t="shared" si="263">E5811&lt;G5811</x:f>
        <x:v>0</x:v>
      </x:c>
    </x:row>
    <x:row r="5812">
      <x:c r="A5812" s="31">
        <x:v>45497</x:v>
      </x:c>
      <x:c r="B5812" s="32">
        <x:v>1225.5</x:v>
      </x:c>
      <x:c r="C5812" s="32">
        <x:v>1242.4000000000001</x:v>
      </x:c>
      <x:c r="D5812" s="32">
        <x:v>1218.6500000000001</x:v>
      </x:c>
      <x:c r="E5812" s="32">
        <x:v>1238.47</x:v>
      </x:c>
      <x:c r="F5812" s="33">
        <x:v>658299500</x:v>
      </x:c>
      <x:c r="G5812" s="32" t="n">
        <x:f t="shared" si="261">AVERAGE(E5613:E5812)</x:f>
        <x:v>1197.9263999999996</x:v>
      </x:c>
      <x:c r="H5812" s="37" t="n">
        <x:f t="shared" si="262">IFERROR(E5812/G5812-1,"")</x:f>
        <x:v>0.033844817177416164</x:v>
      </x:c>
      <x:c r="I5812" s="38" t="b">
        <x:f t="shared" si="263">E5812&lt;G5812</x:f>
        <x:v>0</x:v>
      </x:c>
    </x:row>
    <x:row r="5813">
      <x:c r="A5813" s="31">
        <x:v>45498</x:v>
      </x:c>
      <x:c r="B5813" s="32">
        <x:v>1233.08</x:v>
      </x:c>
      <x:c r="C5813" s="32">
        <x:v>1235.67</x:v>
      </x:c>
      <x:c r="D5813" s="32">
        <x:v>1226.2</x:v>
      </x:c>
      <x:c r="E5813" s="32">
        <x:v>1233.19</x:v>
      </x:c>
      <x:c r="F5813" s="33">
        <x:v>421019600</x:v>
      </x:c>
      <x:c r="G5813" s="32" t="n">
        <x:f t="shared" si="261">AVERAGE(E5614:E5813)</x:f>
        <x:v>1198.4489999999996</x:v>
      </x:c>
      <x:c r="H5813" s="37" t="n">
        <x:f t="shared" si="262">IFERROR(E5813/G5813-1,"")</x:f>
        <x:v>0.028988300712003978</x:v>
      </x:c>
      <x:c r="I5813" s="38" t="b">
        <x:f t="shared" si="263">E5813&lt;G5813</x:f>
        <x:v>0</x:v>
      </x:c>
    </x:row>
    <x:row r="5814">
      <x:c r="A5814" s="31">
        <x:v>45499</x:v>
      </x:c>
      <x:c r="B5814" s="32">
        <x:v>1235.21</x:v>
      </x:c>
      <x:c r="C5814" s="32">
        <x:v>1242.1099999999999</x:v>
      </x:c>
      <x:c r="D5814" s="32">
        <x:v>1234.05</x:v>
      </x:c>
      <x:c r="E5814" s="32">
        <x:v>1242.1099999999999</x:v>
      </x:c>
      <x:c r="F5814" s="33">
        <x:v>417284900</x:v>
      </x:c>
      <x:c r="G5814" s="32" t="n">
        <x:f t="shared" si="261">AVERAGE(E5615:E5814)</x:f>
        <x:v>1199.0900999999994</x:v>
      </x:c>
      <x:c r="H5814" s="37" t="n">
        <x:f t="shared" si="262">IFERROR(E5814/G5814-1,"")</x:f>
        <x:v>0.03587712049328107</x:v>
      </x:c>
      <x:c r="I5814" s="38" t="b">
        <x:f t="shared" si="263">E5814&lt;G5814</x:f>
        <x:v>0</x:v>
      </x:c>
    </x:row>
    <x:row r="5815">
      <x:c r="A5815" s="31">
        <x:v>45502</x:v>
      </x:c>
      <x:c r="B5815" s="32">
        <x:v>1247.71</x:v>
      </x:c>
      <x:c r="C5815" s="32">
        <x:v>1249.68</x:v>
      </x:c>
      <x:c r="D5815" s="32">
        <x:v>1243.08</x:v>
      </x:c>
      <x:c r="E5815" s="32">
        <x:v>1246.5999999999999</x:v>
      </x:c>
      <x:c r="F5815" s="33">
        <x:v>464637300</x:v>
      </x:c>
      <x:c r="G5815" s="32" t="n">
        <x:f t="shared" si="261">AVERAGE(E5616:E5815)</x:f>
        <x:v>1199.6803999999995</x:v>
      </x:c>
      <x:c r="H5815" s="37" t="n">
        <x:f t="shared" si="262">IFERROR(E5815/G5815-1,"")</x:f>
        <x:v>0.03911008298543539</x:v>
      </x:c>
      <x:c r="I5815" s="38" t="b">
        <x:f t="shared" si="263">E5815&lt;G5815</x:f>
        <x:v>0</x:v>
      </x:c>
    </x:row>
    <x:row r="5816">
      <x:c r="A5816" s="31">
        <x:v>45503</x:v>
      </x:c>
      <x:c r="B5816" s="32">
        <x:v>1247.23</x:v>
      </x:c>
      <x:c r="C5816" s="32">
        <x:v>1248.73</x:v>
      </x:c>
      <x:c r="D5816" s="32">
        <x:v>1236.97</x:v>
      </x:c>
      <x:c r="E5816" s="32">
        <x:v>1245.06</x:v>
      </x:c>
      <x:c r="F5816" s="33">
        <x:v>602301200</x:v>
      </x:c>
      <x:c r="G5816" s="32" t="n">
        <x:f t="shared" si="261">AVERAGE(E5617:E5816)</x:f>
        <x:v>1200.2188999999996</x:v>
      </x:c>
      <x:c r="H5816" s="37" t="n">
        <x:f t="shared" si="262">IFERROR(E5816/G5816-1,"")</x:f>
        <x:v>0.037360768106551534</x:v>
      </x:c>
      <x:c r="I5816" s="38" t="b">
        <x:f t="shared" si="263">E5816&lt;G5816</x:f>
        <x:v>0</x:v>
      </x:c>
    </x:row>
    <x:row r="5817">
      <x:c r="A5817" s="31">
        <x:v>45504</x:v>
      </x:c>
      <x:c r="B5817" s="32">
        <x:v>1247.45</x:v>
      </x:c>
      <x:c r="C5817" s="32">
        <x:v>1255.77</x:v>
      </x:c>
      <x:c r="D5817" s="32">
        <x:v>1246.3</x:v>
      </x:c>
      <x:c r="E5817" s="32">
        <x:v>1251.51</x:v>
      </x:c>
      <x:c r="F5817" s="33">
        <x:v>685428100</x:v>
      </x:c>
      <x:c r="G5817" s="32" t="n">
        <x:f t="shared" si="261">AVERAGE(E5618:E5817)</x:f>
        <x:v>1200.7579999999998</x:v>
      </x:c>
      <x:c r="H5817" s="37" t="n">
        <x:f t="shared" si="262">IFERROR(E5817/G5817-1,"")</x:f>
        <x:v>0.04226663490894933</x:v>
      </x:c>
      <x:c r="I5817" s="38" t="b">
        <x:f t="shared" si="263">E5817&lt;G5817</x:f>
        <x:v>0</x:v>
      </x:c>
    </x:row>
    <x:row r="5818">
      <x:c r="A5818" s="31">
        <x:v>45505</x:v>
      </x:c>
      <x:c r="B5818" s="32">
        <x:v>1254.5899999999999</x:v>
      </x:c>
      <x:c r="C5818" s="32">
        <x:v>1257.8499999999999</x:v>
      </x:c>
      <x:c r="D5818" s="32">
        <x:v>1222.51</x:v>
      </x:c>
      <x:c r="E5818" s="32">
        <x:v>1226.96</x:v>
      </x:c>
      <x:c r="F5818" s="33">
        <x:v>852237400</x:v>
      </x:c>
      <x:c r="G5818" s="32" t="n">
        <x:f t="shared" si="261">AVERAGE(E5619:E5818)</x:f>
        <x:v>1201.1387499999996</x:v>
      </x:c>
      <x:c r="H5818" s="37" t="n">
        <x:f t="shared" si="262">IFERROR(E5818/G5818-1,"")</x:f>
        <x:v>0.02149730828349372</x:v>
      </x:c>
      <x:c r="I5818" s="38" t="b">
        <x:f t="shared" si="263">E5818&lt;G5818</x:f>
        <x:v>0</x:v>
      </x:c>
    </x:row>
    <x:row r="5819">
      <x:c r="A5819" s="31">
        <x:v>45506</x:v>
      </x:c>
      <x:c r="B5819" s="32">
        <x:v>1215.67</x:v>
      </x:c>
      <x:c r="C5819" s="32">
        <x:v>1236.5999999999999</x:v>
      </x:c>
      <x:c r="D5819" s="32">
        <x:v>1209.77</x:v>
      </x:c>
      <x:c r="E5819" s="32">
        <x:v>1236.5999999999999</x:v>
      </x:c>
      <x:c r="F5819" s="33">
        <x:v>657669700</x:v>
      </x:c>
      <x:c r="G5819" s="32" t="n">
        <x:f t="shared" si="261">AVERAGE(E5620:E5819)</x:f>
        <x:v>1201.5636999999997</x:v>
      </x:c>
      <x:c r="H5819" s="37" t="n">
        <x:f t="shared" si="262">IFERROR(E5819/G5819-1,"")</x:f>
        <x:v>0.02915892016378341</x:v>
      </x:c>
      <x:c r="I5819" s="38" t="b">
        <x:f t="shared" si="263">E5819&lt;G5819</x:f>
        <x:v>0</x:v>
      </x:c>
    </x:row>
    <x:row r="5820">
      <x:c r="A5820" s="31">
        <x:v>45509</x:v>
      </x:c>
      <x:c r="B5820" s="32">
        <x:v>1219.23</x:v>
      </x:c>
      <x:c r="C5820" s="32">
        <x:v>1220.99</x:v>
      </x:c>
      <x:c r="D5820" s="32">
        <x:v>1184.53</x:v>
      </x:c>
      <x:c r="E5820" s="32">
        <x:v>1188.07</x:v>
      </x:c>
      <x:c r="F5820" s="33">
        <x:v>942540200</x:v>
      </x:c>
      <x:c r="G5820" s="32" t="n">
        <x:f t="shared" si="261">AVERAGE(E5621:E5820)</x:f>
        <x:v>1201.7303999999997</x:v>
      </x:c>
      <x:c r="H5820" s="37" t="n">
        <x:f t="shared" si="262">IFERROR(E5820/G5820-1,"")</x:f>
        <x:v>-0.01136727505603563</x:v>
      </x:c>
      <x:c r="I5820" s="38" t="b">
        <x:f t="shared" si="263">E5820&lt;G5820</x:f>
        <x:v>1</x:v>
      </x:c>
    </x:row>
    <x:row r="5821">
      <x:c r="A5821" s="31">
        <x:v>45510</x:v>
      </x:c>
      <x:c r="B5821" s="32">
        <x:v>1197.52</x:v>
      </x:c>
      <x:c r="C5821" s="32">
        <x:v>1213.3499999999999</x:v>
      </x:c>
      <x:c r="D5821" s="32">
        <x:v>1186.74</x:v>
      </x:c>
      <x:c r="E5821" s="32">
        <x:v>1210.28</x:v>
      </x:c>
      <x:c r="F5821" s="33">
        <x:v>612793000</x:v>
      </x:c>
      <x:c r="G5821" s="32" t="n">
        <x:f t="shared" si="261">AVERAGE(E5622:E5821)</x:f>
        <x:v>1202.0747</x:v>
      </x:c>
      <x:c r="H5821" s="37" t="n">
        <x:f t="shared" si="262">IFERROR(E5821/G5821-1,"")</x:f>
        <x:v>0.006825948503865975</x:v>
      </x:c>
      <x:c r="I5821" s="38" t="b">
        <x:f t="shared" si="263">E5821&lt;G5821</x:f>
        <x:v>0</x:v>
      </x:c>
    </x:row>
    <x:row r="5822">
      <x:c r="A5822" s="31">
        <x:v>45511</x:v>
      </x:c>
      <x:c r="B5822" s="32">
        <x:v>1216.96</x:v>
      </x:c>
      <x:c r="C5822" s="32">
        <x:v>1217.79</x:v>
      </x:c>
      <x:c r="D5822" s="32">
        <x:v>1205.1099999999999</x:v>
      </x:c>
      <x:c r="E5822" s="32">
        <x:v>1215.8800000000001</x:v>
      </x:c>
      <x:c r="F5822" s="33">
        <x:v>510188600</x:v>
      </x:c>
      <x:c r="G5822" s="32" t="n">
        <x:f t="shared" si="261">AVERAGE(E5623:E5822)</x:f>
        <x:v>1202.54585</x:v>
      </x:c>
      <x:c r="H5822" s="37" t="n">
        <x:f t="shared" si="262">IFERROR(E5822/G5822-1,"")</x:f>
        <x:v>0.011088267445270583</x:v>
      </x:c>
      <x:c r="I5822" s="38" t="b">
        <x:f t="shared" si="263">E5822&lt;G5822</x:f>
        <x:v>0</x:v>
      </x:c>
    </x:row>
    <x:row r="5823">
      <x:c r="A5823" s="31">
        <x:v>45512</x:v>
      </x:c>
      <x:c r="B5823" s="32">
        <x:v>1212.0899999999999</x:v>
      </x:c>
      <x:c r="C5823" s="32">
        <x:v>1219.97</x:v>
      </x:c>
      <x:c r="D5823" s="32">
        <x:v>1202.58</x:v>
      </x:c>
      <x:c r="E5823" s="32">
        <x:v>1208.32</x:v>
      </x:c>
      <x:c r="F5823" s="33">
        <x:v>639434200</x:v>
      </x:c>
      <x:c r="G5823" s="32" t="n">
        <x:f t="shared" si="261">AVERAGE(E5624:E5823)</x:f>
        <x:v>1203.07045</x:v>
      </x:c>
      <x:c r="H5823" s="37" t="n">
        <x:f t="shared" si="262">IFERROR(E5823/G5823-1,"")</x:f>
        <x:v>0.004363460178080203</x:v>
      </x:c>
      <x:c r="I5823" s="38" t="b">
        <x:f t="shared" si="263">E5823&lt;G5823</x:f>
        <x:v>0</x:v>
      </x:c>
    </x:row>
    <x:row r="5824">
      <x:c r="A5824" s="31">
        <x:v>45513</x:v>
      </x:c>
      <x:c r="B5824" s="32">
        <x:v>1215.3</x:v>
      </x:c>
      <x:c r="C5824" s="32">
        <x:v>1225.02</x:v>
      </x:c>
      <x:c r="D5824" s="32">
        <x:v>1212.4000000000001</x:v>
      </x:c>
      <x:c r="E5824" s="32">
        <x:v>1223.6400000000001</x:v>
      </x:c>
      <x:c r="F5824" s="33">
        <x:v>544377600</x:v>
      </x:c>
      <x:c r="G5824" s="32" t="n">
        <x:f t="shared" si="261">AVERAGE(E5625:E5824)</x:f>
        <x:v>1203.7494</x:v>
      </x:c>
      <x:c r="H5824" s="37" t="n">
        <x:f t="shared" si="262">IFERROR(E5824/G5824-1,"")</x:f>
        <x:v>0.016523871164546566</x:v>
      </x:c>
      <x:c r="I5824" s="38" t="b">
        <x:f t="shared" si="263">E5824&lt;G5824</x:f>
        <x:v>0</x:v>
      </x:c>
    </x:row>
    <x:row r="5825">
      <x:c r="A5825" s="31">
        <x:v>45516</x:v>
      </x:c>
      <x:c r="B5825" s="32">
        <x:v>1225.95</x:v>
      </x:c>
      <x:c r="C5825" s="32">
        <x:v>1231.46</x:v>
      </x:c>
      <x:c r="D5825" s="32">
        <x:v>1221.1600000000001</x:v>
      </x:c>
      <x:c r="E5825" s="32">
        <x:v>1230.28</x:v>
      </x:c>
      <x:c r="F5825" s="33">
        <x:v>494612600</x:v>
      </x:c>
      <x:c r="G5825" s="32" t="n">
        <x:f t="shared" si="261">AVERAGE(E5626:E5825)</x:f>
        <x:v>1204.36065</x:v>
      </x:c>
      <x:c r="H5825" s="37" t="n">
        <x:f t="shared" si="262">IFERROR(E5825/G5825-1,"")</x:f>
        <x:v>0.021521252790847933</x:v>
      </x:c>
      <x:c r="I5825" s="38" t="b">
        <x:f t="shared" si="263">E5825&lt;G5825</x:f>
        <x:v>0</x:v>
      </x:c>
    </x:row>
    <x:row r="5826">
      <x:c r="A5826" s="31">
        <x:v>45517</x:v>
      </x:c>
      <x:c r="B5826" s="32">
        <x:v>1229.81</x:v>
      </x:c>
      <x:c r="C5826" s="32">
        <x:v>1231.55</x:v>
      </x:c>
      <x:c r="D5826" s="32">
        <x:v>1223.01</x:v>
      </x:c>
      <x:c r="E5826" s="32">
        <x:v>1230.42</x:v>
      </x:c>
      <x:c r="F5826" s="33">
        <x:v>488354400</x:v>
      </x:c>
      <x:c r="G5826" s="32" t="n">
        <x:f t="shared" si="261">AVERAGE(E5627:E5826)</x:f>
        <x:v>1205.0451</x:v>
      </x:c>
      <x:c r="H5826" s="37" t="n">
        <x:f t="shared" si="262">IFERROR(E5826/G5826-1,"")</x:f>
        <x:v>0.021057220182049585</x:v>
      </x:c>
      <x:c r="I5826" s="38" t="b">
        <x:f t="shared" si="263">E5826&lt;G5826</x:f>
        <x:v>0</x:v>
      </x:c>
    </x:row>
    <x:row r="5827">
      <x:c r="A5827" s="31">
        <x:v>45518</x:v>
      </x:c>
      <x:c r="B5827" s="32">
        <x:v>1233.7</x:v>
      </x:c>
      <x:c r="C5827" s="32">
        <x:v>1236.51</x:v>
      </x:c>
      <x:c r="D5827" s="32">
        <x:v>1228.93</x:v>
      </x:c>
      <x:c r="E5827" s="32">
        <x:v>1230.3599999999999</x:v>
      </x:c>
      <x:c r="F5827" s="33">
        <x:v>443207500</x:v>
      </x:c>
      <x:c r="G5827" s="32" t="n">
        <x:f t="shared" si="261">AVERAGE(E5628:E5827)</x:f>
        <x:v>1205.6674</x:v>
      </x:c>
      <x:c r="H5827" s="37" t="n">
        <x:f t="shared" si="262">IFERROR(E5827/G5827-1,"")</x:f>
        <x:v>0.02048044095743151</x:v>
      </x:c>
      <x:c r="I5827" s="38" t="b">
        <x:f t="shared" si="263">E5827&lt;G5827</x:f>
        <x:v>0</x:v>
      </x:c>
    </x:row>
    <x:row r="5828">
      <x:c r="A5828" s="31">
        <x:v>45519</x:v>
      </x:c>
      <x:c r="B5828" s="32">
        <x:v>1230.58</x:v>
      </x:c>
      <x:c r="C5828" s="32">
        <x:v>1231.69</x:v>
      </x:c>
      <x:c r="D5828" s="32">
        <x:v>1222.28</x:v>
      </x:c>
      <x:c r="E5828" s="32">
        <x:v>1223.56</x:v>
      </x:c>
      <x:c r="F5828" s="33">
        <x:v>432238900</x:v>
      </x:c>
      <x:c r="G5828" s="32" t="n">
        <x:f t="shared" si="261">AVERAGE(E5629:E5828)</x:f>
        <x:v>1206.2769</x:v>
      </x:c>
      <x:c r="H5828" s="37" t="n">
        <x:f t="shared" si="262">IFERROR(E5828/G5828-1,"")</x:f>
        <x:v>0.014327639035448536</x:v>
      </x:c>
      <x:c r="I5828" s="38" t="b">
        <x:f t="shared" si="263">E5828&lt;G5828</x:f>
        <x:v>0</x:v>
      </x:c>
    </x:row>
    <x:row r="5829">
      <x:c r="A5829" s="31">
        <x:v>45520</x:v>
      </x:c>
      <x:c r="B5829" s="32">
        <x:v>1228.27</x:v>
      </x:c>
      <x:c r="C5829" s="32">
        <x:v>1253.24</x:v>
      </x:c>
      <x:c r="D5829" s="32">
        <x:v>1227.94</x:v>
      </x:c>
      <x:c r="E5829" s="32">
        <x:v>1252.23</x:v>
      </x:c>
      <x:c r="F5829" s="33">
        <x:v>917109200</x:v>
      </x:c>
      <x:c r="G5829" s="32" t="n">
        <x:f t="shared" si="261">AVERAGE(E5630:E5829)</x:f>
        <x:v>1207.2608000000002</x:v>
      </x:c>
      <x:c r="H5829" s="37" t="n">
        <x:f t="shared" si="262">IFERROR(E5829/G5829-1,"")</x:f>
        <x:v>0.037248952339046904</x:v>
      </x:c>
      <x:c r="I5829" s="38" t="b">
        <x:f t="shared" si="263">E5829&lt;G5829</x:f>
        <x:v>0</x:v>
      </x:c>
    </x:row>
    <x:row r="5830">
      <x:c r="A5830" s="31">
        <x:v>45523</x:v>
      </x:c>
      <x:c r="B5830" s="32">
        <x:v>1258.48</x:v>
      </x:c>
      <x:c r="C5830" s="32">
        <x:v>1263.8399999999999</x:v>
      </x:c>
      <x:c r="D5830" s="32">
        <x:v>1256.45</x:v>
      </x:c>
      <x:c r="E5830" s="32">
        <x:v>1261.6199999999999</x:v>
      </x:c>
      <x:c r="F5830" s="33">
        <x:v>609857600</x:v>
      </x:c>
      <x:c r="G5830" s="32" t="n">
        <x:f t="shared" si="261">AVERAGE(E5631:E5830)</x:f>
        <x:v>1208.2658000000001</x:v>
      </x:c>
      <x:c r="H5830" s="37" t="n">
        <x:f t="shared" si="262">IFERROR(E5830/G5830-1,"")</x:f>
        <x:v>0.04415766795683518</x:v>
      </x:c>
      <x:c r="I5830" s="38" t="b">
        <x:f t="shared" si="263">E5830&lt;G5830</x:f>
        <x:v>0</x:v>
      </x:c>
    </x:row>
    <x:row r="5831">
      <x:c r="A5831" s="31">
        <x:v>45524</x:v>
      </x:c>
      <x:c r="B5831" s="32">
        <x:v>1263.6500000000001</x:v>
      </x:c>
      <x:c r="C5831" s="32">
        <x:v>1275.95</x:v>
      </x:c>
      <x:c r="D5831" s="32">
        <x:v>1263.6500000000001</x:v>
      </x:c>
      <x:c r="E5831" s="32">
        <x:v>1272.55</x:v>
      </x:c>
      <x:c r="F5831" s="33">
        <x:v>772116400</x:v>
      </x:c>
      <x:c r="G5831" s="32" t="n">
        <x:f t="shared" si="261">AVERAGE(E5632:E5831)</x:f>
        <x:v>1209.4165500000001</x:v>
      </x:c>
      <x:c r="H5831" s="37" t="n">
        <x:f t="shared" si="262">IFERROR(E5831/G5831-1,"")</x:f>
        <x:v>0.05220157604094289</x:v>
      </x:c>
      <x:c r="I5831" s="38" t="b">
        <x:f t="shared" si="263">E5831&lt;G5831</x:f>
        <x:v>0</x:v>
      </x:c>
    </x:row>
    <x:row r="5832">
      <x:c r="A5832" s="31">
        <x:v>45525</x:v>
      </x:c>
      <x:c r="B5832" s="32">
        <x:v>1272.3399999999999</x:v>
      </x:c>
      <x:c r="C5832" s="32">
        <x:v>1284.05</x:v>
      </x:c>
      <x:c r="D5832" s="32">
        <x:v>1268.9100000000001</x:v>
      </x:c>
      <x:c r="E5832" s="32">
        <x:v>1284.05</x:v>
      </x:c>
      <x:c r="F5832" s="33">
        <x:v>715821800</x:v>
      </x:c>
      <x:c r="G5832" s="32" t="n">
        <x:f t="shared" si="261">AVERAGE(E5633:E5832)</x:f>
        <x:v>1210.6958499999998</x:v>
      </x:c>
      <x:c r="H5832" s="37" t="n">
        <x:f t="shared" si="262">IFERROR(E5832/G5832-1,"")</x:f>
        <x:v>0.06058842111336227</x:v>
      </x:c>
      <x:c r="I5832" s="38" t="b">
        <x:f t="shared" si="263">E5832&lt;G5832</x:f>
        <x:v>0</x:v>
      </x:c>
    </x:row>
    <x:row r="5833">
      <x:c r="A5833" s="31">
        <x:v>45526</x:v>
      </x:c>
      <x:c r="B5833" s="32">
        <x:v>1287.3399999999999</x:v>
      </x:c>
      <x:c r="C5833" s="32">
        <x:v>1288.42</x:v>
      </x:c>
      <x:c r="D5833" s="32">
        <x:v>1280.42</x:v>
      </x:c>
      <x:c r="E5833" s="32">
        <x:v>1282.78</x:v>
      </x:c>
      <x:c r="F5833" s="33">
        <x:v>612390700</x:v>
      </x:c>
      <x:c r="G5833" s="32" t="n">
        <x:f t="shared" si="261">AVERAGE(E5634:E5833)</x:f>
        <x:v>1211.91145</x:v>
      </x:c>
      <x:c r="H5833" s="37" t="n">
        <x:f t="shared" si="262">IFERROR(E5833/G5833-1,"")</x:f>
        <x:v>0.058476673357612086</x:v>
      </x:c>
      <x:c r="I5833" s="38" t="b">
        <x:f t="shared" si="263">E5833&lt;G5833</x:f>
        <x:v>0</x:v>
      </x:c>
    </x:row>
    <x:row r="5834">
      <x:c r="A5834" s="31">
        <x:v>45527</x:v>
      </x:c>
      <x:c r="B5834" s="32">
        <x:v>1283.22</x:v>
      </x:c>
      <x:c r="C5834" s="32">
        <x:v>1287.43</x:v>
      </x:c>
      <x:c r="D5834" s="32">
        <x:v>1276.43</x:v>
      </x:c>
      <x:c r="E5834" s="32">
        <x:v>1285.32</x:v>
      </x:c>
      <x:c r="F5834" s="33">
        <x:v>635715300</x:v>
      </x:c>
      <x:c r="G5834" s="32" t="n">
        <x:f t="shared" si="261">AVERAGE(E5635:E5834)</x:f>
        <x:v>1212.9607000000003</x:v>
      </x:c>
      <x:c r="H5834" s="37" t="n">
        <x:f t="shared" si="262">IFERROR(E5834/G5834-1,"")</x:f>
        <x:v>0.05965510671532859</x:v>
      </x:c>
      <x:c r="I5834" s="38" t="b">
        <x:f t="shared" si="263">E5834&lt;G5834</x:f>
        <x:v>0</x:v>
      </x:c>
    </x:row>
    <x:row r="5835">
      <x:c r="A5835" s="31">
        <x:v>45530</x:v>
      </x:c>
      <x:c r="B5835" s="32">
        <x:v>1289.6500000000001</x:v>
      </x:c>
      <x:c r="C5835" s="32">
        <x:v>1290.45</x:v>
      </x:c>
      <x:c r="D5835" s="32">
        <x:v>1278.72</x:v>
      </x:c>
      <x:c r="E5835" s="32">
        <x:v>1280.02</x:v>
      </x:c>
      <x:c r="F5835" s="33">
        <x:v>692148600</x:v>
      </x:c>
      <x:c r="G5835" s="32" t="n">
        <x:f t="shared" si="261">AVERAGE(E5636:E5835)</x:f>
        <x:v>1213.9769000000001</x:v>
      </x:c>
      <x:c r="H5835" s="37" t="n">
        <x:f t="shared" si="262">IFERROR(E5835/G5835-1,"")</x:f>
        <x:v>0.05440227075160964</x:v>
      </x:c>
      <x:c r="I5835" s="38" t="b">
        <x:f t="shared" si="263">E5835&lt;G5835</x:f>
        <x:v>0</x:v>
      </x:c>
    </x:row>
    <x:row r="5836">
      <x:c r="A5836" s="31">
        <x:v>45531</x:v>
      </x:c>
      <x:c r="B5836" s="32">
        <x:v>1279.55</x:v>
      </x:c>
      <x:c r="C5836" s="32">
        <x:v>1282.92</x:v>
      </x:c>
      <x:c r="D5836" s="32">
        <x:v>1274.7</x:v>
      </x:c>
      <x:c r="E5836" s="32">
        <x:v>1280.56</x:v>
      </x:c>
      <x:c r="F5836" s="33">
        <x:v>589971400</x:v>
      </x:c>
      <x:c r="G5836" s="32" t="n">
        <x:f t="shared" si="261">AVERAGE(E5637:E5836)</x:f>
        <x:v>1214.9314</x:v>
      </x:c>
      <x:c r="H5836" s="37" t="n">
        <x:f t="shared" si="262">IFERROR(E5836/G5836-1,"")</x:f>
        <x:v>0.054018358567405445</x:v>
      </x:c>
      <x:c r="I5836" s="38" t="b">
        <x:f t="shared" si="263">E5836&lt;G5836</x:f>
        <x:v>0</x:v>
      </x:c>
    </x:row>
    <x:row r="5837">
      <x:c r="A5837" s="31">
        <x:v>45532</x:v>
      </x:c>
      <x:c r="B5837" s="32">
        <x:v>1283.4100000000001</x:v>
      </x:c>
      <x:c r="C5837" s="32">
        <x:v>1285.72</x:v>
      </x:c>
      <x:c r="D5837" s="32">
        <x:v>1276.9000000000001</x:v>
      </x:c>
      <x:c r="E5837" s="32">
        <x:v>1281.44</x:v>
      </x:c>
      <x:c r="F5837" s="33">
        <x:v>658164100</x:v>
      </x:c>
      <x:c r="G5837" s="32" t="n">
        <x:f t="shared" ref="G5837:G5900" si="264">AVERAGE(E5638:E5837)</x:f>
        <x:v>1215.93715</x:v>
      </x:c>
      <x:c r="H5837" s="37" t="n">
        <x:f t="shared" ref="H5837:H5900" si="265">IFERROR(E5837/G5837-1,"")</x:f>
        <x:v>0.053870259659391184</x:v>
      </x:c>
      <x:c r="I5837" s="38" t="b">
        <x:f t="shared" ref="I5837:I5900" si="266">E5837&lt;G5837</x:f>
        <x:v>0</x:v>
      </x:c>
    </x:row>
    <x:row r="5838">
      <x:c r="A5838" s="31">
        <x:v>45533</x:v>
      </x:c>
      <x:c r="B5838" s="32">
        <x:v>1281.1500000000001</x:v>
      </x:c>
      <x:c r="C5838" s="32">
        <x:v>1288.2</x:v>
      </x:c>
      <x:c r="D5838" s="32">
        <x:v>1280.24</x:v>
      </x:c>
      <x:c r="E5838" s="32">
        <x:v>1281.47</x:v>
      </x:c>
      <x:c r="F5838" s="33">
        <x:v>581218200</x:v>
      </x:c>
      <x:c r="G5838" s="32" t="n">
        <x:f t="shared" si="264">AVERAGE(E5639:E5838)</x:f>
        <x:v>1216.77735</x:v>
      </x:c>
      <x:c r="H5838" s="37" t="n">
        <x:f t="shared" si="265">IFERROR(E5838/G5838-1,"")</x:f>
        <x:v>0.05316720433693134</x:v>
      </x:c>
      <x:c r="I5838" s="38" t="b">
        <x:f t="shared" si="266">E5838&lt;G5838</x:f>
        <x:v>0</x:v>
      </x:c>
    </x:row>
    <x:row r="5839">
      <x:c r="A5839" s="31">
        <x:v>45534</x:v>
      </x:c>
      <x:c r="B5839" s="32">
        <x:v>1283.6099999999999</x:v>
      </x:c>
      <x:c r="C5839" s="32">
        <x:v>1286.8399999999999</x:v>
      </x:c>
      <x:c r="D5839" s="32">
        <x:v>1282.58</x:v>
      </x:c>
      <x:c r="E5839" s="32">
        <x:v>1283.8699999999999</x:v>
      </x:c>
      <x:c r="F5839" s="33">
        <x:v>510781800</x:v>
      </x:c>
      <x:c r="G5839" s="32" t="n">
        <x:f t="shared" si="264">AVERAGE(E5640:E5839)</x:f>
        <x:v>1217.62725</x:v>
      </x:c>
      <x:c r="H5839" s="37" t="n">
        <x:f t="shared" si="265">IFERROR(E5839/G5839-1,"")</x:f>
        <x:v>0.05440314349075215</x:v>
      </x:c>
      <x:c r="I5839" s="38" t="b">
        <x:f t="shared" si="266">E5839&lt;G5839</x:f>
        <x:v>0</x:v>
      </x:c>
    </x:row>
    <x:row r="5840">
      <x:c r="A5840" s="31">
        <x:v>45539</x:v>
      </x:c>
      <x:c r="B5840" s="32">
        <x:v>1271.3900000000001</x:v>
      </x:c>
      <x:c r="C5840" s="32">
        <x:v>1277.27</x:v>
      </x:c>
      <x:c r="D5840" s="32">
        <x:v>1268.43</x:v>
      </x:c>
      <x:c r="E5840" s="32">
        <x:v>1275.8</x:v>
      </x:c>
      <x:c r="F5840" s="33">
        <x:v>588167700</x:v>
      </x:c>
      <x:c r="G5840" s="32" t="n">
        <x:f t="shared" si="264">AVERAGE(E5641:E5840)</x:f>
        <x:v>1218.49785</x:v>
      </x:c>
      <x:c r="H5840" s="37" t="n">
        <x:f t="shared" si="265">IFERROR(E5840/G5840-1,"")</x:f>
        <x:v>0.04702687821730667</x:v>
      </x:c>
      <x:c r="I5840" s="38" t="b">
        <x:f t="shared" si="266">E5840&lt;G5840</x:f>
        <x:v>0</x:v>
      </x:c>
    </x:row>
    <x:row r="5841">
      <x:c r="A5841" s="31">
        <x:v>45540</x:v>
      </x:c>
      <x:c r="B5841" s="32">
        <x:v>1276.3499999999999</x:v>
      </x:c>
      <x:c r="C5841" s="32">
        <x:v>1282.21</x:v>
      </x:c>
      <x:c r="D5841" s="32">
        <x:v>1266.05</x:v>
      </x:c>
      <x:c r="E5841" s="32">
        <x:v>1268.21</x:v>
      </x:c>
      <x:c r="F5841" s="33">
        <x:v>594459100</x:v>
      </x:c>
      <x:c r="G5841" s="32" t="n">
        <x:f t="shared" si="264">AVERAGE(E5642:E5841)</x:f>
        <x:v>1219.33855</x:v>
      </x:c>
      <x:c r="H5841" s="37" t="n">
        <x:f t="shared" si="265">IFERROR(E5841/G5841-1,"")</x:f>
        <x:v>0.040080295993266235</x:v>
      </x:c>
      <x:c r="I5841" s="38" t="b">
        <x:f t="shared" si="266">E5841&lt;G5841</x:f>
        <x:v>0</x:v>
      </x:c>
    </x:row>
    <x:row r="5842">
      <x:c r="A5842" s="31">
        <x:v>45541</x:v>
      </x:c>
      <x:c r="B5842" s="32">
        <x:v>1268.26</x:v>
      </x:c>
      <x:c r="C5842" s="32">
        <x:v>1274.44</x:v>
      </x:c>
      <x:c r="D5842" s="32">
        <x:v>1262.94</x:v>
      </x:c>
      <x:c r="E5842" s="32">
        <x:v>1273.96</x:v>
      </x:c>
      <x:c r="F5842" s="33">
        <x:v>514945000</x:v>
      </x:c>
      <x:c r="G5842" s="32" t="n">
        <x:f t="shared" si="264">AVERAGE(E5643:E5842)</x:f>
        <x:v>1220.1597</x:v>
      </x:c>
      <x:c r="H5842" s="37" t="n">
        <x:f t="shared" si="265">IFERROR(E5842/G5842-1,"")</x:f>
        <x:v>0.044092834733027164</x:v>
      </x:c>
      <x:c r="I5842" s="38" t="b">
        <x:f t="shared" si="266">E5842&lt;G5842</x:f>
        <x:v>0</x:v>
      </x:c>
    </x:row>
    <x:row r="5843">
      <x:c r="A5843" s="31">
        <x:v>45544</x:v>
      </x:c>
      <x:c r="B5843" s="32">
        <x:v>1269.83</x:v>
      </x:c>
      <x:c r="C5843" s="32">
        <x:v>1269.92</x:v>
      </x:c>
      <x:c r="D5843" s="32">
        <x:v>1262.97</x:v>
      </x:c>
      <x:c r="E5843" s="32">
        <x:v>1267.73</x:v>
      </x:c>
      <x:c r="F5843" s="33">
        <x:v>433866000</x:v>
      </x:c>
      <x:c r="G5843" s="32" t="n">
        <x:f t="shared" si="264">AVERAGE(E5644:E5843)</x:f>
        <x:v>1220.8858500000001</x:v>
      </x:c>
      <x:c r="H5843" s="37" t="n">
        <x:f t="shared" si="265">IFERROR(E5843/G5843-1,"")</x:f>
        <x:v>0.03836898429120117</x:v>
      </x:c>
      <x:c r="I5843" s="38" t="b">
        <x:f t="shared" si="266">E5843&lt;G5843</x:f>
        <x:v>0</x:v>
      </x:c>
    </x:row>
    <x:row r="5844">
      <x:c r="A5844" s="31">
        <x:v>45545</x:v>
      </x:c>
      <x:c r="B5844" s="32">
        <x:v>1269.83</x:v>
      </x:c>
      <x:c r="C5844" s="32">
        <x:v>1271.83</x:v>
      </x:c>
      <x:c r="D5844" s="32">
        <x:v>1252.22</x:v>
      </x:c>
      <x:c r="E5844" s="32">
        <x:v>1255.23</x:v>
      </x:c>
      <x:c r="F5844" s="33">
        <x:v>601503900</x:v>
      </x:c>
      <x:c r="G5844" s="32" t="n">
        <x:f t="shared" si="264">AVERAGE(E5645:E5844)</x:f>
        <x:v>1221.5343500000004</x:v>
      </x:c>
      <x:c r="H5844" s="37" t="n">
        <x:f t="shared" si="265">IFERROR(E5844/G5844-1,"")</x:f>
        <x:v>0.02758469297240773</x:v>
      </x:c>
      <x:c r="I5844" s="38" t="b">
        <x:f t="shared" si="266">E5844&lt;G5844</x:f>
        <x:v>0</x:v>
      </x:c>
    </x:row>
    <x:row r="5845">
      <x:c r="A5845" s="31">
        <x:v>45546</x:v>
      </x:c>
      <x:c r="B5845" s="32">
        <x:v>1254.25</x:v>
      </x:c>
      <x:c r="C5845" s="32">
        <x:v>1256.8599999999999</x:v>
      </x:c>
      <x:c r="D5845" s="32">
        <x:v>1244.79</x:v>
      </x:c>
      <x:c r="E5845" s="32">
        <x:v>1253.27</x:v>
      </x:c>
      <x:c r="F5845" s="33">
        <x:v>517736700</x:v>
      </x:c>
      <x:c r="G5845" s="32" t="n">
        <x:f t="shared" si="264">AVERAGE(E5646:E5845)</x:f>
        <x:v>1222.2947500000002</x:v>
      </x:c>
      <x:c r="H5845" s="37" t="n">
        <x:f t="shared" si="265">IFERROR(E5845/G5845-1,"")</x:f>
        <x:v>0.025341882553287398</x:v>
      </x:c>
      <x:c r="I5845" s="38" t="b">
        <x:f t="shared" si="266">E5845&lt;G5845</x:f>
        <x:v>0</x:v>
      </x:c>
    </x:row>
    <x:row r="5846">
      <x:c r="A5846" s="31">
        <x:v>45547</x:v>
      </x:c>
      <x:c r="B5846" s="32">
        <x:v>1258.42</x:v>
      </x:c>
      <x:c r="C5846" s="32">
        <x:v>1260.93</x:v>
      </x:c>
      <x:c r="D5846" s="32">
        <x:v>1255.8699999999999</x:v>
      </x:c>
      <x:c r="E5846" s="32">
        <x:v>1256.3499999999999</x:v>
      </x:c>
      <x:c r="F5846" s="33">
        <x:v>381113000</x:v>
      </x:c>
      <x:c r="G5846" s="32" t="n">
        <x:f t="shared" si="264">AVERAGE(E5647:E5846)</x:f>
        <x:v>1223.0582000000002</x:v>
      </x:c>
      <x:c r="H5846" s="37" t="n">
        <x:f t="shared" si="265">IFERROR(E5846/G5846-1,"")</x:f>
        <x:v>0.027220127382327153</x:v>
      </x:c>
      <x:c r="I5846" s="38" t="b">
        <x:f t="shared" si="266">E5846&lt;G5846</x:f>
        <x:v>0</x:v>
      </x:c>
    </x:row>
    <x:row r="5847">
      <x:c r="A5847" s="31">
        <x:v>45548</x:v>
      </x:c>
      <x:c r="B5847" s="32">
        <x:v>1253.48</x:v>
      </x:c>
      <x:c r="C5847" s="32">
        <x:v>1254.24</x:v>
      </x:c>
      <x:c r="D5847" s="32">
        <x:v>1248.78</x:v>
      </x:c>
      <x:c r="E5847" s="32">
        <x:v>1251.71</x:v>
      </x:c>
      <x:c r="F5847" s="33">
        <x:v>383574300</x:v>
      </x:c>
      <x:c r="G5847" s="32" t="n">
        <x:f t="shared" si="264">AVERAGE(E5648:E5847)</x:f>
        <x:v>1223.7644500000001</x:v>
      </x:c>
      <x:c r="H5847" s="37" t="n">
        <x:f t="shared" si="265">IFERROR(E5847/G5847-1,"")</x:f>
        <x:v>0.02283572627068864</x:v>
      </x:c>
      <x:c r="I5847" s="38" t="b">
        <x:f t="shared" si="266">E5847&lt;G5847</x:f>
        <x:v>0</x:v>
      </x:c>
    </x:row>
    <x:row r="5848">
      <x:c r="A5848" s="31">
        <x:v>45551</x:v>
      </x:c>
      <x:c r="B5848" s="32">
        <x:v>1251.08</x:v>
      </x:c>
      <x:c r="C5848" s="32">
        <x:v>1255.42</x:v>
      </x:c>
      <x:c r="D5848" s="32">
        <x:v>1239.26</x:v>
      </x:c>
      <x:c r="E5848" s="32">
        <x:v>1239.26</x:v>
      </x:c>
      <x:c r="F5848" s="33">
        <x:v>453594700</x:v>
      </x:c>
      <x:c r="G5848" s="32" t="n">
        <x:f t="shared" si="264">AVERAGE(E5649:E5848)</x:f>
        <x:v>1224.3916500000005</x:v>
      </x:c>
      <x:c r="H5848" s="37" t="n">
        <x:f t="shared" si="265">IFERROR(E5848/G5848-1,"")</x:f>
        <x:v>0.01214345916194337</x:v>
      </x:c>
      <x:c r="I5848" s="38" t="b">
        <x:f t="shared" si="266">E5848&lt;G5848</x:f>
        <x:v>0</x:v>
      </x:c>
    </x:row>
    <x:row r="5849">
      <x:c r="A5849" s="31">
        <x:v>45552</x:v>
      </x:c>
      <x:c r="B5849" s="32">
        <x:v>1240</x:v>
      </x:c>
      <x:c r="C5849" s="32">
        <x:v>1258.95</x:v>
      </x:c>
      <x:c r="D5849" s="32">
        <x:v>1238.69</x:v>
      </x:c>
      <x:c r="E5849" s="32">
        <x:v>1258.95</x:v>
      </x:c>
      <x:c r="F5849" s="33">
        <x:v>460745200</x:v>
      </x:c>
      <x:c r="G5849" s="32" t="n">
        <x:f t="shared" si="264">AVERAGE(E5650:E5849)</x:f>
        <x:v>1225.2439500000003</x:v>
      </x:c>
      <x:c r="H5849" s="37" t="n">
        <x:f t="shared" si="265">IFERROR(E5849/G5849-1,"")</x:f>
        <x:v>0.027509664503954312</x:v>
      </x:c>
      <x:c r="I5849" s="38" t="b">
        <x:f t="shared" si="266">E5849&lt;G5849</x:f>
        <x:v>0</x:v>
      </x:c>
    </x:row>
    <x:row r="5850">
      <x:c r="A5850" s="31">
        <x:v>45553</x:v>
      </x:c>
      <x:c r="B5850" s="32">
        <x:v>1261.23</x:v>
      </x:c>
      <x:c r="C5850" s="32">
        <x:v>1271.77</x:v>
      </x:c>
      <x:c r="D5850" s="32">
        <x:v>1257.93</x:v>
      </x:c>
      <x:c r="E5850" s="32">
        <x:v>1264.9000000000001</x:v>
      </x:c>
      <x:c r="F5850" s="33">
        <x:v>598425800</x:v>
      </x:c>
      <x:c r="G5850" s="32" t="n">
        <x:f t="shared" si="264">AVERAGE(E5651:E5850)</x:f>
        <x:v>1226.0904000000003</x:v>
      </x:c>
      <x:c r="H5850" s="37" t="n">
        <x:f t="shared" si="265">IFERROR(E5850/G5850-1,"")</x:f>
        <x:v>0.031653130960000775</x:v>
      </x:c>
      <x:c r="I5850" s="38" t="b">
        <x:f t="shared" si="266">E5850&lt;G5850</x:f>
        <x:v>0</x:v>
      </x:c>
    </x:row>
    <x:row r="5851">
      <x:c r="A5851" s="31">
        <x:v>45554</x:v>
      </x:c>
      <x:c r="B5851" s="32">
        <x:v>1268.08</x:v>
      </x:c>
      <x:c r="C5851" s="32">
        <x:v>1271.27</x:v>
      </x:c>
      <x:c r="D5851" s="32">
        <x:v>1264.82</x:v>
      </x:c>
      <x:c r="E5851" s="32">
        <x:v>1271.27</x:v>
      </x:c>
      <x:c r="F5851" s="33">
        <x:v>477857400</x:v>
      </x:c>
      <x:c r="G5851" s="32" t="n">
        <x:f t="shared" si="264">AVERAGE(E5652:E5851)</x:f>
        <x:v>1227.0064500000003</x:v>
      </x:c>
      <x:c r="H5851" s="37" t="n">
        <x:f t="shared" si="265">IFERROR(E5851/G5851-1,"")</x:f>
        <x:v>0.03607442324365917</x:v>
      </x:c>
      <x:c r="I5851" s="38" t="b">
        <x:f t="shared" si="266">E5851&lt;G5851</x:f>
        <x:v>0</x:v>
      </x:c>
    </x:row>
    <x:row r="5852">
      <x:c r="A5852" s="31">
        <x:v>45555</x:v>
      </x:c>
      <x:c r="B5852" s="32">
        <x:v>1277.73</x:v>
      </x:c>
      <x:c r="C5852" s="32">
        <x:v>1283.3</x:v>
      </x:c>
      <x:c r="D5852" s="32">
        <x:v>1272.04</x:v>
      </x:c>
      <x:c r="E5852" s="32">
        <x:v>1272.04</x:v>
      </x:c>
      <x:c r="F5852" s="33">
        <x:v>840427500</x:v>
      </x:c>
      <x:c r="G5852" s="32" t="n">
        <x:f t="shared" si="264">AVERAGE(E5653:E5852)</x:f>
        <x:v>1227.8895000000002</x:v>
      </x:c>
      <x:c r="H5852" s="37" t="n">
        <x:f t="shared" si="265">IFERROR(E5852/G5852-1,"")</x:f>
        <x:v>0.035956411387180864</x:v>
      </x:c>
      <x:c r="I5852" s="38" t="b">
        <x:f t="shared" si="266">E5852&lt;G5852</x:f>
        <x:v>0</x:v>
      </x:c>
    </x:row>
    <x:row r="5853">
      <x:c r="A5853" s="31">
        <x:v>45558</x:v>
      </x:c>
      <x:c r="B5853" s="32">
        <x:v>1275.1500000000001</x:v>
      </x:c>
      <x:c r="C5853" s="32">
        <x:v>1276.99</x:v>
      </x:c>
      <x:c r="D5853" s="32">
        <x:v>1267.8699999999999</x:v>
      </x:c>
      <x:c r="E5853" s="32">
        <x:v>1268.48</x:v>
      </x:c>
      <x:c r="F5853" s="33">
        <x:v>455722900</x:v>
      </x:c>
      <x:c r="G5853" s="32" t="n">
        <x:f t="shared" si="264">AVERAGE(E5654:E5853)</x:f>
        <x:v>1228.7179000000003</x:v>
      </x:c>
      <x:c r="H5853" s="37" t="n">
        <x:f t="shared" si="265">IFERROR(E5853/G5853-1,"")</x:f>
        <x:v>0.032360641934165324</x:v>
      </x:c>
      <x:c r="I5853" s="38" t="b">
        <x:f t="shared" si="266">E5853&lt;G5853</x:f>
        <x:v>0</x:v>
      </x:c>
    </x:row>
    <x:row r="5854">
      <x:c r="A5854" s="31">
        <x:v>45559</x:v>
      </x:c>
      <x:c r="B5854" s="32">
        <x:v>1268.25</x:v>
      </x:c>
      <x:c r="C5854" s="32">
        <x:v>1276.99</x:v>
      </x:c>
      <x:c r="D5854" s="32">
        <x:v>1266.68</x:v>
      </x:c>
      <x:c r="E5854" s="32">
        <x:v>1276.99</x:v>
      </x:c>
      <x:c r="F5854" s="33">
        <x:v>493764800</x:v>
      </x:c>
      <x:c r="G5854" s="32" t="n">
        <x:f t="shared" si="264">AVERAGE(E5655:E5854)</x:f>
        <x:v>1229.6322000000002</x:v>
      </x:c>
      <x:c r="H5854" s="37" t="n">
        <x:f t="shared" si="265">IFERROR(E5854/G5854-1,"")</x:f>
        <x:v>0.03851379298622781</x:v>
      </x:c>
      <x:c r="I5854" s="38" t="b">
        <x:f t="shared" si="266">E5854&lt;G5854</x:f>
        <x:v>0</x:v>
      </x:c>
    </x:row>
    <x:row r="5855">
      <x:c r="A5855" s="31">
        <x:v>45560</x:v>
      </x:c>
      <x:c r="B5855" s="32">
        <x:v>1282.48</x:v>
      </x:c>
      <x:c r="C5855" s="32">
        <x:v>1288.44</x:v>
      </x:c>
      <x:c r="D5855" s="32">
        <x:v>1280.47</x:v>
      </x:c>
      <x:c r="E5855" s="32">
        <x:v>1287.48</x:v>
      </x:c>
      <x:c r="F5855" s="33">
        <x:v>904058400</x:v>
      </x:c>
      <x:c r="G5855" s="32" t="n">
        <x:f t="shared" si="264">AVERAGE(E5656:E5855)</x:f>
        <x:v>1230.5588000000002</x:v>
      </x:c>
      <x:c r="H5855" s="37" t="n">
        <x:f t="shared" si="265">IFERROR(E5855/G5855-1,"")</x:f>
        <x:v>0.04625638368520035</x:v>
      </x:c>
      <x:c r="I5855" s="38" t="b">
        <x:f t="shared" si="266">E5855&lt;G5855</x:f>
        <x:v>0</x:v>
      </x:c>
    </x:row>
    <x:row r="5856">
      <x:c r="A5856" s="31">
        <x:v>45561</x:v>
      </x:c>
      <x:c r="B5856" s="32">
        <x:v>1290.03</x:v>
      </x:c>
      <x:c r="C5856" s="32">
        <x:v>1298.71</x:v>
      </x:c>
      <x:c r="D5856" s="32">
        <x:v>1289.1500000000001</x:v>
      </x:c>
      <x:c r="E5856" s="32">
        <x:v>1291.49</x:v>
      </x:c>
      <x:c r="F5856" s="33">
        <x:v>889834500</x:v>
      </x:c>
      <x:c r="G5856" s="32" t="n">
        <x:f t="shared" si="264">AVERAGE(E5657:E5856)</x:f>
        <x:v>1231.4138000000003</x:v>
      </x:c>
      <x:c r="H5856" s="37" t="n">
        <x:f t="shared" si="265">IFERROR(E5856/G5856-1,"")</x:f>
        <x:v>0.04878636247214363</x:v>
      </x:c>
      <x:c r="I5856" s="38" t="b">
        <x:f t="shared" si="266">E5856&lt;G5856</x:f>
        <x:v>0</x:v>
      </x:c>
    </x:row>
    <x:row r="5857">
      <x:c r="A5857" s="31">
        <x:v>45562</x:v>
      </x:c>
      <x:c r="B5857" s="32">
        <x:v>1295.03</x:v>
      </x:c>
      <x:c r="C5857" s="32">
        <x:v>1300.31</x:v>
      </x:c>
      <x:c r="D5857" s="32">
        <x:v>1287.21</x:v>
      </x:c>
      <x:c r="E5857" s="32">
        <x:v>1290.92</x:v>
      </x:c>
      <x:c r="F5857" s="33">
        <x:v>874903600</x:v>
      </x:c>
      <x:c r="G5857" s="32" t="n">
        <x:f t="shared" si="264">AVERAGE(E5658:E5857)</x:f>
        <x:v>1232.2885500000002</x:v>
      </x:c>
      <x:c r="H5857" s="37" t="n">
        <x:f t="shared" si="265">IFERROR(E5857/G5857-1,"")</x:f>
        <x:v>0.0475793189833662</x:v>
      </x:c>
      <x:c r="I5857" s="38" t="b">
        <x:f t="shared" si="266">E5857&lt;G5857</x:f>
        <x:v>0</x:v>
      </x:c>
    </x:row>
    <x:row r="5858">
      <x:c r="A5858" s="31">
        <x:v>45565</x:v>
      </x:c>
      <x:c r="B5858" s="32">
        <x:v>1290.17</x:v>
      </x:c>
      <x:c r="C5858" s="32">
        <x:v>1292.03</x:v>
      </x:c>
      <x:c r="D5858" s="32">
        <x:v>1283.92</x:v>
      </x:c>
      <x:c r="E5858" s="32">
        <x:v>1287.94</x:v>
      </x:c>
      <x:c r="F5858" s="33">
        <x:v>693267200</x:v>
      </x:c>
      <x:c r="G5858" s="32" t="n">
        <x:f t="shared" si="264">AVERAGE(E5659:E5858)</x:f>
        <x:v>1233.0961000000002</x:v>
      </x:c>
      <x:c r="H5858" s="37" t="n">
        <x:f t="shared" si="265">IFERROR(E5858/G5858-1,"")</x:f>
        <x:v>0.044476582157708444</x:v>
      </x:c>
      <x:c r="I5858" s="38" t="b">
        <x:f t="shared" si="266">E5858&lt;G5858</x:f>
        <x:v>0</x:v>
      </x:c>
    </x:row>
    <x:row r="5859">
      <x:c r="A5859" s="31">
        <x:v>45566</x:v>
      </x:c>
      <x:c r="B5859" s="32">
        <x:v>1290.68</x:v>
      </x:c>
      <x:c r="C5859" s="32">
        <x:v>1302.22</x:v>
      </x:c>
      <x:c r="D5859" s="32">
        <x:v>1290.68</x:v>
      </x:c>
      <x:c r="E5859" s="32">
        <x:v>1292.2</x:v>
      </x:c>
      <x:c r="F5859" s="33">
        <x:v>922549900</x:v>
      </x:c>
      <x:c r="G5859" s="32" t="n">
        <x:f t="shared" si="264">AVERAGE(E5660:E5859)</x:f>
        <x:v>1233.9496500000005</x:v>
      </x:c>
      <x:c r="H5859" s="37" t="n">
        <x:f t="shared" si="265">IFERROR(E5859/G5859-1,"")</x:f>
        <x:v>0.04720642369808159</x:v>
      </x:c>
      <x:c r="I5859" s="38" t="b">
        <x:f t="shared" si="266">E5859&lt;G5859</x:f>
        <x:v>0</x:v>
      </x:c>
    </x:row>
    <x:row r="5860">
      <x:c r="A5860" s="31">
        <x:v>45567</x:v>
      </x:c>
      <x:c r="B5860" s="32">
        <x:v>1289.6500000000001</x:v>
      </x:c>
      <x:c r="C5860" s="32">
        <x:v>1293.69</x:v>
      </x:c>
      <x:c r="D5860" s="32">
        <x:v>1285.1400000000001</x:v>
      </x:c>
      <x:c r="E5860" s="32">
        <x:v>1287.8399999999999</x:v>
      </x:c>
      <x:c r="F5860" s="33">
        <x:v>677770900</x:v>
      </x:c>
      <x:c r="G5860" s="32" t="n">
        <x:f t="shared" si="264">AVERAGE(E5661:E5860)</x:f>
        <x:v>1234.7666500000005</x:v>
      </x:c>
      <x:c r="H5860" s="37" t="n">
        <x:f t="shared" si="265">IFERROR(E5860/G5860-1,"")</x:f>
        <x:v>0.04298249389874553</x:v>
      </x:c>
      <x:c r="I5860" s="38" t="b">
        <x:f t="shared" si="266">E5860&lt;G5860</x:f>
        <x:v>0</x:v>
      </x:c>
    </x:row>
    <x:row r="5861">
      <x:c r="A5861" s="31">
        <x:v>45568</x:v>
      </x:c>
      <x:c r="B5861" s="32">
        <x:v>1288.45</x:v>
      </x:c>
      <x:c r="C5861" s="32">
        <x:v>1299.3599999999999</x:v>
      </x:c>
      <x:c r="D5861" s="32">
        <x:v>1276.51</x:v>
      </x:c>
      <x:c r="E5861" s="32">
        <x:v>1278.0999999999999</x:v>
      </x:c>
      <x:c r="F5861" s="33">
        <x:v>1009745900</x:v>
      </x:c>
      <x:c r="G5861" s="32" t="n">
        <x:f t="shared" si="264">AVERAGE(E5662:E5861)</x:f>
        <x:v>1235.5296500000004</x:v>
      </x:c>
      <x:c r="H5861" s="37" t="n">
        <x:f t="shared" si="265">IFERROR(E5861/G5861-1,"")</x:f>
        <x:v>0.03445514237557923</x:v>
      </x:c>
      <x:c r="I5861" s="38" t="b">
        <x:f t="shared" si="266">E5861&lt;G5861</x:f>
        <x:v>0</x:v>
      </x:c>
    </x:row>
    <x:row r="5862">
      <x:c r="A5862" s="31">
        <x:v>45569</x:v>
      </x:c>
      <x:c r="B5862" s="32">
        <x:v>1278.9000000000001</x:v>
      </x:c>
      <x:c r="C5862" s="32">
        <x:v>1279.33</x:v>
      </x:c>
      <x:c r="D5862" s="32">
        <x:v>1270.5999999999999</x:v>
      </x:c>
      <x:c r="E5862" s="32">
        <x:v>1270.5999999999999</x:v>
      </x:c>
      <x:c r="F5862" s="33">
        <x:v>568802900</x:v>
      </x:c>
      <x:c r="G5862" s="32" t="n">
        <x:f t="shared" si="264">AVERAGE(E5663:E5862)</x:f>
        <x:v>1236.2445000000005</x:v>
      </x:c>
      <x:c r="H5862" s="37" t="n">
        <x:f t="shared" si="265">IFERROR(E5862/G5862-1,"")</x:f>
        <x:v>0.027790214637961608</x:v>
      </x:c>
      <x:c r="I5862" s="38" t="b">
        <x:f t="shared" si="266">E5862&lt;G5862</x:f>
        <x:v>0</x:v>
      </x:c>
    </x:row>
    <x:row r="5863">
      <x:c r="A5863" s="31">
        <x:v>45572</x:v>
      </x:c>
      <x:c r="B5863" s="32">
        <x:v>1275.5899999999999</x:v>
      </x:c>
      <x:c r="C5863" s="32">
        <x:v>1278.6099999999999</x:v>
      </x:c>
      <x:c r="D5863" s="32">
        <x:v>1264.6500000000001</x:v>
      </x:c>
      <x:c r="E5863" s="32">
        <x:v>1269.93</x:v>
      </x:c>
      <x:c r="F5863" s="33">
        <x:v>497177600</x:v>
      </x:c>
      <x:c r="G5863" s="32" t="n">
        <x:f t="shared" si="264">AVERAGE(E5664:E5863)</x:f>
        <x:v>1237.0231500000002</x:v>
      </x:c>
      <x:c r="H5863" s="37" t="n">
        <x:f t="shared" si="265">IFERROR(E5863/G5863-1,"")</x:f>
        <x:v>0.02660164443971791</x:v>
      </x:c>
      <x:c r="I5863" s="38" t="b">
        <x:f t="shared" si="266">E5863&lt;G5863</x:f>
        <x:v>0</x:v>
      </x:c>
    </x:row>
    <x:row r="5864">
      <x:c r="A5864" s="31">
        <x:v>45573</x:v>
      </x:c>
      <x:c r="B5864" s="32">
        <x:v>1271.98</x:v>
      </x:c>
      <x:c r="C5864" s="32">
        <x:v>1275.82</x:v>
      </x:c>
      <x:c r="D5864" s="32">
        <x:v>1266.94</x:v>
      </x:c>
      <x:c r="E5864" s="32">
        <x:v>1271.98</x:v>
      </x:c>
      <x:c r="F5864" s="33">
        <x:v>650356800</x:v>
      </x:c>
      <x:c r="G5864" s="32" t="n">
        <x:f t="shared" si="264">AVERAGE(E5665:E5864)</x:f>
        <x:v>1237.8324000000002</x:v>
      </x:c>
      <x:c r="H5864" s="37" t="n">
        <x:f t="shared" si="265">IFERROR(E5864/G5864-1,"")</x:f>
        <x:v>0.027586610271309597</x:v>
      </x:c>
      <x:c r="I5864" s="38" t="b">
        <x:f t="shared" si="266">E5864&lt;G5864</x:f>
        <x:v>0</x:v>
      </x:c>
    </x:row>
    <x:row r="5865">
      <x:c r="A5865" s="31">
        <x:v>45574</x:v>
      </x:c>
      <x:c r="B5865" s="32">
        <x:v>1273.96</x:v>
      </x:c>
      <x:c r="C5865" s="32">
        <x:v>1283.01</x:v>
      </x:c>
      <x:c r="D5865" s="32">
        <x:v>1273.04</x:v>
      </x:c>
      <x:c r="E5865" s="32">
        <x:v>1281.8499999999999</x:v>
      </x:c>
      <x:c r="F5865" s="33">
        <x:v>643356300</x:v>
      </x:c>
      <x:c r="G5865" s="32" t="n">
        <x:f t="shared" si="264">AVERAGE(E5666:E5865)</x:f>
        <x:v>1238.73015</x:v>
      </x:c>
      <x:c r="H5865" s="37" t="n">
        <x:f t="shared" si="265">IFERROR(E5865/G5865-1,"")</x:f>
        <x:v>0.034809720260703836</x:v>
      </x:c>
      <x:c r="I5865" s="38" t="b">
        <x:f t="shared" si="266">E5865&lt;G5865</x:f>
        <x:v>0</x:v>
      </x:c>
    </x:row>
    <x:row r="5866">
      <x:c r="A5866" s="31">
        <x:v>45575</x:v>
      </x:c>
      <x:c r="B5866" s="32">
        <x:v>1289.6099999999999</x:v>
      </x:c>
      <x:c r="C5866" s="32">
        <x:v>1294.33</x:v>
      </x:c>
      <x:c r="D5866" s="32">
        <x:v>1284.97</x:v>
      </x:c>
      <x:c r="E5866" s="32">
        <x:v>1286.3599999999999</x:v>
      </x:c>
      <x:c r="F5866" s="33">
        <x:v>665300300</x:v>
      </x:c>
      <x:c r="G5866" s="32" t="n">
        <x:f t="shared" si="264">AVERAGE(E5667:E5866)</x:f>
        <x:v>1239.70255</x:v>
      </x:c>
      <x:c r="H5866" s="37" t="n">
        <x:f t="shared" si="265">IFERROR(E5866/G5866-1,"")</x:f>
        <x:v>0.03763600389464394</x:v>
      </x:c>
      <x:c r="I5866" s="38" t="b">
        <x:f t="shared" si="266">E5866&lt;G5866</x:f>
        <x:v>0</x:v>
      </x:c>
    </x:row>
    <x:row r="5867">
      <x:c r="A5867" s="31">
        <x:v>45576</x:v>
      </x:c>
      <x:c r="B5867" s="32">
        <x:v>1287.6600000000001</x:v>
      </x:c>
      <x:c r="C5867" s="32">
        <x:v>1289.3699999999999</x:v>
      </x:c>
      <x:c r="D5867" s="32">
        <x:v>1283.56</x:v>
      </x:c>
      <x:c r="E5867" s="32">
        <x:v>1288.3900000000001</x:v>
      </x:c>
      <x:c r="F5867" s="33">
        <x:v>479873200</x:v>
      </x:c>
      <x:c r="G5867" s="32" t="n">
        <x:f t="shared" si="264">AVERAGE(E5668:E5867)</x:f>
        <x:v>1240.6630000000002</x:v>
      </x:c>
      <x:c r="H5867" s="37" t="n">
        <x:f t="shared" si="265">IFERROR(E5867/G5867-1,"")</x:f>
        <x:v>0.03846894765137665</x:v>
      </x:c>
      <x:c r="I5867" s="38" t="b">
        <x:f t="shared" si="266">E5867&lt;G5867</x:f>
        <x:v>0</x:v>
      </x:c>
    </x:row>
    <x:row r="5868">
      <x:c r="A5868" s="31">
        <x:v>45579</x:v>
      </x:c>
      <x:c r="B5868" s="32">
        <x:v>1296.54</x:v>
      </x:c>
      <x:c r="C5868" s="32">
        <x:v>1297.67</x:v>
      </x:c>
      <x:c r="D5868" s="32">
        <x:v>1286.1300000000001</x:v>
      </x:c>
      <x:c r="E5868" s="32">
        <x:v>1286.3399999999999</x:v>
      </x:c>
      <x:c r="F5868" s="33">
        <x:v>670466100</x:v>
      </x:c>
      <x:c r="G5868" s="32" t="n">
        <x:f t="shared" si="264">AVERAGE(E5669:E5868)</x:f>
        <x:v>1241.5909000000001</x:v>
      </x:c>
      <x:c r="H5868" s="37" t="n">
        <x:f t="shared" si="265">IFERROR(E5868/G5868-1,"")</x:f>
        <x:v>0.03604174289615014</x:v>
      </x:c>
      <x:c r="I5868" s="38" t="b">
        <x:f t="shared" si="266">E5868&lt;G5868</x:f>
        <x:v>0</x:v>
      </x:c>
    </x:row>
    <x:row r="5869">
      <x:c r="A5869" s="31">
        <x:v>45580</x:v>
      </x:c>
      <x:c r="B5869" s="32">
        <x:v>1287.81</x:v>
      </x:c>
      <x:c r="C5869" s="32">
        <x:v>1294.05</x:v>
      </x:c>
      <x:c r="D5869" s="32">
        <x:v>1279.81</x:v>
      </x:c>
      <x:c r="E5869" s="32">
        <x:v>1281.08</x:v>
      </x:c>
      <x:c r="F5869" s="33">
        <x:v>675124700</x:v>
      </x:c>
      <x:c r="G5869" s="32" t="n">
        <x:f t="shared" si="264">AVERAGE(E5670:E5869)</x:f>
        <x:v>1242.4841500000002</x:v>
      </x:c>
      <x:c r="H5869" s="37" t="n">
        <x:f t="shared" si="265">IFERROR(E5869/G5869-1,"")</x:f>
        <x:v>0.031063454612277885</x:v>
      </x:c>
      <x:c r="I5869" s="38" t="b">
        <x:f t="shared" si="266">E5869&lt;G5869</x:f>
        <x:v>0</x:v>
      </x:c>
    </x:row>
    <x:row r="5870">
      <x:c r="A5870" s="31">
        <x:v>45581</x:v>
      </x:c>
      <x:c r="B5870" s="32">
        <x:v>1279.8599999999999</x:v>
      </x:c>
      <x:c r="C5870" s="32">
        <x:v>1283.33</x:v>
      </x:c>
      <x:c r="D5870" s="32">
        <x:v>1276.4000000000001</x:v>
      </x:c>
      <x:c r="E5870" s="32">
        <x:v>1279.48</x:v>
      </x:c>
      <x:c r="F5870" s="33">
        <x:v>482243100</x:v>
      </x:c>
      <x:c r="G5870" s="32" t="n">
        <x:f t="shared" si="264">AVERAGE(E5671:E5870)</x:f>
        <x:v>1243.3662500000005</x:v>
      </x:c>
      <x:c r="H5870" s="37" t="n">
        <x:f t="shared" si="265">IFERROR(E5870/G5870-1,"")</x:f>
        <x:v>0.02904514257162716</x:v>
      </x:c>
      <x:c r="I5870" s="38" t="b">
        <x:f t="shared" si="266">E5870&lt;G5870</x:f>
        <x:v>0</x:v>
      </x:c>
    </x:row>
    <x:row r="5871">
      <x:c r="A5871" s="31">
        <x:v>45582</x:v>
      </x:c>
      <x:c r="B5871" s="32">
        <x:v>1282.6500000000001</x:v>
      </x:c>
      <x:c r="C5871" s="32">
        <x:v>1286.52</x:v>
      </x:c>
      <x:c r="D5871" s="32">
        <x:v>1271.82</x:v>
      </x:c>
      <x:c r="E5871" s="32">
        <x:v>1286.52</x:v>
      </x:c>
      <x:c r="F5871" s="33">
        <x:v>617839000</x:v>
      </x:c>
      <x:c r="G5871" s="32" t="n">
        <x:f t="shared" si="264">AVERAGE(E5672:E5871)</x:f>
        <x:v>1244.2105500000002</x:v>
      </x:c>
      <x:c r="H5871" s="37" t="n">
        <x:f t="shared" si="265">IFERROR(E5871/G5871-1,"")</x:f>
        <x:v>0.034005056459294414</x:v>
      </x:c>
      <x:c r="I5871" s="38" t="b">
        <x:f t="shared" si="266">E5871&lt;G5871</x:f>
        <x:v>0</x:v>
      </x:c>
    </x:row>
    <x:row r="5872">
      <x:c r="A5872" s="31">
        <x:v>45583</x:v>
      </x:c>
      <x:c r="B5872" s="32">
        <x:v>1291.1600000000001</x:v>
      </x:c>
      <x:c r="C5872" s="32">
        <x:v>1294.0999999999999</x:v>
      </x:c>
      <x:c r="D5872" s="32">
        <x:v>1285.46</x:v>
      </x:c>
      <x:c r="E5872" s="32">
        <x:v>1285.46</x:v>
      </x:c>
      <x:c r="F5872" s="33">
        <x:v>607857500</x:v>
      </x:c>
      <x:c r="G5872" s="32" t="n">
        <x:f t="shared" si="264">AVERAGE(E5673:E5872)</x:f>
        <x:v>1245.0266000000001</x:v>
      </x:c>
      <x:c r="H5872" s="37" t="n">
        <x:f t="shared" si="265">IFERROR(E5872/G5872-1,"")</x:f>
        <x:v>0.03247593264272419</x:v>
      </x:c>
      <x:c r="I5872" s="38" t="b">
        <x:f t="shared" si="266">E5872&lt;G5872</x:f>
        <x:v>0</x:v>
      </x:c>
    </x:row>
    <x:row r="5873">
      <x:c r="A5873" s="31">
        <x:v>45586</x:v>
      </x:c>
      <x:c r="B5873" s="32">
        <x:v>1284.17</x:v>
      </x:c>
      <x:c r="C5873" s="32">
        <x:v>1287.71</x:v>
      </x:c>
      <x:c r="D5873" s="32">
        <x:v>1279.77</x:v>
      </x:c>
      <x:c r="E5873" s="32">
        <x:v>1279.77</x:v>
      </x:c>
      <x:c r="F5873" s="33">
        <x:v>580256800</x:v>
      </x:c>
      <x:c r="G5873" s="32" t="n">
        <x:f t="shared" si="264">AVERAGE(E5674:E5873)</x:f>
        <x:v>1245.8155000000002</x:v>
      </x:c>
      <x:c r="H5873" s="37" t="n">
        <x:f t="shared" si="265">IFERROR(E5873/G5873-1,"")</x:f>
        <x:v>0.027254838296681738</x:v>
      </x:c>
      <x:c r="I5873" s="38" t="b">
        <x:f t="shared" si="266">E5873&lt;G5873</x:f>
        <x:v>0</x:v>
      </x:c>
    </x:row>
    <x:row r="5874">
      <x:c r="A5874" s="31">
        <x:v>45587</x:v>
      </x:c>
      <x:c r="B5874" s="32">
        <x:v>1280.21</x:v>
      </x:c>
      <x:c r="C5874" s="32">
        <x:v>1280.21</x:v>
      </x:c>
      <x:c r="D5874" s="32">
        <x:v>1265.44</x:v>
      </x:c>
      <x:c r="E5874" s="32">
        <x:v>1269.8900000000001</x:v>
      </x:c>
      <x:c r="F5874" s="33">
        <x:v>728503100</x:v>
      </x:c>
      <x:c r="G5874" s="32" t="n">
        <x:f t="shared" si="264">AVERAGE(E5675:E5874)</x:f>
        <x:v>1246.5203000000001</x:v>
      </x:c>
      <x:c r="H5874" s="37" t="n">
        <x:f t="shared" si="265">IFERROR(E5874/G5874-1,"")</x:f>
        <x:v>0.01874794979271499</x:v>
      </x:c>
      <x:c r="I5874" s="38" t="b">
        <x:f t="shared" si="266">E5874&lt;G5874</x:f>
        <x:v>0</x:v>
      </x:c>
    </x:row>
    <x:row r="5875">
      <x:c r="A5875" s="31">
        <x:v>45588</x:v>
      </x:c>
      <x:c r="B5875" s="32">
        <x:v>1270.58</x:v>
      </x:c>
      <x:c r="C5875" s="32">
        <x:v>1273.21</x:v>
      </x:c>
      <x:c r="D5875" s="32">
        <x:v>1263.26</x:v>
      </x:c>
      <x:c r="E5875" s="32">
        <x:v>1270.9000000000001</x:v>
      </x:c>
      <x:c r="F5875" s="33">
        <x:v>535847500</x:v>
      </x:c>
      <x:c r="G5875" s="32" t="n">
        <x:f t="shared" si="264">AVERAGE(E5676:E5875)</x:f>
        <x:v>1247.2251500000002</x:v>
      </x:c>
      <x:c r="H5875" s="37" t="n">
        <x:f t="shared" si="265">IFERROR(E5875/G5875-1,"")</x:f>
        <x:v>0.01898201780167752</x:v>
      </x:c>
      <x:c r="I5875" s="38" t="b">
        <x:f t="shared" si="266">E5875&lt;G5875</x:f>
        <x:v>0</x:v>
      </x:c>
    </x:row>
    <x:row r="5876">
      <x:c r="A5876" s="31">
        <x:v>45589</x:v>
      </x:c>
      <x:c r="B5876" s="32">
        <x:v>1271.17</x:v>
      </x:c>
      <x:c r="C5876" s="32">
        <x:v>1274.1099999999999</x:v>
      </x:c>
      <x:c r="D5876" s="32">
        <x:v>1257.4100000000001</x:v>
      </x:c>
      <x:c r="E5876" s="32">
        <x:v>1257.4100000000001</x:v>
      </x:c>
      <x:c r="F5876" s="33">
        <x:v>592565400</x:v>
      </x:c>
      <x:c r="G5876" s="32" t="n">
        <x:f t="shared" si="264">AVERAGE(E5677:E5876)</x:f>
        <x:v>1247.8536000000001</x:v>
      </x:c>
      <x:c r="H5876" s="37" t="n">
        <x:f t="shared" si="265">IFERROR(E5876/G5876-1,"")</x:f>
        <x:v>0.007658270168872328</x:v>
      </x:c>
      <x:c r="I5876" s="38" t="b">
        <x:f t="shared" si="266">E5876&lt;G5876</x:f>
        <x:v>0</x:v>
      </x:c>
    </x:row>
    <x:row r="5877">
      <x:c r="A5877" s="31">
        <x:v>45590</x:v>
      </x:c>
      <x:c r="B5877" s="32">
        <x:v>1260.94</x:v>
      </x:c>
      <x:c r="C5877" s="32">
        <x:v>1261.72</x:v>
      </x:c>
      <x:c r="D5877" s="32">
        <x:v>1251.75</x:v>
      </x:c>
      <x:c r="E5877" s="32">
        <x:v>1252.72</x:v>
      </x:c>
      <x:c r="F5877" s="33">
        <x:v>525132900</x:v>
      </x:c>
      <x:c r="G5877" s="32" t="n">
        <x:f t="shared" si="264">AVERAGE(E5678:E5877)</x:f>
        <x:v>1248.39635</x:v>
      </x:c>
      <x:c r="H5877" s="37" t="n">
        <x:f t="shared" si="265">IFERROR(E5877/G5877-1,"")</x:f>
        <x:v>0.003463363217939497</x:v>
      </x:c>
      <x:c r="I5877" s="38" t="b">
        <x:f t="shared" si="266">E5877&lt;G5877</x:f>
        <x:v>0</x:v>
      </x:c>
    </x:row>
    <x:row r="5878">
      <x:c r="A5878" s="31">
        <x:v>45593</x:v>
      </x:c>
      <x:c r="B5878" s="32">
        <x:v>1252.76</x:v>
      </x:c>
      <x:c r="C5878" s="32">
        <x:v>1255.18</x:v>
      </x:c>
      <x:c r="D5878" s="32">
        <x:v>1250.94</x:v>
      </x:c>
      <x:c r="E5878" s="32">
        <x:v>1254.77</x:v>
      </x:c>
      <x:c r="F5878" s="33">
        <x:v>400523500</x:v>
      </x:c>
      <x:c r="G5878" s="32" t="n">
        <x:f t="shared" si="264">AVERAGE(E5679:E5878)</x:f>
        <x:v>1248.9166000000002</x:v>
      </x:c>
      <x:c r="H5878" s="37" t="n">
        <x:f t="shared" si="265">IFERROR(E5878/G5878-1,"")</x:f>
        <x:v>0.0046867821278056</x:v>
      </x:c>
      <x:c r="I5878" s="38" t="b">
        <x:f t="shared" si="266">E5878&lt;G5878</x:f>
        <x:v>0</x:v>
      </x:c>
    </x:row>
    <x:row r="5879">
      <x:c r="A5879" s="31">
        <x:v>45594</x:v>
      </x:c>
      <x:c r="B5879" s="32">
        <x:v>1258.03</x:v>
      </x:c>
      <x:c r="C5879" s="32">
        <x:v>1262.3800000000001</x:v>
      </x:c>
      <x:c r="D5879" s="32">
        <x:v>1257.43</x:v>
      </x:c>
      <x:c r="E5879" s="32">
        <x:v>1261.78</x:v>
      </x:c>
      <x:c r="F5879" s="33">
        <x:v>490901600</x:v>
      </x:c>
      <x:c r="G5879" s="32" t="n">
        <x:f t="shared" si="264">AVERAGE(E5680:E5879)</x:f>
        <x:v>1249.4521</x:v>
      </x:c>
      <x:c r="H5879" s="37" t="n">
        <x:f t="shared" si="265">IFERROR(E5879/G5879-1,"")</x:f>
        <x:v>0.009866644747725806</x:v>
      </x:c>
      <x:c r="I5879" s="38" t="b">
        <x:f t="shared" si="266">E5879&lt;G5879</x:f>
        <x:v>0</x:v>
      </x:c>
    </x:row>
    <x:row r="5880">
      <x:c r="A5880" s="31">
        <x:v>45595</x:v>
      </x:c>
      <x:c r="B5880" s="32">
        <x:v>1263.57</x:v>
      </x:c>
      <x:c r="C5880" s="32">
        <x:v>1264.8399999999999</x:v>
      </x:c>
      <x:c r="D5880" s="32">
        <x:v>1255.07</x:v>
      </x:c>
      <x:c r="E5880" s="32">
        <x:v>1258.6300000000001</x:v>
      </x:c>
      <x:c r="F5880" s="33">
        <x:v>475263400</x:v>
      </x:c>
      <x:c r="G5880" s="32" t="n">
        <x:f t="shared" si="264">AVERAGE(E5681:E5880)</x:f>
        <x:v>1249.9443</x:v>
      </x:c>
      <x:c r="H5880" s="37" t="n">
        <x:f t="shared" si="265">IFERROR(E5880/G5880-1,"")</x:f>
        <x:v>0.006948869641631328</x:v>
      </x:c>
      <x:c r="I5880" s="38" t="b">
        <x:f t="shared" si="266">E5880&lt;G5880</x:f>
        <x:v>0</x:v>
      </x:c>
    </x:row>
    <x:row r="5881">
      <x:c r="A5881" s="31">
        <x:v>45596</x:v>
      </x:c>
      <x:c r="B5881" s="32">
        <x:v>1260.23</x:v>
      </x:c>
      <x:c r="C5881" s="32">
        <x:v>1267.8800000000001</x:v>
      </x:c>
      <x:c r="D5881" s="32">
        <x:v>1255.55</x:v>
      </x:c>
      <x:c r="E5881" s="32">
        <x:v>1264.48</x:v>
      </x:c>
      <x:c r="F5881" s="33">
        <x:v>469095100</x:v>
      </x:c>
      <x:c r="G5881" s="32" t="n">
        <x:f t="shared" si="264">AVERAGE(E5682:E5881)</x:f>
        <x:v>1250.47375</x:v>
      </x:c>
      <x:c r="H5881" s="37" t="n">
        <x:f t="shared" si="265">IFERROR(E5881/G5881-1,"")</x:f>
        <x:v>0.0112007549138875</x:v>
      </x:c>
      <x:c r="I5881" s="38" t="b">
        <x:f t="shared" si="266">E5881&lt;G5881</x:f>
        <x:v>0</x:v>
      </x:c>
    </x:row>
    <x:row r="5882">
      <x:c r="A5882" s="31">
        <x:v>45597</x:v>
      </x:c>
      <x:c r="B5882" s="32">
        <x:v>1262.3900000000001</x:v>
      </x:c>
      <x:c r="C5882" s="32">
        <x:v>1264.67</x:v>
      </x:c>
      <x:c r="D5882" s="32">
        <x:v>1254.33</x:v>
      </x:c>
      <x:c r="E5882" s="32">
        <x:v>1254.8900000000001</x:v>
      </x:c>
      <x:c r="F5882" s="33">
        <x:v>537480700</x:v>
      </x:c>
      <x:c r="G5882" s="32" t="n">
        <x:f t="shared" si="264">AVERAGE(E5683:E5882)</x:f>
        <x:v>1250.9405000000004</x:v>
      </x:c>
      <x:c r="H5882" s="37" t="n">
        <x:f t="shared" si="265">IFERROR(E5882/G5882-1,"")</x:f>
        <x:v>0.0031572245042827962</x:v>
      </x:c>
      <x:c r="I5882" s="38" t="b">
        <x:f t="shared" si="266">E5882&lt;G5882</x:f>
        <x:v>0</x:v>
      </x:c>
    </x:row>
    <x:row r="5883">
      <x:c r="A5883" s="31">
        <x:v>45600</x:v>
      </x:c>
      <x:c r="B5883" s="32">
        <x:v>1255.92</x:v>
      </x:c>
      <x:c r="C5883" s="32">
        <x:v>1256.96</x:v>
      </x:c>
      <x:c r="D5883" s="32">
        <x:v>1242.3599999999999</x:v>
      </x:c>
      <x:c r="E5883" s="32">
        <x:v>1244.71</x:v>
      </x:c>
      <x:c r="F5883" s="33">
        <x:v>588219400</x:v>
      </x:c>
      <x:c r="G5883" s="32" t="n">
        <x:f t="shared" si="264">AVERAGE(E5684:E5883)</x:f>
        <x:v>1251.3529500000002</x:v>
      </x:c>
      <x:c r="H5883" s="37" t="n">
        <x:f t="shared" si="265">IFERROR(E5883/G5883-1,"")</x:f>
        <x:v>-0.005308614168368808</x:v>
      </x:c>
      <x:c r="I5883" s="38" t="b">
        <x:f t="shared" si="266">E5883&lt;G5883</x:f>
        <x:v>1</x:v>
      </x:c>
    </x:row>
    <x:row r="5884">
      <x:c r="A5884" s="31">
        <x:v>45601</x:v>
      </x:c>
      <x:c r="B5884" s="32">
        <x:v>1244.8499999999999</x:v>
      </x:c>
      <x:c r="C5884" s="32">
        <x:v>1248.97</x:v>
      </x:c>
      <x:c r="D5884" s="32">
        <x:v>1243.55</x:v>
      </x:c>
      <x:c r="E5884" s="32">
        <x:v>1245.76</x:v>
      </x:c>
      <x:c r="F5884" s="33">
        <x:v>332629000</x:v>
      </x:c>
      <x:c r="G5884" s="32" t="n">
        <x:f t="shared" si="264">AVERAGE(E5685:E5884)</x:f>
        <x:v>1251.8082500000005</x:v>
      </x:c>
      <x:c r="H5884" s="37" t="n">
        <x:f t="shared" si="265">IFERROR(E5884/G5884-1,"")</x:f>
        <x:v>-0.0048316105921178965</x:v>
      </x:c>
      <x:c r="I5884" s="38" t="b">
        <x:f t="shared" si="266">E5884&lt;G5884</x:f>
        <x:v>1</x:v>
      </x:c>
    </x:row>
    <x:row r="5885">
      <x:c r="A5885" s="31">
        <x:v>45602</x:v>
      </x:c>
      <x:c r="B5885" s="32">
        <x:v>1251.22</x:v>
      </x:c>
      <x:c r="C5885" s="32">
        <x:v>1262.44</x:v>
      </x:c>
      <x:c r="D5885" s="32">
        <x:v>1250.57</x:v>
      </x:c>
      <x:c r="E5885" s="32">
        <x:v>1261.28</x:v>
      </x:c>
      <x:c r="F5885" s="33">
        <x:v>502638900</x:v>
      </x:c>
      <x:c r="G5885" s="32" t="n">
        <x:f t="shared" si="264">AVERAGE(E5686:E5885)</x:f>
        <x:v>1252.3440500000004</x:v>
      </x:c>
      <x:c r="H5885" s="37" t="n">
        <x:f t="shared" si="265">IFERROR(E5885/G5885-1,"")</x:f>
        <x:v>0.0071353794510378155</x:v>
      </x:c>
      <x:c r="I5885" s="38" t="b">
        <x:f t="shared" si="266">E5885&lt;G5885</x:f>
        <x:v>0</x:v>
      </x:c>
    </x:row>
    <x:row r="5886">
      <x:c r="A5886" s="31">
        <x:v>45603</x:v>
      </x:c>
      <x:c r="B5886" s="32">
        <x:v>1266.6099999999999</x:v>
      </x:c>
      <x:c r="C5886" s="32">
        <x:v>1267.0899999999999</x:v>
      </x:c>
      <x:c r="D5886" s="32">
        <x:v>1259.75</x:v>
      </x:c>
      <x:c r="E5886" s="32">
        <x:v>1259.75</x:v>
      </x:c>
      <x:c r="F5886" s="33">
        <x:v>470366800</x:v>
      </x:c>
      <x:c r="G5886" s="32" t="n">
        <x:f t="shared" si="264">AVERAGE(E5687:E5886)</x:f>
        <x:v>1252.8272000000004</x:v>
      </x:c>
      <x:c r="H5886" s="37" t="n">
        <x:f t="shared" si="265">IFERROR(E5886/G5886-1,"")</x:f>
        <x:v>0.005525742097553188</x:v>
      </x:c>
      <x:c r="I5886" s="38" t="b">
        <x:f t="shared" si="266">E5886&lt;G5886</x:f>
        <x:v>0</x:v>
      </x:c>
    </x:row>
    <x:row r="5887">
      <x:c r="A5887" s="31">
        <x:v>45604</x:v>
      </x:c>
      <x:c r="B5887" s="32">
        <x:v>1262.8399999999999</x:v>
      </x:c>
      <x:c r="C5887" s="32">
        <x:v>1264.0899999999999</x:v>
      </x:c>
      <x:c r="D5887" s="32">
        <x:v>1250.77</x:v>
      </x:c>
      <x:c r="E5887" s="32">
        <x:v>1252.56</x:v>
      </x:c>
      <x:c r="F5887" s="33">
        <x:v>503245100</x:v>
      </x:c>
      <x:c r="G5887" s="32" t="n">
        <x:f t="shared" si="264">AVERAGE(E5688:E5887)</x:f>
        <x:v>1253.2773500000005</x:v>
      </x:c>
      <x:c r="H5887" s="37" t="n">
        <x:f t="shared" si="265">IFERROR(E5887/G5887-1,"")</x:f>
        <x:v>-0.0005723792901870528</x:v>
      </x:c>
      <x:c r="I5887" s="38" t="b">
        <x:f t="shared" si="266">E5887&lt;G5887</x:f>
        <x:v>1</x:v>
      </x:c>
    </x:row>
    <x:row r="5888">
      <x:c r="A5888" s="31">
        <x:v>45607</x:v>
      </x:c>
      <x:c r="B5888" s="32">
        <x:v>1253.81</x:v>
      </x:c>
      <x:c r="C5888" s="32">
        <x:v>1253.8699999999999</x:v>
      </x:c>
      <x:c r="D5888" s="32">
        <x:v>1241.29</x:v>
      </x:c>
      <x:c r="E5888" s="32">
        <x:v>1250.32</x:v>
      </x:c>
      <x:c r="F5888" s="33">
        <x:v>712083900</x:v>
      </x:c>
      <x:c r="G5888" s="32" t="n">
        <x:f t="shared" si="264">AVERAGE(E5689:E5888)</x:f>
        <x:v>1253.6836500000004</x:v>
      </x:c>
      <x:c r="H5888" s="37" t="n">
        <x:f t="shared" si="265">IFERROR(E5888/G5888-1,"")</x:f>
        <x:v>-0.0026830133742276052</x:v>
      </x:c>
      <x:c r="I5888" s="38" t="b">
        <x:f t="shared" si="266">E5888&lt;G5888</x:f>
        <x:v>1</x:v>
      </x:c>
    </x:row>
    <x:row r="5889">
      <x:c r="A5889" s="31">
        <x:v>45608</x:v>
      </x:c>
      <x:c r="B5889" s="32">
        <x:v>1251.79</x:v>
      </x:c>
      <x:c r="C5889" s="32">
        <x:v>1257.02</x:v>
      </x:c>
      <x:c r="D5889" s="32">
        <x:v>1242.9100000000001</x:v>
      </x:c>
      <x:c r="E5889" s="32">
        <x:v>1244.82</x:v>
      </x:c>
      <x:c r="F5889" s="33">
        <x:v>516346200</x:v>
      </x:c>
      <x:c r="G5889" s="32" t="n">
        <x:f t="shared" si="264">AVERAGE(E5690:E5889)</x:f>
        <x:v>1254.0002500000003</x:v>
      </x:c>
      <x:c r="H5889" s="37" t="n">
        <x:f t="shared" si="265">IFERROR(E5889/G5889-1,"")</x:f>
        <x:v>-0.007320772065237069</x:v>
      </x:c>
      <x:c r="I5889" s="38" t="b">
        <x:f t="shared" si="266">E5889&lt;G5889</x:f>
        <x:v>1</x:v>
      </x:c>
    </x:row>
    <x:row r="5890">
      <x:c r="A5890" s="31">
        <x:v>45609</x:v>
      </x:c>
      <x:c r="B5890" s="32">
        <x:v>1242.94</x:v>
      </x:c>
      <x:c r="C5890" s="32">
        <x:v>1247.04</x:v>
      </x:c>
      <x:c r="D5890" s="32">
        <x:v>1234.6199999999999</x:v>
      </x:c>
      <x:c r="E5890" s="32">
        <x:v>1246.04</x:v>
      </x:c>
      <x:c r="F5890" s="33">
        <x:v>587703600</x:v>
      </x:c>
      <x:c r="G5890" s="32" t="n">
        <x:f t="shared" si="264">AVERAGE(E5691:E5890)</x:f>
        <x:v>1254.3161500000003</x:v>
      </x:c>
      <x:c r="H5890" s="37" t="n">
        <x:f t="shared" si="265">IFERROR(E5890/G5890-1,"")</x:f>
        <x:v>-0.006598137160236939</x:v>
      </x:c>
      <x:c r="I5890" s="38" t="b">
        <x:f t="shared" si="266">E5890&lt;G5890</x:f>
        <x:v>1</x:v>
      </x:c>
    </x:row>
    <x:row r="5891">
      <x:c r="A5891" s="31">
        <x:v>45610</x:v>
      </x:c>
      <x:c r="B5891" s="32">
        <x:v>1243.8499999999999</x:v>
      </x:c>
      <x:c r="C5891" s="32">
        <x:v>1247.07</x:v>
      </x:c>
      <x:c r="D5891" s="32">
        <x:v>1231.69</x:v>
      </x:c>
      <x:c r="E5891" s="32">
        <x:v>1231.8900000000001</x:v>
      </x:c>
      <x:c r="F5891" s="33">
        <x:v>555483300</x:v>
      </x:c>
      <x:c r="G5891" s="32" t="n">
        <x:f t="shared" si="264">AVERAGE(E5692:E5891)</x:f>
        <x:v>1254.5881000000004</x:v>
      </x:c>
      <x:c r="H5891" s="37" t="n">
        <x:f t="shared" si="265">IFERROR(E5891/G5891-1,"")</x:f>
        <x:v>-0.018092073406403508</x:v>
      </x:c>
      <x:c r="I5891" s="38" t="b">
        <x:f t="shared" si="266">E5891&lt;G5891</x:f>
        <x:v>1</x:v>
      </x:c>
    </x:row>
    <x:row r="5892">
      <x:c r="A5892" s="31">
        <x:v>45611</x:v>
      </x:c>
      <x:c r="B5892" s="32">
        <x:v>1229.3599999999999</x:v>
      </x:c>
      <x:c r="C5892" s="32">
        <x:v>1229.5899999999999</x:v>
      </x:c>
      <x:c r="D5892" s="32">
        <x:v>1217.03</x:v>
      </x:c>
      <x:c r="E5892" s="32">
        <x:v>1218.57</x:v>
      </x:c>
      <x:c r="F5892" s="33">
        <x:v>668031300</x:v>
      </x:c>
      <x:c r="G5892" s="32" t="n">
        <x:f t="shared" si="264">AVERAGE(E5693:E5892)</x:f>
        <x:v>1254.8161000000002</x:v>
      </x:c>
      <x:c r="H5892" s="37" t="n">
        <x:f t="shared" si="265">IFERROR(E5892/G5892-1,"")</x:f>
        <x:v>-0.028885587298409954</x:v>
      </x:c>
      <x:c r="I5892" s="38" t="b">
        <x:f t="shared" si="266">E5892&lt;G5892</x:f>
        <x:v>1</x:v>
      </x:c>
    </x:row>
    <x:row r="5893">
      <x:c r="A5893" s="31">
        <x:v>45614</x:v>
      </x:c>
      <x:c r="B5893" s="32">
        <x:v>1218.3</x:v>
      </x:c>
      <x:c r="C5893" s="32">
        <x:v>1225.3800000000001</x:v>
      </x:c>
      <x:c r="D5893" s="32">
        <x:v>1204.5999999999999</x:v>
      </x:c>
      <x:c r="E5893" s="32">
        <x:v>1217.1199999999999</x:v>
      </x:c>
      <x:c r="F5893" s="33">
        <x:v>555960200</x:v>
      </x:c>
      <x:c r="G5893" s="32" t="n">
        <x:f t="shared" si="264">AVERAGE(E5694:E5893)</x:f>
        <x:v>1255.0498500000003</x:v>
      </x:c>
      <x:c r="H5893" s="37" t="n">
        <x:f t="shared" si="265">IFERROR(E5893/G5893-1,"")</x:f>
        <x:v>-0.030221787604691852</x:v>
      </x:c>
      <x:c r="I5893" s="38" t="b">
        <x:f t="shared" si="266">E5893&lt;G5893</x:f>
        <x:v>1</x:v>
      </x:c>
    </x:row>
    <x:row r="5894">
      <x:c r="A5894" s="31">
        <x:v>45615</x:v>
      </x:c>
      <x:c r="B5894" s="32">
        <x:v>1220.68</x:v>
      </x:c>
      <x:c r="C5894" s="32">
        <x:v>1221.4000000000001</x:v>
      </x:c>
      <x:c r="D5894" s="32">
        <x:v>1205.1500000000001</x:v>
      </x:c>
      <x:c r="E5894" s="32">
        <x:v>1205.1500000000001</x:v>
      </x:c>
      <x:c r="F5894" s="33">
        <x:v>437479200</x:v>
      </x:c>
      <x:c r="G5894" s="32" t="n">
        <x:f t="shared" si="264">AVERAGE(E5695:E5894)</x:f>
        <x:v>1255.1972500000004</x:v>
      </x:c>
      <x:c r="H5894" s="37" t="n">
        <x:f t="shared" si="265">IFERROR(E5894/G5894-1,"")</x:f>
        <x:v>-0.03987202011476709</x:v>
      </x:c>
      <x:c r="I5894" s="38" t="b">
        <x:f t="shared" si="266">E5894&lt;G5894</x:f>
        <x:v>1</x:v>
      </x:c>
    </x:row>
    <x:row r="5895">
      <x:c r="A5895" s="31">
        <x:v>45616</x:v>
      </x:c>
      <x:c r="B5895" s="32">
        <x:v>1203.71</x:v>
      </x:c>
      <x:c r="C5895" s="32">
        <x:v>1222.73</x:v>
      </x:c>
      <x:c r="D5895" s="32">
        <x:v>1197.99</x:v>
      </x:c>
      <x:c r="E5895" s="32">
        <x:v>1216.54</x:v>
      </x:c>
      <x:c r="F5895" s="33">
        <x:v>649274200</x:v>
      </x:c>
      <x:c r="G5895" s="32" t="n">
        <x:f t="shared" si="264">AVERAGE(E5696:E5895)</x:f>
        <x:v>1255.4015000000004</x:v>
      </x:c>
      <x:c r="H5895" s="37" t="n">
        <x:f t="shared" si="265">IFERROR(E5895/G5895-1,"")</x:f>
        <x:v>-0.030955435372667983</x:v>
      </x:c>
      <x:c r="I5895" s="38" t="b">
        <x:f t="shared" si="266">E5895&lt;G5895</x:f>
        <x:v>1</x:v>
      </x:c>
    </x:row>
    <x:row r="5896">
      <x:c r="A5896" s="31">
        <x:v>45617</x:v>
      </x:c>
      <x:c r="B5896" s="32">
        <x:v>1217.3</x:v>
      </x:c>
      <x:c r="C5896" s="32">
        <x:v>1228.55</x:v>
      </x:c>
      <x:c r="D5896" s="32">
        <x:v>1214.06</x:v>
      </x:c>
      <x:c r="E5896" s="32">
        <x:v>1228.33</x:v>
      </x:c>
      <x:c r="F5896" s="33">
        <x:v>427350400</x:v>
      </x:c>
      <x:c r="G5896" s="32" t="n">
        <x:f t="shared" si="264">AVERAGE(E5697:E5896)</x:f>
        <x:v>1255.6449000000002</x:v>
      </x:c>
      <x:c r="H5896" s="37" t="n">
        <x:f t="shared" si="265">IFERROR(E5896/G5896-1,"")</x:f>
        <x:v>-0.02175368211187756</x:v>
      </x:c>
      <x:c r="I5896" s="38" t="b">
        <x:f t="shared" si="266">E5896&lt;G5896</x:f>
        <x:v>1</x:v>
      </x:c>
    </x:row>
    <x:row r="5897">
      <x:c r="A5897" s="31">
        <x:v>45618</x:v>
      </x:c>
      <x:c r="B5897" s="32">
        <x:v>1228.95</x:v>
      </x:c>
      <x:c r="C5897" s="32">
        <x:v>1233.42</x:v>
      </x:c>
      <x:c r="D5897" s="32">
        <x:v>1226.33</x:v>
      </x:c>
      <x:c r="E5897" s="32">
        <x:v>1228.0999999999999</x:v>
      </x:c>
      <x:c r="F5897" s="33">
        <x:v>453742400</x:v>
      </x:c>
      <x:c r="G5897" s="32" t="n">
        <x:f t="shared" si="264">AVERAGE(E5698:E5897)</x:f>
        <x:v>1255.9638500000003</x:v>
      </x:c>
      <x:c r="H5897" s="37" t="n">
        <x:f t="shared" si="265">IFERROR(E5897/G5897-1,"")</x:f>
        <x:v>-0.022185232481014783</x:v>
      </x:c>
      <x:c r="I5897" s="38" t="b">
        <x:f t="shared" si="266">E5897&lt;G5897</x:f>
        <x:v>1</x:v>
      </x:c>
    </x:row>
    <x:row r="5898">
      <x:c r="A5898" s="31">
        <x:v>45621</x:v>
      </x:c>
      <x:c r="B5898" s="32">
        <x:v>1229.3900000000001</x:v>
      </x:c>
      <x:c r="C5898" s="32">
        <x:v>1236.57</x:v>
      </x:c>
      <x:c r="D5898" s="32">
        <x:v>1229.02</x:v>
      </x:c>
      <x:c r="E5898" s="32">
        <x:v>1234.7</x:v>
      </x:c>
      <x:c r="F5898" s="33">
        <x:v>409112200</x:v>
      </x:c>
      <x:c r="G5898" s="32" t="n">
        <x:f t="shared" si="264">AVERAGE(E5699:E5898)</x:f>
        <x:v>1256.2722500000004</x:v>
      </x:c>
      <x:c r="H5898" s="37" t="n">
        <x:f t="shared" si="265">IFERROR(E5898/G5898-1,"")</x:f>
        <x:v>-0.01717163616405626</x:v>
      </x:c>
      <x:c r="I5898" s="38" t="b">
        <x:f t="shared" si="266">E5898&lt;G5898</x:f>
        <x:v>1</x:v>
      </x:c>
    </x:row>
    <x:row r="5899">
      <x:c r="A5899" s="31">
        <x:v>45622</x:v>
      </x:c>
      <x:c r="B5899" s="32">
        <x:v>1235.6300000000001</x:v>
      </x:c>
      <x:c r="C5899" s="32">
        <x:v>1246.83</x:v>
      </x:c>
      <x:c r="D5899" s="32">
        <x:v>1235.22</x:v>
      </x:c>
      <x:c r="E5899" s="32">
        <x:v>1242.1300000000001</x:v>
      </x:c>
      <x:c r="F5899" s="33">
        <x:v>503889900</x:v>
      </x:c>
      <x:c r="G5899" s="32" t="n">
        <x:f t="shared" si="264">AVERAGE(E5700:E5899)</x:f>
        <x:v>1256.6201500000004</x:v>
      </x:c>
      <x:c r="H5899" s="37" t="n">
        <x:f t="shared" si="265">IFERROR(E5899/G5899-1,"")</x:f>
        <x:v>-0.011531050174549806</x:v>
      </x:c>
      <x:c r="I5899" s="38" t="b">
        <x:f t="shared" si="266">E5899&lt;G5899</x:f>
        <x:v>1</x:v>
      </x:c>
    </x:row>
    <x:row r="5900">
      <x:c r="A5900" s="31">
        <x:v>45623</x:v>
      </x:c>
      <x:c r="B5900" s="32">
        <x:v>1241.3599999999999</x:v>
      </x:c>
      <x:c r="C5900" s="32">
        <x:v>1245.3399999999999</x:v>
      </x:c>
      <x:c r="D5900" s="32">
        <x:v>1239.23</x:v>
      </x:c>
      <x:c r="E5900" s="32">
        <x:v>1241.97</x:v>
      </x:c>
      <x:c r="F5900" s="33">
        <x:v>366063100</x:v>
      </x:c>
      <x:c r="G5900" s="32" t="n">
        <x:f t="shared" si="264">AVERAGE(E5701:E5900)</x:f>
        <x:v>1256.8997000000004</x:v>
      </x:c>
      <x:c r="H5900" s="37" t="n">
        <x:f t="shared" si="265">IFERROR(E5900/G5900-1,"")</x:f>
        <x:v>-0.011878195213190335</x:v>
      </x:c>
      <x:c r="I5900" s="38" t="b">
        <x:f t="shared" si="266">E5900&lt;G5900</x:f>
        <x:v>1</x:v>
      </x:c>
    </x:row>
    <x:row r="5901">
      <x:c r="A5901" s="31">
        <x:v>45624</x:v>
      </x:c>
      <x:c r="B5901" s="32">
        <x:v>1246.3699999999999</x:v>
      </x:c>
      <x:c r="C5901" s="32">
        <x:v>1250.46</x:v>
      </x:c>
      <x:c r="D5901" s="32">
        <x:v>1240.9100000000001</x:v>
      </x:c>
      <x:c r="E5901" s="32">
        <x:v>1242.1099999999999</x:v>
      </x:c>
      <x:c r="F5901" s="33">
        <x:v>414791400</x:v>
      </x:c>
      <x:c r="G5901" s="32" t="n">
        <x:f t="shared" ref="G5901:G5964" si="267">AVERAGE(E5702:E5901)</x:f>
        <x:v>1257.1678500000005</x:v>
      </x:c>
      <x:c r="H5901" s="37" t="n">
        <x:f t="shared" ref="H5901:H5964" si="268">IFERROR(E5901/G5901-1,"")</x:f>
        <x:v>-0.011977597104476212</x:v>
      </x:c>
      <x:c r="I5901" s="38" t="b">
        <x:f t="shared" ref="I5901:I5964" si="269">E5901&lt;G5901</x:f>
        <x:v>1</x:v>
      </x:c>
    </x:row>
    <x:row r="5902">
      <x:c r="A5902" s="31">
        <x:v>45625</x:v>
      </x:c>
      <x:c r="B5902" s="32">
        <x:v>1242.51</x:v>
      </x:c>
      <x:c r="C5902" s="32">
        <x:v>1250.92</x:v>
      </x:c>
      <x:c r="D5902" s="32">
        <x:v>1241</x:v>
      </x:c>
      <x:c r="E5902" s="32">
        <x:v>1250.46</x:v>
      </x:c>
      <x:c r="F5902" s="33">
        <x:v>427963100</x:v>
      </x:c>
      <x:c r="G5902" s="32" t="n">
        <x:f t="shared" si="267">AVERAGE(E5703:E5902)</x:f>
        <x:v>1257.4275000000002</x:v>
      </x:c>
      <x:c r="H5902" s="37" t="n">
        <x:f t="shared" si="268">IFERROR(E5902/G5902-1,"")</x:f>
        <x:v>-0.005541074932749801</x:v>
      </x:c>
      <x:c r="I5902" s="38" t="b">
        <x:f t="shared" si="269">E5902&lt;G5902</x:f>
        <x:v>1</x:v>
      </x:c>
    </x:row>
    <x:row r="5903">
      <x:c r="A5903" s="31">
        <x:v>45628</x:v>
      </x:c>
      <x:c r="B5903" s="32">
        <x:v>1255.73</x:v>
      </x:c>
      <x:c r="C5903" s="32">
        <x:v>1258.05</x:v>
      </x:c>
      <x:c r="D5903" s="32">
        <x:v>1247.74</x:v>
      </x:c>
      <x:c r="E5903" s="32">
        <x:v>1251.21</x:v>
      </x:c>
      <x:c r="F5903" s="33">
        <x:v>388759600</x:v>
      </x:c>
      <x:c r="G5903" s="32" t="n">
        <x:f t="shared" si="267">AVERAGE(E5704:E5903)</x:f>
        <x:v>1257.6710500000002</x:v>
      </x:c>
      <x:c r="H5903" s="37" t="n">
        <x:f t="shared" si="268">IFERROR(E5903/G5903-1,"")</x:f>
        <x:v>-0.005137313131283516</x:v>
      </x:c>
      <x:c r="I5903" s="38" t="b">
        <x:f t="shared" si="269">E5903&lt;G5903</x:f>
        <x:v>1</x:v>
      </x:c>
    </x:row>
    <x:row r="5904">
      <x:c r="A5904" s="31">
        <x:v>45629</x:v>
      </x:c>
      <x:c r="B5904" s="32">
        <x:v>1251.43</x:v>
      </x:c>
      <x:c r="C5904" s="32">
        <x:v>1253.83</x:v>
      </x:c>
      <x:c r="D5904" s="32">
        <x:v>1244.9100000000001</x:v>
      </x:c>
      <x:c r="E5904" s="32">
        <x:v>1249.83</x:v>
      </x:c>
      <x:c r="F5904" s="33">
        <x:v>477509700</x:v>
      </x:c>
      <x:c r="G5904" s="32" t="n">
        <x:f t="shared" si="267">AVERAGE(E5705:E5904)</x:f>
        <x:v>1257.8717000000004</x:v>
      </x:c>
      <x:c r="H5904" s="37" t="n">
        <x:f t="shared" si="268">IFERROR(E5904/G5904-1,"")</x:f>
        <x:v>-0.006393100345607916</x:v>
      </x:c>
      <x:c r="I5904" s="38" t="b">
        <x:f t="shared" si="269">E5904&lt;G5904</x:f>
        <x:v>1</x:v>
      </x:c>
    </x:row>
    <x:row r="5905">
      <x:c r="A5905" s="31">
        <x:v>45630</x:v>
      </x:c>
      <x:c r="B5905" s="32">
        <x:v>1247.3399999999999</x:v>
      </x:c>
      <x:c r="C5905" s="32">
        <x:v>1247.78</x:v>
      </x:c>
      <x:c r="D5905" s="32">
        <x:v>1239.82</x:v>
      </x:c>
      <x:c r="E5905" s="32">
        <x:v>1240.4100000000001</x:v>
      </x:c>
      <x:c r="F5905" s="33">
        <x:v>505245200</x:v>
      </x:c>
      <x:c r="G5905" s="32" t="n">
        <x:f t="shared" si="267">AVERAGE(E5706:E5905)</x:f>
        <x:v>1257.9489</x:v>
      </x:c>
      <x:c r="H5905" s="37" t="n">
        <x:f t="shared" si="268">IFERROR(E5905/G5905-1,"")</x:f>
        <x:v>-0.013942458234988742</x:v>
      </x:c>
      <x:c r="I5905" s="38" t="b">
        <x:f t="shared" si="269">E5905&lt;G5905</x:f>
        <x:v>1</x:v>
      </x:c>
    </x:row>
    <x:row r="5906">
      <x:c r="A5906" s="31">
        <x:v>45631</x:v>
      </x:c>
      <x:c r="B5906" s="32">
        <x:v>1241.81</x:v>
      </x:c>
      <x:c r="C5906" s="32">
        <x:v>1269.18</x:v>
      </x:c>
      <x:c r="D5906" s="32">
        <x:v>1238.49</x:v>
      </x:c>
      <x:c r="E5906" s="32">
        <x:v>1267.53</x:v>
      </x:c>
      <x:c r="F5906" s="33">
        <x:v>839974300</x:v>
      </x:c>
      <x:c r="G5906" s="32" t="n">
        <x:f t="shared" si="267">AVERAGE(E5707:E5906)</x:f>
        <x:v>1258.1362500000002</x:v>
      </x:c>
      <x:c r="H5906" s="37" t="n">
        <x:f t="shared" si="268">IFERROR(E5906/G5906-1,"")</x:f>
        <x:v>0.0074664011946239395</x:v>
      </x:c>
      <x:c r="I5906" s="38" t="b">
        <x:f t="shared" si="269">E5906&lt;G5906</x:f>
        <x:v>0</x:v>
      </x:c>
    </x:row>
    <x:row r="5907">
      <x:c r="A5907" s="31">
        <x:v>45632</x:v>
      </x:c>
      <x:c r="B5907" s="32">
        <x:v>1270.96</x:v>
      </x:c>
      <x:c r="C5907" s="32">
        <x:v>1276.0999999999999</x:v>
      </x:c>
      <x:c r="D5907" s="32">
        <x:v>1268.58</x:v>
      </x:c>
      <x:c r="E5907" s="32">
        <x:v>1270.1400000000001</x:v>
      </x:c>
      <x:c r="F5907" s="33">
        <x:v>599525400</x:v>
      </x:c>
      <x:c r="G5907" s="32" t="n">
        <x:f t="shared" si="267">AVERAGE(E5708:E5907)</x:f>
        <x:v>1258.3367500000002</x:v>
      </x:c>
      <x:c r="H5907" s="37" t="n">
        <x:f t="shared" si="268">IFERROR(E5907/G5907-1,"")</x:f>
        <x:v>0.009380040756180597</x:v>
      </x:c>
      <x:c r="I5907" s="38" t="b">
        <x:f t="shared" si="269">E5907&lt;G5907</x:f>
        <x:v>0</x:v>
      </x:c>
    </x:row>
    <x:row r="5908">
      <x:c r="A5908" s="31">
        <x:v>45635</x:v>
      </x:c>
      <x:c r="B5908" s="32">
        <x:v>1271.46</x:v>
      </x:c>
      <x:c r="C5908" s="32">
        <x:v>1277.69</x:v>
      </x:c>
      <x:c r="D5908" s="32">
        <x:v>1268.69</x:v>
      </x:c>
      <x:c r="E5908" s="32">
        <x:v>1273.8399999999999</x:v>
      </x:c>
      <x:c r="F5908" s="33">
        <x:v>584652400</x:v>
      </x:c>
      <x:c r="G5908" s="32" t="n">
        <x:f t="shared" si="267">AVERAGE(E5709:E5908)</x:f>
        <x:v>1258.5694</x:v>
      </x:c>
      <x:c r="H5908" s="37" t="n">
        <x:f t="shared" si="268">IFERROR(E5908/G5908-1,"")</x:f>
        <x:v>0.012133299919734108</x:v>
      </x:c>
      <x:c r="I5908" s="38" t="b">
        <x:f t="shared" si="269">E5908&lt;G5908</x:f>
        <x:v>0</x:v>
      </x:c>
    </x:row>
    <x:row r="5909">
      <x:c r="A5909" s="31">
        <x:v>45636</x:v>
      </x:c>
      <x:c r="B5909" s="32">
        <x:v>1274.29</x:v>
      </x:c>
      <x:c r="C5909" s="32">
        <x:v>1277.32</x:v>
      </x:c>
      <x:c r="D5909" s="32">
        <x:v>1270.32</x:v>
      </x:c>
      <x:c r="E5909" s="32">
        <x:v>1272.07</x:v>
      </x:c>
      <x:c r="F5909" s="33">
        <x:v>499630100</x:v>
      </x:c>
      <x:c r="G5909" s="32" t="n">
        <x:f t="shared" si="267">AVERAGE(E5710:E5909)</x:f>
        <x:v>1258.8697500000003</x:v>
      </x:c>
      <x:c r="H5909" s="37" t="n">
        <x:f t="shared" si="268">IFERROR(E5909/G5909-1,"")</x:f>
        <x:v>0.010485794896572642</x:v>
      </x:c>
      <x:c r="I5909" s="38" t="b">
        <x:f t="shared" si="269">E5909&lt;G5909</x:f>
        <x:v>0</x:v>
      </x:c>
    </x:row>
    <x:row r="5910">
      <x:c r="A5910" s="31">
        <x:v>45637</x:v>
      </x:c>
      <x:c r="B5910" s="32">
        <x:v>1273.23</x:v>
      </x:c>
      <x:c r="C5910" s="32">
        <x:v>1276.67</x:v>
      </x:c>
      <x:c r="D5910" s="32">
        <x:v>1264.1500000000001</x:v>
      </x:c>
      <x:c r="E5910" s="32">
        <x:v>1268.8599999999999</x:v>
      </x:c>
      <x:c r="F5910" s="33">
        <x:v>501800700</x:v>
      </x:c>
      <x:c r="G5910" s="32" t="n">
        <x:f t="shared" si="267">AVERAGE(E5711:E5910)</x:f>
        <x:v>1259.0932000000003</x:v>
      </x:c>
      <x:c r="H5910" s="37" t="n">
        <x:f t="shared" si="268">IFERROR(E5910/G5910-1,"")</x:f>
        <x:v>0.00775701115691807</x:v>
      </x:c>
      <x:c r="I5910" s="38" t="b">
        <x:f t="shared" si="269">E5910&lt;G5910</x:f>
        <x:v>0</x:v>
      </x:c>
    </x:row>
    <x:row r="5911">
      <x:c r="A5911" s="31">
        <x:v>45638</x:v>
      </x:c>
      <x:c r="B5911" s="32">
        <x:v>1270.8599999999999</x:v>
      </x:c>
      <x:c r="C5911" s="32">
        <x:v>1275.6400000000001</x:v>
      </x:c>
      <x:c r="D5911" s="32">
        <x:v>1265.99</x:v>
      </x:c>
      <x:c r="E5911" s="32">
        <x:v>1267.3499999999999</x:v>
      </x:c>
      <x:c r="F5911" s="33">
        <x:v>487930700</x:v>
      </x:c>
      <x:c r="G5911" s="32" t="n">
        <x:f t="shared" si="267">AVERAGE(E5712:E5911)</x:f>
        <x:v>1259.2426500000004</x:v>
      </x:c>
      <x:c r="H5911" s="37" t="n">
        <x:f t="shared" si="268">IFERROR(E5911/G5911-1,"")</x:f>
        <x:v>0.006438274624830598</x:v>
      </x:c>
      <x:c r="I5911" s="38" t="b">
        <x:f t="shared" si="269">E5911&lt;G5911</x:f>
        <x:v>0</x:v>
      </x:c>
    </x:row>
    <x:row r="5912">
      <x:c r="A5912" s="31">
        <x:v>45639</x:v>
      </x:c>
      <x:c r="B5912" s="32">
        <x:v>1264.98</x:v>
      </x:c>
      <x:c r="C5912" s="32">
        <x:v>1266.55</x:v>
      </x:c>
      <x:c r="D5912" s="32">
        <x:v>1260.48</x:v>
      </x:c>
      <x:c r="E5912" s="32">
        <x:v>1262.57</x:v>
      </x:c>
      <x:c r="F5912" s="33">
        <x:v>395230700</x:v>
      </x:c>
      <x:c r="G5912" s="32" t="n">
        <x:f t="shared" si="267">AVERAGE(E5713:E5912)</x:f>
        <x:v>1259.2827500000003</x:v>
      </x:c>
      <x:c r="H5912" s="37" t="n">
        <x:f t="shared" si="268">IFERROR(E5912/G5912-1,"")</x:f>
        <x:v>0.0026104145395460243</x:v>
      </x:c>
      <x:c r="I5912" s="38" t="b">
        <x:f t="shared" si="269">E5912&lt;G5912</x:f>
        <x:v>0</x:v>
      </x:c>
    </x:row>
    <x:row r="5913">
      <x:c r="A5913" s="31">
        <x:v>45642</x:v>
      </x:c>
      <x:c r="B5913" s="32">
        <x:v>1264.03</x:v>
      </x:c>
      <x:c r="C5913" s="32">
        <x:v>1267.0999999999999</x:v>
      </x:c>
      <x:c r="D5913" s="32">
        <x:v>1258.6500000000001</x:v>
      </x:c>
      <x:c r="E5913" s="32">
        <x:v>1263.79</x:v>
      </x:c>
      <x:c r="F5913" s="33">
        <x:v>385861700</x:v>
      </x:c>
      <x:c r="G5913" s="32" t="n">
        <x:f t="shared" si="267">AVERAGE(E5714:E5913)</x:f>
        <x:v>1259.3380500000003</x:v>
      </x:c>
      <x:c r="H5913" s="37" t="n">
        <x:f t="shared" si="268">IFERROR(E5913/G5913-1,"")</x:f>
        <x:v>0.0035351508675527388</x:v>
      </x:c>
      <x:c r="I5913" s="38" t="b">
        <x:f t="shared" si="269">E5913&lt;G5913</x:f>
        <x:v>0</x:v>
      </x:c>
    </x:row>
    <x:row r="5914">
      <x:c r="A5914" s="31">
        <x:v>45643</x:v>
      </x:c>
      <x:c r="B5914" s="32">
        <x:v>1264.95</x:v>
      </x:c>
      <x:c r="C5914" s="32">
        <x:v>1265.45</x:v>
      </x:c>
      <x:c r="D5914" s="32">
        <x:v>1260.5999999999999</x:v>
      </x:c>
      <x:c r="E5914" s="32">
        <x:v>1261.72</x:v>
      </x:c>
      <x:c r="F5914" s="33">
        <x:v>358215800</x:v>
      </x:c>
      <x:c r="G5914" s="32" t="n">
        <x:f t="shared" si="267">AVERAGE(E5715:E5914)</x:f>
        <x:v>1259.3552500000003</x:v>
      </x:c>
      <x:c r="H5914" s="37" t="n">
        <x:f t="shared" si="268">IFERROR(E5914/G5914-1,"")</x:f>
        <x:v>0.0018777465691270923</x:v>
      </x:c>
      <x:c r="I5914" s="38" t="b">
        <x:f t="shared" si="269">E5914&lt;G5914</x:f>
        <x:v>0</x:v>
      </x:c>
    </x:row>
    <x:row r="5915">
      <x:c r="A5915" s="31">
        <x:v>45644</x:v>
      </x:c>
      <x:c r="B5915" s="32">
        <x:v>1262.57</x:v>
      </x:c>
      <x:c r="C5915" s="32">
        <x:v>1266.53</x:v>
      </x:c>
      <x:c r="D5915" s="32">
        <x:v>1261.49</x:v>
      </x:c>
      <x:c r="E5915" s="32">
        <x:v>1266</x:v>
      </x:c>
      <x:c r="F5915" s="33">
        <x:v>391898500</x:v>
      </x:c>
      <x:c r="G5915" s="32" t="n">
        <x:f t="shared" si="267">AVERAGE(E5716:E5915)</x:f>
        <x:v>1259.3782000000003</x:v>
      </x:c>
      <x:c r="H5915" s="37" t="n">
        <x:f t="shared" si="268">IFERROR(E5915/G5915-1,"")</x:f>
        <x:v>0.005257991602522383</x:v>
      </x:c>
      <x:c r="I5915" s="38" t="b">
        <x:f t="shared" si="269">E5915&lt;G5915</x:f>
        <x:v>0</x:v>
      </x:c>
    </x:row>
    <x:row r="5916">
      <x:c r="A5916" s="31">
        <x:v>45645</x:v>
      </x:c>
      <x:c r="B5916" s="32">
        <x:v>1256.9000000000001</x:v>
      </x:c>
      <x:c r="C5916" s="32">
        <x:v>1259.76</x:v>
      </x:c>
      <x:c r="D5916" s="32">
        <x:v>1249.3900000000001</x:v>
      </x:c>
      <x:c r="E5916" s="32">
        <x:v>1254.67</x:v>
      </x:c>
      <x:c r="F5916" s="33">
        <x:v>662711300</x:v>
      </x:c>
      <x:c r="G5916" s="32" t="n">
        <x:f t="shared" si="267">AVERAGE(E5717:E5916)</x:f>
        <x:v>1259.3016500000006</x:v>
      </x:c>
      <x:c r="H5916" s="37" t="n">
        <x:f t="shared" si="268">IFERROR(E5916/G5916-1,"")</x:f>
        <x:v>-0.0036779511882640836</x:v>
      </x:c>
      <x:c r="I5916" s="38" t="b">
        <x:f t="shared" si="269">E5916&lt;G5916</x:f>
        <x:v>1</x:v>
      </x:c>
    </x:row>
    <x:row r="5917">
      <x:c r="A5917" s="31">
        <x:v>45646</x:v>
      </x:c>
      <x:c r="B5917" s="32">
        <x:v>1255.5999999999999</x:v>
      </x:c>
      <x:c r="C5917" s="32">
        <x:v>1259</x:v>
      </x:c>
      <x:c r="D5917" s="32">
        <x:v>1253.9000000000001</x:v>
      </x:c>
      <x:c r="E5917" s="32">
        <x:v>1257.5</x:v>
      </x:c>
      <x:c r="F5917" s="33">
        <x:v>447065000</x:v>
      </x:c>
      <x:c r="G5917" s="32" t="n">
        <x:f t="shared" si="267">AVERAGE(E5718:E5917)</x:f>
        <x:v>1259.2755000000004</x:v>
      </x:c>
      <x:c r="H5917" s="37" t="n">
        <x:f t="shared" si="268">IFERROR(E5917/G5917-1,"")</x:f>
        <x:v>-0.001409937698303887</x:v>
      </x:c>
      <x:c r="I5917" s="38" t="b">
        <x:f t="shared" si="269">E5917&lt;G5917</x:f>
        <x:v>1</x:v>
      </x:c>
    </x:row>
    <x:row r="5918">
      <x:c r="A5918" s="31">
        <x:v>45649</x:v>
      </x:c>
      <x:c r="B5918" s="32">
        <x:v>1262.45</x:v>
      </x:c>
      <x:c r="C5918" s="32">
        <x:v>1265.2</x:v>
      </x:c>
      <x:c r="D5918" s="32">
        <x:v>1261.6199999999999</x:v>
      </x:c>
      <x:c r="E5918" s="32">
        <x:v>1262.76</x:v>
      </x:c>
      <x:c r="F5918" s="33">
        <x:v>384666600</x:v>
      </x:c>
      <x:c r="G5918" s="32" t="n">
        <x:f t="shared" si="267">AVERAGE(E5719:E5918)</x:f>
        <x:v>1259.2470000000008</x:v>
      </x:c>
      <x:c r="H5918" s="37" t="n">
        <x:f t="shared" si="268">IFERROR(E5918/G5918-1,"")</x:f>
        <x:v>0.002789762453275113</x:v>
      </x:c>
      <x:c r="I5918" s="38" t="b">
        <x:f t="shared" si="269">E5918&lt;G5918</x:f>
        <x:v>0</x:v>
      </x:c>
    </x:row>
    <x:row r="5919">
      <x:c r="A5919" s="31">
        <x:v>45650</x:v>
      </x:c>
      <x:c r="B5919" s="32">
        <x:v>1263.03</x:v>
      </x:c>
      <x:c r="C5919" s="32">
        <x:v>1263.05</x:v>
      </x:c>
      <x:c r="D5919" s="32">
        <x:v>1253.78</x:v>
      </x:c>
      <x:c r="E5919" s="32">
        <x:v>1260.3599999999999</x:v>
      </x:c>
      <x:c r="F5919" s="33">
        <x:v>520744700</x:v>
      </x:c>
      <x:c r="G5919" s="32" t="n">
        <x:f t="shared" si="267">AVERAGE(E5720:E5919)</x:f>
        <x:v>1259.3120500000007</x:v>
      </x:c>
      <x:c r="H5919" s="37" t="n">
        <x:f t="shared" si="268">IFERROR(E5919/G5919-1,"")</x:f>
        <x:v>0.0008321607023447086</x:v>
      </x:c>
      <x:c r="I5919" s="38" t="b">
        <x:f t="shared" si="269">E5919&lt;G5919</x:f>
        <x:v>0</x:v>
      </x:c>
    </x:row>
    <x:row r="5920">
      <x:c r="A5920" s="31">
        <x:v>45651</x:v>
      </x:c>
      <x:c r="B5920" s="32">
        <x:v>1262.03</x:v>
      </x:c>
      <x:c r="C5920" s="32">
        <x:v>1283.0899999999999</x:v>
      </x:c>
      <x:c r="D5920" s="32">
        <x:v>1261.8699999999999</x:v>
      </x:c>
      <x:c r="E5920" s="32">
        <x:v>1274.04</x:v>
      </x:c>
      <x:c r="F5920" s="33">
        <x:v>724345800</x:v>
      </x:c>
      <x:c r="G5920" s="32" t="n">
        <x:f t="shared" si="267">AVERAGE(E5721:E5920)</x:f>
        <x:v>1259.5048000000006</x:v>
      </x:c>
      <x:c r="H5920" s="37" t="n">
        <x:f t="shared" si="268">IFERROR(E5920/G5920-1,"")</x:f>
        <x:v>0.01154040857962535</x:v>
      </x:c>
      <x:c r="I5920" s="38" t="b">
        <x:f t="shared" si="269">E5920&lt;G5920</x:f>
        <x:v>0</x:v>
      </x:c>
    </x:row>
    <x:row r="5921">
      <x:c r="A5921" s="31">
        <x:v>45652</x:v>
      </x:c>
      <x:c r="B5921" s="32">
        <x:v>1275.68</x:v>
      </x:c>
      <x:c r="C5921" s="32">
        <x:v>1277.17</x:v>
      </x:c>
      <x:c r="D5921" s="32">
        <x:v>1271.99</x:v>
      </x:c>
      <x:c r="E5921" s="32">
        <x:v>1272.8699999999999</x:v>
      </x:c>
      <x:c r="F5921" s="33">
        <x:v>502090700</x:v>
      </x:c>
      <x:c r="G5921" s="32" t="n">
        <x:f t="shared" si="267">AVERAGE(E5722:E5921)</x:f>
        <x:v>1259.6441500000005</x:v>
      </x:c>
      <x:c r="H5921" s="37" t="n">
        <x:f t="shared" si="268">IFERROR(E5921/G5921-1,"")</x:f>
        <x:v>0.01049967167314625</x:v>
      </x:c>
      <x:c r="I5921" s="38" t="b">
        <x:f t="shared" si="269">E5921&lt;G5921</x:f>
        <x:v>0</x:v>
      </x:c>
    </x:row>
    <x:row r="5922">
      <x:c r="A5922" s="31">
        <x:v>45653</x:v>
      </x:c>
      <x:c r="B5922" s="32">
        <x:v>1275.56</x:v>
      </x:c>
      <x:c r="C5922" s="32">
        <x:v>1277.8900000000001</x:v>
      </x:c>
      <x:c r="D5922" s="32">
        <x:v>1272.23</x:v>
      </x:c>
      <x:c r="E5922" s="32">
        <x:v>1275.1400000000001</x:v>
      </x:c>
      <x:c r="F5922" s="33">
        <x:v>590030100</x:v>
      </x:c>
      <x:c r="G5922" s="32" t="n">
        <x:f t="shared" si="267">AVERAGE(E5723:E5922)</x:f>
        <x:v>1259.6673000000005</x:v>
      </x:c>
      <x:c r="H5922" s="37" t="n">
        <x:f t="shared" si="268">IFERROR(E5922/G5922-1,"")</x:f>
        <x:v>0.012283163975122191</x:v>
      </x:c>
      <x:c r="I5922" s="38" t="b">
        <x:f t="shared" si="269">E5922&lt;G5922</x:f>
        <x:v>0</x:v>
      </x:c>
    </x:row>
    <x:row r="5923">
      <x:c r="A5923" s="31">
        <x:v>45656</x:v>
      </x:c>
      <x:c r="B5923" s="32">
        <x:v>1273.75</x:v>
      </x:c>
      <x:c r="C5923" s="32">
        <x:v>1274.1500000000001</x:v>
      </x:c>
      <x:c r="D5923" s="32">
        <x:v>1268.77</x:v>
      </x:c>
      <x:c r="E5923" s="32">
        <x:v>1272.02</x:v>
      </x:c>
      <x:c r="F5923" s="33">
        <x:v>452947700</x:v>
      </x:c>
      <x:c r="G5923" s="32" t="n">
        <x:f t="shared" si="267">AVERAGE(E5724:E5923)</x:f>
        <x:v>1259.7061000000006</x:v>
      </x:c>
      <x:c r="H5923" s="37" t="n">
        <x:f t="shared" si="268">IFERROR(E5923/G5923-1,"")</x:f>
        <x:v>0.009775216616002336</x:v>
      </x:c>
      <x:c r="I5923" s="38" t="b">
        <x:f t="shared" si="269">E5923&lt;G5923</x:f>
        <x:v>0</x:v>
      </x:c>
    </x:row>
    <x:row r="5924">
      <x:c r="A5924" s="31">
        <x:v>45657</x:v>
      </x:c>
      <x:c r="B5924" s="32">
        <x:v>1272.25</x:v>
      </x:c>
      <x:c r="C5924" s="32">
        <x:v>1272.46</x:v>
      </x:c>
      <x:c r="D5924" s="32">
        <x:v>1266.78</x:v>
      </x:c>
      <x:c r="E5924" s="32">
        <x:v>1266.78</x:v>
      </x:c>
      <x:c r="F5924" s="33">
        <x:v>407172200</x:v>
      </x:c>
      <x:c r="G5924" s="32" t="n">
        <x:f t="shared" si="267">AVERAGE(E5725:E5924)</x:f>
        <x:v>1259.7211000000004</x:v>
      </x:c>
      <x:c r="H5924" s="37" t="n">
        <x:f t="shared" si="268">IFERROR(E5924/G5924-1,"")</x:f>
        <x:v>0.005603541926859412</x:v>
      </x:c>
      <x:c r="I5924" s="38" t="b">
        <x:f t="shared" si="269">E5924&lt;G5924</x:f>
        <x:v>0</x:v>
      </x:c>
    </x:row>
    <x:row r="5925">
      <x:c r="A5925" s="31">
        <x:v>45659</x:v>
      </x:c>
      <x:c r="B5925" s="32">
        <x:v>1268.96</x:v>
      </x:c>
      <x:c r="C5925" s="32">
        <x:v>1271.1300000000001</x:v>
      </x:c>
      <x:c r="D5925" s="32">
        <x:v>1263.25</x:v>
      </x:c>
      <x:c r="E5925" s="32">
        <x:v>1269.71</x:v>
      </x:c>
      <x:c r="F5925" s="33">
        <x:v>371662600</x:v>
      </x:c>
      <x:c r="G5925" s="32" t="n">
        <x:f t="shared" si="267">AVERAGE(E5726:E5925)</x:f>
        <x:v>1259.8518500000005</x:v>
      </x:c>
      <x:c r="H5925" s="37" t="n">
        <x:f t="shared" si="268">IFERROR(E5925/G5925-1,"")</x:f>
        <x:v>0.00782484861215993</x:v>
      </x:c>
      <x:c r="I5925" s="38" t="b">
        <x:f t="shared" si="269">E5925&lt;G5925</x:f>
        <x:v>0</x:v>
      </x:c>
    </x:row>
    <x:row r="5926">
      <x:c r="A5926" s="31">
        <x:v>45660</x:v>
      </x:c>
      <x:c r="B5926" s="32">
        <x:v>1268.74</x:v>
      </x:c>
      <x:c r="C5926" s="32">
        <x:v>1269.01</x:v>
      </x:c>
      <x:c r="D5926" s="32">
        <x:v>1254.5899999999999</x:v>
      </x:c>
      <x:c r="E5926" s="32">
        <x:v>1254.5899999999999</x:v>
      </x:c>
      <x:c r="F5926" s="33">
        <x:v>504666900</x:v>
      </x:c>
      <x:c r="G5926" s="32" t="n">
        <x:f t="shared" si="267">AVERAGE(E5727:E5926)</x:f>
        <x:v>1259.9125000000004</x:v>
      </x:c>
      <x:c r="H5926" s="37" t="n">
        <x:f t="shared" si="268">IFERROR(E5926/G5926-1,"")</x:f>
        <x:v>-0.004224499717242591</x:v>
      </x:c>
      <x:c r="I5926" s="38" t="b">
        <x:f t="shared" si="269">E5926&lt;G5926</x:f>
        <x:v>1</x:v>
      </x:c>
    </x:row>
    <x:row r="5927">
      <x:c r="A5927" s="31">
        <x:v>45663</x:v>
      </x:c>
      <x:c r="B5927" s="32">
        <x:v>1254.79</x:v>
      </x:c>
      <x:c r="C5927" s="32">
        <x:v>1260.3699999999999</x:v>
      </x:c>
      <x:c r="D5927" s="32">
        <x:v>1244.8699999999999</x:v>
      </x:c>
      <x:c r="E5927" s="32">
        <x:v>1246.3499999999999</x:v>
      </x:c>
      <x:c r="F5927" s="33">
        <x:v>515113100</x:v>
      </x:c>
      <x:c r="G5927" s="32" t="n">
        <x:f t="shared" si="267">AVERAGE(E5728:E5927)</x:f>
        <x:v>1259.8438500000004</x:v>
      </x:c>
      <x:c r="H5927" s="37" t="n">
        <x:f t="shared" si="268">IFERROR(E5927/G5927-1,"")</x:f>
        <x:v>-0.010710732127636735</x:v>
      </x:c>
      <x:c r="I5927" s="38" t="b">
        <x:f t="shared" si="269">E5927&lt;G5927</x:f>
        <x:v>1</x:v>
      </x:c>
    </x:row>
    <x:row r="5928">
      <x:c r="A5928" s="31">
        <x:v>45664</x:v>
      </x:c>
      <x:c r="B5928" s="32">
        <x:v>1249.19</x:v>
      </x:c>
      <x:c r="C5928" s="32">
        <x:v>1251.28</x:v>
      </x:c>
      <x:c r="D5928" s="32">
        <x:v>1248.1099999999999</x:v>
      </x:c>
      <x:c r="E5928" s="32">
        <x:v>1248.78</x:v>
      </x:c>
      <x:c r="F5928" s="33">
        <x:v>506059500</x:v>
      </x:c>
      <x:c r="G5928" s="32" t="n">
        <x:f t="shared" si="267">AVERAGE(E5729:E5928)</x:f>
        <x:v>1259.7056500000006</x:v>
      </x:c>
      <x:c r="H5928" s="37" t="n">
        <x:f t="shared" si="268">IFERROR(E5928/G5928-1,"")</x:f>
        <x:v>-0.008673176944154037</x:v>
      </x:c>
      <x:c r="I5928" s="38" t="b">
        <x:f t="shared" si="269">E5928&lt;G5928</x:f>
        <x:v>1</x:v>
      </x:c>
    </x:row>
    <x:row r="5929">
      <x:c r="A5929" s="31">
        <x:v>45665</x:v>
      </x:c>
      <x:c r="B5929" s="32">
        <x:v>1246.1600000000001</x:v>
      </x:c>
      <x:c r="C5929" s="32">
        <x:v>1251.02</x:v>
      </x:c>
      <x:c r="D5929" s="32">
        <x:v>1239.67</x:v>
      </x:c>
      <x:c r="E5929" s="32">
        <x:v>1251.02</x:v>
      </x:c>
      <x:c r="F5929" s="33">
        <x:v>367537100</x:v>
      </x:c>
      <x:c r="G5929" s="32" t="n">
        <x:f t="shared" si="267">AVERAGE(E5730:E5929)</x:f>
        <x:v>1259.5517500000003</x:v>
      </x:c>
      <x:c r="H5929" s="37" t="n">
        <x:f t="shared" si="268">IFERROR(E5929/G5929-1,"")</x:f>
        <x:v>-0.006773639908007167</x:v>
      </x:c>
      <x:c r="I5929" s="38" t="b">
        <x:f t="shared" si="269">E5929&lt;G5929</x:f>
        <x:v>1</x:v>
      </x:c>
    </x:row>
    <x:row r="5930">
      <x:c r="A5930" s="31">
        <x:v>45666</x:v>
      </x:c>
      <x:c r="B5930" s="32">
        <x:v>1250.56</x:v>
      </x:c>
      <x:c r="C5930" s="32">
        <x:v>1253.26</x:v>
      </x:c>
      <x:c r="D5930" s="32">
        <x:v>1242.9000000000001</x:v>
      </x:c>
      <x:c r="E5930" s="32">
        <x:v>1245.77</x:v>
      </x:c>
      <x:c r="F5930" s="33">
        <x:v>290493600</x:v>
      </x:c>
      <x:c r="G5930" s="32" t="n">
        <x:f t="shared" si="267">AVERAGE(E5731:E5930)</x:f>
        <x:v>1259.4413000000004</x:v>
      </x:c>
      <x:c r="H5930" s="37" t="n">
        <x:f t="shared" si="268">IFERROR(E5930/G5930-1,"")</x:f>
        <x:v>-0.010855051362854695</x:v>
      </x:c>
      <x:c r="I5930" s="38" t="b">
        <x:f t="shared" si="269">E5930&lt;G5930</x:f>
        <x:v>1</x:v>
      </x:c>
    </x:row>
    <x:row r="5931">
      <x:c r="A5931" s="31">
        <x:v>45667</x:v>
      </x:c>
      <x:c r="B5931" s="32">
        <x:v>1245.5999999999999</x:v>
      </x:c>
      <x:c r="C5931" s="32">
        <x:v>1247.8</x:v>
      </x:c>
      <x:c r="D5931" s="32">
        <x:v>1230.48</x:v>
      </x:c>
      <x:c r="E5931" s="32">
        <x:v>1230.48</x:v>
      </x:c>
      <x:c r="F5931" s="33">
        <x:v>474211100</x:v>
      </x:c>
      <x:c r="G5931" s="32" t="n">
        <x:f t="shared" si="267">AVERAGE(E5732:E5931)</x:f>
        <x:v>1259.1826500000006</x:v>
      </x:c>
      <x:c r="H5931" s="37" t="n">
        <x:f t="shared" si="268">IFERROR(E5931/G5931-1,"")</x:f>
        <x:v>-0.022794667636184984</x:v>
      </x:c>
      <x:c r="I5931" s="38" t="b">
        <x:f t="shared" si="269">E5931&lt;G5931</x:f>
        <x:v>1</x:v>
      </x:c>
    </x:row>
    <x:row r="5932">
      <x:c r="A5932" s="31">
        <x:v>45670</x:v>
      </x:c>
      <x:c r="B5932" s="32">
        <x:v>1226.6600000000001</x:v>
      </x:c>
      <x:c r="C5932" s="32">
        <x:v>1235.6500000000001</x:v>
      </x:c>
      <x:c r="D5932" s="32">
        <x:v>1220.8699999999999</x:v>
      </x:c>
      <x:c r="E5932" s="32">
        <x:v>1235.6500000000001</x:v>
      </x:c>
      <x:c r="F5932" s="33">
        <x:v>434027000</x:v>
      </x:c>
      <x:c r="G5932" s="32" t="n">
        <x:f t="shared" si="267">AVERAGE(E5733:E5932)</x:f>
        <x:v>1258.9454500000004</x:v>
      </x:c>
      <x:c r="H5932" s="37" t="n">
        <x:f t="shared" si="268">IFERROR(E5932/G5932-1,"")</x:f>
        <x:v>-0.018503939150024573</x:v>
      </x:c>
      <x:c r="I5932" s="38" t="b">
        <x:f t="shared" si="269">E5932&lt;G5932</x:f>
        <x:v>1</x:v>
      </x:c>
    </x:row>
    <x:row r="5933">
      <x:c r="A5933" s="31">
        <x:v>45671</x:v>
      </x:c>
      <x:c r="B5933" s="32">
        <x:v>1234.77</x:v>
      </x:c>
      <x:c r="C5933" s="32">
        <x:v>1235.54</x:v>
      </x:c>
      <x:c r="D5933" s="32">
        <x:v>1226.7</x:v>
      </x:c>
      <x:c r="E5933" s="32">
        <x:v>1229.07</x:v>
      </x:c>
      <x:c r="F5933" s="33">
        <x:v>322278200</x:v>
      </x:c>
      <x:c r="G5933" s="32" t="n">
        <x:f t="shared" si="267">AVERAGE(E5734:E5933)</x:f>
        <x:v>1258.6399000000006</x:v>
      </x:c>
      <x:c r="H5933" s="37" t="n">
        <x:f t="shared" si="268">IFERROR(E5933/G5933-1,"")</x:f>
        <x:v>-0.023493534568545527</x:v>
      </x:c>
      <x:c r="I5933" s="38" t="b">
        <x:f t="shared" si="269">E5933&lt;G5933</x:f>
        <x:v>1</x:v>
      </x:c>
    </x:row>
    <x:row r="5934">
      <x:c r="A5934" s="31">
        <x:v>45672</x:v>
      </x:c>
      <x:c r="B5934" s="32">
        <x:v>1233.29</x:v>
      </x:c>
      <x:c r="C5934" s="32">
        <x:v>1237.46</x:v>
      </x:c>
      <x:c r="D5934" s="32">
        <x:v>1231.1300000000001</x:v>
      </x:c>
      <x:c r="E5934" s="32">
        <x:v>1236.18</x:v>
      </x:c>
      <x:c r="F5934" s="33">
        <x:v>392613400</x:v>
      </x:c>
      <x:c r="G5934" s="32" t="n">
        <x:f t="shared" si="267">AVERAGE(E5735:E5934)</x:f>
        <x:v>1258.4003500000006</x:v>
      </x:c>
      <x:c r="H5934" s="37" t="n">
        <x:f t="shared" si="268">IFERROR(E5934/G5934-1,"")</x:f>
        <x:v>-0.017657615877173294</x:v>
      </x:c>
      <x:c r="I5934" s="38" t="b">
        <x:f t="shared" si="269">E5934&lt;G5934</x:f>
        <x:v>1</x:v>
      </x:c>
    </x:row>
    <x:row r="5935">
      <x:c r="A5935" s="31">
        <x:v>45673</x:v>
      </x:c>
      <x:c r="B5935" s="32">
        <x:v>1241.74</x:v>
      </x:c>
      <x:c r="C5935" s="32">
        <x:v>1245.4000000000001</x:v>
      </x:c>
      <x:c r="D5935" s="32">
        <x:v>1235.56</x:v>
      </x:c>
      <x:c r="E5935" s="32">
        <x:v>1242.3599999999999</x:v>
      </x:c>
      <x:c r="F5935" s="33">
        <x:v>401866600</x:v>
      </x:c>
      <x:c r="G5935" s="32" t="n">
        <x:f t="shared" si="267">AVERAGE(E5736:E5935)</x:f>
        <x:v>1258.2045500000004</x:v>
      </x:c>
      <x:c r="H5935" s="37" t="n">
        <x:f t="shared" si="268">IFERROR(E5935/G5935-1,"")</x:f>
        <x:v>-0.01259298418528254</x:v>
      </x:c>
      <x:c r="I5935" s="38" t="b">
        <x:f t="shared" si="269">E5935&lt;G5935</x:f>
        <x:v>1</x:v>
      </x:c>
    </x:row>
    <x:row r="5936">
      <x:c r="A5936" s="31">
        <x:v>45674</x:v>
      </x:c>
      <x:c r="B5936" s="32">
        <x:v>1242.3800000000001</x:v>
      </x:c>
      <x:c r="C5936" s="32">
        <x:v>1249.1099999999999</x:v>
      </x:c>
      <x:c r="D5936" s="32">
        <x:v>1239.6300000000001</x:v>
      </x:c>
      <x:c r="E5936" s="32">
        <x:v>1249.1099999999999</x:v>
      </x:c>
      <x:c r="F5936" s="33">
        <x:v>356902800</x:v>
      </x:c>
      <x:c r="G5936" s="32" t="n">
        <x:f t="shared" si="267">AVERAGE(E5737:E5936)</x:f>
        <x:v>1258.0149000000006</x:v>
      </x:c>
      <x:c r="H5936" s="37" t="n">
        <x:f t="shared" si="268">IFERROR(E5936/G5936-1,"")</x:f>
        <x:v>-0.007078533012606303</x:v>
      </x:c>
      <x:c r="I5936" s="38" t="b">
        <x:f t="shared" si="269">E5936&lt;G5936</x:f>
        <x:v>1</x:v>
      </x:c>
    </x:row>
    <x:row r="5937">
      <x:c r="A5937" s="31">
        <x:v>45677</x:v>
      </x:c>
      <x:c r="B5937" s="32">
        <x:v>1250.1300000000001</x:v>
      </x:c>
      <x:c r="C5937" s="32">
        <x:v>1253.02</x:v>
      </x:c>
      <x:c r="D5937" s="32">
        <x:v>1247.5</x:v>
      </x:c>
      <x:c r="E5937" s="32">
        <x:v>1249.55</x:v>
      </x:c>
      <x:c r="F5937" s="33">
        <x:v>356673500</x:v>
      </x:c>
      <x:c r="G5937" s="32" t="n">
        <x:f t="shared" si="267">AVERAGE(E5738:E5937)</x:f>
        <x:v>1257.9053000000006</x:v>
      </x:c>
      <x:c r="H5937" s="37" t="n">
        <x:f t="shared" si="268">IFERROR(E5937/G5937-1,"")</x:f>
        <x:v>-0.006642232924847891</x:v>
      </x:c>
      <x:c r="I5937" s="38" t="b">
        <x:f t="shared" si="269">E5937&lt;G5937</x:f>
        <x:v>1</x:v>
      </x:c>
    </x:row>
    <x:row r="5938">
      <x:c r="A5938" s="31">
        <x:v>45678</x:v>
      </x:c>
      <x:c r="B5938" s="32">
        <x:v>1252.75</x:v>
      </x:c>
      <x:c r="C5938" s="32">
        <x:v>1254.17</x:v>
      </x:c>
      <x:c r="D5938" s="32">
        <x:v>1243.08</x:v>
      </x:c>
      <x:c r="E5938" s="32">
        <x:v>1246.0899999999999</x:v>
      </x:c>
      <x:c r="F5938" s="33">
        <x:v>379222600</x:v>
      </x:c>
      <x:c r="G5938" s="32" t="n">
        <x:f t="shared" si="267">AVERAGE(E5739:E5938)</x:f>
        <x:v>1257.7945000000007</x:v>
      </x:c>
      <x:c r="H5938" s="37" t="n">
        <x:f t="shared" si="268">IFERROR(E5938/G5938-1,"")</x:f>
        <x:v>-0.00930557416175748</x:v>
      </x:c>
      <x:c r="I5938" s="38" t="b">
        <x:f t="shared" si="269">E5938&lt;G5938</x:f>
        <x:v>1</x:v>
      </x:c>
    </x:row>
    <x:row r="5939">
      <x:c r="A5939" s="31">
        <x:v>45679</x:v>
      </x:c>
      <x:c r="B5939" s="32">
        <x:v>1248.26</x:v>
      </x:c>
      <x:c r="C5939" s="32">
        <x:v>1249.1400000000001</x:v>
      </x:c>
      <x:c r="D5939" s="32">
        <x:v>1242.53</x:v>
      </x:c>
      <x:c r="E5939" s="32">
        <x:v>1242.53</x:v>
      </x:c>
      <x:c r="F5939" s="33">
        <x:v>400259000</x:v>
      </x:c>
      <x:c r="G5939" s="32" t="n">
        <x:f t="shared" si="267">AVERAGE(E5740:E5939)</x:f>
        <x:v>1257.7316000000003</x:v>
      </x:c>
      <x:c r="H5939" s="37" t="n">
        <x:f t="shared" si="268">IFERROR(E5939/G5939-1,"")</x:f>
        <x:v>-0.012086521480417889</x:v>
      </x:c>
      <x:c r="I5939" s="38" t="b">
        <x:f t="shared" si="269">E5939&lt;G5939</x:f>
        <x:v>1</x:v>
      </x:c>
    </x:row>
    <x:row r="5940">
      <x:c r="A5940" s="31">
        <x:v>45680</x:v>
      </x:c>
      <x:c r="B5940" s="32">
        <x:v>1245.5899999999999</x:v>
      </x:c>
      <x:c r="C5940" s="32">
        <x:v>1263.5899999999999</x:v>
      </x:c>
      <x:c r="D5940" s="32">
        <x:v>1244.77</x:v>
      </x:c>
      <x:c r="E5940" s="32">
        <x:v>1259.6300000000001</x:v>
      </x:c>
      <x:c r="F5940" s="33">
        <x:v>495626300</x:v>
      </x:c>
      <x:c r="G5940" s="32" t="n">
        <x:f t="shared" si="267">AVERAGE(E5741:E5940)</x:f>
        <x:v>1257.7780000000005</x:v>
      </x:c>
      <x:c r="H5940" s="37" t="n">
        <x:f t="shared" si="268">IFERROR(E5940/G5940-1,"")</x:f>
        <x:v>0.0014724379023958178</x:v>
      </x:c>
      <x:c r="I5940" s="38" t="b">
        <x:f t="shared" si="269">E5940&lt;G5940</x:f>
        <x:v>0</x:v>
      </x:c>
    </x:row>
    <x:row r="5941">
      <x:c r="A5941" s="31">
        <x:v>45681</x:v>
      </x:c>
      <x:c r="B5941" s="32">
        <x:v>1259.26</x:v>
      </x:c>
      <x:c r="C5941" s="32">
        <x:v>1265.3800000000001</x:v>
      </x:c>
      <x:c r="D5941" s="32">
        <x:v>1258.46</x:v>
      </x:c>
      <x:c r="E5941" s="32">
        <x:v>1265.05</x:v>
      </x:c>
      <x:c r="F5941" s="33">
        <x:v>495593500</x:v>
      </x:c>
      <x:c r="G5941" s="32" t="n">
        <x:f t="shared" si="267">AVERAGE(E5742:E5941)</x:f>
        <x:v>1257.7891500000003</x:v>
      </x:c>
      <x:c r="H5941" s="37" t="n">
        <x:f t="shared" si="268">IFERROR(E5941/G5941-1,"")</x:f>
        <x:v>0.005772708406651228</x:v>
      </x:c>
      <x:c r="I5941" s="38" t="b">
        <x:f t="shared" si="269">E5941&lt;G5941</x:f>
        <x:v>0</x:v>
      </x:c>
    </x:row>
    <x:row r="5942">
      <x:c r="A5942" s="31">
        <x:v>45692</x:v>
      </x:c>
      <x:c r="B5942" s="32">
        <x:v>1256.9100000000001</x:v>
      </x:c>
      <x:c r="C5942" s="32">
        <x:v>1264.68</x:v>
      </x:c>
      <x:c r="D5942" s="32">
        <x:v>1255.44</x:v>
      </x:c>
      <x:c r="E5942" s="32">
        <x:v>1264.68</x:v>
      </x:c>
      <x:c r="F5942" s="33">
        <x:v>584557300</x:v>
      </x:c>
      <x:c r="G5942" s="32" t="n">
        <x:f t="shared" si="267">AVERAGE(E5743:E5942)</x:f>
        <x:v>1257.8197500000003</x:v>
      </x:c>
      <x:c r="H5942" s="37" t="n">
        <x:f t="shared" si="268">IFERROR(E5942/G5942-1,"")</x:f>
        <x:v>0.005454080364058367</x:v>
      </x:c>
      <x:c r="I5942" s="38" t="b">
        <x:f t="shared" si="269">E5942&lt;G5942</x:f>
        <x:v>0</x:v>
      </x:c>
    </x:row>
    <x:row r="5943">
      <x:c r="A5943" s="31">
        <x:v>45693</x:v>
      </x:c>
      <x:c r="B5943" s="32">
        <x:v>1268.43</x:v>
      </x:c>
      <x:c r="C5943" s="32">
        <x:v>1271.8</x:v>
      </x:c>
      <x:c r="D5943" s="32">
        <x:v>1266.18</x:v>
      </x:c>
      <x:c r="E5943" s="32">
        <x:v>1269.6099999999999</x:v>
      </x:c>
      <x:c r="F5943" s="33">
        <x:v>533635600</x:v>
      </x:c>
      <x:c r="G5943" s="32" t="n">
        <x:f t="shared" si="267">AVERAGE(E5744:E5943)</x:f>
        <x:v>1257.8768000000002</x:v>
      </x:c>
      <x:c r="H5943" s="37" t="n">
        <x:f t="shared" si="268">IFERROR(E5943/G5943-1,"")</x:f>
        <x:v>0.00932778154426539</x:v>
      </x:c>
      <x:c r="I5943" s="38" t="b">
        <x:f t="shared" si="269">E5943&lt;G5943</x:f>
        <x:v>0</x:v>
      </x:c>
    </x:row>
    <x:row r="5944">
      <x:c r="A5944" s="31">
        <x:v>45694</x:v>
      </x:c>
      <x:c r="B5944" s="32">
        <x:v>1273.58</x:v>
      </x:c>
      <x:c r="C5944" s="32">
        <x:v>1275.47</x:v>
      </x:c>
      <x:c r="D5944" s="32">
        <x:v>1268.28</x:v>
      </x:c>
      <x:c r="E5944" s="32">
        <x:v>1271.48</x:v>
      </x:c>
      <x:c r="F5944" s="33">
        <x:v>537101800</x:v>
      </x:c>
      <x:c r="G5944" s="32" t="n">
        <x:f t="shared" si="267">AVERAGE(E5745:E5944)</x:f>
        <x:v>1257.8512000000003</x:v>
      </x:c>
      <x:c r="H5944" s="37" t="n">
        <x:f t="shared" si="268">IFERROR(E5944/G5944-1,"")</x:f>
        <x:v>0.01083498588704268</x:v>
      </x:c>
      <x:c r="I5944" s="38" t="b">
        <x:f t="shared" si="269">E5944&lt;G5944</x:f>
        <x:v>0</x:v>
      </x:c>
    </x:row>
    <x:row r="5945">
      <x:c r="A5945" s="31">
        <x:v>45695</x:v>
      </x:c>
      <x:c r="B5945" s="32">
        <x:v>1271.98</x:v>
      </x:c>
      <x:c r="C5945" s="32">
        <x:v>1279.3499999999999</x:v>
      </x:c>
      <x:c r="D5945" s="32">
        <x:v>1269.1099999999999</x:v>
      </x:c>
      <x:c r="E5945" s="32">
        <x:v>1275.2</x:v>
      </x:c>
      <x:c r="F5945" s="33">
        <x:v>549313500</x:v>
      </x:c>
      <x:c r="G5945" s="32" t="n">
        <x:f t="shared" si="267">AVERAGE(E5746:E5945)</x:f>
        <x:v>1258.1441500000003</x:v>
      </x:c>
      <x:c r="H5945" s="37" t="n">
        <x:f t="shared" si="268">IFERROR(E5945/G5945-1,"")</x:f>
        <x:v>0.01355635600260885</x:v>
      </x:c>
      <x:c r="I5945" s="38" t="b">
        <x:f t="shared" si="269">E5945&lt;G5945</x:f>
        <x:v>0</x:v>
      </x:c>
    </x:row>
    <x:row r="5946">
      <x:c r="A5946" s="31">
        <x:v>45698</x:v>
      </x:c>
      <x:c r="B5946" s="32">
        <x:v>1272.27</x:v>
      </x:c>
      <x:c r="C5946" s="32">
        <x:v>1274.47</x:v>
      </x:c>
      <x:c r="D5946" s="32">
        <x:v>1263.26</x:v>
      </x:c>
      <x:c r="E5946" s="32">
        <x:v>1263.26</x:v>
      </x:c>
      <x:c r="F5946" s="33">
        <x:v>722097700</x:v>
      </x:c>
      <x:c r="G5946" s="32" t="n">
        <x:f t="shared" si="267">AVERAGE(E5747:E5946)</x:f>
        <x:v>1258.3820500000004</x:v>
      </x:c>
      <x:c r="H5946" s="37" t="n">
        <x:f t="shared" si="268">IFERROR(E5946/G5946-1,"")</x:f>
        <x:v>0.0038763664818641796</x:v>
      </x:c>
      <x:c r="I5946" s="38" t="b">
        <x:f t="shared" si="269">E5946&lt;G5946</x:f>
        <x:v>0</x:v>
      </x:c>
    </x:row>
    <x:row r="5947">
      <x:c r="A5947" s="31">
        <x:v>45699</x:v>
      </x:c>
      <x:c r="B5947" s="32">
        <x:v>1265.44</x:v>
      </x:c>
      <x:c r="C5947" s="32">
        <x:v>1268.45</x:v>
      </x:c>
      <x:c r="D5947" s="32">
        <x:v>1263.1099999999999</x:v>
      </x:c>
      <x:c r="E5947" s="32">
        <x:v>1268.45</x:v>
      </x:c>
      <x:c r="F5947" s="33">
        <x:v>571767200</x:v>
      </x:c>
      <x:c r="G5947" s="32" t="n">
        <x:f t="shared" si="267">AVERAGE(E5748:E5947)</x:f>
        <x:v>1258.7592500000005</x:v>
      </x:c>
      <x:c r="H5947" s="37" t="n">
        <x:f t="shared" si="268">IFERROR(E5947/G5947-1,"")</x:f>
        <x:v>0.0076986524627322694</x:v>
      </x:c>
      <x:c r="I5947" s="38" t="b">
        <x:f t="shared" si="269">E5947&lt;G5947</x:f>
        <x:v>0</x:v>
      </x:c>
    </x:row>
    <x:row r="5948">
      <x:c r="A5948" s="31">
        <x:v>45700</x:v>
      </x:c>
      <x:c r="B5948" s="32">
        <x:v>1270.83</x:v>
      </x:c>
      <x:c r="C5948" s="32">
        <x:v>1272.8599999999999</x:v>
      </x:c>
      <x:c r="D5948" s="32">
        <x:v>1266.5899999999999</x:v>
      </x:c>
      <x:c r="E5948" s="32">
        <x:v>1266.9100000000001</x:v>
      </x:c>
      <x:c r="F5948" s="33">
        <x:v>461579300</x:v>
      </x:c>
      <x:c r="G5948" s="32" t="n">
        <x:f t="shared" si="267">AVERAGE(E5749:E5948)</x:f>
        <x:v>1259.2195500000003</x:v>
      </x:c>
      <x:c r="H5948" s="37" t="n">
        <x:f t="shared" si="268">IFERROR(E5948/G5948-1,"")</x:f>
        <x:v>0.006107314645805717</x:v>
      </x:c>
      <x:c r="I5948" s="38" t="b">
        <x:f t="shared" si="269">E5948&lt;G5948</x:f>
        <x:v>0</x:v>
      </x:c>
    </x:row>
    <x:row r="5949">
      <x:c r="A5949" s="31">
        <x:v>45701</x:v>
      </x:c>
      <x:c r="B5949" s="32">
        <x:v>1267.25</x:v>
      </x:c>
      <x:c r="C5949" s="32">
        <x:v>1270.67</x:v>
      </x:c>
      <x:c r="D5949" s="32">
        <x:v>1263.8499999999999</x:v>
      </x:c>
      <x:c r="E5949" s="32">
        <x:v>1270.3499999999999</x:v>
      </x:c>
      <x:c r="F5949" s="33">
        <x:v>471455600</x:v>
      </x:c>
      <x:c r="G5949" s="32" t="n">
        <x:f t="shared" si="267">AVERAGE(E5750:E5949)</x:f>
        <x:v>1259.6202000000003</x:v>
      </x:c>
      <x:c r="H5949" s="37" t="n">
        <x:f t="shared" si="268">IFERROR(E5949/G5949-1,"")</x:f>
        <x:v>0.008518281939269956</x:v>
      </x:c>
      <x:c r="I5949" s="38" t="b">
        <x:f t="shared" si="269">E5949&lt;G5949</x:f>
        <x:v>0</x:v>
      </x:c>
    </x:row>
    <x:row r="5950">
      <x:c r="A5950" s="31">
        <x:v>45702</x:v>
      </x:c>
      <x:c r="B5950" s="32">
        <x:v>1277.52</x:v>
      </x:c>
      <x:c r="C5950" s="32">
        <x:v>1280.5999999999999</x:v>
      </x:c>
      <x:c r="D5950" s="32">
        <x:v>1274</x:v>
      </x:c>
      <x:c r="E5950" s="32">
        <x:v>1276.08</x:v>
      </x:c>
      <x:c r="F5950" s="33">
        <x:v>612731000</x:v>
      </x:c>
      <x:c r="G5950" s="32" t="n">
        <x:f t="shared" si="267">AVERAGE(E5751:E5950)</x:f>
        <x:v>1260.1136000000004</x:v>
      </x:c>
      <x:c r="H5950" s="37" t="n">
        <x:f t="shared" si="268">IFERROR(E5950/G5950-1,"")</x:f>
        <x:v>0.012670603666208757</x:v>
      </x:c>
      <x:c r="I5950" s="38" t="b">
        <x:f t="shared" si="269">E5950&lt;G5950</x:f>
        <x:v>0</x:v>
      </x:c>
    </x:row>
    <x:row r="5951">
      <x:c r="A5951" s="31">
        <x:v>45705</x:v>
      </x:c>
      <x:c r="B5951" s="32">
        <x:v>1277.1199999999999</x:v>
      </x:c>
      <x:c r="C5951" s="32">
        <x:v>1278.49</x:v>
      </x:c>
      <x:c r="D5951" s="32">
        <x:v>1272.72</x:v>
      </x:c>
      <x:c r="E5951" s="32">
        <x:v>1272.72</x:v>
      </x:c>
      <x:c r="F5951" s="33">
        <x:v>739384500</x:v>
      </x:c>
      <x:c r="G5951" s="32" t="n">
        <x:f t="shared" si="267">AVERAGE(E5752:E5951)</x:f>
        <x:v>1260.4491500000004</x:v>
      </x:c>
      <x:c r="H5951" s="37" t="n">
        <x:f t="shared" si="268">IFERROR(E5951/G5951-1,"")</x:f>
        <x:v>0.009735299516049123</x:v>
      </x:c>
      <x:c r="I5951" s="38" t="b">
        <x:f t="shared" si="269">E5951&lt;G5951</x:f>
        <x:v>0</x:v>
      </x:c>
    </x:row>
    <x:row r="5952">
      <x:c r="A5952" s="31">
        <x:v>45706</x:v>
      </x:c>
      <x:c r="B5952" s="32">
        <x:v>1274.05</x:v>
      </x:c>
      <x:c r="C5952" s="32">
        <x:v>1283.3399999999999</x:v>
      </x:c>
      <x:c r="D5952" s="32">
        <x:v>1272.19</x:v>
      </x:c>
      <x:c r="E5952" s="32">
        <x:v>1278.1400000000001</x:v>
      </x:c>
      <x:c r="F5952" s="33">
        <x:v>630728100</x:v>
      </x:c>
      <x:c r="G5952" s="32" t="n">
        <x:f t="shared" si="267">AVERAGE(E5753:E5952)</x:f>
        <x:v>1260.8150000000005</x:v>
      </x:c>
      <x:c r="H5952" s="37" t="n">
        <x:f t="shared" si="268">IFERROR(E5952/G5952-1,"")</x:f>
        <x:v>0.013741111899842284</x:v>
      </x:c>
      <x:c r="I5952" s="38" t="b">
        <x:f t="shared" si="269">E5952&lt;G5952</x:f>
        <x:v>0</x:v>
      </x:c>
    </x:row>
    <x:row r="5953">
      <x:c r="A5953" s="31">
        <x:v>45707</x:v>
      </x:c>
      <x:c r="B5953" s="32">
        <x:v>1280.5999999999999</x:v>
      </x:c>
      <x:c r="C5953" s="32">
        <x:v>1288.56</x:v>
      </x:c>
      <x:c r="D5953" s="32">
        <x:v>1278.92</x:v>
      </x:c>
      <x:c r="E5953" s="32">
        <x:v>1288.56</x:v>
      </x:c>
      <x:c r="F5953" s="33">
        <x:v>736575500</x:v>
      </x:c>
      <x:c r="G5953" s="32" t="n">
        <x:f t="shared" si="267">AVERAGE(E5754:E5953)</x:f>
        <x:v>1261.2102000000004</x:v>
      </x:c>
      <x:c r="H5953" s="37" t="n">
        <x:f t="shared" si="268">IFERROR(E5953/G5953-1,"")</x:f>
        <x:v>0.021685362202113145</x:v>
      </x:c>
      <x:c r="I5953" s="38" t="b">
        <x:f t="shared" si="269">E5953&lt;G5953</x:f>
        <x:v>0</x:v>
      </x:c>
    </x:row>
    <x:row r="5954">
      <x:c r="A5954" s="31">
        <x:v>45708</x:v>
      </x:c>
      <x:c r="B5954" s="32">
        <x:v>1292.94</x:v>
      </x:c>
      <x:c r="C5954" s="32">
        <x:v>1295.82</x:v>
      </x:c>
      <x:c r="D5954" s="32">
        <x:v>1290.8399999999999</x:v>
      </x:c>
      <x:c r="E5954" s="32">
        <x:v>1292.98</x:v>
      </x:c>
      <x:c r="F5954" s="33">
        <x:v>713812400</x:v>
      </x:c>
      <x:c r="G5954" s="32" t="n">
        <x:f t="shared" si="267">AVERAGE(E5755:E5954)</x:f>
        <x:v>1261.5933000000002</x:v>
      </x:c>
      <x:c r="H5954" s="37" t="n">
        <x:f t="shared" si="268">IFERROR(E5954/G5954-1,"")</x:f>
        <x:v>0.02487861975804706</x:v>
      </x:c>
      <x:c r="I5954" s="38" t="b">
        <x:f t="shared" si="269">E5954&lt;G5954</x:f>
        <x:v>0</x:v>
      </x:c>
    </x:row>
    <x:row r="5955">
      <x:c r="A5955" s="31">
        <x:v>45709</x:v>
      </x:c>
      <x:c r="B5955" s="32">
        <x:v>1293.6300000000001</x:v>
      </x:c>
      <x:c r="C5955" s="32">
        <x:v>1296.75</x:v>
      </x:c>
      <x:c r="D5955" s="32">
        <x:v>1290.98</x:v>
      </x:c>
      <x:c r="E5955" s="32">
        <x:v>1296.75</x:v>
      </x:c>
      <x:c r="F5955" s="33">
        <x:v>667595300</x:v>
      </x:c>
      <x:c r="G5955" s="32" t="n">
        <x:f t="shared" si="267">AVERAGE(E5756:E5955)</x:f>
        <x:v>1261.9719000000002</x:v>
      </x:c>
      <x:c r="H5955" s="37" t="n">
        <x:f t="shared" si="268">IFERROR(E5955/G5955-1,"")</x:f>
        <x:v>0.027558537555392393</x:v>
      </x:c>
      <x:c r="I5955" s="38" t="b">
        <x:f t="shared" si="269">E5955&lt;G5955</x:f>
        <x:v>0</x:v>
      </x:c>
    </x:row>
    <x:row r="5956">
      <x:c r="A5956" s="31">
        <x:v>45712</x:v>
      </x:c>
      <x:c r="B5956" s="32">
        <x:v>1298.29</x:v>
      </x:c>
      <x:c r="C5956" s="32">
        <x:v>1304.56</x:v>
      </x:c>
      <x:c r="D5956" s="32">
        <x:v>1294.69</x:v>
      </x:c>
      <x:c r="E5956" s="32">
        <x:v>1304.56</x:v>
      </x:c>
      <x:c r="F5956" s="33">
        <x:v>807663000</x:v>
      </x:c>
      <x:c r="G5956" s="32" t="n">
        <x:f t="shared" si="267">AVERAGE(E5757:E5956)</x:f>
        <x:v>1262.2868000000003</x:v>
      </x:c>
      <x:c r="H5956" s="37" t="n">
        <x:f t="shared" si="268">IFERROR(E5956/G5956-1,"")</x:f>
        <x:v>0.03348937816667297</x:v>
      </x:c>
      <x:c r="I5956" s="38" t="b">
        <x:f t="shared" si="269">E5956&lt;G5956</x:f>
        <x:v>0</x:v>
      </x:c>
    </x:row>
    <x:row r="5957">
      <x:c r="A5957" s="31">
        <x:v>45713</x:v>
      </x:c>
      <x:c r="B5957" s="32">
        <x:v>1306.8599999999999</x:v>
      </x:c>
      <x:c r="C5957" s="32">
        <x:v>1309.97</x:v>
      </x:c>
      <x:c r="D5957" s="32">
        <x:v>1298.54</x:v>
      </x:c>
      <x:c r="E5957" s="32">
        <x:v>1303.1600000000001</x:v>
      </x:c>
      <x:c r="F5957" s="33">
        <x:v>827899600</x:v>
      </x:c>
      <x:c r="G5957" s="32" t="n">
        <x:f t="shared" si="267">AVERAGE(E5758:E5957)</x:f>
        <x:v>1262.5594500000004</x:v>
      </x:c>
      <x:c r="H5957" s="37" t="n">
        <x:f t="shared" si="268">IFERROR(E5957/G5957-1,"")</x:f>
        <x:v>0.032157337224793414</x:v>
      </x:c>
      <x:c r="I5957" s="38" t="b">
        <x:f t="shared" si="269">E5957&lt;G5957</x:f>
        <x:v>0</x:v>
      </x:c>
    </x:row>
    <x:row r="5958">
      <x:c r="A5958" s="31">
        <x:v>45714</x:v>
      </x:c>
      <x:c r="B5958" s="32">
        <x:v>1305.1600000000001</x:v>
      </x:c>
      <x:c r="C5958" s="32">
        <x:v>1306.49</x:v>
      </x:c>
      <x:c r="D5958" s="32">
        <x:v>1301.2</x:v>
      </x:c>
      <x:c r="E5958" s="32">
        <x:v>1302.96</x:v>
      </x:c>
      <x:c r="F5958" s="33">
        <x:v>710467500</x:v>
      </x:c>
      <x:c r="G5958" s="32" t="n">
        <x:f t="shared" si="267">AVERAGE(E5759:E5958)</x:f>
        <x:v>1262.8219500000002</x:v>
      </x:c>
      <x:c r="H5958" s="37" t="n">
        <x:f t="shared" si="268">IFERROR(E5958/G5958-1,"")</x:f>
        <x:v>0.03178440951236228</x:v>
      </x:c>
      <x:c r="I5958" s="38" t="b">
        <x:f t="shared" si="269">E5958&lt;G5958</x:f>
        <x:v>0</x:v>
      </x:c>
    </x:row>
    <x:row r="5959">
      <x:c r="A5959" s="31">
        <x:v>45715</x:v>
      </x:c>
      <x:c r="B5959" s="32">
        <x:v>1307.31</x:v>
      </x:c>
      <x:c r="C5959" s="32">
        <x:v>1307.8699999999999</x:v>
      </x:c>
      <x:c r="D5959" s="32">
        <x:v>1296.43</x:v>
      </x:c>
      <x:c r="E5959" s="32">
        <x:v>1307.8</x:v>
      </x:c>
      <x:c r="F5959" s="33">
        <x:v>846430300</x:v>
      </x:c>
      <x:c r="G5959" s="32" t="n">
        <x:f t="shared" si="267">AVERAGE(E5760:E5959)</x:f>
        <x:v>1263.1177500000003</x:v>
      </x:c>
      <x:c r="H5959" s="37" t="n">
        <x:f t="shared" si="268">IFERROR(E5959/G5959-1,"")</x:f>
        <x:v>0.03537457216478801</x:v>
      </x:c>
      <x:c r="I5959" s="38" t="b">
        <x:f t="shared" si="269">E5959&lt;G5959</x:f>
        <x:v>0</x:v>
      </x:c>
    </x:row>
    <x:row r="5960">
      <x:c r="A5960" s="31">
        <x:v>45716</x:v>
      </x:c>
      <x:c r="B5960" s="32">
        <x:v>1307.1400000000001</x:v>
      </x:c>
      <x:c r="C5960" s="32">
        <x:v>1308.77</x:v>
      </x:c>
      <x:c r="D5960" s="32">
        <x:v>1300.6600000000001</x:v>
      </x:c>
      <x:c r="E5960" s="32">
        <x:v>1305.3599999999999</x:v>
      </x:c>
      <x:c r="F5960" s="33">
        <x:v>752261600</x:v>
      </x:c>
      <x:c r="G5960" s="32" t="n">
        <x:f t="shared" si="267">AVERAGE(E5761:E5960)</x:f>
        <x:v>1263.4210500000002</x:v>
      </x:c>
      <x:c r="H5960" s="37" t="n">
        <x:f t="shared" si="268">IFERROR(E5960/G5960-1,"")</x:f>
        <x:v>0.03319475324556276</x:v>
      </x:c>
      <x:c r="I5960" s="38" t="b">
        <x:f t="shared" si="269">E5960&lt;G5960</x:f>
        <x:v>0</x:v>
      </x:c>
    </x:row>
    <x:row r="5961">
      <x:c r="A5961" s="31">
        <x:v>45719</x:v>
      </x:c>
      <x:c r="B5961" s="32">
        <x:v>1306.97</x:v>
      </x:c>
      <x:c r="C5961" s="32">
        <x:v>1309.77</x:v>
      </x:c>
      <x:c r="D5961" s="32">
        <x:v>1304.3</x:v>
      </x:c>
      <x:c r="E5961" s="32">
        <x:v>1309.3699999999999</x:v>
      </x:c>
      <x:c r="F5961" s="33">
        <x:v>801877900</x:v>
      </x:c>
      <x:c r="G5961" s="32" t="n">
        <x:f t="shared" si="267">AVERAGE(E5762:E5961)</x:f>
        <x:v>1263.767</x:v>
      </x:c>
      <x:c r="H5961" s="37" t="n">
        <x:f t="shared" si="268">IFERROR(E5961/G5961-1,"")</x:f>
        <x:v>0.03608497452457593</x:v>
      </x:c>
      <x:c r="I5961" s="38" t="b">
        <x:f t="shared" si="269">E5961&lt;G5961</x:f>
        <x:v>0</x:v>
      </x:c>
    </x:row>
    <x:row r="5962">
      <x:c r="A5962" s="31">
        <x:v>45720</x:v>
      </x:c>
      <x:c r="B5962" s="32">
        <x:v>1306.82</x:v>
      </x:c>
      <x:c r="C5962" s="32">
        <x:v>1313.21</x:v>
      </x:c>
      <x:c r="D5962" s="32">
        <x:v>1298.28</x:v>
      </x:c>
      <x:c r="E5962" s="32">
        <x:v>1311.91</x:v>
      </x:c>
      <x:c r="F5962" s="33">
        <x:v>935915000</x:v>
      </x:c>
      <x:c r="G5962" s="32" t="n">
        <x:f t="shared" si="267">AVERAGE(E5763:E5962)</x:f>
        <x:v>1264.11015</x:v>
      </x:c>
      <x:c r="H5962" s="37" t="n">
        <x:f t="shared" si="268">IFERROR(E5962/G5962-1,"")</x:f>
        <x:v>0.03781304184607648</x:v>
      </x:c>
      <x:c r="I5962" s="38" t="b">
        <x:f t="shared" si="269">E5962&lt;G5962</x:f>
        <x:v>0</x:v>
      </x:c>
    </x:row>
    <x:row r="5963">
      <x:c r="A5963" s="31">
        <x:v>45721</x:v>
      </x:c>
      <x:c r="B5963" s="32">
        <x:v>1312.84</x:v>
      </x:c>
      <x:c r="C5963" s="32">
        <x:v>1319.52</x:v>
      </x:c>
      <x:c r="D5963" s="32">
        <x:v>1304.71</x:v>
      </x:c>
      <x:c r="E5963" s="32">
        <x:v>1304.71</x:v>
      </x:c>
      <x:c r="F5963" s="33">
        <x:v>770489000</x:v>
      </x:c>
      <x:c r="G5963" s="32" t="n">
        <x:f t="shared" si="267">AVERAGE(E5764:E5963)</x:f>
        <x:v>1264.36175</x:v>
      </x:c>
      <x:c r="H5963" s="37" t="n">
        <x:f t="shared" si="268">IFERROR(E5963/G5963-1,"")</x:f>
        <x:v>0.031911950832109515</x:v>
      </x:c>
      <x:c r="I5963" s="38" t="b">
        <x:f t="shared" si="269">E5963&lt;G5963</x:f>
        <x:v>0</x:v>
      </x:c>
    </x:row>
    <x:row r="5964">
      <x:c r="A5964" s="31">
        <x:v>45722</x:v>
      </x:c>
      <x:c r="B5964" s="32">
        <x:v>1308.02</x:v>
      </x:c>
      <x:c r="C5964" s="32">
        <x:v>1318.22</x:v>
      </x:c>
      <x:c r="D5964" s="32">
        <x:v>1307.9100000000001</x:v>
      </x:c>
      <x:c r="E5964" s="32">
        <x:v>1318.22</x:v>
      </x:c>
      <x:c r="F5964" s="33">
        <x:v>983991300</x:v>
      </x:c>
      <x:c r="G5964" s="32" t="n">
        <x:f t="shared" si="267">AVERAGE(E5765:E5964)</x:f>
        <x:v>1264.60895</x:v>
      </x:c>
      <x:c r="H5964" s="37" t="n">
        <x:f t="shared" si="268">IFERROR(E5964/G5964-1,"")</x:f>
        <x:v>0.04239338176437868</x:v>
      </x:c>
      <x:c r="I5964" s="38" t="b">
        <x:f t="shared" si="269">E5964&lt;G5964</x:f>
        <x:v>0</x:v>
      </x:c>
    </x:row>
    <x:row r="5965">
      <x:c r="A5965" s="31">
        <x:v>45723</x:v>
      </x:c>
      <x:c r="B5965" s="32">
        <x:v>1320.1</x:v>
      </x:c>
      <x:c r="C5965" s="32">
        <x:v>1327.07</x:v>
      </x:c>
      <x:c r="D5965" s="32">
        <x:v>1318.71</x:v>
      </x:c>
      <x:c r="E5965" s="32">
        <x:v>1326.05</x:v>
      </x:c>
      <x:c r="F5965" s="33">
        <x:v>892234400</x:v>
      </x:c>
      <x:c r="G5965" s="32" t="n">
        <x:f t="shared" ref="G5965:G6028" si="270">AVERAGE(E5766:E5965)</x:f>
        <x:v>1264.8512999999998</x:v>
      </x:c>
      <x:c r="H5965" s="37" t="n">
        <x:f t="shared" ref="H5965:H6028" si="271">IFERROR(E5965/G5965-1,"")</x:f>
        <x:v>0.04838410649536451</x:v>
      </x:c>
      <x:c r="I5965" s="38" t="b">
        <x:f t="shared" ref="I5965:I6028" si="272">E5965&lt;G5965</x:f>
        <x:v>0</x:v>
      </x:c>
    </x:row>
    <x:row r="5966">
      <x:c r="A5966" s="31">
        <x:v>45726</x:v>
      </x:c>
      <x:c r="B5966" s="32">
        <x:v>1331.6</x:v>
      </x:c>
      <x:c r="C5966" s="32">
        <x:v>1335.87</x:v>
      </x:c>
      <x:c r="D5966" s="32">
        <x:v>1326.51</x:v>
      </x:c>
      <x:c r="E5966" s="32">
        <x:v>1330.28</x:v>
      </x:c>
      <x:c r="F5966" s="33">
        <x:v>856954000</x:v>
      </x:c>
      <x:c r="G5966" s="32" t="n">
        <x:f t="shared" si="270">AVERAGE(E5767:E5966)</x:f>
        <x:v>1265.117</x:v>
      </x:c>
      <x:c r="H5966" s="37" t="n">
        <x:f t="shared" si="271">IFERROR(E5966/G5966-1,"")</x:f>
        <x:v>0.051507489030658826</x:v>
      </x:c>
      <x:c r="I5966" s="38" t="b">
        <x:f t="shared" si="272">E5966&lt;G5966</x:f>
        <x:v>0</x:v>
      </x:c>
    </x:row>
    <x:row r="5967">
      <x:c r="A5967" s="31">
        <x:v>45727</x:v>
      </x:c>
      <x:c r="B5967" s="32">
        <x:v>1319.17</x:v>
      </x:c>
      <x:c r="C5967" s="32">
        <x:v>1332.54</x:v>
      </x:c>
      <x:c r="D5967" s="32">
        <x:v>1315.92</x:v>
      </x:c>
      <x:c r="E5967" s="32">
        <x:v>1332.54</x:v>
      </x:c>
      <x:c r="F5967" s="33">
        <x:v>847458500</x:v>
      </x:c>
      <x:c r="G5967" s="32" t="n">
        <x:f t="shared" si="270">AVERAGE(E5768:E5967)</x:f>
        <x:v>1265.44515</x:v>
      </x:c>
      <x:c r="H5967" s="37" t="n">
        <x:f t="shared" si="271">IFERROR(E5967/G5967-1,"")</x:f>
        <x:v>0.05302074925965772</x:v>
      </x:c>
      <x:c r="I5967" s="38" t="b">
        <x:f t="shared" si="272">E5967&lt;G5967</x:f>
        <x:v>0</x:v>
      </x:c>
    </x:row>
    <x:row r="5968">
      <x:c r="A5968" s="31">
        <x:v>45728</x:v>
      </x:c>
      <x:c r="B5968" s="32">
        <x:v>1337.87</x:v>
      </x:c>
      <x:c r="C5968" s="32">
        <x:v>1342.91</x:v>
      </x:c>
      <x:c r="D5968" s="32">
        <x:v>1331.75</x:v>
      </x:c>
      <x:c r="E5968" s="32">
        <x:v>1334.41</x:v>
      </x:c>
      <x:c r="F5968" s="33">
        <x:v>851270200</x:v>
      </x:c>
      <x:c r="G5968" s="32" t="n">
        <x:f t="shared" si="270">AVERAGE(E5769:E5968)</x:f>
        <x:v>1265.71205</x:v>
      </x:c>
      <x:c r="H5968" s="37" t="n">
        <x:f t="shared" si="271">IFERROR(E5968/G5968-1,"")</x:f>
        <x:v>0.05427612860286812</x:v>
      </x:c>
      <x:c r="I5968" s="38" t="b">
        <x:f t="shared" si="272">E5968&lt;G5968</x:f>
        <x:v>0</x:v>
      </x:c>
    </x:row>
    <x:row r="5969">
      <x:c r="A5969" s="31">
        <x:v>45729</x:v>
      </x:c>
      <x:c r="B5969" s="32">
        <x:v>1335.66</x:v>
      </x:c>
      <x:c r="C5969" s="32">
        <x:v>1340.91</x:v>
      </x:c>
      <x:c r="D5969" s="32">
        <x:v>1324.87</x:v>
      </x:c>
      <x:c r="E5969" s="32">
        <x:v>1326.27</x:v>
      </x:c>
      <x:c r="F5969" s="33">
        <x:v>997593300</x:v>
      </x:c>
      <x:c r="G5969" s="32" t="n">
        <x:f t="shared" si="270">AVERAGE(E5770:E5969)</x:f>
        <x:v>1266.03375</x:v>
      </x:c>
      <x:c r="H5969" s="37" t="n">
        <x:f t="shared" si="271">IFERROR(E5969/G5969-1,"")</x:f>
        <x:v>0.04757870791359231</x:v>
      </x:c>
      <x:c r="I5969" s="38" t="b">
        <x:f t="shared" si="272">E5969&lt;G5969</x:f>
        <x:v>0</x:v>
      </x:c>
    </x:row>
    <x:row r="5970">
      <x:c r="A5970" s="31">
        <x:v>45730</x:v>
      </x:c>
      <x:c r="B5970" s="32">
        <x:v>1325.84</x:v>
      </x:c>
      <x:c r="C5970" s="32">
        <x:v>1333.32</x:v>
      </x:c>
      <x:c r="D5970" s="32">
        <x:v>1324.3</x:v>
      </x:c>
      <x:c r="E5970" s="32">
        <x:v>1326.15</x:v>
      </x:c>
      <x:c r="F5970" s="33">
        <x:v>940130200</x:v>
      </x:c>
      <x:c r="G5970" s="32" t="n">
        <x:f t="shared" si="270">AVERAGE(E5771:E5970)</x:f>
        <x:v>1266.3261</x:v>
      </x:c>
      <x:c r="H5970" s="37" t="n">
        <x:f t="shared" si="271">IFERROR(E5970/G5970-1,"")</x:f>
        <x:v>0.04724209664477419</x:v>
      </x:c>
      <x:c r="I5970" s="38" t="b">
        <x:f t="shared" si="272">E5970&lt;G5970</x:f>
        <x:v>0</x:v>
      </x:c>
    </x:row>
    <x:row r="5971">
      <x:c r="A5971" s="31">
        <x:v>45733</x:v>
      </x:c>
      <x:c r="B5971" s="32">
        <x:v>1330.62</x:v>
      </x:c>
      <x:c r="C5971" s="32">
        <x:v>1336.26</x:v>
      </x:c>
      <x:c r="D5971" s="32">
        <x:v>1329.05</x:v>
      </x:c>
      <x:c r="E5971" s="32">
        <x:v>1336.26</x:v>
      </x:c>
      <x:c r="F5971" s="33">
        <x:v>837533300</x:v>
      </x:c>
      <x:c r="G5971" s="32" t="n">
        <x:f t="shared" si="270">AVERAGE(E5772:E5971)</x:f>
        <x:v>1266.59875</x:v>
      </x:c>
      <x:c r="H5971" s="37" t="n">
        <x:f t="shared" si="271">IFERROR(E5971/G5971-1,"")</x:f>
        <x:v>0.05499867262619662</x:v>
      </x:c>
      <x:c r="I5971" s="38" t="b">
        <x:f t="shared" si="272">E5971&lt;G5971</x:f>
        <x:v>0</x:v>
      </x:c>
    </x:row>
    <x:row r="5972">
      <x:c r="A5972" s="31">
        <x:v>45734</x:v>
      </x:c>
      <x:c r="B5972" s="32">
        <x:v>1340.16</x:v>
      </x:c>
      <x:c r="C5972" s="32">
        <x:v>1341.65</x:v>
      </x:c>
      <x:c r="D5972" s="32">
        <x:v>1330.97</x:v>
      </x:c>
      <x:c r="E5972" s="32">
        <x:v>1330.97</x:v>
      </x:c>
      <x:c r="F5972" s="33">
        <x:v>810147700</x:v>
      </x:c>
      <x:c r="G5972" s="32" t="n">
        <x:f t="shared" si="270">AVERAGE(E5773:E5972)</x:f>
        <x:v>1266.8904</x:v>
      </x:c>
      <x:c r="H5972" s="37" t="n">
        <x:f t="shared" si="271">IFERROR(E5972/G5972-1,"")</x:f>
        <x:v>0.05058022382993821</x:v>
      </x:c>
      <x:c r="I5972" s="38" t="b">
        <x:f t="shared" si="272">E5972&lt;G5972</x:f>
        <x:v>0</x:v>
      </x:c>
    </x:row>
    <x:row r="5973">
      <x:c r="A5973" s="31">
        <x:v>45735</x:v>
      </x:c>
      <x:c r="B5973" s="32">
        <x:v>1330.4</x:v>
      </x:c>
      <x:c r="C5973" s="32">
        <x:v>1330.7</x:v>
      </x:c>
      <x:c r="D5973" s="32">
        <x:v>1320.85</x:v>
      </x:c>
      <x:c r="E5973" s="32">
        <x:v>1324.63</x:v>
      </x:c>
      <x:c r="F5973" s="33">
        <x:v>835603500</x:v>
      </x:c>
      <x:c r="G5973" s="32" t="n">
        <x:f t="shared" si="270">AVERAGE(E5774:E5973)</x:f>
        <x:v>1267.1819500000001</x:v>
      </x:c>
      <x:c r="H5973" s="37" t="n">
        <x:f t="shared" si="271">IFERROR(E5973/G5973-1,"")</x:f>
        <x:v>0.045335281172526054</x:v>
      </x:c>
      <x:c r="I5973" s="38" t="b">
        <x:f t="shared" si="272">E5973&lt;G5973</x:f>
        <x:v>0</x:v>
      </x:c>
    </x:row>
    <x:row r="5974">
      <x:c r="A5974" s="31">
        <x:v>45736</x:v>
      </x:c>
      <x:c r="B5974" s="32">
        <x:v>1326.8</x:v>
      </x:c>
      <x:c r="C5974" s="32">
        <x:v>1332.41</x:v>
      </x:c>
      <x:c r="D5974" s="32">
        <x:v>1316.11</x:v>
      </x:c>
      <x:c r="E5974" s="32">
        <x:v>1323.93</x:v>
      </x:c>
      <x:c r="F5974" s="33">
        <x:v>821245400</x:v>
      </x:c>
      <x:c r="G5974" s="32" t="n">
        <x:f t="shared" si="270">AVERAGE(E5775:E5974)</x:f>
        <x:v>1267.493</x:v>
      </x:c>
      <x:c r="H5974" s="37" t="n">
        <x:f t="shared" si="271">IFERROR(E5974/G5974-1,"")</x:f>
        <x:v>0.04452647864721948</x:v>
      </x:c>
      <x:c r="I5974" s="38" t="b">
        <x:f t="shared" si="272">E5974&lt;G5974</x:f>
        <x:v>0</x:v>
      </x:c>
    </x:row>
    <x:row r="5975">
      <x:c r="A5975" s="31">
        <x:v>45737</x:v>
      </x:c>
      <x:c r="B5975" s="32">
        <x:v>1324</x:v>
      </x:c>
      <x:c r="C5975" s="32">
        <x:v>1325.22</x:v>
      </x:c>
      <x:c r="D5975" s="32">
        <x:v>1320.67</x:v>
      </x:c>
      <x:c r="E5975" s="32">
        <x:v>1321.88</x:v>
      </x:c>
      <x:c r="F5975" s="33">
        <x:v>714332100</x:v>
      </x:c>
      <x:c r="G5975" s="32" t="n">
        <x:f t="shared" si="270">AVERAGE(E5776:E5975)</x:f>
        <x:v>1267.7024000000001</x:v>
      </x:c>
      <x:c r="H5975" s="37" t="n">
        <x:f t="shared" si="271">IFERROR(E5975/G5975-1,"")</x:f>
        <x:v>0.04273684423094881</x:v>
      </x:c>
      <x:c r="I5975" s="38" t="b">
        <x:f t="shared" si="272">E5975&lt;G5975</x:f>
        <x:v>0</x:v>
      </x:c>
    </x:row>
    <x:row r="5976">
      <x:c r="A5976" s="31">
        <x:v>45740</x:v>
      </x:c>
      <x:c r="B5976" s="32">
        <x:v>1322.9</x:v>
      </x:c>
      <x:c r="C5976" s="32">
        <x:v>1330.32</x:v>
      </x:c>
      <x:c r="D5976" s="32">
        <x:v>1316.73</x:v>
      </x:c>
      <x:c r="E5976" s="32">
        <x:v>1330.32</x:v>
      </x:c>
      <x:c r="F5976" s="33">
        <x:v>794985200</x:v>
      </x:c>
      <x:c r="G5976" s="32" t="n">
        <x:f t="shared" si="270">AVERAGE(E5777:E5976)</x:f>
        <x:v>1267.9364</x:v>
      </x:c>
      <x:c r="H5976" s="37" t="n">
        <x:f t="shared" si="271">IFERROR(E5976/G5976-1,"")</x:f>
        <x:v>0.04920089051785248</x:v>
      </x:c>
      <x:c r="I5976" s="38" t="b">
        <x:f t="shared" si="272">E5976&lt;G5976</x:f>
        <x:v>0</x:v>
      </x:c>
    </x:row>
    <x:row r="5977">
      <x:c r="A5977" s="31">
        <x:v>45741</x:v>
      </x:c>
      <x:c r="B5977" s="32">
        <x:v>1335.29</x:v>
      </x:c>
      <x:c r="C5977" s="32">
        <x:v>1337.6</x:v>
      </x:c>
      <x:c r="D5977" s="32">
        <x:v>1329.81</x:v>
      </x:c>
      <x:c r="E5977" s="32">
        <x:v>1331.92</x:v>
      </x:c>
      <x:c r="F5977" s="33">
        <x:v>825911400</x:v>
      </x:c>
      <x:c r="G5977" s="32" t="n">
        <x:f t="shared" si="270">AVERAGE(E5778:E5977)</x:f>
        <x:v>1268.1742500000003</x:v>
      </x:c>
      <x:c r="H5977" s="37" t="n">
        <x:f t="shared" si="271">IFERROR(E5977/G5977-1,"")</x:f>
        <x:v>0.05026576592293974</x:v>
      </x:c>
      <x:c r="I5977" s="38" t="b">
        <x:f t="shared" si="272">E5977&lt;G5977</x:f>
        <x:v>0</x:v>
      </x:c>
    </x:row>
    <x:row r="5978">
      <x:c r="A5978" s="31">
        <x:v>45742</x:v>
      </x:c>
      <x:c r="B5978" s="32">
        <x:v>1333.33</x:v>
      </x:c>
      <x:c r="C5978" s="32">
        <x:v>1338.55</x:v>
      </x:c>
      <x:c r="D5978" s="32">
        <x:v>1323.69</x:v>
      </x:c>
      <x:c r="E5978" s="32">
        <x:v>1326.09</x:v>
      </x:c>
      <x:c r="F5978" s="33">
        <x:v>734831200</x:v>
      </x:c>
      <x:c r="G5978" s="32" t="n">
        <x:f t="shared" si="270">AVERAGE(E5779:E5978)</x:f>
        <x:v>1268.3869000000002</x:v>
      </x:c>
      <x:c r="H5978" s="37" t="n">
        <x:f t="shared" si="271">IFERROR(E5978/G5978-1,"")</x:f>
        <x:v>0.04549329546055669</x:v>
      </x:c>
      <x:c r="I5978" s="38" t="b">
        <x:f t="shared" si="272">E5978&lt;G5978</x:f>
        <x:v>0</x:v>
      </x:c>
    </x:row>
    <x:row r="5979">
      <x:c r="A5979" s="31">
        <x:v>45743</x:v>
      </x:c>
      <x:c r="B5979" s="32">
        <x:v>1325.98</x:v>
      </x:c>
      <x:c r="C5979" s="32">
        <x:v>1328.82</x:v>
      </x:c>
      <x:c r="D5979" s="32">
        <x:v>1323.01</x:v>
      </x:c>
      <x:c r="E5979" s="32">
        <x:v>1323.81</x:v>
      </x:c>
      <x:c r="F5979" s="33">
        <x:v>564278800</x:v>
      </x:c>
      <x:c r="G5979" s="32" t="n">
        <x:f t="shared" si="270">AVERAGE(E5780:E5979)</x:f>
        <x:v>1268.56805</x:v>
      </x:c>
      <x:c r="H5979" s="37" t="n">
        <x:f t="shared" si="271">IFERROR(E5979/G5979-1,"")</x:f>
        <x:v>0.043546698184618426</x:v>
      </x:c>
      <x:c r="I5979" s="38" t="b">
        <x:f t="shared" si="272">E5979&lt;G5979</x:f>
        <x:v>0</x:v>
      </x:c>
    </x:row>
    <x:row r="5980">
      <x:c r="A5980" s="31">
        <x:v>45744</x:v>
      </x:c>
      <x:c r="B5980" s="32">
        <x:v>1324.42</x:v>
      </x:c>
      <x:c r="C5980" s="32">
        <x:v>1325.34</x:v>
      </x:c>
      <x:c r="D5980" s="32">
        <x:v>1315.72</x:v>
      </x:c>
      <x:c r="E5980" s="32">
        <x:v>1317.46</x:v>
      </x:c>
      <x:c r="F5980" s="33">
        <x:v>636613400</x:v>
      </x:c>
      <x:c r="G5980" s="32" t="n">
        <x:f t="shared" si="270">AVERAGE(E5781:E5980)</x:f>
        <x:v>1268.7020000000002</x:v>
      </x:c>
      <x:c r="H5980" s="37" t="n">
        <x:f t="shared" si="271">IFERROR(E5980/G5980-1,"")</x:f>
        <x:v>0.03843140469550743</x:v>
      </x:c>
      <x:c r="I5980" s="38" t="b">
        <x:f t="shared" si="272">E5980&lt;G5980</x:f>
        <x:v>0</x:v>
      </x:c>
    </x:row>
    <x:row r="5981">
      <x:c r="A5981" s="31">
        <x:v>45747</x:v>
      </x:c>
      <x:c r="B5981" s="32">
        <x:v>1313.51</x:v>
      </x:c>
      <x:c r="C5981" s="32">
        <x:v>1314.09</x:v>
      </x:c>
      <x:c r="D5981" s="32">
        <x:v>1304.0999999999999</x:v>
      </x:c>
      <x:c r="E5981" s="32">
        <x:v>1306.8599999999999</x:v>
      </x:c>
      <x:c r="F5981" s="33">
        <x:v>753148300</x:v>
      </x:c>
      <x:c r="G5981" s="32" t="n">
        <x:f t="shared" si="270">AVERAGE(E5782:E5981)</x:f>
        <x:v>1268.8142500000001</x:v>
      </x:c>
      <x:c r="H5981" s="37" t="n">
        <x:f t="shared" si="271">IFERROR(E5981/G5981-1,"")</x:f>
        <x:v>0.029985279563182532</x:v>
      </x:c>
      <x:c r="I5981" s="38" t="b">
        <x:f t="shared" si="272">E5981&lt;G5981</x:f>
        <x:v>0</x:v>
      </x:c>
    </x:row>
    <x:row r="5982">
      <x:c r="A5982" s="31">
        <x:v>45748</x:v>
      </x:c>
      <x:c r="B5982" s="32">
        <x:v>1313.03</x:v>
      </x:c>
      <x:c r="C5982" s="32">
        <x:v>1317.46</x:v>
      </x:c>
      <x:c r="D5982" s="32">
        <x:v>1308.06</x:v>
      </x:c>
      <x:c r="E5982" s="32">
        <x:v>1317.33</x:v>
      </x:c>
      <x:c r="F5982" s="33">
        <x:v>550212000</x:v>
      </x:c>
      <x:c r="G5982" s="32" t="n">
        <x:f t="shared" si="270">AVERAGE(E5783:E5982)</x:f>
        <x:v>1268.8999499999998</x:v>
      </x:c>
      <x:c r="H5982" s="37" t="n">
        <x:f t="shared" si="271">IFERROR(E5982/G5982-1,"")</x:f>
        <x:v>0.03816695713480023</x:v>
      </x:c>
      <x:c r="I5982" s="38" t="b">
        <x:f t="shared" si="272">E5982&lt;G5982</x:f>
        <x:v>0</x:v>
      </x:c>
    </x:row>
    <x:row r="5983">
      <x:c r="A5983" s="31">
        <x:v>45749</x:v>
      </x:c>
      <x:c r="B5983" s="32">
        <x:v>1321.53</x:v>
      </x:c>
      <x:c r="C5983" s="32">
        <x:v>1324.46</x:v>
      </x:c>
      <x:c r="D5983" s="32">
        <x:v>1317.68</x:v>
      </x:c>
      <x:c r="E5983" s="32">
        <x:v>1317.83</x:v>
      </x:c>
      <x:c r="F5983" s="33">
        <x:v>709130200</x:v>
      </x:c>
      <x:c r="G5983" s="32" t="n">
        <x:f t="shared" si="270">AVERAGE(E5784:E5983)</x:f>
        <x:v>1268.9815499999997</x:v>
      </x:c>
      <x:c r="H5983" s="37" t="n">
        <x:f t="shared" si="271">IFERROR(E5983/G5983-1,"")</x:f>
        <x:v>0.03849421609006076</x:v>
      </x:c>
      <x:c r="I5983" s="38" t="b">
        <x:f t="shared" si="272">E5983&lt;G5983</x:f>
        <x:v>0</x:v>
      </x:c>
    </x:row>
    <x:row r="5984">
      <x:c r="A5984" s="31">
        <x:v>45750</x:v>
      </x:c>
      <x:c r="B5984" s="32">
        <x:v>1272.8699999999999</x:v>
      </x:c>
      <x:c r="C5984" s="32">
        <x:v>1277.9000000000001</x:v>
      </x:c>
      <x:c r="D5984" s="32">
        <x:v>1229.4100000000001</x:v>
      </x:c>
      <x:c r="E5984" s="32">
        <x:v>1229.8399999999999</x:v>
      </x:c>
      <x:c r="F5984" s="33">
        <x:v>1716858800</x:v>
      </x:c>
      <x:c r="G5984" s="32" t="n">
        <x:f t="shared" si="270">AVERAGE(E5785:E5984)</x:f>
        <x:v>1268.7311999999997</x:v>
      </x:c>
      <x:c r="H5984" s="37" t="n">
        <x:f t="shared" si="271">IFERROR(E5984/G5984-1,"")</x:f>
        <x:v>-0.030653616778715476</x:v>
      </x:c>
      <x:c r="I5984" s="38" t="b">
        <x:f t="shared" si="272">E5984&lt;G5984</x:f>
        <x:v>1</x:v>
      </x:c>
    </x:row>
    <x:row r="5985">
      <x:c r="A5985" s="31">
        <x:v>45751</x:v>
      </x:c>
      <x:c r="B5985" s="32">
        <x:v>1159.33</x:v>
      </x:c>
      <x:c r="C5985" s="32">
        <x:v>1210.67</x:v>
      </x:c>
      <x:c r="D5985" s="32">
        <x:v>1158.17</x:v>
      </x:c>
      <x:c r="E5985" s="32">
        <x:v>1210.67</x:v>
      </x:c>
      <x:c r="F5985" s="33">
        <x:v>1873634000</x:v>
      </x:c>
      <x:c r="G5985" s="32" t="n">
        <x:f t="shared" si="270">AVERAGE(E5786:E5985)</x:f>
        <x:v>1268.4106999999997</x:v>
      </x:c>
      <x:c r="H5985" s="37" t="n">
        <x:f t="shared" si="271">IFERROR(E5985/G5985-1,"")</x:f>
        <x:v>-0.0455220852362721</x:v>
      </x:c>
      <x:c r="I5985" s="38" t="b">
        <x:f t="shared" si="272">E5985&lt;G5985</x:f>
        <x:v>1</x:v>
      </x:c>
    </x:row>
    <x:row r="5986">
      <x:c r="A5986" s="31">
        <x:v>45755</x:v>
      </x:c>
      <x:c r="B5986" s="32">
        <x:v>1173.1400000000001</x:v>
      </x:c>
      <x:c r="C5986" s="32">
        <x:v>1174.4000000000001</x:v>
      </x:c>
      <x:c r="D5986" s="32">
        <x:v>1130.98</x:v>
      </x:c>
      <x:c r="E5986" s="32">
        <x:v>1132.79</x:v>
      </x:c>
      <x:c r="F5986" s="33">
        <x:v>1055799900</x:v>
      </x:c>
      <x:c r="G5986" s="32" t="n">
        <x:f t="shared" si="270">AVERAGE(E5787:E5986)</x:f>
        <x:v>1267.6771499999998</x:v>
      </x:c>
      <x:c r="H5986" s="37" t="n">
        <x:f t="shared" si="271">IFERROR(E5986/G5986-1,"")</x:f>
        <x:v>-0.10640497069778354</x:v>
      </x:c>
      <x:c r="I5986" s="38" t="b">
        <x:f t="shared" si="272">E5986&lt;G5986</x:f>
        <x:v>1</x:v>
      </x:c>
    </x:row>
    <x:row r="5987">
      <x:c r="A5987" s="31">
        <x:v>45756</x:v>
      </x:c>
      <x:c r="B5987" s="32">
        <x:v>1073.6099999999999</x:v>
      </x:c>
      <x:c r="C5987" s="32">
        <x:v>1141.3499999999999</x:v>
      </x:c>
      <x:c r="D5987" s="32">
        <x:v>1073.6099999999999</x:v>
      </x:c>
      <x:c r="E5987" s="32">
        <x:v>1094.3</x:v>
      </x:c>
      <x:c r="F5987" s="33">
        <x:v>1518649100</x:v>
      </x:c>
      <x:c r="G5987" s="32" t="n">
        <x:f t="shared" si="270">AVERAGE(E5788:E5987)</x:f>
        <x:v>1266.7496999999996</x:v>
      </x:c>
      <x:c r="H5987" s="37" t="n">
        <x:f t="shared" si="271">IFERROR(E5987/G5987-1,"")</x:f>
        <x:v>-0.13613557595474446</x:v>
      </x:c>
      <x:c r="I5987" s="38" t="b">
        <x:f t="shared" si="272">E5987&lt;G5987</x:f>
        <x:v>1</x:v>
      </x:c>
    </x:row>
    <x:row r="5988">
      <x:c r="A5988" s="31">
        <x:v>45757</x:v>
      </x:c>
      <x:c r="B5988" s="32">
        <x:v>1166.0899999999999</x:v>
      </x:c>
      <x:c r="C5988" s="32">
        <x:v>1168.4000000000001</x:v>
      </x:c>
      <x:c r="D5988" s="32">
        <x:v>1165.8599999999999</x:v>
      </x:c>
      <x:c r="E5988" s="32">
        <x:v>1168.3399999999999</x:v>
      </x:c>
      <x:c r="F5988" s="33">
        <x:v>280341400</x:v>
      </x:c>
      <x:c r="G5988" s="32" t="n">
        <x:f t="shared" si="270">AVERAGE(E5789:E5988)</x:f>
        <x:v>1266.1798999999996</x:v>
      </x:c>
      <x:c r="H5988" s="37" t="n">
        <x:f t="shared" si="271">IFERROR(E5988/G5988-1,"")</x:f>
        <x:v>-0.07727172102479252</x:v>
      </x:c>
      <x:c r="I5988" s="38" t="b">
        <x:f t="shared" si="272">E5988&lt;G5988</x:f>
        <x:v>1</x:v>
      </x:c>
    </x:row>
    <x:row r="5989">
      <x:c r="A5989" s="31">
        <x:v>45758</x:v>
      </x:c>
      <x:c r="B5989" s="32">
        <x:v>1198.25</x:v>
      </x:c>
      <x:c r="C5989" s="32">
        <x:v>1222.46</x:v>
      </x:c>
      <x:c r="D5989" s="32">
        <x:v>1180.5899999999999</x:v>
      </x:c>
      <x:c r="E5989" s="32">
        <x:v>1222.46</x:v>
      </x:c>
      <x:c r="F5989" s="33">
        <x:v>1697947900</x:v>
      </x:c>
      <x:c r="G5989" s="32" t="n">
        <x:f t="shared" si="270">AVERAGE(E5790:E5989)</x:f>
        <x:v>1265.8820999999996</x:v>
      </x:c>
      <x:c r="H5989" s="37" t="n">
        <x:f t="shared" si="271">IFERROR(E5989/G5989-1,"")</x:f>
        <x:v>-0.034301851649533255</x:v>
      </x:c>
      <x:c r="I5989" s="38" t="b">
        <x:f t="shared" si="272">E5989&lt;G5989</x:f>
        <x:v>1</x:v>
      </x:c>
    </x:row>
    <x:row r="5990">
      <x:c r="A5990" s="31">
        <x:v>45761</x:v>
      </x:c>
      <x:c r="B5990" s="32">
        <x:v>1235.01</x:v>
      </x:c>
      <x:c r="C5990" s="32">
        <x:v>1242.94</x:v>
      </x:c>
      <x:c r="D5990" s="32">
        <x:v>1226.06</x:v>
      </x:c>
      <x:c r="E5990" s="32">
        <x:v>1241.44</x:v>
      </x:c>
      <x:c r="F5990" s="33">
        <x:v>983147400</x:v>
      </x:c>
      <x:c r="G5990" s="32" t="n">
        <x:f t="shared" si="270">AVERAGE(E5791:E5990)</x:f>
        <x:v>1265.8186999999996</x:v>
      </x:c>
      <x:c r="H5990" s="37" t="n">
        <x:f t="shared" si="271">IFERROR(E5990/G5990-1,"")</x:f>
        <x:v>-0.019259235149551412</x:v>
      </x:c>
      <x:c r="I5990" s="38" t="b">
        <x:f t="shared" si="272">E5990&lt;G5990</x:f>
        <x:v>1</x:v>
      </x:c>
    </x:row>
    <x:row r="5991">
      <x:c r="A5991" s="31">
        <x:v>45762</x:v>
      </x:c>
      <x:c r="B5991" s="32">
        <x:v>1233.2</x:v>
      </x:c>
      <x:c r="C5991" s="32">
        <x:v>1246.21</x:v>
      </x:c>
      <x:c r="D5991" s="32">
        <x:v>1221.75</x:v>
      </x:c>
      <x:c r="E5991" s="32">
        <x:v>1227.79</x:v>
      </x:c>
      <x:c r="F5991" s="33">
        <x:v>1004326400</x:v>
      </x:c>
      <x:c r="G5991" s="32" t="n">
        <x:f t="shared" si="270">AVERAGE(E5792:E5991)</x:f>
        <x:v>1265.6748499999997</x:v>
      </x:c>
      <x:c r="H5991" s="37" t="n">
        <x:f t="shared" si="271">IFERROR(E5991/G5991-1,"")</x:f>
        <x:v>-0.0299325296698435</x:v>
      </x:c>
      <x:c r="I5991" s="38" t="b">
        <x:f t="shared" si="272">E5991&lt;G5991</x:f>
        <x:v>1</x:v>
      </x:c>
    </x:row>
    <x:row r="5992">
      <x:c r="A5992" s="31">
        <x:v>45763</x:v>
      </x:c>
      <x:c r="B5992" s="32">
        <x:v>1225.29</x:v>
      </x:c>
      <x:c r="C5992" s="32">
        <x:v>1233.8399999999999</x:v>
      </x:c>
      <x:c r="D5992" s="32">
        <x:v>1205.93</x:v>
      </x:c>
      <x:c r="E5992" s="32">
        <x:v>1210.3</x:v>
      </x:c>
      <x:c r="F5992" s="33">
        <x:v>762327900</x:v>
      </x:c>
      <x:c r="G5992" s="32" t="n">
        <x:f t="shared" si="270">AVERAGE(E5793:E5992)</x:f>
        <x:v>1265.4201499999995</x:v>
      </x:c>
      <x:c r="H5992" s="37" t="n">
        <x:f t="shared" si="271">IFERROR(E5992/G5992-1,"")</x:f>
        <x:v>-0.043558773740089096</x:v>
      </x:c>
      <x:c r="I5992" s="38" t="b">
        <x:f t="shared" si="272">E5992&lt;G5992</x:f>
        <x:v>1</x:v>
      </x:c>
    </x:row>
    <x:row r="5993">
      <x:c r="A5993" s="31">
        <x:v>45764</x:v>
      </x:c>
      <x:c r="B5993" s="32">
        <x:v>1201.6300000000001</x:v>
      </x:c>
      <x:c r="C5993" s="32">
        <x:v>1217.25</x:v>
      </x:c>
      <x:c r="D5993" s="32">
        <x:v>1197.5</x:v>
      </x:c>
      <x:c r="E5993" s="32">
        <x:v>1217.25</x:v>
      </x:c>
      <x:c r="F5993" s="33">
        <x:v>697596200</x:v>
      </x:c>
      <x:c r="G5993" s="32" t="n">
        <x:f t="shared" si="270">AVERAGE(E5794:E5993)</x:f>
        <x:v>1265.2109499999995</x:v>
      </x:c>
      <x:c r="H5993" s="37" t="n">
        <x:f t="shared" si="271">IFERROR(E5993/G5993-1,"")</x:f>
        <x:v>-0.037907473058148455</x:v>
      </x:c>
      <x:c r="I5993" s="38" t="b">
        <x:f t="shared" si="272">E5993&lt;G5993</x:f>
        <x:v>1</x:v>
      </x:c>
    </x:row>
    <x:row r="5994">
      <x:c r="A5994" s="31">
        <x:v>45765</x:v>
      </x:c>
      <x:c r="B5994" s="32">
        <x:v>1228.3699999999999</x:v>
      </x:c>
      <x:c r="C5994" s="32">
        <x:v>1234.67</x:v>
      </x:c>
      <x:c r="D5994" s="32">
        <x:v>1219.1199999999999</x:v>
      </x:c>
      <x:c r="E5994" s="32">
        <x:v>1219.1199999999999</x:v>
      </x:c>
      <x:c r="F5994" s="33">
        <x:v>1039406300</x:v>
      </x:c>
      <x:c r="G5994" s="32" t="n">
        <x:f t="shared" si="270">AVERAGE(E5795:E5994)</x:f>
        <x:v>1265.0799499999994</x:v>
      </x:c>
      <x:c r="H5994" s="37" t="n">
        <x:f t="shared" si="271">IFERROR(E5994/G5994-1,"")</x:f>
        <x:v>-0.03632968019135829</x:v>
      </x:c>
      <x:c r="I5994" s="38" t="b">
        <x:f t="shared" si="272">E5994&lt;G5994</x:f>
        <x:v>1</x:v>
      </x:c>
    </x:row>
    <x:row r="5995">
      <x:c r="A5995" s="31">
        <x:v>45768</x:v>
      </x:c>
      <x:c r="B5995" s="32">
        <x:v>1220.3800000000001</x:v>
      </x:c>
      <x:c r="C5995" s="32">
        <x:v>1222.77</x:v>
      </x:c>
      <x:c r="D5995" s="32">
        <x:v>1201.6300000000001</x:v>
      </x:c>
      <x:c r="E5995" s="32">
        <x:v>1207.07</x:v>
      </x:c>
      <x:c r="F5995" s="33">
        <x:v>819133100</x:v>
      </x:c>
      <x:c r="G5995" s="32" t="n">
        <x:f t="shared" si="270">AVERAGE(E5796:E5995)</x:f>
        <x:v>1264.8424999999995</x:v>
      </x:c>
      <x:c r="H5995" s="37" t="n">
        <x:f t="shared" si="271">IFERROR(E5995/G5995-1,"")</x:f>
        <x:v>-0.04567564736320895</x:v>
      </x:c>
      <x:c r="I5995" s="38" t="b">
        <x:f t="shared" si="272">E5995&lt;G5995</x:f>
        <x:v>1</x:v>
      </x:c>
    </x:row>
    <x:row r="5996">
      <x:c r="A5996" s="31">
        <x:v>45769</x:v>
      </x:c>
      <x:c r="B5996" s="32">
        <x:v>1201.3800000000001</x:v>
      </x:c>
      <x:c r="C5996" s="32">
        <x:v>1203.82</x:v>
      </x:c>
      <x:c r="D5996" s="32">
        <x:v>1136.98</x:v>
      </x:c>
      <x:c r="E5996" s="32">
        <x:v>1197.1300000000001</x:v>
      </x:c>
      <x:c r="F5996" s="33">
        <x:v>1615665600</x:v>
      </x:c>
      <x:c r="G5996" s="32" t="n">
        <x:f t="shared" si="270">AVERAGE(E5797:E5996)</x:f>
        <x:v>1264.4791999999995</x:v>
      </x:c>
      <x:c r="H5996" s="37" t="n">
        <x:f t="shared" si="271">IFERROR(E5996/G5996-1,"")</x:f>
        <x:v>-0.05326240241832325</x:v>
      </x:c>
      <x:c r="I5996" s="38" t="b">
        <x:f t="shared" si="272">E5996&lt;G5996</x:f>
        <x:v>1</x:v>
      </x:c>
    </x:row>
    <x:row r="5997">
      <x:c r="A5997" s="31">
        <x:v>45770</x:v>
      </x:c>
      <x:c r="B5997" s="32">
        <x:v>1215.6500000000001</x:v>
      </x:c>
      <x:c r="C5997" s="32">
        <x:v>1216.28</x:v>
      </x:c>
      <x:c r="D5997" s="32">
        <x:v>1202.27</x:v>
      </x:c>
      <x:c r="E5997" s="32">
        <x:v>1211</x:v>
      </x:c>
      <x:c r="F5997" s="33">
        <x:v>786549800</x:v>
      </x:c>
      <x:c r="G5997" s="32" t="n">
        <x:f t="shared" si="270">AVERAGE(E5798:E5997)</x:f>
        <x:v>1264.1499499999998</x:v>
      </x:c>
      <x:c r="H5997" s="37" t="n">
        <x:f t="shared" si="271">IFERROR(E5997/G5997-1,"")</x:f>
        <x:v>-0.042044023337579395</x:v>
      </x:c>
      <x:c r="I5997" s="38" t="b">
        <x:f t="shared" si="272">E5997&lt;G5997</x:f>
        <x:v>1</x:v>
      </x:c>
    </x:row>
    <x:row r="5998">
      <x:c r="A5998" s="31">
        <x:v>45771</x:v>
      </x:c>
      <x:c r="B5998" s="32">
        <x:v>1214.78</x:v>
      </x:c>
      <x:c r="C5998" s="32">
        <x:v>1224.6600000000001</x:v>
      </x:c>
      <x:c r="D5998" s="32">
        <x:v>1210.3699999999999</x:v>
      </x:c>
      <x:c r="E5998" s="32">
        <x:v>1223.3499999999999</x:v>
      </x:c>
      <x:c r="F5998" s="33">
        <x:v>741456000</x:v>
      </x:c>
      <x:c r="G5998" s="32" t="n">
        <x:f t="shared" si="270">AVERAGE(E5799:E5998)</x:f>
        <x:v>1263.8672499999998</x:v>
      </x:c>
      <x:c r="H5998" s="37" t="n">
        <x:f t="shared" si="271">IFERROR(E5998/G5998-1,"")</x:f>
        <x:v>-0.032058153259371114</x:v>
      </x:c>
      <x:c r="I5998" s="38" t="b">
        <x:f t="shared" si="272">E5998&lt;G5998</x:f>
        <x:v>1</x:v>
      </x:c>
    </x:row>
    <x:row r="5999">
      <x:c r="A5999" s="31">
        <x:v>45772</x:v>
      </x:c>
      <x:c r="B5999" s="32">
        <x:v>1227.1600000000001</x:v>
      </x:c>
      <x:c r="C5999" s="32">
        <x:v>1230.72</x:v>
      </x:c>
      <x:c r="D5999" s="32">
        <x:v>1220.67</x:v>
      </x:c>
      <x:c r="E5999" s="32">
        <x:v>1229.23</x:v>
      </x:c>
      <x:c r="F5999" s="33">
        <x:v>787290000</x:v>
      </x:c>
      <x:c r="G5999" s="32" t="n">
        <x:f t="shared" si="270">AVERAGE(E5800:E5999)</x:f>
        <x:v>1263.5982</x:v>
      </x:c>
      <x:c r="H5999" s="37" t="n">
        <x:f t="shared" si="271">IFERROR(E5999/G5999-1,"")</x:f>
        <x:v>-0.027198677554304718</x:v>
      </x:c>
      <x:c r="I5999" s="38" t="b">
        <x:f t="shared" si="272">E5999&lt;G5999</x:f>
        <x:v>1</x:v>
      </x:c>
    </x:row>
    <x:row r="6000">
      <x:c r="A6000" s="31">
        <x:v>45775</x:v>
      </x:c>
      <x:c r="B6000" s="32">
        <x:v>1234.3</x:v>
      </x:c>
      <x:c r="C6000" s="32">
        <x:v>1234.3</x:v>
      </x:c>
      <x:c r="D6000" s="32">
        <x:v>1222.56</x:v>
      </x:c>
      <x:c r="E6000" s="32">
        <x:v>1226.8</x:v>
      </x:c>
      <x:c r="F6000" s="33">
        <x:v>576313200</x:v>
      </x:c>
      <x:c r="G6000" s="32" t="n">
        <x:f t="shared" si="270">AVERAGE(E5801:E6000)</x:f>
        <x:v>1263.3144</x:v>
      </x:c>
      <x:c r="H6000" s="37" t="n">
        <x:f t="shared" si="271">IFERROR(E6000/G6000-1,"")</x:f>
        <x:v>-0.028903652170829353</x:v>
      </x:c>
      <x:c r="I6000" s="38" t="b">
        <x:f t="shared" si="272">E6000&lt;G6000</x:f>
        <x:v>1</x:v>
      </x:c>
    </x:row>
    <x:row r="6001">
      <x:c r="A6001" s="31">
        <x:v>45776</x:v>
      </x:c>
      <x:c r="B6001" s="32">
        <x:v>1227.25</x:v>
      </x:c>
      <x:c r="C6001" s="32">
        <x:v>1229.0999999999999</x:v>
      </x:c>
      <x:c r="D6001" s="32">
        <x:v>1222.3</x:v>
      </x:c>
      <x:c r="E6001" s="32">
        <x:v>1226.3</x:v>
      </x:c>
      <x:c r="F6001" s="33">
        <x:v>561661100</x:v>
      </x:c>
      <x:c r="G6001" s="32" t="n">
        <x:f t="shared" si="270">AVERAGE(E5802:E6001)</x:f>
        <x:v>1262.97735</x:v>
      </x:c>
      <x:c r="H6001" s="37" t="n">
        <x:f t="shared" si="271">IFERROR(E6001/G6001-1,"")</x:f>
        <x:v>-0.029040386195365975</x:v>
      </x:c>
      <x:c r="I6001" s="38" t="b">
        <x:f t="shared" si="272">E6001&lt;G6001</x:f>
        <x:v>1</x:v>
      </x:c>
    </x:row>
    <x:row r="6002">
      <x:c r="A6002" s="31">
        <x:v>45782</x:v>
      </x:c>
      <x:c r="B6002" s="32">
        <x:v>1233.97</x:v>
      </x:c>
      <x:c r="C6002" s="32">
        <x:v>1241.51</x:v>
      </x:c>
      <x:c r="D6002" s="32">
        <x:v>1228.5</x:v>
      </x:c>
      <x:c r="E6002" s="32">
        <x:v>1240.05</x:v>
      </x:c>
      <x:c r="F6002" s="33">
        <x:v>595062500</x:v>
      </x:c>
      <x:c r="G6002" s="32" t="n">
        <x:f t="shared" si="270">AVERAGE(E5803:E6002)</x:f>
        <x:v>1262.7478999999998</x:v>
      </x:c>
      <x:c r="H6002" s="37" t="n">
        <x:f t="shared" si="271">IFERROR(E6002/G6002-1,"")</x:f>
        <x:v>-0.017975005145524192</x:v>
      </x:c>
      <x:c r="I6002" s="38" t="b">
        <x:f t="shared" si="272">E6002&lt;G6002</x:f>
        <x:v>1</x:v>
      </x:c>
    </x:row>
    <x:row r="6003">
      <x:c r="A6003" s="31">
        <x:v>45783</x:v>
      </x:c>
      <x:c r="B6003" s="32">
        <x:v>1244.3</x:v>
      </x:c>
      <x:c r="C6003" s="32">
        <x:v>1251.02</x:v>
      </x:c>
      <x:c r="D6003" s="32">
        <x:v>1240.75</x:v>
      </x:c>
      <x:c r="E6003" s="32">
        <x:v>1241.95</x:v>
      </x:c>
      <x:c r="F6003" s="33">
        <x:v>775870600</x:v>
      </x:c>
      <x:c r="G6003" s="32" t="n">
        <x:f t="shared" si="270">AVERAGE(E5804:E6003)</x:f>
        <x:v>1262.5386499999997</x:v>
      </x:c>
      <x:c r="H6003" s="37" t="n">
        <x:f t="shared" si="271">IFERROR(E6003/G6003-1,"")</x:f>
        <x:v>-0.01630734235343978</x:v>
      </x:c>
      <x:c r="I6003" s="38" t="b">
        <x:f t="shared" si="272">E6003&lt;G6003</x:f>
        <x:v>1</x:v>
      </x:c>
    </x:row>
    <x:row r="6004">
      <x:c r="A6004" s="31">
        <x:v>45784</x:v>
      </x:c>
      <x:c r="B6004" s="32">
        <x:v>1241.0999999999999</x:v>
      </x:c>
      <x:c r="C6004" s="32">
        <x:v>1250.79</x:v>
      </x:c>
      <x:c r="D6004" s="32">
        <x:v>1240.67</x:v>
      </x:c>
      <x:c r="E6004" s="32">
        <x:v>1250.3699999999999</x:v>
      </x:c>
      <x:c r="F6004" s="33">
        <x:v>730692600</x:v>
      </x:c>
      <x:c r="G6004" s="32" t="n">
        <x:f t="shared" si="270">AVERAGE(E5805:E6004)</x:f>
        <x:v>1262.3867499999997</x:v>
      </x:c>
      <x:c r="H6004" s="37" t="n">
        <x:f t="shared" si="271">IFERROR(E6004/G6004-1,"")</x:f>
        <x:v>-0.009519071710788918</x:v>
      </x:c>
      <x:c r="I6004" s="38" t="b">
        <x:f t="shared" si="272">E6004&lt;G6004</x:f>
        <x:v>1</x:v>
      </x:c>
    </x:row>
    <x:row r="6005">
      <x:c r="A6005" s="31">
        <x:v>45785</x:v>
      </x:c>
      <x:c r="B6005" s="32">
        <x:v>1255.3399999999999</x:v>
      </x:c>
      <x:c r="C6005" s="32">
        <x:v>1253.31</x:v>
      </x:c>
      <x:c r="D6005" s="32">
        <x:v>1240.67</x:v>
      </x:c>
      <x:c r="E6005" s="32">
        <x:v>1269.8</x:v>
      </x:c>
      <x:c r="F6005" s="33">
        <x:v>828921500</x:v>
      </x:c>
      <x:c r="G6005" s="32" t="n">
        <x:f t="shared" si="270">AVERAGE(E5806:E6005)</x:f>
        <x:v>1262.3366499999997</x:v>
      </x:c>
      <x:c r="H6005" s="37" t="n">
        <x:f t="shared" si="271">IFERROR(E6005/G6005-1,"")</x:f>
        <x:v>0.005912329329897936</x:v>
      </x:c>
      <x:c r="I6005" s="38" t="b">
        <x:f t="shared" si="272">E6005&lt;G6005</x:f>
        <x:v>0</x:v>
      </x:c>
    </x:row>
    <x:row r="6006">
      <x:c r="A6006" s="31">
        <x:v>45786</x:v>
      </x:c>
      <x:c r="B6006" s="32">
        <x:v>1274.5</x:v>
      </x:c>
      <x:c r="C6006" s="32">
        <x:v>1275.47</x:v>
      </x:c>
      <x:c r="D6006" s="32">
        <x:v>1264.8699999999999</x:v>
      </x:c>
      <x:c r="E6006" s="32">
        <x:v>1267.3</x:v>
      </x:c>
      <x:c r="F6006" s="33">
        <x:v>732307300</x:v>
      </x:c>
      <x:c r="G6006" s="32" t="n">
        <x:f t="shared" si="270">AVERAGE(E5807:E6006)</x:f>
        <x:v>1262.2672499999996</x:v>
      </x:c>
      <x:c r="H6006" s="37" t="n">
        <x:f t="shared" si="271">IFERROR(E6006/G6006-1,"")</x:f>
        <x:v>0.003987071675986442</x:v>
      </x:c>
      <x:c r="I6006" s="38" t="b">
        <x:f t="shared" si="272">E6006&lt;G6006</x:f>
        <x:v>0</x:v>
      </x:c>
    </x:row>
    <x:row r="6007">
      <x:c r="A6007" s="31">
        <x:v>45789</x:v>
      </x:c>
      <x:c r="B6007" s="32">
        <x:v>1272.6600000000001</x:v>
      </x:c>
      <x:c r="C6007" s="32">
        <x:v>1283.8599999999999</x:v>
      </x:c>
      <x:c r="D6007" s="32">
        <x:v>1267.7</x:v>
      </x:c>
      <x:c r="E6007" s="32">
        <x:v>1283.26</x:v>
      </x:c>
      <x:c r="F6007" s="33">
        <x:v>897833900</x:v>
      </x:c>
      <x:c r="G6007" s="32" t="n">
        <x:f t="shared" si="270">AVERAGE(E5808:E6007)</x:f>
        <x:v>1262.3402499999997</x:v>
      </x:c>
      <x:c r="H6007" s="37" t="n">
        <x:f t="shared" si="271">IFERROR(E6007/G6007-1,"")</x:f>
        <x:v>0.016572195966975123</x:v>
      </x:c>
      <x:c r="I6007" s="38" t="b">
        <x:f t="shared" si="272">E6007&lt;G6007</x:f>
        <x:v>0</x:v>
      </x:c>
    </x:row>
    <x:row r="6008">
      <x:c r="A6008" s="31">
        <x:v>45790</x:v>
      </x:c>
      <x:c r="B6008" s="32">
        <x:v>1292.75</x:v>
      </x:c>
      <x:c r="C6008" s="32">
        <x:v>1294.06</x:v>
      </x:c>
      <x:c r="D6008" s="32">
        <x:v>1285.53</x:v>
      </x:c>
      <x:c r="E6008" s="32">
        <x:v>1293.43</x:v>
      </x:c>
      <x:c r="F6008" s="33">
        <x:v>947202300</x:v>
      </x:c>
      <x:c r="G6008" s="32" t="n">
        <x:f t="shared" si="270">AVERAGE(E5809:E6008)</x:f>
        <x:v>1262.4351999999997</x:v>
      </x:c>
      <x:c r="H6008" s="37" t="n">
        <x:f t="shared" si="271">IFERROR(E6008/G6008-1,"")</x:f>
        <x:v>0.02455159678690877</x:v>
      </x:c>
      <x:c r="I6008" s="38" t="b">
        <x:f t="shared" si="272">E6008&lt;G6008</x:f>
        <x:v>0</x:v>
      </x:c>
    </x:row>
    <x:row r="6009">
      <x:c r="A6009" s="31">
        <x:v>45791</x:v>
      </x:c>
      <x:c r="B6009" s="32">
        <x:v>1295.3</x:v>
      </x:c>
      <x:c r="C6009" s="32">
        <x:v>1312.1</x:v>
      </x:c>
      <x:c r="D6009" s="32">
        <x:v>1294.6600000000001</x:v>
      </x:c>
      <x:c r="E6009" s="32">
        <x:v>1309.73</x:v>
      </x:c>
      <x:c r="F6009" s="33">
        <x:v>982402600</x:v>
      </x:c>
      <x:c r="G6009" s="32" t="n">
        <x:f t="shared" si="270">AVERAGE(E5810:E6009)</x:f>
        <x:v>1262.6599499999995</x:v>
      </x:c>
      <x:c r="H6009" s="37" t="n">
        <x:f t="shared" si="271">IFERROR(E6009/G6009-1,"")</x:f>
        <x:v>0.03727848499510933</x:v>
      </x:c>
      <x:c r="I6009" s="38" t="b">
        <x:f t="shared" si="272">E6009&lt;G6009</x:f>
        <x:v>0</x:v>
      </x:c>
    </x:row>
    <x:row r="6010">
      <x:c r="A6010" s="31">
        <x:v>45792</x:v>
      </x:c>
      <x:c r="B6010" s="32">
        <x:v>1314.19</x:v>
      </x:c>
      <x:c r="C6010" s="32">
        <x:v>1316.54</x:v>
      </x:c>
      <x:c r="D6010" s="32">
        <x:v>1301.6099999999999</x:v>
      </x:c>
      <x:c r="E6010" s="32">
        <x:v>1313.2</x:v>
      </x:c>
      <x:c r="F6010" s="33">
        <x:v>1113717600</x:v>
      </x:c>
      <x:c r="G6010" s="32" t="n">
        <x:f t="shared" si="270">AVERAGE(E5811:E6010)</x:f>
        <x:v>1262.9527499999997</x:v>
      </x:c>
      <x:c r="H6010" s="37" t="n">
        <x:f t="shared" si="271">IFERROR(E6010/G6010-1,"")</x:f>
        <x:v>0.03978553433610266</x:v>
      </x:c>
      <x:c r="I6010" s="38" t="b">
        <x:f t="shared" si="272">E6010&lt;G6010</x:f>
        <x:v>0</x:v>
      </x:c>
    </x:row>
    <x:row r="6011">
      <x:c r="A6011" s="31">
        <x:v>45793</x:v>
      </x:c>
      <x:c r="B6011" s="32">
        <x:v>1314.25</x:v>
      </x:c>
      <x:c r="C6011" s="32">
        <x:v>1316.53</x:v>
      </x:c>
      <x:c r="D6011" s="32">
        <x:v>1299.0999999999999</x:v>
      </x:c>
      <x:c r="E6011" s="32">
        <x:v>1301.3900000000001</x:v>
      </x:c>
      <x:c r="F6011" s="33">
        <x:v>891476200</x:v>
      </x:c>
      <x:c r="G6011" s="32" t="n">
        <x:f t="shared" si="270">AVERAGE(E5812:E6011)</x:f>
        <x:v>1263.3006499999997</x:v>
      </x:c>
      <x:c r="H6011" s="37" t="n">
        <x:f t="shared" si="271">IFERROR(E6011/G6011-1,"")</x:f>
        <x:v>0.030150661285577973</x:v>
      </x:c>
      <x:c r="I6011" s="38" t="b">
        <x:f t="shared" si="272">E6011&lt;G6011</x:f>
        <x:v>0</x:v>
      </x:c>
    </x:row>
    <x:row r="6012">
      <x:c r="A6012" s="31">
        <x:v>45796</x:v>
      </x:c>
      <x:c r="B6012" s="32">
        <x:v>1293.6099999999999</x:v>
      </x:c>
      <x:c r="C6012" s="32">
        <x:v>1306.2</x:v>
      </x:c>
      <x:c r="D6012" s="32">
        <x:v>1291.6600000000001</x:v>
      </x:c>
      <x:c r="E6012" s="32">
        <x:v>1296.29</x:v>
      </x:c>
      <x:c r="F6012" s="33">
        <x:v>888012900</x:v>
      </x:c>
      <x:c r="G6012" s="32" t="n">
        <x:f t="shared" si="270">AVERAGE(E5813:E6012)</x:f>
        <x:v>1263.5897499999996</x:v>
      </x:c>
      <x:c r="H6012" s="37" t="n">
        <x:f t="shared" si="271">IFERROR(E6012/G6012-1,"")</x:f>
        <x:v>0.025878850315144142</x:v>
      </x:c>
      <x:c r="I6012" s="38" t="b">
        <x:f t="shared" si="272">E6012&lt;G6012</x:f>
        <x:v>0</x:v>
      </x:c>
    </x:row>
    <x:row r="6013">
      <x:c r="A6013" s="31">
        <x:v>45797</x:v>
      </x:c>
      <x:c r="B6013" s="32">
        <x:v>1298.6199999999999</x:v>
      </x:c>
      <x:c r="C6013" s="32">
        <x:v>1316.67</x:v>
      </x:c>
      <x:c r="D6013" s="32">
        <x:v>1298.6199999999999</x:v>
      </x:c>
      <x:c r="E6013" s="32">
        <x:v>1315.15</x:v>
      </x:c>
      <x:c r="F6013" s="33">
        <x:v>917183900</x:v>
      </x:c>
      <x:c r="G6013" s="32" t="n">
        <x:f t="shared" si="270">AVERAGE(E5814:E6013)</x:f>
        <x:v>1263.9995499999995</x:v>
      </x:c>
      <x:c r="H6013" s="37" t="n">
        <x:f t="shared" si="271">IFERROR(E6013/G6013-1,"")</x:f>
        <x:v>0.040467142571372516</x:v>
      </x:c>
      <x:c r="I6013" s="38" t="b">
        <x:f t="shared" si="272">E6013&lt;G6013</x:f>
        <x:v>0</x:v>
      </x:c>
    </x:row>
    <x:row r="6014">
      <x:c r="A6014" s="31">
        <x:v>45798</x:v>
      </x:c>
      <x:c r="B6014" s="32">
        <x:v>1329.83</x:v>
      </x:c>
      <x:c r="C6014" s="32">
        <x:v>1331.6</x:v>
      </x:c>
      <x:c r="D6014" s="32">
        <x:v>1313.13</x:v>
      </x:c>
      <x:c r="E6014" s="32">
        <x:v>1323.05</x:v>
      </x:c>
      <x:c r="F6014" s="33">
        <x:v>1054310500</x:v>
      </x:c>
      <x:c r="G6014" s="32" t="n">
        <x:f t="shared" si="270">AVERAGE(E5815:E6014)</x:f>
        <x:v>1264.4042499999996</x:v>
      </x:c>
      <x:c r="H6014" s="37" t="n">
        <x:f t="shared" si="271">IFERROR(E6014/G6014-1,"")</x:f>
        <x:v>0.04638212027522082</x:v>
      </x:c>
      <x:c r="I6014" s="38" t="b">
        <x:f t="shared" si="272">E6014&lt;G6014</x:f>
        <x:v>0</x:v>
      </x:c>
    </x:row>
    <x:row r="6015">
      <x:c r="A6015" s="31">
        <x:v>45799</x:v>
      </x:c>
      <x:c r="B6015" s="32">
        <x:v>1319.97</x:v>
      </x:c>
      <x:c r="C6015" s="32">
        <x:v>1331.93</x:v>
      </x:c>
      <x:c r="D6015" s="32">
        <x:v>1312.82</x:v>
      </x:c>
      <x:c r="E6015" s="32">
        <x:v>1313.84</x:v>
      </x:c>
      <x:c r="F6015" s="33">
        <x:v>1175703300</x:v>
      </x:c>
      <x:c r="G6015" s="32" t="n">
        <x:f t="shared" si="270">AVERAGE(E5816:E6015)</x:f>
        <x:v>1264.7404499999996</x:v>
      </x:c>
      <x:c r="H6015" s="37" t="n">
        <x:f t="shared" si="271">IFERROR(E6015/G6015-1,"")</x:f>
        <x:v>0.038821838899831596</x:v>
      </x:c>
      <x:c r="I6015" s="38" t="b">
        <x:f t="shared" si="272">E6015&lt;G6015</x:f>
        <x:v>0</x:v>
      </x:c>
    </x:row>
    <x:row r="6016">
      <x:c r="A6016" s="31">
        <x:v>45800</x:v>
      </x:c>
      <x:c r="B6016" s="32">
        <x:v>1313.93</x:v>
      </x:c>
      <x:c r="C6016" s="32">
        <x:v>1320.07</x:v>
      </x:c>
      <x:c r="D6016" s="32">
        <x:v>1308.6199999999999</x:v>
      </x:c>
      <x:c r="E6016" s="32">
        <x:v>1314.46</x:v>
      </x:c>
      <x:c r="F6016" s="33">
        <x:v>670601900</x:v>
      </x:c>
      <x:c r="G6016" s="32" t="n">
        <x:f t="shared" si="270">AVERAGE(E5817:E6016)</x:f>
        <x:v>1265.0874499999995</x:v>
      </x:c>
      <x:c r="H6016" s="37" t="n">
        <x:f t="shared" si="271">IFERROR(E6016/G6016-1,"")</x:f>
        <x:v>0.0390269858419674</x:v>
      </x:c>
      <x:c r="I6016" s="38" t="b">
        <x:f t="shared" si="272">E6016&lt;G6016</x:f>
        <x:v>0</x:v>
      </x:c>
    </x:row>
    <x:row r="6017">
      <x:c r="A6017" s="31">
        <x:v>45803</x:v>
      </x:c>
      <x:c r="B6017" s="32">
        <x:v>1317.01</x:v>
      </x:c>
      <x:c r="C6017" s="32">
        <x:v>1332.6</x:v>
      </x:c>
      <x:c r="D6017" s="32">
        <x:v>1288.8599999999999</x:v>
      </x:c>
      <x:c r="E6017" s="32">
        <x:v>1332.51</x:v>
      </x:c>
      <x:c r="F6017" s="33">
        <x:v>995694500</x:v>
      </x:c>
      <x:c r="G6017" s="32" t="n">
        <x:f t="shared" si="270">AVERAGE(E5818:E6017)</x:f>
        <x:v>1265.4924499999993</x:v>
      </x:c>
      <x:c r="H6017" s="37" t="n">
        <x:f t="shared" si="271">IFERROR(E6017/G6017-1,"")</x:f>
        <x:v>0.052957684575676955</x:v>
      </x:c>
      <x:c r="I6017" s="38" t="b">
        <x:f t="shared" si="272">E6017&lt;G6017</x:f>
        <x:v>0</x:v>
      </x:c>
    </x:row>
    <x:row r="6018">
      <x:c r="A6018" s="31">
        <x:v>45804</x:v>
      </x:c>
      <x:c r="B6018" s="32">
        <x:v>1338.09</x:v>
      </x:c>
      <x:c r="C6018" s="32">
        <x:v>1339.84</x:v>
      </x:c>
      <x:c r="D6018" s="32">
        <x:v>1329.6</x:v>
      </x:c>
      <x:c r="E6018" s="32">
        <x:v>1339.81</x:v>
      </x:c>
      <x:c r="F6018" s="33">
        <x:v>1087996400</x:v>
      </x:c>
      <x:c r="G6018" s="32" t="n">
        <x:f t="shared" si="270">AVERAGE(E5819:E6018)</x:f>
        <x:v>1266.0566999999994</x:v>
      </x:c>
      <x:c r="H6018" s="37" t="n">
        <x:f t="shared" si="271">IFERROR(E6018/G6018-1,"")</x:f>
        <x:v>0.05825434200537827</x:v>
      </x:c>
      <x:c r="I6018" s="38" t="b">
        <x:f t="shared" si="272">E6018&lt;G6018</x:f>
        <x:v>0</x:v>
      </x:c>
    </x:row>
    <x:row r="6019">
      <x:c r="A6019" s="31">
        <x:v>45805</x:v>
      </x:c>
      <x:c r="B6019" s="32">
        <x:v>1344.08</x:v>
      </x:c>
      <x:c r="C6019" s="32">
        <x:v>1348.05</x:v>
      </x:c>
      <x:c r="D6019" s="32">
        <x:v>1337.18</x:v>
      </x:c>
      <x:c r="E6019" s="32">
        <x:v>1341.87</x:v>
      </x:c>
      <x:c r="F6019" s="33">
        <x:v>933590900</x:v>
      </x:c>
      <x:c r="G6019" s="32" t="n">
        <x:f t="shared" si="270">AVERAGE(E5820:E6019)</x:f>
        <x:v>1266.5830499999995</x:v>
      </x:c>
      <x:c r="H6019" s="37" t="n">
        <x:f t="shared" si="271">IFERROR(E6019/G6019-1,"")</x:f>
        <x:v>0.05944098967691103</x:v>
      </x:c>
      <x:c r="I6019" s="38" t="b">
        <x:f t="shared" si="272">E6019&lt;G6019</x:f>
        <x:v>0</x:v>
      </x:c>
    </x:row>
    <x:row r="6020">
      <x:c r="A6020" s="31">
        <x:v>45806</x:v>
      </x:c>
      <x:c r="B6020" s="32">
        <x:v>1346.54</x:v>
      </x:c>
      <x:c r="C6020" s="32">
        <x:v>1348.31</x:v>
      </x:c>
      <x:c r="D6020" s="32">
        <x:v>1335.62</x:v>
      </x:c>
      <x:c r="E6020" s="32">
        <x:v>1341.86</x:v>
      </x:c>
      <x:c r="F6020" s="33">
        <x:v>922074200</x:v>
      </x:c>
      <x:c r="G6020" s="32" t="n">
        <x:f t="shared" si="270">AVERAGE(E5821:E6020)</x:f>
        <x:v>1267.3519999999994</x:v>
      </x:c>
      <x:c r="H6020" s="37" t="n">
        <x:f t="shared" si="271">IFERROR(E6020/G6020-1,"")</x:f>
        <x:v>0.05879029661846169</x:v>
      </x:c>
      <x:c r="I6020" s="38" t="b">
        <x:f t="shared" si="272">E6020&lt;G6020</x:f>
        <x:v>0</x:v>
      </x:c>
    </x:row>
    <x:row r="6021">
      <x:c r="A6021" s="31">
        <x:v>45807</x:v>
      </x:c>
      <x:c r="B6021" s="32">
        <x:v>1343.32</x:v>
      </x:c>
      <x:c r="C6021" s="32">
        <x:v>1344.32</x:v>
      </x:c>
      <x:c r="D6021" s="32">
        <x:v>1328.74</x:v>
      </x:c>
      <x:c r="E6021" s="32">
        <x:v>1332.6</x:v>
      </x:c>
      <x:c r="F6021" s="33">
        <x:v>961366200</x:v>
      </x:c>
      <x:c r="G6021" s="32" t="n">
        <x:f t="shared" si="270">AVERAGE(E5822:E6021)</x:f>
        <x:v>1267.9635999999994</x:v>
      </x:c>
      <x:c r="H6021" s="37" t="n">
        <x:f t="shared" si="271">IFERROR(E6021/G6021-1,"")</x:f>
        <x:v>0.050976542228815314</x:v>
      </x:c>
      <x:c r="I6021" s="38" t="b">
        <x:f t="shared" si="272">E6021&lt;G6021</x:f>
        <x:v>0</x:v>
      </x:c>
    </x:row>
    <x:row r="6022">
      <x:c r="A6022" s="31">
        <x:v>45810</x:v>
      </x:c>
      <x:c r="B6022" s="32">
        <x:v>1330.71</x:v>
      </x:c>
      <x:c r="C6022" s="32">
        <x:v>1336.77</x:v>
      </x:c>
      <x:c r="D6022" s="32">
        <x:v>1322.95</x:v>
      </x:c>
      <x:c r="E6022" s="32">
        <x:v>1336.3</x:v>
      </x:c>
      <x:c r="F6022" s="33">
        <x:v>904459900</x:v>
      </x:c>
      <x:c r="G6022" s="32" t="n">
        <x:f t="shared" si="270">AVERAGE(E5823:E6022)</x:f>
        <x:v>1268.5656999999994</x:v>
      </x:c>
      <x:c r="H6022" s="37" t="n">
        <x:f t="shared" si="271">IFERROR(E6022/G6022-1,"")</x:f>
        <x:v>0.05339439652199385</x:v>
      </x:c>
      <x:c r="I6022" s="38" t="b">
        <x:f t="shared" si="272">E6022&lt;G6022</x:f>
        <x:v>0</x:v>
      </x:c>
    </x:row>
    <x:row r="6023">
      <x:c r="A6023" s="31">
        <x:v>45811</x:v>
      </x:c>
      <x:c r="B6023" s="32">
        <x:v>1341.31</x:v>
      </x:c>
      <x:c r="C6023" s="32">
        <x:v>1350.89</x:v>
      </x:c>
      <x:c r="D6023" s="32">
        <x:v>1339.56</x:v>
      </x:c>
      <x:c r="E6023" s="32">
        <x:v>1347.25</x:v>
      </x:c>
      <x:c r="F6023" s="33">
        <x:v>1072315600</x:v>
      </x:c>
      <x:c r="G6023" s="32" t="n">
        <x:f t="shared" si="270">AVERAGE(E5824:E6023)</x:f>
        <x:v>1269.2603499999993</x:v>
      </x:c>
      <x:c r="H6023" s="37" t="n">
        <x:f t="shared" si="271">IFERROR(E6023/G6023-1,"")</x:f>
        <x:v>0.06144495886915613</x:v>
      </x:c>
      <x:c r="I6023" s="38" t="b">
        <x:f t="shared" si="272">E6023&lt;G6023</x:f>
        <x:v>0</x:v>
      </x:c>
    </x:row>
    <x:row r="6024">
      <x:c r="A6024" s="31">
        <x:v>45812</x:v>
      </x:c>
      <x:c r="B6024" s="32">
        <x:v>1350.52</x:v>
      </x:c>
      <x:c r="C6024" s="32">
        <x:v>1351.14</x:v>
      </x:c>
      <x:c r="D6024" s="32">
        <x:v>1341.53</x:v>
      </x:c>
      <x:c r="E6024" s="32">
        <x:v>1345.74</x:v>
      </x:c>
      <x:c r="F6024" s="33">
        <x:v>989968900</x:v>
      </x:c>
      <x:c r="G6024" s="32" t="n">
        <x:f t="shared" si="270">AVERAGE(E5825:E6024)</x:f>
        <x:v>1269.8708499999993</x:v>
      </x:c>
      <x:c r="H6024" s="37" t="n">
        <x:f t="shared" si="271">IFERROR(E6024/G6024-1,"")</x:f>
        <x:v>0.05974556388943064</x:v>
      </x:c>
      <x:c r="I6024" s="38" t="b">
        <x:f t="shared" si="272">E6024&lt;G6024</x:f>
        <x:v>0</x:v>
      </x:c>
    </x:row>
    <x:row r="6025">
      <x:c r="A6025" s="31">
        <x:v>45813</x:v>
      </x:c>
      <x:c r="B6025" s="32">
        <x:v>1346.33</x:v>
      </x:c>
      <x:c r="C6025" s="32">
        <x:v>1347.14</x:v>
      </x:c>
      <x:c r="D6025" s="32">
        <x:v>1336.11</x:v>
      </x:c>
      <x:c r="E6025" s="32">
        <x:v>1342.09</x:v>
      </x:c>
      <x:c r="F6025" s="33">
        <x:v>791942600</x:v>
      </x:c>
      <x:c r="G6025" s="32" t="n">
        <x:f t="shared" si="270">AVERAGE(E5826:E6025)</x:f>
        <x:v>1270.4298999999994</x:v>
      </x:c>
      <x:c r="H6025" s="37" t="n">
        <x:f t="shared" si="271">IFERROR(E6025/G6025-1,"")</x:f>
        <x:v>0.05640618187591495</x:v>
      </x:c>
      <x:c r="I6025" s="38" t="b">
        <x:f t="shared" si="272">E6025&lt;G6025</x:f>
        <x:v>0</x:v>
      </x:c>
    </x:row>
    <x:row r="6026">
      <x:c r="A6026" s="31">
        <x:v>45814</x:v>
      </x:c>
      <x:c r="B6026" s="32">
        <x:v>1339.13</x:v>
      </x:c>
      <x:c r="C6026" s="32">
        <x:v>1341.78</x:v>
      </x:c>
      <x:c r="D6026" s="32">
        <x:v>1329.67</x:v>
      </x:c>
      <x:c r="E6026" s="32">
        <x:v>1329.89</x:v>
      </x:c>
      <x:c r="F6026" s="33">
        <x:v>952662100</x:v>
      </x:c>
      <x:c r="G6026" s="32" t="n">
        <x:f t="shared" si="270">AVERAGE(E5827:E6026)</x:f>
        <x:v>1270.9272499999995</x:v>
      </x:c>
      <x:c r="H6026" s="37" t="n">
        <x:f t="shared" si="271">IFERROR(E6026/G6026-1,"")</x:f>
        <x:v>0.04639348947786015</x:v>
      </x:c>
      <x:c r="I6026" s="38" t="b">
        <x:f t="shared" si="272">E6026&lt;G6026</x:f>
        <x:v>0</x:v>
      </x:c>
    </x:row>
    <x:row r="6027">
      <x:c r="A6027" s="31">
        <x:v>45817</x:v>
      </x:c>
      <x:c r="B6027" s="32">
        <x:v>1329.66</x:v>
      </x:c>
      <x:c r="C6027" s="32">
        <x:v>1331.56</x:v>
      </x:c>
      <x:c r="D6027" s="32">
        <x:v>1310.57</x:v>
      </x:c>
      <x:c r="E6027" s="32">
        <x:v>1310.57</x:v>
      </x:c>
      <x:c r="F6027" s="33">
        <x:v>753012900</x:v>
      </x:c>
      <x:c r="G6027" s="32" t="n">
        <x:f t="shared" si="270">AVERAGE(E5828:E6027)</x:f>
        <x:v>1271.3282999999997</x:v>
      </x:c>
      <x:c r="H6027" s="37" t="n">
        <x:f t="shared" si="271">IFERROR(E6027/G6027-1,"")</x:f>
        <x:v>0.0308666927338912</x:v>
      </x:c>
      <x:c r="I6027" s="38" t="b">
        <x:f t="shared" si="272">E6027&lt;G6027</x:f>
        <x:v>0</x:v>
      </x:c>
    </x:row>
    <x:row r="6028">
      <x:c r="A6028" s="31">
        <x:v>45818</x:v>
      </x:c>
      <x:c r="B6028" s="32">
        <x:v>1307.74</x:v>
      </x:c>
      <x:c r="C6028" s="32">
        <x:v>1323.61</x:v>
      </x:c>
      <x:c r="D6028" s="32">
        <x:v>1307.74</x:v>
      </x:c>
      <x:c r="E6028" s="32">
        <x:v>1316.23</x:v>
      </x:c>
      <x:c r="F6028" s="33">
        <x:v>747092000</x:v>
      </x:c>
      <x:c r="G6028" s="32" t="n">
        <x:f t="shared" si="270">AVERAGE(E5829:E6028)</x:f>
        <x:v>1271.7916499999994</x:v>
      </x:c>
      <x:c r="H6028" s="37" t="n">
        <x:f t="shared" si="271">IFERROR(E6028/G6028-1,"")</x:f>
        <x:v>0.03494153307265435</x:v>
      </x:c>
      <x:c r="I6028" s="38" t="b">
        <x:f t="shared" si="272">E6028&lt;G6028</x:f>
        <x:v>0</x:v>
      </x:c>
    </x:row>
    <x:row r="6029">
      <x:c r="A6029" s="31">
        <x:v>45819</x:v>
      </x:c>
      <x:c r="B6029" s="32">
        <x:v>1322.07</x:v>
      </x:c>
      <x:c r="C6029" s="32">
        <x:v>1322.07</x:v>
      </x:c>
      <x:c r="D6029" s="32">
        <x:v>1306.18</x:v>
      </x:c>
      <x:c r="E6029" s="32">
        <x:v>1315.2</x:v>
      </x:c>
      <x:c r="F6029" s="33">
        <x:v>572876400</x:v>
      </x:c>
      <x:c r="G6029" s="32" t="n">
        <x:f t="shared" ref="G6029:G6092" si="273">AVERAGE(E5830:E6029)</x:f>
        <x:v>1272.1064999999994</x:v>
      </x:c>
      <x:c r="H6029" s="37" t="n">
        <x:f t="shared" ref="H6029:H6092" si="274">IFERROR(E6029/G6029-1,"")</x:f>
        <x:v>0.03387570144480878</x:v>
      </x:c>
      <x:c r="I6029" s="38" t="b">
        <x:f t="shared" ref="I6029:I6092" si="275">E6029&lt;G6029</x:f>
        <x:v>0</x:v>
      </x:c>
    </x:row>
    <x:row r="6030">
      <x:c r="A6030" s="31">
        <x:v>45820</x:v>
      </x:c>
      <x:c r="B6030" s="32">
        <x:v>1321.25</x:v>
      </x:c>
      <x:c r="C6030" s="32">
        <x:v>1326.03</x:v>
      </x:c>
      <x:c r="D6030" s="32">
        <x:v>1316.8</x:v>
      </x:c>
      <x:c r="E6030" s="32">
        <x:v>1322.99</x:v>
      </x:c>
      <x:c r="F6030" s="33">
        <x:v>868072500</x:v>
      </x:c>
      <x:c r="G6030" s="32" t="n">
        <x:f t="shared" si="273">AVERAGE(E5831:E6030)</x:f>
        <x:v>1272.4133499999996</x:v>
      </x:c>
      <x:c r="H6030" s="37" t="n">
        <x:f t="shared" si="274">IFERROR(E6030/G6030-1,"")</x:f>
        <x:v>0.039748600562860004</x:v>
      </x:c>
      <x:c r="I6030" s="38" t="b">
        <x:f t="shared" si="275">E6030&lt;G6030</x:f>
        <x:v>0</x:v>
      </x:c>
    </x:row>
    <x:row r="6031">
      <x:c r="A6031" s="31">
        <x:v>45821</x:v>
      </x:c>
      <x:c r="B6031" s="32">
        <x:v>1313.08</x:v>
      </x:c>
      <x:c r="C6031" s="32">
        <x:v>1321</x:v>
      </x:c>
      <x:c r="D6031" s="32">
        <x:v>1304.1199999999999</x:v>
      </x:c>
      <x:c r="E6031" s="32">
        <x:v>1315.49</x:v>
      </x:c>
      <x:c r="F6031" s="33">
        <x:v>1220129900</x:v>
      </x:c>
      <x:c r="G6031" s="32" t="n">
        <x:f t="shared" si="273">AVERAGE(E5832:E6031)</x:f>
        <x:v>1272.6280499999996</x:v>
      </x:c>
      <x:c r="H6031" s="37" t="n">
        <x:f t="shared" si="274">IFERROR(E6031/G6031-1,"")</x:f>
        <x:v>0.03367987213546053</x:v>
      </x:c>
      <x:c r="I6031" s="38" t="b">
        <x:f t="shared" si="275">E6031&lt;G6031</x:f>
        <x:v>0</x:v>
      </x:c>
    </x:row>
    <x:row r="6032">
      <x:c r="A6032" s="31">
        <x:v>45824</x:v>
      </x:c>
      <x:c r="B6032" s="32">
        <x:v>1314.05</x:v>
      </x:c>
      <x:c r="C6032" s="32">
        <x:v>1338.72</x:v>
      </x:c>
      <x:c r="D6032" s="32">
        <x:v>1313.4</x:v>
      </x:c>
      <x:c r="E6032" s="32">
        <x:v>1338.11</x:v>
      </x:c>
      <x:c r="F6032" s="33">
        <x:v>831015000</x:v>
      </x:c>
      <x:c r="G6032" s="32" t="n">
        <x:f t="shared" si="273">AVERAGE(E5833:E6032)</x:f>
        <x:v>1272.8983499999995</x:v>
      </x:c>
      <x:c r="H6032" s="37" t="n">
        <x:f t="shared" si="274">IFERROR(E6032/G6032-1,"")</x:f>
        <x:v>0.051230838660448086</x:v>
      </x:c>
      <x:c r="I6032" s="38" t="b">
        <x:f t="shared" si="275">E6032&lt;G6032</x:f>
        <x:v>0</x:v>
      </x:c>
    </x:row>
    <x:row r="6033">
      <x:c r="A6033" s="31">
        <x:v>45825</x:v>
      </x:c>
      <x:c r="B6033" s="32">
        <x:v>1343.7</x:v>
      </x:c>
      <x:c r="C6033" s="32">
        <x:v>1353.01</x:v>
      </x:c>
      <x:c r="D6033" s="32">
        <x:v>1339.39</x:v>
      </x:c>
      <x:c r="E6033" s="32">
        <x:v>1347.69</x:v>
      </x:c>
      <x:c r="F6033" s="33">
        <x:v>808478500</x:v>
      </x:c>
      <x:c r="G6033" s="32" t="n">
        <x:f t="shared" si="273">AVERAGE(E5834:E6033)</x:f>
        <x:v>1273.2228999999998</x:v>
      </x:c>
      <x:c r="H6033" s="37" t="n">
        <x:f t="shared" si="274">IFERROR(E6033/G6033-1,"")</x:f>
        <x:v>0.058487088160290135</x:v>
      </x:c>
      <x:c r="I6033" s="38" t="b">
        <x:f t="shared" si="275">E6033&lt;G6033</x:f>
        <x:v>0</x:v>
      </x:c>
    </x:row>
    <x:row r="6034">
      <x:c r="A6034" s="31">
        <x:v>45826</x:v>
      </x:c>
      <x:c r="B6034" s="32">
        <x:v>1350.17</x:v>
      </x:c>
      <x:c r="C6034" s="32">
        <x:v>1353.99</x:v>
      </x:c>
      <x:c r="D6034" s="32">
        <x:v>1341.64</x:v>
      </x:c>
      <x:c r="E6034" s="32">
        <x:v>1346.83</x:v>
      </x:c>
      <x:c r="F6034" s="33">
        <x:v>816679400</x:v>
      </x:c>
      <x:c r="G6034" s="32" t="n">
        <x:f t="shared" si="273">AVERAGE(E5835:E6034)</x:f>
        <x:v>1273.5304499999997</x:v>
      </x:c>
      <x:c r="H6034" s="37" t="n">
        <x:f t="shared" si="274">IFERROR(E6034/G6034-1,"")</x:f>
        <x:v>0.05755618171516841</x:v>
      </x:c>
      <x:c r="I6034" s="38" t="b">
        <x:f t="shared" si="275">E6034&lt;G6034</x:f>
        <x:v>0</x:v>
      </x:c>
    </x:row>
    <x:row r="6035">
      <x:c r="A6035" s="31">
        <x:v>45827</x:v>
      </x:c>
      <x:c r="B6035" s="32">
        <x:v>1346.33</x:v>
      </x:c>
      <x:c r="C6035" s="32">
        <x:v>1353.96</x:v>
      </x:c>
      <x:c r="D6035" s="32">
        <x:v>1342.08</x:v>
      </x:c>
      <x:c r="E6035" s="32">
        <x:v>1352.04</x:v>
      </x:c>
      <x:c r="F6035" s="33">
        <x:v>690359900</x:v>
      </x:c>
      <x:c r="G6035" s="32" t="n">
        <x:f t="shared" si="273">AVERAGE(E5836:E6035)</x:f>
        <x:v>1273.8905499999996</x:v>
      </x:c>
      <x:c r="H6035" s="37" t="n">
        <x:f t="shared" si="274">IFERROR(E6035/G6035-1,"")</x:f>
        <x:v>0.06134706784660615</x:v>
      </x:c>
      <x:c r="I6035" s="38" t="b">
        <x:f t="shared" si="275">E6035&lt;G6035</x:f>
        <x:v>0</x:v>
      </x:c>
    </x:row>
    <x:row r="6036">
      <x:c r="A6036" s="31">
        <x:v>45828</x:v>
      </x:c>
      <x:c r="B6036" s="32">
        <x:v>1354.69</x:v>
      </x:c>
      <x:c r="C6036" s="32">
        <x:v>1356.78</x:v>
      </x:c>
      <x:c r="D6036" s="32">
        <x:v>1347.36</x:v>
      </x:c>
      <x:c r="E6036" s="32">
        <x:v>1349.35</x:v>
      </x:c>
      <x:c r="F6036" s="33">
        <x:v>833901600</x:v>
      </x:c>
      <x:c r="G6036" s="32" t="n">
        <x:f t="shared" si="273">AVERAGE(E5837:E6036)</x:f>
        <x:v>1274.2344999999998</x:v>
      </x:c>
      <x:c r="H6036" s="37" t="n">
        <x:f t="shared" si="274">IFERROR(E6036/G6036-1,"")</x:f>
        <x:v>0.05894951047079644</x:v>
      </x:c>
      <x:c r="I6036" s="38" t="b">
        <x:f t="shared" si="275">E6036&lt;G6036</x:f>
        <x:v>0</x:v>
      </x:c>
    </x:row>
    <x:row r="6037">
      <x:c r="A6037" s="31">
        <x:v>45831</x:v>
      </x:c>
      <x:c r="B6037" s="32">
        <x:v>1345.24</x:v>
      </x:c>
      <x:c r="C6037" s="32">
        <x:v>1358.43</x:v>
      </x:c>
      <x:c r="D6037" s="32">
        <x:v>1338.49</x:v>
      </x:c>
      <x:c r="E6037" s="32">
        <x:v>1358.18</x:v>
      </x:c>
      <x:c r="F6037" s="33">
        <x:v>780793400</x:v>
      </x:c>
      <x:c r="G6037" s="32" t="n">
        <x:f t="shared" si="273">AVERAGE(E5838:E6037)</x:f>
        <x:v>1274.6182</x:v>
      </x:c>
      <x:c r="H6037" s="37" t="n">
        <x:f t="shared" si="274">IFERROR(E6037/G6037-1,"")</x:f>
        <x:v>0.0655582981633247</x:v>
      </x:c>
      <x:c r="I6037" s="38" t="b">
        <x:f t="shared" si="275">E6037&lt;G6037</x:f>
        <x:v>0</x:v>
      </x:c>
    </x:row>
    <x:row r="6038">
      <x:c r="A6038" s="31">
        <x:v>45832</x:v>
      </x:c>
      <x:c r="B6038" s="32">
        <x:v>1365.69</x:v>
      </x:c>
      <x:c r="C6038" s="32">
        <x:v>1371.24</x:v>
      </x:c>
      <x:c r="D6038" s="32">
        <x:v>1362.05</x:v>
      </x:c>
      <x:c r="E6038" s="32">
        <x:v>1366.77</x:v>
      </x:c>
      <x:c r="F6038" s="33">
        <x:v>936031000</x:v>
      </x:c>
      <x:c r="G6038" s="32" t="n">
        <x:f t="shared" si="273">AVERAGE(E5839:E6038)</x:f>
        <x:v>1275.0446999999997</x:v>
      </x:c>
      <x:c r="H6038" s="37" t="n">
        <x:f t="shared" si="274">IFERROR(E6038/G6038-1,"")</x:f>
        <x:v>0.07193888967186823</x:v>
      </x:c>
      <x:c r="I6038" s="38" t="b">
        <x:f t="shared" si="275">E6038&lt;G6038</x:f>
        <x:v>0</x:v>
      </x:c>
    </x:row>
    <x:row r="6039">
      <x:c r="A6039" s="31">
        <x:v>45833</x:v>
      </x:c>
      <x:c r="B6039" s="32">
        <x:v>1369.05</x:v>
      </x:c>
      <x:c r="C6039" s="32">
        <x:v>1371.57</x:v>
      </x:c>
      <x:c r="D6039" s="32">
        <x:v>1365.47</x:v>
      </x:c>
      <x:c r="E6039" s="32">
        <x:v>1366.75</x:v>
      </x:c>
      <x:c r="F6039" s="33">
        <x:v>790343400</x:v>
      </x:c>
      <x:c r="G6039" s="32" t="n">
        <x:f t="shared" si="273">AVERAGE(E5840:E6039)</x:f>
        <x:v>1275.4590999999998</x:v>
      </x:c>
      <x:c r="H6039" s="37" t="n">
        <x:f t="shared" si="274">IFERROR(E6039/G6039-1,"")</x:f>
        <x:v>0.07157493329264741</x:v>
      </x:c>
      <x:c r="I6039" s="38" t="b">
        <x:f t="shared" si="275">E6039&lt;G6039</x:f>
        <x:v>0</x:v>
      </x:c>
    </x:row>
    <x:row r="6040">
      <x:c r="A6040" s="31">
        <x:v>45834</x:v>
      </x:c>
      <x:c r="B6040" s="32">
        <x:v>1368.73</x:v>
      </x:c>
      <x:c r="C6040" s="32">
        <x:v>1370.61</x:v>
      </x:c>
      <x:c r="D6040" s="32">
        <x:v>1360.78</x:v>
      </x:c>
      <x:c r="E6040" s="32">
        <x:v>1365.67</x:v>
      </x:c>
      <x:c r="F6040" s="33">
        <x:v>648547700</x:v>
      </x:c>
      <x:c r="G6040" s="32" t="n">
        <x:f t="shared" si="273">AVERAGE(E5841:E6040)</x:f>
        <x:v>1275.9084499999997</x:v>
      </x:c>
      <x:c r="H6040" s="37" t="n">
        <x:f t="shared" si="274">IFERROR(E6040/G6040-1,"")</x:f>
        <x:v>0.07035108984504368</x:v>
      </x:c>
      <x:c r="I6040" s="38" t="b">
        <x:f t="shared" si="275">E6040&lt;G6040</x:f>
        <x:v>0</x:v>
      </x:c>
    </x:row>
    <x:row r="6041">
      <x:c r="A6041" s="31">
        <x:v>45835</x:v>
      </x:c>
      <x:c r="B6041" s="32">
        <x:v>1369.13</x:v>
      </x:c>
      <x:c r="C6041" s="32">
        <x:v>1373.28</x:v>
      </x:c>
      <x:c r="D6041" s="32">
        <x:v>1362.09</x:v>
      </x:c>
      <x:c r="E6041" s="32">
        <x:v>1371.44</x:v>
      </x:c>
      <x:c r="F6041" s="33">
        <x:v>733409500</x:v>
      </x:c>
      <x:c r="G6041" s="32" t="n">
        <x:f t="shared" si="273">AVERAGE(E5842:E6041)</x:f>
        <x:v>1276.4245999999996</x:v>
      </x:c>
      <x:c r="H6041" s="37" t="n">
        <x:f t="shared" si="274">IFERROR(E6041/G6041-1,"")</x:f>
        <x:v>0.07443870950152509</x:v>
      </x:c>
      <x:c r="I6041" s="38" t="b">
        <x:f t="shared" si="275">E6041&lt;G6041</x:f>
        <x:v>0</x:v>
      </x:c>
    </x:row>
    <x:row r="6042">
      <x:c r="A6042" s="31">
        <x:v>45838</x:v>
      </x:c>
      <x:c r="B6042" s="32">
        <x:v>1375.76</x:v>
      </x:c>
      <x:c r="C6042" s="32">
        <x:v>1377.3</x:v>
      </x:c>
      <x:c r="D6042" s="32">
        <x:v>1372.03</x:v>
      </x:c>
      <x:c r="E6042" s="32">
        <x:v>1376.07</x:v>
      </x:c>
      <x:c r="F6042" s="33">
        <x:v>679430900</x:v>
      </x:c>
      <x:c r="G6042" s="32" t="n">
        <x:f t="shared" si="273">AVERAGE(E5843:E6042)</x:f>
        <x:v>1276.9351499999996</x:v>
      </x:c>
      <x:c r="H6042" s="37" t="n">
        <x:f t="shared" si="274">IFERROR(E6042/G6042-1,"")</x:f>
        <x:v>0.07763499187879708</x:v>
      </x:c>
      <x:c r="I6042" s="38" t="b">
        <x:f t="shared" si="275">E6042&lt;G6042</x:f>
        <x:v>0</x:v>
      </x:c>
    </x:row>
    <x:row r="6043">
      <x:c r="A6043" s="31">
        <x:v>45839</x:v>
      </x:c>
      <x:c r="B6043" s="32">
        <x:v>1378.14</x:v>
      </x:c>
      <x:c r="C6043" s="32">
        <x:v>1382.16</x:v>
      </x:c>
      <x:c r="D6043" s="32">
        <x:v>1369.74</x:v>
      </x:c>
      <x:c r="E6043" s="32">
        <x:v>1377.84</x:v>
      </x:c>
      <x:c r="F6043" s="33">
        <x:v>779920400</x:v>
      </x:c>
      <x:c r="G6043" s="32" t="n">
        <x:f t="shared" si="273">AVERAGE(E5844:E6043)</x:f>
        <x:v>1277.4856999999995</x:v>
      </x:c>
      <x:c r="H6043" s="37" t="n">
        <x:f t="shared" si="274">IFERROR(E6043/G6043-1,"")</x:f>
        <x:v>0.07855610438535665</x:v>
      </x:c>
      <x:c r="I6043" s="38" t="b">
        <x:f t="shared" si="275">E6043&lt;G6043</x:f>
        <x:v>0</x:v>
      </x:c>
    </x:row>
    <x:row r="6044">
      <x:c r="A6044" s="31">
        <x:v>45840</x:v>
      </x:c>
      <x:c r="B6044" s="32">
        <x:v>1377.26</x:v>
      </x:c>
      <x:c r="C6044" s="32">
        <x:v>1384.82</x:v>
      </x:c>
      <x:c r="D6044" s="32">
        <x:v>1375.26</x:v>
      </x:c>
      <x:c r="E6044" s="32">
        <x:v>1384.59</x:v>
      </x:c>
      <x:c r="F6044" s="33">
        <x:v>898309400</x:v>
      </x:c>
      <x:c r="G6044" s="32" t="n">
        <x:f t="shared" si="273">AVERAGE(E5845:E6044)</x:f>
        <x:v>1278.1324999999995</x:v>
      </x:c>
      <x:c r="H6044" s="37" t="n">
        <x:f t="shared" si="274">IFERROR(E6044/G6044-1,"")</x:f>
        <x:v>0.08329144278860023</x:v>
      </x:c>
      <x:c r="I6044" s="38" t="b">
        <x:f t="shared" si="275">E6044&lt;G6044</x:f>
        <x:v>0</x:v>
      </x:c>
    </x:row>
    <x:row r="6045">
      <x:c r="A6045" s="31">
        <x:v>45841</x:v>
      </x:c>
      <x:c r="B6045" s="32">
        <x:v>1381.64</x:v>
      </x:c>
      <x:c r="C6045" s="32">
        <x:v>1392.39</x:v>
      </x:c>
      <x:c r="D6045" s="32">
        <x:v>1377.06</x:v>
      </x:c>
      <x:c r="E6045" s="32">
        <x:v>1381.96</x:v>
      </x:c>
      <x:c r="F6045" s="33">
        <x:v>1393887700</x:v>
      </x:c>
      <x:c r="G6045" s="32" t="n">
        <x:f t="shared" si="273">AVERAGE(E5846:E6045)</x:f>
        <x:v>1278.7759499999995</x:v>
      </x:c>
      <x:c r="H6045" s="37" t="n">
        <x:f t="shared" si="274">IFERROR(E6045/G6045-1,"")</x:f>
        <x:v>0.08068970174173251</x:v>
      </x:c>
      <x:c r="I6045" s="38" t="b">
        <x:f t="shared" si="275">E6045&lt;G6045</x:f>
        <x:v>0</x:v>
      </x:c>
    </x:row>
    <x:row r="6046">
      <x:c r="A6046" s="31">
        <x:v>45842</x:v>
      </x:c>
      <x:c r="B6046" s="32">
        <x:v>1385.19</x:v>
      </x:c>
      <x:c r="C6046" s="32">
        <x:v>1388.04</x:v>
      </x:c>
      <x:c r="D6046" s="32">
        <x:v>1379.4</x:v>
      </x:c>
      <x:c r="E6046" s="32">
        <x:v>1386.97</x:v>
      </x:c>
      <x:c r="F6046" s="33">
        <x:v>890148700</x:v>
      </x:c>
      <x:c r="G6046" s="32" t="n">
        <x:f t="shared" si="273">AVERAGE(E5847:E6046)</x:f>
        <x:v>1279.4290499999995</x:v>
      </x:c>
      <x:c r="H6046" s="37" t="n">
        <x:f t="shared" si="274">IFERROR(E6046/G6046-1,"")</x:f>
        <x:v>0.08405385980566926</x:v>
      </x:c>
      <x:c r="I6046" s="38" t="b">
        <x:f t="shared" si="275">E6046&lt;G6046</x:f>
        <x:v>0</x:v>
      </x:c>
    </x:row>
    <x:row r="6047">
      <x:c r="A6047" s="31">
        <x:v>45845</x:v>
      </x:c>
      <x:c r="B6047" s="32">
        <x:v>1393.34</x:v>
      </x:c>
      <x:c r="C6047" s="32">
        <x:v>1402.45</x:v>
      </x:c>
      <x:c r="D6047" s="32">
        <x:v>1393.24</x:v>
      </x:c>
      <x:c r="E6047" s="32">
        <x:v>1402.06</x:v>
      </x:c>
      <x:c r="F6047" s="33">
        <x:v>1300200100</x:v>
      </x:c>
      <x:c r="G6047" s="32" t="n">
        <x:f t="shared" si="273">AVERAGE(E5848:E6047)</x:f>
        <x:v>1280.1807999999994</x:v>
      </x:c>
      <x:c r="H6047" s="37" t="n">
        <x:f t="shared" si="274">IFERROR(E6047/G6047-1,"")</x:f>
        <x:v>0.09520467733932625</x:v>
      </x:c>
      <x:c r="I6047" s="38" t="b">
        <x:f t="shared" si="275">E6047&lt;G6047</x:f>
        <x:v>0</x:v>
      </x:c>
    </x:row>
    <x:row r="6048">
      <x:c r="A6048" s="31">
        <x:v>45846</x:v>
      </x:c>
      <x:c r="B6048" s="32">
        <x:v>1406.8</x:v>
      </x:c>
      <x:c r="C6048" s="32">
        <x:v>1415.76</x:v>
      </x:c>
      <x:c r="D6048" s="32">
        <x:v>1403.36</x:v>
      </x:c>
      <x:c r="E6048" s="32">
        <x:v>1415.46</x:v>
      </x:c>
      <x:c r="F6048" s="33">
        <x:v>1238737500</x:v>
      </x:c>
      <x:c r="G6048" s="32" t="n">
        <x:f t="shared" si="273">AVERAGE(E5849:E6048)</x:f>
        <x:v>1281.0617999999995</x:v>
      </x:c>
      <x:c r="H6048" s="37" t="n">
        <x:f t="shared" si="274">IFERROR(E6048/G6048-1,"")</x:f>
        <x:v>0.10491156632724552</x:v>
      </x:c>
      <x:c r="I6048" s="38" t="b">
        <x:f t="shared" si="275">E6048&lt;G6048</x:f>
        <x:v>0</x:v>
      </x:c>
    </x:row>
    <x:row r="6049">
      <x:c r="A6049" s="31">
        <x:v>45847</x:v>
      </x:c>
      <x:c r="B6049" s="32">
        <x:v>1421.12</x:v>
      </x:c>
      <x:c r="C6049" s="32">
        <x:v>1432.29</x:v>
      </x:c>
      <x:c r="D6049" s="32">
        <x:v>1420.26</x:v>
      </x:c>
      <x:c r="E6049" s="32">
        <x:v>1431.32</x:v>
      </x:c>
      <x:c r="F6049" s="33">
        <x:v>1526744600</x:v>
      </x:c>
      <x:c r="G6049" s="32" t="n">
        <x:f t="shared" si="273">AVERAGE(E5850:E6049)</x:f>
        <x:v>1281.9236499999995</x:v>
      </x:c>
      <x:c r="H6049" s="37" t="n">
        <x:f t="shared" si="274">IFERROR(E6049/G6049-1,"")</x:f>
        <x:v>0.11654075498178118</x:v>
      </x:c>
      <x:c r="I6049" s="38" t="b">
        <x:f t="shared" si="275">E6049&lt;G6049</x:f>
        <x:v>0</x:v>
      </x:c>
    </x:row>
    <x:row r="6050">
      <x:c r="A6050" s="31">
        <x:v>45848</x:v>
      </x:c>
      <x:c r="B6050" s="32">
        <x:v>1437.18</x:v>
      </x:c>
      <x:c r="C6050" s="32">
        <x:v>1446.16</x:v>
      </x:c>
      <x:c r="D6050" s="32">
        <x:v>1434.06</x:v>
      </x:c>
      <x:c r="E6050" s="32">
        <x:v>1445.64</x:v>
      </x:c>
      <x:c r="F6050" s="33">
        <x:v>1132542400</x:v>
      </x:c>
      <x:c r="G6050" s="32" t="n">
        <x:f t="shared" si="273">AVERAGE(E5851:E6050)</x:f>
        <x:v>1282.8273499999993</x:v>
      </x:c>
      <x:c r="H6050" s="37" t="n">
        <x:f t="shared" si="274">IFERROR(E6050/G6050-1,"")</x:f>
        <x:v>0.12691703992747017</x:v>
      </x:c>
      <x:c r="I6050" s="38" t="b">
        <x:f t="shared" si="275">E6050&lt;G6050</x:f>
        <x:v>0</x:v>
      </x:c>
    </x:row>
    <x:row r="6051">
      <x:c r="A6051" s="31">
        <x:v>45849</x:v>
      </x:c>
      <x:c r="B6051" s="32">
        <x:v>1451.12</x:v>
      </x:c>
      <x:c r="C6051" s="32">
        <x:v>1463.91</x:v>
      </x:c>
      <x:c r="D6051" s="32">
        <x:v>1448.29</x:v>
      </x:c>
      <x:c r="E6051" s="32">
        <x:v>1457.76</x:v>
      </x:c>
      <x:c r="F6051" s="33">
        <x:v>1302994700</x:v>
      </x:c>
      <x:c r="G6051" s="32" t="n">
        <x:f t="shared" si="273">AVERAGE(E5852:E6051)</x:f>
        <x:v>1283.7597999999996</x:v>
      </x:c>
      <x:c r="H6051" s="37" t="n">
        <x:f t="shared" si="274">IFERROR(E6051/G6051-1,"")</x:f>
        <x:v>0.13553953005850516</x:v>
      </x:c>
      <x:c r="I6051" s="38" t="b">
        <x:f t="shared" si="275">E6051&lt;G6051</x:f>
        <x:v>0</x:v>
      </x:c>
    </x:row>
    <x:row r="6052">
      <x:c r="A6052" s="31">
        <x:v>45852</x:v>
      </x:c>
      <x:c r="B6052" s="32">
        <x:v>1471.4</x:v>
      </x:c>
      <x:c r="C6052" s="32">
        <x:v>1473.93</x:v>
      </x:c>
      <x:c r="D6052" s="32">
        <x:v>1447.72</x:v>
      </x:c>
      <x:c r="E6052" s="32">
        <x:v>1470.42</x:v>
      </x:c>
      <x:c r="F6052" s="33">
        <x:v>1342827200</x:v>
      </x:c>
      <x:c r="G6052" s="32" t="n">
        <x:f t="shared" si="273">AVERAGE(E5853:E6052)</x:f>
        <x:v>1284.7516999999996</x:v>
      </x:c>
      <x:c r="H6052" s="37" t="n">
        <x:f t="shared" si="274">IFERROR(E6052/G6052-1,"")</x:f>
        <x:v>0.14451687435011795</x:v>
      </x:c>
      <x:c r="I6052" s="38" t="b">
        <x:f t="shared" si="275">E6052&lt;G6052</x:f>
        <x:v>0</x:v>
      </x:c>
    </x:row>
    <x:row r="6053">
      <x:c r="A6053" s="31">
        <x:v>45853</x:v>
      </x:c>
      <x:c r="B6053" s="32">
        <x:v>1473.8</x:v>
      </x:c>
      <x:c r="C6053" s="32">
        <x:v>1476.32</x:v>
      </x:c>
      <x:c r="D6053" s="32">
        <x:v>1460.49</x:v>
      </x:c>
      <x:c r="E6053" s="32">
        <x:v>1460.65</x:v>
      </x:c>
      <x:c r="F6053" s="33">
        <x:v>1395724200</x:v>
      </x:c>
      <x:c r="G6053" s="32" t="n">
        <x:f t="shared" si="273">AVERAGE(E5854:E6053)</x:f>
        <x:v>1285.7125499999995</x:v>
      </x:c>
      <x:c r="H6053" s="37" t="n">
        <x:f t="shared" si="274">IFERROR(E6053/G6053-1,"")</x:f>
        <x:v>0.1360626447956821</x:v>
      </x:c>
      <x:c r="I6053" s="38" t="b">
        <x:f t="shared" si="275">E6053&lt;G6053</x:f>
        <x:v>0</x:v>
      </x:c>
    </x:row>
    <x:row r="6054">
      <x:c r="A6054" s="31">
        <x:v>45854</x:v>
      </x:c>
      <x:c r="B6054" s="32">
        <x:v>1459.87</x:v>
      </x:c>
      <x:c r="C6054" s="32">
        <x:v>1467.52</x:v>
      </x:c>
      <x:c r="D6054" s="32">
        <x:v>1457.31</x:v>
      </x:c>
      <x:c r="E6054" s="32">
        <x:v>1467.19</x:v>
      </x:c>
      <x:c r="F6054" s="33">
        <x:v>1284084600</x:v>
      </x:c>
      <x:c r="G6054" s="32" t="n">
        <x:f t="shared" si="273">AVERAGE(E5855:E6054)</x:f>
        <x:v>1286.6635499999995</x:v>
      </x:c>
      <x:c r="H6054" s="37" t="n">
        <x:f t="shared" si="274">IFERROR(E6054/G6054-1,"")</x:f>
        <x:v>0.14030587094815927</x:v>
      </x:c>
      <x:c r="I6054" s="38" t="b">
        <x:f t="shared" si="275">E6054&lt;G6054</x:f>
        <x:v>0</x:v>
      </x:c>
    </x:row>
    <x:row r="6055">
      <x:c r="A6055" s="31">
        <x:v>45855</x:v>
      </x:c>
      <x:c r="B6055" s="32">
        <x:v>1481.79</x:v>
      </x:c>
      <x:c r="C6055" s="32">
        <x:v>1494.36</x:v>
      </x:c>
      <x:c r="D6055" s="32">
        <x:v>1481.44</x:v>
      </x:c>
      <x:c r="E6055" s="32">
        <x:v>1490.01</x:v>
      </x:c>
      <x:c r="F6055" s="33">
        <x:v>1496763600</x:v>
      </x:c>
      <x:c r="G6055" s="32" t="n">
        <x:f t="shared" si="273">AVERAGE(E5856:E6055)</x:f>
        <x:v>1287.6761999999997</x:v>
      </x:c>
      <x:c r="H6055" s="37" t="n">
        <x:f t="shared" si="274">IFERROR(E6055/G6055-1,"")</x:f>
        <x:v>0.15713096196077903</x:v>
      </x:c>
      <x:c r="I6055" s="38" t="b">
        <x:f t="shared" si="275">E6055&lt;G6055</x:f>
        <x:v>0</x:v>
      </x:c>
    </x:row>
    <x:row r="6056">
      <x:c r="A6056" s="31">
        <x:v>45856</x:v>
      </x:c>
      <x:c r="B6056" s="32">
        <x:v>1497.53</x:v>
      </x:c>
      <x:c r="C6056" s="32">
        <x:v>1501.2</x:v>
      </x:c>
      <x:c r="D6056" s="32">
        <x:v>1484.29</x:v>
      </x:c>
      <x:c r="E6056" s="32">
        <x:v>1497.28</x:v>
      </x:c>
      <x:c r="F6056" s="33">
        <x:v>1538434500</x:v>
      </x:c>
      <x:c r="G6056" s="32" t="n">
        <x:f t="shared" si="273">AVERAGE(E5857:E6056)</x:f>
        <x:v>1288.7051499999998</x:v>
      </x:c>
      <x:c r="H6056" s="37" t="n">
        <x:f t="shared" si="274">IFERROR(E6056/G6056-1,"")</x:f>
        <x:v>0.16184838711942784</x:v>
      </x:c>
      <x:c r="I6056" s="38" t="b">
        <x:f t="shared" si="275">E6056&lt;G6056</x:f>
        <x:v>0</x:v>
      </x:c>
    </x:row>
    <x:row r="6057">
      <x:c r="A6057" s="31">
        <x:v>45859</x:v>
      </x:c>
      <x:c r="B6057" s="32">
        <x:v>1508.6</x:v>
      </x:c>
      <x:c r="C6057" s="32">
        <x:v>1511.96</x:v>
      </x:c>
      <x:c r="D6057" s="32">
        <x:v>1485.05</x:v>
      </x:c>
      <x:c r="E6057" s="32">
        <x:v>1485.05</x:v>
      </x:c>
      <x:c r="F6057" s="33">
        <x:v>1465463600</x:v>
      </x:c>
      <x:c r="G6057" s="32" t="n">
        <x:f t="shared" si="273">AVERAGE(E5858:E6057)</x:f>
        <x:v>1289.6757999999998</x:v>
      </x:c>
      <x:c r="H6057" s="37" t="n">
        <x:f t="shared" si="274">IFERROR(E6057/G6057-1,"")</x:f>
        <x:v>0.15149094059142643</x:v>
      </x:c>
      <x:c r="I6057" s="38" t="b">
        <x:f t="shared" si="275">E6057&lt;G6057</x:f>
        <x:v>0</x:v>
      </x:c>
    </x:row>
    <x:row r="6058">
      <x:c r="A6058" s="31">
        <x:v>45860</x:v>
      </x:c>
      <x:c r="B6058" s="32">
        <x:v>1484.15</x:v>
      </x:c>
      <x:c r="C6058" s="32">
        <x:v>1509.67</x:v>
      </x:c>
      <x:c r="D6058" s="32">
        <x:v>1476.61</x:v>
      </x:c>
      <x:c r="E6058" s="32">
        <x:v>1509.54</x:v>
      </x:c>
      <x:c r="F6058" s="33">
        <x:v>1288439700</x:v>
      </x:c>
      <x:c r="G6058" s="32" t="n">
        <x:f t="shared" si="273">AVERAGE(E5859:E6058)</x:f>
        <x:v>1290.7837999999997</x:v>
      </x:c>
      <x:c r="H6058" s="37" t="n">
        <x:f t="shared" si="274">IFERROR(E6058/G6058-1,"")</x:f>
        <x:v>0.16947547683818187</x:v>
      </x:c>
      <x:c r="I6058" s="38" t="b">
        <x:f t="shared" si="275">E6058&lt;G6058</x:f>
        <x:v>0</x:v>
      </x:c>
    </x:row>
    <x:row r="6059">
      <x:c r="A6059" s="31">
        <x:v>45861</x:v>
      </x:c>
      <x:c r="B6059" s="32">
        <x:v>1519.58</x:v>
      </x:c>
      <x:c r="C6059" s="32">
        <x:v>1523.37</x:v>
      </x:c>
      <x:c r="D6059" s="32">
        <x:v>1507.14</x:v>
      </x:c>
      <x:c r="E6059" s="32">
        <x:v>1512.31</x:v>
      </x:c>
      <x:c r="F6059" s="33">
        <x:v>1509368300</x:v>
      </x:c>
      <x:c r="G6059" s="32" t="n">
        <x:f t="shared" si="273">AVERAGE(E5860:E6059)</x:f>
        <x:v>1291.8843499999996</x:v>
      </x:c>
      <x:c r="H6059" s="37" t="n">
        <x:f t="shared" si="274">IFERROR(E6059/G6059-1,"")</x:f>
        <x:v>0.17062336113909926</x:v>
      </x:c>
      <x:c r="I6059" s="38" t="b">
        <x:f t="shared" si="275">E6059&lt;G6059</x:f>
        <x:v>0</x:v>
      </x:c>
    </x:row>
    <x:row r="6060">
      <x:c r="A6060" s="31">
        <x:v>45862</x:v>
      </x:c>
      <x:c r="B6060" s="32">
        <x:v>1520.25</x:v>
      </x:c>
      <x:c r="C6060" s="32">
        <x:v>1525.32</x:v>
      </x:c>
      <x:c r="D6060" s="32">
        <x:v>1502.82</x:v>
      </x:c>
      <x:c r="E6060" s="32">
        <x:v>1521.02</x:v>
      </x:c>
      <x:c r="F6060" s="33">
        <x:v>1482652900</x:v>
      </x:c>
      <x:c r="G6060" s="32" t="n">
        <x:f t="shared" si="273">AVERAGE(E5861:E6060)</x:f>
        <x:v>1293.0502499999996</x:v>
      </x:c>
      <x:c r="H6060" s="37" t="n">
        <x:f t="shared" si="274">IFERROR(E6060/G6060-1,"")</x:f>
        <x:v>0.17630385980745955</x:v>
      </x:c>
      <x:c r="I6060" s="38" t="b">
        <x:f t="shared" si="275">E6060&lt;G6060</x:f>
        <x:v>0</x:v>
      </x:c>
    </x:row>
    <x:row r="6061">
      <x:c r="A6061" s="31">
        <x:v>45863</x:v>
      </x:c>
      <x:c r="B6061" s="32">
        <x:v>1521.56</x:v>
      </x:c>
      <x:c r="C6061" s="32">
        <x:v>1534.51</x:v>
      </x:c>
      <x:c r="D6061" s="32">
        <x:v>1521.52</x:v>
      </x:c>
      <x:c r="E6061" s="32">
        <x:v>1531.13</x:v>
      </x:c>
      <x:c r="F6061" s="33">
        <x:v>1458409200</x:v>
      </x:c>
      <x:c r="G6061" s="32" t="n">
        <x:f t="shared" si="273">AVERAGE(E5862:E6061)</x:f>
        <x:v>1294.3153999999997</x:v>
      </x:c>
      <x:c r="H6061" s="37" t="n">
        <x:f t="shared" si="274">IFERROR(E6061/G6061-1,"")</x:f>
        <x:v>0.18296514126309593</x:v>
      </x:c>
      <x:c r="I6061" s="38" t="b">
        <x:f t="shared" si="275">E6061&lt;G6061</x:f>
        <x:v>0</x:v>
      </x:c>
    </x:row>
    <x:row r="6062">
      <x:c r="A6062" s="31">
        <x:v>45866</x:v>
      </x:c>
      <x:c r="B6062" s="32">
        <x:v>1541.87</x:v>
      </x:c>
      <x:c r="C6062" s="32">
        <x:v>1558.12</x:v>
      </x:c>
      <x:c r="D6062" s="32">
        <x:v>1538.72</x:v>
      </x:c>
      <x:c r="E6062" s="32">
        <x:v>1557.42</x:v>
      </x:c>
      <x:c r="F6062" s="33">
        <x:v>1852459400</x:v>
      </x:c>
      <x:c r="G6062" s="32" t="n">
        <x:f t="shared" si="273">AVERAGE(E5863:E6062)</x:f>
        <x:v>1295.7495</x:v>
      </x:c>
      <x:c r="H6062" s="37" t="n">
        <x:f t="shared" si="274">IFERROR(E6062/G6062-1,"")</x:f>
        <x:v>0.20194528340547313</x:v>
      </x:c>
      <x:c r="I6062" s="38" t="b">
        <x:f t="shared" si="275">E6062&lt;G6062</x:f>
        <x:v>0</x:v>
      </x:c>
    </x:row>
    <x:row r="6063">
      <x:c r="A6063" s="31">
        <x:v>45867</x:v>
      </x:c>
      <x:c r="B6063" s="32">
        <x:v>1562.6</x:v>
      </x:c>
      <x:c r="C6063" s="32">
        <x:v>1564.92</x:v>
      </x:c>
      <x:c r="D6063" s="32">
        <x:v>1489.93</x:v>
      </x:c>
      <x:c r="E6063" s="32">
        <x:v>1493.41</x:v>
      </x:c>
      <x:c r="F6063" s="33">
        <x:v>2744342600</x:v>
      </x:c>
      <x:c r="G6063" s="32" t="n">
        <x:f t="shared" si="273">AVERAGE(E5864:E6063)</x:f>
        <x:v>1296.8669</x:v>
      </x:c>
      <x:c r="H6063" s="37" t="n">
        <x:f t="shared" si="274">IFERROR(E6063/G6063-1,"")</x:f>
        <x:v>0.15155225258659932</x:v>
      </x:c>
      <x:c r="I6063" s="38" t="b">
        <x:f t="shared" si="275">E6063&lt;G6063</x:f>
        <x:v>0</x:v>
      </x:c>
    </x:row>
    <x:row r="6064">
      <x:c r="A6064" s="31">
        <x:v>45868</x:v>
      </x:c>
      <x:c r="B6064" s="32">
        <x:v>1502.26</x:v>
      </x:c>
      <x:c r="C6064" s="32">
        <x:v>1512.15</x:v>
      </x:c>
      <x:c r="D6064" s="32">
        <x:v>1482.45</x:v>
      </x:c>
      <x:c r="E6064" s="32">
        <x:v>1507.63</x:v>
      </x:c>
      <x:c r="F6064" s="33">
        <x:v>1709273500</x:v>
      </x:c>
      <x:c r="G6064" s="32" t="n">
        <x:f t="shared" si="273">AVERAGE(E5865:E6064)</x:f>
        <x:v>1298.0451499999997</x:v>
      </x:c>
      <x:c r="H6064" s="37" t="n">
        <x:f t="shared" si="274">IFERROR(E6064/G6064-1,"")</x:f>
        <x:v>0.16146191062768533</x:v>
      </x:c>
      <x:c r="I6064" s="38" t="b">
        <x:f t="shared" si="275">E6064&lt;G6064</x:f>
        <x:v>0</x:v>
      </x:c>
    </x:row>
    <x:row r="6065">
      <x:c r="A6065" s="31">
        <x:v>45869</x:v>
      </x:c>
      <x:c r="B6065" s="32">
        <x:v>1521.96</x:v>
      </x:c>
      <x:c r="C6065" s="32">
        <x:v>1522.39</x:v>
      </x:c>
      <x:c r="D6065" s="32">
        <x:v>1488.3</x:v>
      </x:c>
      <x:c r="E6065" s="32">
        <x:v>1502.52</x:v>
      </x:c>
      <x:c r="F6065" s="33">
        <x:v>1722965900</x:v>
      </x:c>
      <x:c r="G6065" s="32" t="n">
        <x:f t="shared" si="273">AVERAGE(E5866:E6065)</x:f>
        <x:v>1299.1484999999998</x:v>
      </x:c>
      <x:c r="H6065" s="37" t="n">
        <x:f t="shared" si="274">IFERROR(E6065/G6065-1,"")</x:f>
        <x:v>0.15654215049318854</x:v>
      </x:c>
      <x:c r="I6065" s="38" t="b">
        <x:f t="shared" si="275">E6065&lt;G6065</x:f>
        <x:v>0</x:v>
      </x:c>
    </x:row>
    <x:row r="6066">
      <x:c r="A6066" s="31">
        <x:v>45870</x:v>
      </x:c>
      <x:c r="B6066" s="32">
        <x:v>1502.26</x:v>
      </x:c>
      <x:c r="C6066" s="32">
        <x:v>1512.15</x:v>
      </x:c>
      <x:c r="D6066" s="32">
        <x:v>1482.45</x:v>
      </x:c>
      <x:c r="E6066" s="32">
        <x:v>1507.63</x:v>
      </x:c>
      <x:c r="F6066" s="33">
        <x:v>1438755800</x:v>
      </x:c>
      <x:c r="G6066" s="32" t="n">
        <x:f t="shared" si="273">AVERAGE(E5867:E6066)</x:f>
        <x:v>1300.2548499999998</x:v>
      </x:c>
      <x:c r="H6066" s="37" t="n">
        <x:f t="shared" si="274">IFERROR(E6066/G6066-1,"")</x:f>
        <x:v>0.15948808035593975</x:v>
      </x:c>
      <x:c r="I6066" s="38" t="b">
        <x:f t="shared" si="275">E6066&lt;G6066</x:f>
        <x:v>0</x:v>
      </x:c>
    </x:row>
    <x:row r="6067">
      <x:c r="A6067" s="31">
        <x:v>45873</x:v>
      </x:c>
      <x:c r="B6067" s="32">
        <x:v>1493.37</x:v>
      </x:c>
      <x:c r="C6067" s="32">
        <x:v>1528.37</x:v>
      </x:c>
      <x:c r="D6067" s="32">
        <x:v>1491.11</x:v>
      </x:c>
      <x:c r="E6067" s="32">
        <x:v>1528.19</x:v>
      </x:c>
      <x:c r="F6067" s="33">
        <x:v>1282015800</x:v>
      </x:c>
      <x:c r="G6067" s="32" t="n">
        <x:f t="shared" si="273">AVERAGE(E5868:E6067)</x:f>
        <x:v>1301.4538499999999</x:v>
      </x:c>
      <x:c r="H6067" s="37" t="n">
        <x:f t="shared" si="274">IFERROR(E6067/G6067-1,"")</x:f>
        <x:v>0.1742175875080012</x:v>
      </x:c>
      <x:c r="I6067" s="38" t="b">
        <x:f t="shared" si="275">E6067&lt;G6067</x:f>
        <x:v>0</x:v>
      </x:c>
    </x:row>
    <x:row r="6068">
      <x:c r="A6068" s="31">
        <x:v>45874</x:v>
      </x:c>
      <x:c r="B6068" s="32">
        <x:v>1547.19</x:v>
      </x:c>
      <x:c r="C6068" s="32">
        <x:v>1584.98</x:v>
      </x:c>
      <x:c r="D6068" s="32">
        <x:v>1519.08</x:v>
      </x:c>
      <x:c r="E6068" s="32">
        <x:v>1547.15</x:v>
      </x:c>
      <x:c r="F6068" s="33">
        <x:v>2823674400</x:v>
      </x:c>
      <x:c r="G6068" s="32" t="n">
        <x:f t="shared" si="273">AVERAGE(E5869:E6068)</x:f>
        <x:v>1302.7578999999998</x:v>
      </x:c>
      <x:c r="H6068" s="37" t="n">
        <x:f t="shared" si="274">IFERROR(E6068/G6068-1,"")</x:f>
        <x:v>0.187595945493787</x:v>
      </x:c>
      <x:c r="I6068" s="38" t="b">
        <x:f t="shared" si="275">E6068&lt;G6068</x:f>
        <x:v>0</x:v>
      </x:c>
    </x:row>
    <x:row r="6069">
      <x:c r="A6069" s="31">
        <x:v>45875</x:v>
      </x:c>
      <x:c r="B6069" s="32">
        <x:v>1558.56</x:v>
      </x:c>
      <x:c r="C6069" s="32">
        <x:v>1573.71</x:v>
      </x:c>
      <x:c r="D6069" s="32">
        <x:v>1551.6</x:v>
      </x:c>
      <x:c r="E6069" s="32">
        <x:v>1573.71</x:v>
      </x:c>
      <x:c r="F6069" s="33">
        <x:v>1402150100</x:v>
      </x:c>
      <x:c r="G6069" s="32" t="n">
        <x:f t="shared" si="273">AVERAGE(E5870:E6069)</x:f>
        <x:v>1304.2210499999999</x:v>
      </x:c>
      <x:c r="H6069" s="37" t="n">
        <x:f t="shared" si="274">IFERROR(E6069/G6069-1,"")</x:f>
        <x:v>0.20662827823550334</x:v>
      </x:c>
      <x:c r="I6069" s="38" t="b">
        <x:f t="shared" si="275">E6069&lt;G6069</x:f>
        <x:v>0</x:v>
      </x:c>
    </x:row>
    <x:row r="6070">
      <x:c r="A6070" s="31">
        <x:v>45876</x:v>
      </x:c>
      <x:c r="B6070" s="32">
        <x:v>1587.84</x:v>
      </x:c>
      <x:c r="C6070" s="32">
        <x:v>1587.84</x:v>
      </x:c>
      <x:c r="D6070" s="32">
        <x:v>1567.72</x:v>
      </x:c>
      <x:c r="E6070" s="32">
        <x:v>1581.81</x:v>
      </x:c>
      <x:c r="F6070" s="33">
        <x:v>1678783800</x:v>
      </x:c>
      <x:c r="G6070" s="32" t="n">
        <x:f t="shared" si="273">AVERAGE(E5871:E6070)</x:f>
        <x:v>1305.7326999999998</x:v>
      </x:c>
      <x:c r="H6070" s="37" t="n">
        <x:f t="shared" si="274">IFERROR(E6070/G6070-1,"")</x:f>
        <x:v>0.21143477527981047</x:v>
      </x:c>
      <x:c r="I6070" s="38" t="b">
        <x:f t="shared" si="275">E6070&lt;G6070</x:f>
        <x:v>0</x:v>
      </x:c>
    </x:row>
    <x:row r="6071">
      <x:c r="A6071" s="31">
        <x:v>45877</x:v>
      </x:c>
      <x:c r="B6071" s="32">
        <x:v>1589.58</x:v>
      </x:c>
      <x:c r="C6071" s="32">
        <x:v>1589.58</x:v>
      </x:c>
      <x:c r="D6071" s="32">
        <x:v>1565.45</x:v>
      </x:c>
      <x:c r="E6071" s="32">
        <x:v>1584.95</x:v>
      </x:c>
      <x:c r="F6071" s="33">
        <x:v>1903644500</x:v>
      </x:c>
      <x:c r="G6071" s="32" t="n">
        <x:f t="shared" si="273">AVERAGE(E5872:E6071)</x:f>
        <x:v>1307.2248499999998</x:v>
      </x:c>
      <x:c r="H6071" s="37" t="n">
        <x:f t="shared" si="274">IFERROR(E6071/G6071-1,"")</x:f>
        <x:v>0.21245400131431125</x:v>
      </x:c>
      <x:c r="I6071" s="38" t="b">
        <x:f t="shared" si="275">E6071&lt;G6071</x:f>
        <x:v>0</x:v>
      </x:c>
    </x:row>
    <x:row r="6072">
      <x:c r="A6072" s="31">
        <x:v>45880</x:v>
      </x:c>
      <x:c r="B6072" s="32">
        <x:v>1590.98</x:v>
      </x:c>
      <x:c r="C6072" s="32">
        <x:v>1601.79</x:v>
      </x:c>
      <x:c r="D6072" s="32">
        <x:v>1586.21</x:v>
      </x:c>
      <x:c r="E6072" s="32">
        <x:v>1600.41</x:v>
      </x:c>
      <x:c r="F6072" s="33">
        <x:v>1671390800</x:v>
      </x:c>
      <x:c r="G6072" s="32" t="n">
        <x:f t="shared" si="273">AVERAGE(E5873:E6072)</x:f>
        <x:v>1308.7995999999998</x:v>
      </x:c>
      <x:c r="H6072" s="37" t="n">
        <x:f t="shared" si="274">IFERROR(E6072/G6072-1,"")</x:f>
        <x:v>0.22280752530792358</x:v>
      </x:c>
      <x:c r="I6072" s="38" t="b">
        <x:f t="shared" si="275">E6072&lt;G6072</x:f>
        <x:v>0</x:v>
      </x:c>
    </x:row>
    <x:row r="6073">
      <x:c r="A6073" s="31">
        <x:v>45881</x:v>
      </x:c>
      <x:c r="B6073" s="32">
        <x:v>1603.5</x:v>
      </x:c>
      <x:c r="C6073" s="32">
        <x:v>1608.23</x:v>
      </x:c>
      <x:c r="D6073" s="32">
        <x:v>1591.18</x:v>
      </x:c>
      <x:c r="E6073" s="32">
        <x:v>1608.22</x:v>
      </x:c>
      <x:c r="F6073" s="33">
        <x:v>1655854500</x:v>
      </x:c>
      <x:c r="G6073" s="32" t="n">
        <x:f t="shared" si="273">AVERAGE(E5874:E6073)</x:f>
        <x:v>1310.44185</x:v>
      </x:c>
      <x:c r="H6073" s="37" t="n">
        <x:f t="shared" si="274">IFERROR(E6073/G6073-1,"")</x:f>
        <x:v>0.22723492080171281</x:v>
      </x:c>
      <x:c r="I6073" s="38" t="b">
        <x:f t="shared" si="275">E6073&lt;G6073</x:f>
        <x:v>0</x:v>
      </x:c>
    </x:row>
    <x:row r="6074">
      <x:c r="A6074" s="31">
        <x:v>45882</x:v>
      </x:c>
      <x:c r="B6074" s="32">
        <x:v>1615.57</x:v>
      </x:c>
      <x:c r="C6074" s="32">
        <x:v>1616.99</x:v>
      </x:c>
      <x:c r="D6074" s="32">
        <x:v>1585.54</x:v>
      </x:c>
      <x:c r="E6074" s="32">
        <x:v>1611.6</x:v>
      </x:c>
      <x:c r="F6074" s="33">
        <x:v>1988610900</x:v>
      </x:c>
      <x:c r="G6074" s="32" t="n">
        <x:f t="shared" si="273">AVERAGE(E5875:E6074)</x:f>
        <x:v>1312.1503999999998</x:v>
      </x:c>
      <x:c r="H6074" s="37" t="n">
        <x:f t="shared" si="274">IFERROR(E6074/G6074-1,"")</x:f>
        <x:v>0.2282128634034637</x:v>
      </x:c>
      <x:c r="I6074" s="38" t="b">
        <x:f t="shared" si="275">E6074&lt;G6074</x:f>
        <x:v>0</x:v>
      </x:c>
    </x:row>
    <x:row r="6075">
      <x:c r="A6075" s="31">
        <x:v>45883</x:v>
      </x:c>
      <x:c r="B6075" s="32">
        <x:v>1623.18</x:v>
      </x:c>
      <x:c r="C6075" s="32">
        <x:v>1641.28</x:v>
      </x:c>
      <x:c r="D6075" s="32">
        <x:v>1611.6</x:v>
      </x:c>
      <x:c r="E6075" s="32">
        <x:v>1640.69</x:v>
      </x:c>
      <x:c r="F6075" s="33">
        <x:v>1848530200</x:v>
      </x:c>
      <x:c r="G6075" s="32" t="n">
        <x:f t="shared" si="273">AVERAGE(E5876:E6075)</x:f>
        <x:v>1313.9993499999996</x:v>
      </x:c>
      <x:c r="H6075" s="37" t="n">
        <x:f t="shared" si="274">IFERROR(E6075/G6075-1,"")</x:f>
        <x:v>0.24862314429607646</x:v>
      </x:c>
      <x:c r="I6075" s="38" t="b">
        <x:f t="shared" si="275">E6075&lt;G6075</x:f>
        <x:v>0</x:v>
      </x:c>
    </x:row>
    <x:row r="6076">
      <x:c r="A6076" s="31">
        <x:v>45884</x:v>
      </x:c>
      <x:c r="B6076" s="32">
        <x:v>1658.24</x:v>
      </x:c>
      <x:c r="C6076" s="32">
        <x:v>1665.97</x:v>
      </x:c>
      <x:c r="D6076" s="32">
        <x:v>1622.98</x:v>
      </x:c>
      <x:c r="E6076" s="32">
        <x:v>1630</x:v>
      </x:c>
      <x:c r="F6076" s="33">
        <x:v>2103515900</x:v>
      </x:c>
      <x:c r="G6076" s="32" t="n">
        <x:f t="shared" si="273">AVERAGE(E5877:E6076)</x:f>
        <x:v>1315.8622999999998</x:v>
      </x:c>
      <x:c r="H6076" s="37" t="n">
        <x:f t="shared" si="274">IFERROR(E6076/G6076-1,"")</x:f>
        <x:v>0.23873143869233138</x:v>
      </x:c>
      <x:c r="I6076" s="38" t="b">
        <x:f t="shared" si="275">E6076&lt;G6076</x:f>
        <x:v>0</x:v>
      </x:c>
    </x:row>
    <x:row r="6077">
      <x:c r="A6077" s="31">
        <x:v>45887</x:v>
      </x:c>
      <x:c r="B6077" s="32">
        <x:v>1638.37</x:v>
      </x:c>
      <x:c r="C6077" s="32">
        <x:v>1642.71</x:v>
      </x:c>
      <x:c r="D6077" s="32">
        <x:v>1625.61</x:v>
      </x:c>
      <x:c r="E6077" s="32">
        <x:v>1636.37</x:v>
      </x:c>
      <x:c r="F6077" s="33">
        <x:v>1586472600</x:v>
      </x:c>
      <x:c r="G6077" s="32" t="n">
        <x:f t="shared" si="273">AVERAGE(E5878:E6077)</x:f>
        <x:v>1317.78055</x:v>
      </x:c>
      <x:c r="H6077" s="37" t="n">
        <x:f t="shared" si="274">IFERROR(E6077/G6077-1,"")</x:f>
        <x:v>0.24176214317323175</x:v>
      </x:c>
      <x:c r="I6077" s="38" t="b">
        <x:f t="shared" si="275">E6077&lt;G6077</x:f>
        <x:v>0</x:v>
      </x:c>
    </x:row>
    <x:row r="6078">
      <x:c r="A6078" s="31">
        <x:v>45888</x:v>
      </x:c>
      <x:c r="B6078" s="32">
        <x:v>1646.73</x:v>
      </x:c>
      <x:c r="C6078" s="32">
        <x:v>1665.48</x:v>
      </x:c>
      <x:c r="D6078" s="32">
        <x:v>1636.37</x:v>
      </x:c>
      <x:c r="E6078" s="32">
        <x:v>1654.2</x:v>
      </x:c>
      <x:c r="F6078" s="33">
        <x:v>1868022500</x:v>
      </x:c>
      <x:c r="G6078" s="32" t="n">
        <x:f t="shared" si="273">AVERAGE(E5879:E6078)</x:f>
        <x:v>1319.7776999999999</x:v>
      </x:c>
      <x:c r="H6078" s="37" t="n">
        <x:f t="shared" si="274">IFERROR(E6078/G6078-1,"")</x:f>
        <x:v>0.2533929009408178</x:v>
      </x:c>
      <x:c r="I6078" s="38" t="b">
        <x:f t="shared" si="275">E6078&lt;G6078</x:f>
        <x:v>0</x:v>
      </x:c>
    </x:row>
    <x:row r="6079">
      <x:c r="A6079" s="31">
        <x:v>45889</x:v>
      </x:c>
      <x:c r="B6079" s="32">
        <x:v>1662.11</x:v>
      </x:c>
      <x:c r="C6079" s="32">
        <x:v>1665.54</x:v>
      </x:c>
      <x:c r="D6079" s="32">
        <x:v>1614.6</x:v>
      </x:c>
      <x:c r="E6079" s="32">
        <x:v>1664.36</x:v>
      </x:c>
      <x:c r="F6079" s="33">
        <x:v>2374143500</x:v>
      </x:c>
      <x:c r="G6079" s="32" t="n">
        <x:f t="shared" si="273">AVERAGE(E5880:E6079)</x:f>
        <x:v>1321.7906</x:v>
      </x:c>
      <x:c r="H6079" s="37" t="n">
        <x:f t="shared" si="274">IFERROR(E6079/G6079-1,"")</x:f>
        <x:v>0.2591707037408193</x:v>
      </x:c>
      <x:c r="I6079" s="38" t="b">
        <x:f t="shared" si="275">E6079&lt;G6079</x:f>
        <x:v>0</x:v>
      </x:c>
    </x:row>
    <x:row r="6080">
      <x:c r="A6080" s="31">
        <x:v>45890</x:v>
      </x:c>
      <x:c r="B6080" s="32">
        <x:v>1674.76</x:v>
      </x:c>
      <x:c r="C6080" s="32">
        <x:v>1693.68</x:v>
      </x:c>
      <x:c r="D6080" s="32">
        <x:v>1664.36</x:v>
      </x:c>
      <x:c r="E6080" s="32">
        <x:v>1688</x:v>
      </x:c>
      <x:c r="F6080" s="33">
        <x:v>1714515100</x:v>
      </x:c>
      <x:c r="G6080" s="32" t="n">
        <x:f t="shared" si="273">AVERAGE(E5881:E6080)</x:f>
        <x:v>1323.93745</x:v>
      </x:c>
      <x:c r="H6080" s="37" t="n">
        <x:f t="shared" si="274">IFERROR(E6080/G6080-1,"")</x:f>
        <x:v>0.27498470565962174</x:v>
      </x:c>
      <x:c r="I6080" s="38" t="b">
        <x:f t="shared" si="275">E6080&lt;G6080</x:f>
        <x:v>0</x:v>
      </x:c>
    </x:row>
    <x:row r="6081">
      <x:c r="A6081" s="31">
        <x:v>45891</x:v>
      </x:c>
      <x:c r="B6081" s="32">
        <x:v>1680.42</x:v>
      </x:c>
      <x:c r="C6081" s="32">
        <x:v>1689.3</x:v>
      </x:c>
      <x:c r="D6081" s="32">
        <x:v>1629.49</x:v>
      </x:c>
      <x:c r="E6081" s="32">
        <x:v>1645.47</x:v>
      </x:c>
      <x:c r="F6081" s="33">
        <x:v>2340550500</x:v>
      </x:c>
      <x:c r="G6081" s="32" t="n">
        <x:f t="shared" si="273">AVERAGE(E5882:E6081)</x:f>
        <x:v>1325.8424</x:v>
      </x:c>
      <x:c r="H6081" s="37" t="n">
        <x:f t="shared" si="274">IFERROR(E6081/G6081-1,"")</x:f>
        <x:v>0.24107510817273603</x:v>
      </x:c>
      <x:c r="I6081" s="38" t="b">
        <x:f t="shared" si="275">E6081&lt;G6081</x:f>
        <x:v>0</x:v>
      </x:c>
    </x:row>
    <x:row r="6082">
      <x:c r="A6082" s="31">
        <x:v>45894</x:v>
      </x:c>
      <x:c r="B6082" s="32">
        <x:v>1659.7</x:v>
      </x:c>
      <x:c r="C6082" s="32">
        <x:v>1660.49</x:v>
      </x:c>
      <x:c r="D6082" s="32">
        <x:v>1608.53</x:v>
      </x:c>
      <x:c r="E6082" s="32">
        <x:v>1614.03</x:v>
      </x:c>
      <x:c r="F6082" s="33">
        <x:v>1521468800</x:v>
      </x:c>
      <x:c r="G6082" s="32" t="n">
        <x:f t="shared" si="273">AVERAGE(E5883:E6082)</x:f>
        <x:v>1327.6381</x:v>
      </x:c>
      <x:c r="H6082" s="37" t="n">
        <x:f t="shared" si="274">IFERROR(E6082/G6082-1,"")</x:f>
        <x:v>0.21571533688284483</x:v>
      </x:c>
      <x:c r="I6082" s="38" t="b">
        <x:f t="shared" si="275">E6082&lt;G6082</x:f>
        <x:v>0</x:v>
      </x:c>
    </x:row>
    <x:row r="6083">
      <x:c r="A6083" s="31">
        <x:v>45895</x:v>
      </x:c>
      <x:c r="B6083" s="32">
        <x:v>1611.61</x:v>
      </x:c>
      <x:c r="C6083" s="32">
        <x:v>1667.96</x:v>
      </x:c>
      <x:c r="D6083" s="32">
        <x:v>1603.73</x:v>
      </x:c>
      <x:c r="E6083" s="32">
        <x:v>1667.63</x:v>
      </x:c>
      <x:c r="F6083" s="33">
        <x:v>1299449100</x:v>
      </x:c>
      <x:c r="G6083" s="32" t="n">
        <x:f t="shared" si="273">AVERAGE(E5884:E6083)</x:f>
        <x:v>1329.7527</x:v>
      </x:c>
      <x:c r="H6083" s="37" t="n">
        <x:f t="shared" si="274">IFERROR(E6083/G6083-1,"")</x:f>
        <x:v>0.254090328224188</x:v>
      </x:c>
      <x:c r="I6083" s="38" t="b">
        <x:f t="shared" si="275">E6083&lt;G6083</x:f>
        <x:v>0</x:v>
      </x:c>
    </x:row>
    <x:row r="6084">
      <x:c r="A6084" s="31">
        <x:v>45896</x:v>
      </x:c>
      <x:c r="B6084" s="32">
        <x:v>1678.54</x:v>
      </x:c>
      <x:c r="C6084" s="32">
        <x:v>1696.6</x:v>
      </x:c>
      <x:c r="D6084" s="32">
        <x:v>1667.63</x:v>
      </x:c>
      <x:c r="E6084" s="32">
        <x:v>1673</x:v>
      </x:c>
      <x:c r="F6084" s="33">
        <x:v>1556991200</x:v>
      </x:c>
      <x:c r="G6084" s="32" t="n">
        <x:f t="shared" si="273">AVERAGE(E5885:E6084)</x:f>
        <x:v>1331.8889000000001</x:v>
      </x:c>
      <x:c r="H6084" s="37" t="n">
        <x:f t="shared" si="274">IFERROR(E6084/G6084-1,"")</x:f>
        <x:v>0.2561107762066339</x:v>
      </x:c>
      <x:c r="I6084" s="38" t="b">
        <x:f t="shared" si="275">E6084&lt;G6084</x:f>
        <x:v>0</x:v>
      </x:c>
    </x:row>
    <x:row r="6085">
      <x:c r="A6085" s="31">
        <x:v>45897</x:v>
      </x:c>
      <x:c r="B6085" s="32">
        <x:v>1679.33</x:v>
      </x:c>
      <x:c r="C6085" s="32">
        <x:v>1684.16</x:v>
      </x:c>
      <x:c r="D6085" s="32">
        <x:v>1659.68</x:v>
      </x:c>
      <x:c r="E6085" s="32">
        <x:v>1680.86</x:v>
      </x:c>
      <x:c r="F6085" s="33">
        <x:v>1156693000</x:v>
      </x:c>
      <x:c r="G6085" s="32" t="n">
        <x:f t="shared" si="273">AVERAGE(E5886:E6085)</x:f>
        <x:v>1333.9868</x:v>
      </x:c>
      <x:c r="H6085" s="37" t="n">
        <x:f t="shared" si="274">IFERROR(E6085/G6085-1,"")</x:f>
        <x:v>0.26002746054158865</x:v>
      </x:c>
      <x:c r="I6085" s="38" t="b">
        <x:f t="shared" si="275">E6085&lt;G6085</x:f>
        <x:v>0</x:v>
      </x:c>
    </x:row>
    <x:row r="6086">
      <x:c r="A6086" s="31">
        <x:v>45898</x:v>
      </x:c>
      <x:c r="B6086" s="32">
        <x:v>1690.11</x:v>
      </x:c>
      <x:c r="C6086" s="32">
        <x:v>1694.42</x:v>
      </x:c>
      <x:c r="D6086" s="32">
        <x:v>1678.57</x:v>
      </x:c>
      <x:c r="E6086" s="32">
        <x:v>1682.21</x:v>
      </x:c>
      <x:c r="F6086" s="33">
        <x:v>1532188700</x:v>
      </x:c>
      <x:c r="G6086" s="32" t="n">
        <x:f t="shared" si="273">AVERAGE(E5887:E6086)</x:f>
        <x:v>1336.0991000000001</x:v>
      </x:c>
      <x:c r="H6086" s="37" t="n">
        <x:f t="shared" si="274">IFERROR(E6086/G6086-1,"")</x:f>
        <x:v>0.25904582975918466</x:v>
      </x:c>
      <x:c r="I6086" s="38" t="b">
        <x:f t="shared" si="275">E6086&lt;G6086</x:f>
        <x:v>0</x:v>
      </x:c>
    </x:row>
    <x:row r="6087">
      <x:c r="A6087" s="31">
        <x:v>45903</x:v>
      </x:c>
      <x:c r="B6087" s="32">
        <x:v>1682.11</x:v>
      </x:c>
      <x:c r="C6087" s="32">
        <x:v>1685.73</x:v>
      </x:c>
      <x:c r="D6087" s="32">
        <x:v>1670.39</x:v>
      </x:c>
      <x:c r="E6087" s="32">
        <x:v>1681.3</x:v>
      </x:c>
      <x:c r="F6087" s="33">
        <x:v>1312386500</x:v>
      </x:c>
      <x:c r="G6087" s="32" t="n">
        <x:f t="shared" si="273">AVERAGE(E5888:E6087)</x:f>
        <x:v>1338.2428</x:v>
      </x:c>
      <x:c r="H6087" s="37" t="n">
        <x:f t="shared" si="274">IFERROR(E6087/G6087-1,"")</x:f>
        <x:v>0.2563489973568325</x:v>
      </x:c>
      <x:c r="I6087" s="38" t="b">
        <x:f t="shared" si="275">E6087&lt;G6087</x:f>
        <x:v>0</x:v>
      </x:c>
    </x:row>
    <x:row r="6088">
      <x:c r="A6088" s="31">
        <x:v>45904</x:v>
      </x:c>
      <x:c r="B6088" s="32">
        <x:v>1687.59</x:v>
      </x:c>
      <x:c r="C6088" s="32">
        <x:v>1696.34</x:v>
      </x:c>
      <x:c r="D6088" s="32">
        <x:v>1675.95</x:v>
      </x:c>
      <x:c r="E6088" s="32">
        <x:v>1696.29</x:v>
      </x:c>
      <x:c r="F6088" s="33">
        <x:v>1390643700</x:v>
      </x:c>
      <x:c r="G6088" s="32" t="n">
        <x:f t="shared" si="273">AVERAGE(E5889:E6088)</x:f>
        <x:v>1340.47265</x:v>
      </x:c>
      <x:c r="H6088" s="37" t="n">
        <x:f t="shared" si="274">IFERROR(E6088/G6088-1,"")</x:f>
        <x:v>0.2654417081915099</x:v>
      </x:c>
      <x:c r="I6088" s="38" t="b">
        <x:f t="shared" si="275">E6088&lt;G6088</x:f>
        <x:v>0</x:v>
      </x:c>
    </x:row>
    <x:row r="6089">
      <x:c r="A6089" s="31">
        <x:v>45905</x:v>
      </x:c>
      <x:c r="B6089" s="32">
        <x:v>1705.13</x:v>
      </x:c>
      <x:c r="C6089" s="32">
        <x:v>1711.49</x:v>
      </x:c>
      <x:c r="D6089" s="32">
        <x:v>1666.97</x:v>
      </x:c>
      <x:c r="E6089" s="32">
        <x:v>1666.97</x:v>
      </x:c>
      <x:c r="F6089" s="33">
        <x:v>1728400600</x:v>
      </x:c>
      <x:c r="G6089" s="32" t="n">
        <x:f t="shared" si="273">AVERAGE(E5890:E6089)</x:f>
        <x:v>1342.5833999999998</x:v>
      </x:c>
      <x:c r="H6089" s="37" t="n">
        <x:f t="shared" si="274">IFERROR(E6089/G6089-1,"")</x:f>
        <x:v>0.24161374258016322</x:v>
      </x:c>
      <x:c r="I6089" s="38" t="b">
        <x:f t="shared" si="275">E6089&lt;G6089</x:f>
        <x:v>0</x:v>
      </x:c>
    </x:row>
    <x:row r="6090">
      <x:c r="A6090" s="31">
        <x:v>45908</x:v>
      </x:c>
      <x:c r="B6090" s="32">
        <x:v>1660.91</x:v>
      </x:c>
      <x:c r="C6090" s="32">
        <x:v>1667.36</x:v>
      </x:c>
      <x:c r="D6090" s="32">
        <x:v>1624.53</x:v>
      </x:c>
      <x:c r="E6090" s="32">
        <x:v>1624.53</x:v>
      </x:c>
      <x:c r="F6090" s="33">
        <x:v>1848629200</x:v>
      </x:c>
      <x:c r="G6090" s="32" t="n">
        <x:f t="shared" si="273">AVERAGE(E5891:E6090)</x:f>
        <x:v>1344.4758499999998</x:v>
      </x:c>
      <x:c r="H6090" s="37" t="n">
        <x:f t="shared" si="274">IFERROR(E6090/G6090-1,"")</x:f>
        <x:v>0.20829987388765692</x:v>
      </x:c>
      <x:c r="I6090" s="38" t="b">
        <x:f t="shared" si="275">E6090&lt;G6090</x:f>
        <x:v>0</x:v>
      </x:c>
    </x:row>
    <x:row r="6091">
      <x:c r="A6091" s="31">
        <x:v>45909</x:v>
      </x:c>
      <x:c r="B6091" s="32">
        <x:v>1629.58</x:v>
      </x:c>
      <x:c r="C6091" s="32">
        <x:v>1637.39</x:v>
      </x:c>
      <x:c r="D6091" s="32">
        <x:v>1613.01</x:v>
      </x:c>
      <x:c r="E6091" s="32">
        <x:v>1637.32</x:v>
      </x:c>
      <x:c r="F6091" s="33">
        <x:v>1071755400</x:v>
      </x:c>
      <x:c r="G6091" s="32" t="n">
        <x:f t="shared" si="273">AVERAGE(E5892:E6091)</x:f>
        <x:v>1346.503</x:v>
      </x:c>
      <x:c r="H6091" s="37" t="n">
        <x:f t="shared" si="274">IFERROR(E6091/G6091-1,"")</x:f>
        <x:v>0.21597946681143676</x:v>
      </x:c>
      <x:c r="I6091" s="38" t="b">
        <x:f t="shared" si="275">E6091&lt;G6091</x:f>
        <x:v>0</x:v>
      </x:c>
    </x:row>
    <x:row r="6092">
      <x:c r="A6092" s="31">
        <x:v>45910</x:v>
      </x:c>
      <x:c r="B6092" s="32">
        <x:v>1646.41</x:v>
      </x:c>
      <x:c r="C6092" s="32">
        <x:v>1646.49</x:v>
      </x:c>
      <x:c r="D6092" s="32">
        <x:v>1629.29</x:v>
      </x:c>
      <x:c r="E6092" s="32">
        <x:v>1643.26</x:v>
      </x:c>
      <x:c r="F6092" s="33">
        <x:v>883674000</x:v>
      </x:c>
      <x:c r="G6092" s="32" t="n">
        <x:f t="shared" si="273">AVERAGE(E5893:E6092)</x:f>
        <x:v>1348.62645</x:v>
      </x:c>
      <x:c r="H6092" s="37" t="n">
        <x:f t="shared" si="274">IFERROR(E6092/G6092-1,"")</x:f>
        <x:v>0.21846935450509664</x:v>
      </x:c>
      <x:c r="I6092" s="38" t="b">
        <x:f t="shared" si="275">E6092&lt;G6092</x:f>
        <x:v>0</x:v>
      </x:c>
    </x:row>
    <x:row r="6093">
      <x:c r="A6093" s="31">
        <x:v>45911</x:v>
      </x:c>
      <x:c r="B6093" s="32">
        <x:v>1638.75</x:v>
      </x:c>
      <x:c r="C6093" s="32">
        <x:v>1659.19</x:v>
      </x:c>
      <x:c r="D6093" s="32">
        <x:v>1605.76</x:v>
      </x:c>
      <x:c r="E6093" s="32">
        <x:v>1657.75</x:v>
      </x:c>
      <x:c r="F6093" s="33">
        <x:v>1269787700</x:v>
      </x:c>
      <x:c r="G6093" s="32" t="n">
        <x:f t="shared" ref="G6093:G6156" si="276">AVERAGE(E5894:E6093)</x:f>
        <x:v>1350.8296000000003</x:v>
      </x:c>
      <x:c r="H6093" s="37" t="n">
        <x:f t="shared" ref="H6093:H6156" si="277">IFERROR(E6093/G6093-1,"")</x:f>
        <x:v>0.2272088204167273</x:v>
      </x:c>
      <x:c r="I6093" s="38" t="b">
        <x:f t="shared" ref="I6093:I6156" si="278">E6093&lt;G6093</x:f>
        <x:v>0</x:v>
      </x:c>
    </x:row>
    <x:row r="6094">
      <x:c r="A6094" s="31">
        <x:v>45912</x:v>
      </x:c>
      <x:c r="B6094" s="32">
        <x:v>1662.02</x:v>
      </x:c>
      <x:c r="C6094" s="32">
        <x:v>1670.62</x:v>
      </x:c>
      <x:c r="D6094" s="32">
        <x:v>1653.79</x:v>
      </x:c>
      <x:c r="E6094" s="32">
        <x:v>1667.26</x:v>
      </x:c>
      <x:c r="F6094" s="33">
        <x:v>1084202800</x:v>
      </x:c>
      <x:c r="G6094" s="32" t="n">
        <x:f t="shared" si="276">AVERAGE(E5895:E6094)</x:f>
        <x:v>1353.1401500000002</x:v>
      </x:c>
      <x:c r="H6094" s="37" t="n">
        <x:f t="shared" si="277">IFERROR(E6094/G6094-1,"")</x:f>
        <x:v>0.2321414008741074</x:v>
      </x:c>
      <x:c r="I6094" s="38" t="b">
        <x:f t="shared" si="278">E6094&lt;G6094</x:f>
        <x:v>0</x:v>
      </x:c>
    </x:row>
    <x:row r="6095">
      <x:c r="A6095" s="31">
        <x:v>45915</x:v>
      </x:c>
      <x:c r="B6095" s="32">
        <x:v>1672.59</x:v>
      </x:c>
      <x:c r="C6095" s="32">
        <x:v>1684.9</x:v>
      </x:c>
      <x:c r="D6095" s="32">
        <x:v>1668.09</x:v>
      </x:c>
      <x:c r="E6095" s="32">
        <x:v>1684.9</x:v>
      </x:c>
      <x:c r="F6095" s="33">
        <x:v>1181358200</x:v>
      </x:c>
      <x:c r="G6095" s="32" t="n">
        <x:f t="shared" si="276">AVERAGE(E5896:E6095)</x:f>
        <x:v>1355.4819500000003</x:v>
      </x:c>
      <x:c r="H6095" s="37" t="n">
        <x:f t="shared" si="277">IFERROR(E6095/G6095-1,"")</x:f>
        <x:v>0.24302651171415435</x:v>
      </x:c>
      <x:c r="I6095" s="38" t="b">
        <x:f t="shared" si="278">E6095&lt;G6095</x:f>
        <x:v>0</x:v>
      </x:c>
    </x:row>
    <x:row r="6096">
      <x:c r="A6096" s="31">
        <x:v>45916</x:v>
      </x:c>
      <x:c r="B6096" s="32">
        <x:v>1696.87</x:v>
      </x:c>
      <x:c r="C6096" s="32">
        <x:v>1696.87</x:v>
      </x:c>
      <x:c r="D6096" s="32">
        <x:v>1677.03</x:v>
      </x:c>
      <x:c r="E6096" s="32">
        <x:v>1680.9</x:v>
      </x:c>
      <x:c r="F6096" s="33">
        <x:v>1319212900</x:v>
      </x:c>
      <x:c r="G6096" s="32" t="n">
        <x:f t="shared" si="276">AVERAGE(E5897:E6096)</x:f>
        <x:v>1357.7448000000002</x:v>
      </x:c>
      <x:c r="H6096" s="37" t="n">
        <x:f t="shared" si="277">IFERROR(E6096/G6096-1,"")</x:f>
        <x:v>0.23800879222663918</x:v>
      </x:c>
      <x:c r="I6096" s="38" t="b">
        <x:f t="shared" si="278">E6096&lt;G6096</x:f>
        <x:v>0</x:v>
      </x:c>
    </x:row>
    <x:row r="6097">
      <x:c r="A6097" s="31">
        <x:v>45917</x:v>
      </x:c>
      <x:c r="B6097" s="32">
        <x:v>1678.26</x:v>
      </x:c>
      <x:c r="C6097" s="32">
        <x:v>1684.62</x:v>
      </x:c>
      <x:c r="D6097" s="32">
        <x:v>1670.97</x:v>
      </x:c>
      <x:c r="E6097" s="32">
        <x:v>1670.97</x:v>
      </x:c>
      <x:c r="F6097" s="33">
        <x:v>1049373300</x:v>
      </x:c>
      <x:c r="G6097" s="32" t="n">
        <x:f t="shared" si="276">AVERAGE(E5898:E6097)</x:f>
        <x:v>1359.9591500000001</x:v>
      </x:c>
      <x:c r="H6097" s="37" t="n">
        <x:f t="shared" si="277">IFERROR(E6097/G6097-1,"")</x:f>
        <x:v>0.22869131767671091</x:v>
      </x:c>
      <x:c r="I6097" s="38" t="b">
        <x:f t="shared" si="278">E6097&lt;G6097</x:f>
        <x:v>0</x:v>
      </x:c>
    </x:row>
    <x:row r="6098">
      <x:c r="A6098" s="31">
        <x:v>45918</x:v>
      </x:c>
      <x:c r="B6098" s="32">
        <x:v>1675.85</x:v>
      </x:c>
      <x:c r="C6098" s="32">
        <x:v>1679.63</x:v>
      </x:c>
      <x:c r="D6098" s="32">
        <x:v>1654.32</x:v>
      </x:c>
      <x:c r="E6098" s="32">
        <x:v>1665.18</x:v>
      </x:c>
      <x:c r="F6098" s="33">
        <x:v>928464500</x:v>
      </x:c>
      <x:c r="G6098" s="32" t="n">
        <x:f t="shared" si="276">AVERAGE(E5899:E6098)</x:f>
        <x:v>1362.1115500000003</x:v>
      </x:c>
      <x:c r="H6098" s="37" t="n">
        <x:f t="shared" si="277">IFERROR(E6098/G6098-1,"")</x:f>
        <x:v>0.22249899430042985</x:v>
      </x:c>
      <x:c r="I6098" s="38" t="b">
        <x:f t="shared" si="278">E6098&lt;G6098</x:f>
        <x:v>0</x:v>
      </x:c>
    </x:row>
    <x:row r="6099">
      <x:c r="A6099" s="31">
        <x:v>45919</x:v>
      </x:c>
      <x:c r="B6099" s="32">
        <x:v>1671.24</x:v>
      </x:c>
      <x:c r="C6099" s="32">
        <x:v>1671.77</x:v>
      </x:c>
      <x:c r="D6099" s="32">
        <x:v>1641.19</x:v>
      </x:c>
      <x:c r="E6099" s="32">
        <x:v>1658.62</x:v>
      </x:c>
      <x:c r="F6099" s="33">
        <x:v>913867700</x:v>
      </x:c>
      <x:c r="G6099" s="32" t="n">
        <x:f t="shared" si="276">AVERAGE(E5900:E6099)</x:f>
        <x:v>1364.1940000000002</x:v>
      </x:c>
      <x:c r="H6099" s="37" t="n">
        <x:f t="shared" si="277">IFERROR(E6099/G6099-1,"")</x:f>
        <x:v>0.21582414231406943</x:v>
      </x:c>
      <x:c r="I6099" s="38" t="b">
        <x:f t="shared" si="278">E6099&lt;G6099</x:f>
        <x:v>0</x:v>
      </x:c>
    </x:row>
    <x:row r="6100">
      <x:c r="A6100" s="31">
        <x:v>45922</x:v>
      </x:c>
      <x:c r="B6100" s="32">
        <x:v>1656.66</x:v>
      </x:c>
      <x:c r="C6100" s="32">
        <x:v>1659.13</x:v>
      </x:c>
      <x:c r="D6100" s="32">
        <x:v>1616.02</x:v>
      </x:c>
      <x:c r="E6100" s="32">
        <x:v>1634.45</x:v>
      </x:c>
      <x:c r="F6100" s="33">
        <x:v>1197739500</x:v>
      </x:c>
      <x:c r="G6100" s="32" t="n">
        <x:f t="shared" si="276">AVERAGE(E5901:E6100)</x:f>
        <x:v>1366.1564</x:v>
      </x:c>
      <x:c r="H6100" s="37" t="n">
        <x:f t="shared" si="277">IFERROR(E6100/G6100-1,"")</x:f>
        <x:v>0.19638571396364268</x:v>
      </x:c>
      <x:c r="I6100" s="38" t="b">
        <x:f t="shared" si="278">E6100&lt;G6100</x:f>
        <x:v>0</x:v>
      </x:c>
    </x:row>
    <x:row r="6101">
      <x:c r="A6101" s="31">
        <x:v>45923</x:v>
      </x:c>
      <x:c r="B6101" s="32">
        <x:v>1635.12</x:v>
      </x:c>
      <x:c r="C6101" s="32">
        <x:v>1643.59</x:v>
      </x:c>
      <x:c r="D6101" s="32">
        <x:v>1627.58</x:v>
      </x:c>
      <x:c r="E6101" s="32">
        <x:v>1635.26</x:v>
      </x:c>
      <x:c r="F6101" s="33">
        <x:v>712274300</x:v>
      </x:c>
      <x:c r="G6101" s="32" t="n">
        <x:f t="shared" si="276">AVERAGE(E5902:E6101)</x:f>
        <x:v>1368.1221500000001</x:v>
      </x:c>
      <x:c r="H6101" s="37" t="n">
        <x:f t="shared" si="277">IFERROR(E6101/G6101-1,"")</x:f>
        <x:v>0.1952587713019629</x:v>
      </x:c>
      <x:c r="I6101" s="38" t="b">
        <x:f t="shared" si="278">E6101&lt;G6101</x:f>
        <x:v>0</x:v>
      </x:c>
    </x:row>
    <x:row r="6102">
      <x:c r="A6102" s="31">
        <x:v>45924</x:v>
      </x:c>
      <x:c r="B6102" s="32">
        <x:v>1635.36</x:v>
      </x:c>
      <x:c r="C6102" s="32">
        <x:v>1657.46</x:v>
      </x:c>
      <x:c r="D6102" s="32">
        <x:v>1619.09</x:v>
      </x:c>
      <x:c r="E6102" s="32">
        <x:v>1657.46</x:v>
      </x:c>
      <x:c r="F6102" s="33">
        <x:v>986625900</x:v>
      </x:c>
      <x:c r="G6102" s="32" t="n">
        <x:f t="shared" si="276">AVERAGE(E5903:E6102)</x:f>
        <x:v>1370.1571500000005</x:v>
      </x:c>
      <x:c r="H6102" s="37" t="n">
        <x:f t="shared" si="277">IFERROR(E6102/G6102-1,"")</x:f>
        <x:v>0.2096860568147234</x:v>
      </x:c>
      <x:c r="I6102" s="38" t="b">
        <x:f t="shared" si="278">E6102&lt;G6102</x:f>
        <x:v>0</x:v>
      </x:c>
    </x:row>
    <x:row r="6103">
      <x:c r="A6103" s="31">
        <x:v>45925</x:v>
      </x:c>
      <x:c r="B6103" s="32">
        <x:v>1661.08</x:v>
      </x:c>
      <x:c r="C6103" s="32">
        <x:v>1668.21</x:v>
      </x:c>
      <x:c r="D6103" s="32">
        <x:v>1654.47</x:v>
      </x:c>
      <x:c r="E6103" s="32">
        <x:v>1666.09</x:v>
      </x:c>
      <x:c r="F6103" s="33">
        <x:v>948519100</x:v>
      </x:c>
      <x:c r="G6103" s="32" t="n">
        <x:f t="shared" si="276">AVERAGE(E5904:E6103)</x:f>
        <x:v>1372.2315500000007</x:v>
      </x:c>
      <x:c r="H6103" s="37" t="n">
        <x:f t="shared" si="277">IFERROR(E6103/G6103-1,"")</x:f>
        <x:v>0.21414640262425033</x:v>
      </x:c>
      <x:c r="I6103" s="38" t="b">
        <x:f t="shared" si="278">E6103&lt;G6103</x:f>
        <x:v>0</x:v>
      </x:c>
    </x:row>
    <x:row r="6104">
      <x:c r="A6104" s="31">
        <x:v>45926</x:v>
      </x:c>
      <x:c r="B6104" s="32">
        <x:v>1666.68</x:v>
      </x:c>
      <x:c r="C6104" s="32">
        <x:v>1671.43</x:v>
      </x:c>
      <x:c r="D6104" s="32">
        <x:v>1657.94</x:v>
      </x:c>
      <x:c r="E6104" s="32">
        <x:v>1660.7</x:v>
      </x:c>
      <x:c r="F6104" s="33">
        <x:v>934559700</x:v>
      </x:c>
      <x:c r="G6104" s="32" t="n">
        <x:f t="shared" si="276">AVERAGE(E5905:E6104)</x:f>
        <x:v>1374.2859000000005</x:v>
      </x:c>
      <x:c r="H6104" s="37" t="n">
        <x:f t="shared" si="277">IFERROR(E6104/G6104-1,"")</x:f>
        <x:v>0.2084094001109953</x:v>
      </x:c>
      <x:c r="I6104" s="38" t="b">
        <x:f t="shared" si="278">E6104&lt;G6104</x:f>
        <x:v>0</x:v>
      </x:c>
    </x:row>
    <x:row r="6105">
      <x:c r="A6105" s="31">
        <x:v>45929</x:v>
      </x:c>
      <x:c r="B6105" s="32">
        <x:v>1659.33</x:v>
      </x:c>
      <x:c r="C6105" s="32">
        <x:v>1674.84</x:v>
      </x:c>
      <x:c r="D6105" s="32">
        <x:v>1655.03</x:v>
      </x:c>
      <x:c r="E6105" s="32">
        <x:v>1666.48</x:v>
      </x:c>
      <x:c r="F6105" s="33">
        <x:v>844672200</x:v>
      </x:c>
      <x:c r="G6105" s="32" t="n">
        <x:f t="shared" si="276">AVERAGE(E5906:E6105)</x:f>
        <x:v>1376.4162500000007</x:v>
      </x:c>
      <x:c r="H6105" s="37" t="n">
        <x:f t="shared" si="277">IFERROR(E6105/G6105-1,"")</x:f>
        <x:v>0.21073839399963434</x:v>
      </x:c>
      <x:c r="I6105" s="38" t="b">
        <x:f t="shared" si="278">E6105&lt;G6105</x:f>
        <x:v>0</x:v>
      </x:c>
    </x:row>
    <x:row r="6106">
      <x:c r="A6106" s="31">
        <x:v>45930</x:v>
      </x:c>
      <x:c r="B6106" s="32">
        <x:v>1667.86</x:v>
      </x:c>
      <x:c r="C6106" s="32">
        <x:v>1676.8</x:v>
      </x:c>
      <x:c r="D6106" s="32">
        <x:v>1645.97</x:v>
      </x:c>
      <x:c r="E6106" s="32">
        <x:v>1661.7</x:v>
      </x:c>
      <x:c r="F6106" s="33">
        <x:v>1111712300</x:v>
      </x:c>
      <x:c r="G6106" s="32" t="n">
        <x:f t="shared" si="276">AVERAGE(E5907:E6106)</x:f>
        <x:v>1378.3871000000006</x:v>
      </x:c>
      <x:c r="H6106" s="37" t="n">
        <x:f t="shared" si="277">IFERROR(E6106/G6106-1,"")</x:f>
        <x:v>0.20553943083187542</x:v>
      </x:c>
      <x:c r="I6106" s="38" t="b">
        <x:f t="shared" si="278">E6106&lt;G6106</x:f>
        <x:v>0</x:v>
      </x:c>
    </x:row>
    <x:row r="6107">
      <x:c r="A6107" s="31">
        <x:v>45931</x:v>
      </x:c>
      <x:c r="B6107" s="32">
        <x:v>1664.95</x:v>
      </x:c>
      <x:c r="C6107" s="32">
        <x:v>1671.07</x:v>
      </x:c>
      <x:c r="D6107" s="32">
        <x:v>1658.81</x:v>
      </x:c>
      <x:c r="E6107" s="32">
        <x:v>1665.05</x:v>
      </x:c>
      <x:c r="F6107" s="33">
        <x:v>719764000</x:v>
      </x:c>
      <x:c r="G6107" s="32" t="n">
        <x:f t="shared" si="276">AVERAGE(E5908:E6107)</x:f>
        <x:v>1380.3616500000003</x:v>
      </x:c>
      <x:c r="H6107" s="37" t="n">
        <x:f t="shared" si="277">IFERROR(E6107/G6107-1,"")</x:f>
        <x:v>0.20624185698001662</x:v>
      </x:c>
      <x:c r="I6107" s="38" t="b">
        <x:f t="shared" si="278">E6107&lt;G6107</x:f>
        <x:v>0</x:v>
      </x:c>
    </x:row>
    <x:row r="6108">
      <x:c r="A6108" s="31">
        <x:v>45932</x:v>
      </x:c>
      <x:c r="B6108" s="32">
        <x:v>1668.04</x:v>
      </x:c>
      <x:c r="C6108" s="32">
        <x:v>1679.73</x:v>
      </x:c>
      <x:c r="D6108" s="32">
        <x:v>1646.82</x:v>
      </x:c>
      <x:c r="E6108" s="32">
        <x:v>1652.71</x:v>
      </x:c>
      <x:c r="F6108" s="33">
        <x:v>785855000</x:v>
      </x:c>
      <x:c r="G6108" s="32" t="n">
        <x:f t="shared" si="276">AVERAGE(E5909:E6108)</x:f>
        <x:v>1382.2560000000003</x:v>
      </x:c>
      <x:c r="H6108" s="37" t="n">
        <x:f t="shared" si="277">IFERROR(E6108/G6108-1,"")</x:f>
        <x:v>0.19566129573682423</x:v>
      </x:c>
      <x:c r="I6108" s="38" t="b">
        <x:f t="shared" si="278">E6108&lt;G6108</x:f>
        <x:v>0</x:v>
      </x:c>
    </x:row>
    <x:row r="6109">
      <x:c r="A6109" s="31">
        <x:v>45933</x:v>
      </x:c>
      <x:c r="B6109" s="32">
        <x:v>1652.39</x:v>
      </x:c>
      <x:c r="C6109" s="32">
        <x:v>1654.6</x:v>
      </x:c>
      <x:c r="D6109" s="32">
        <x:v>1638.6</x:v>
      </x:c>
      <x:c r="E6109" s="32">
        <x:v>1645.82</x:v>
      </x:c>
      <x:c r="F6109" s="33">
        <x:v>871224900</x:v>
      </x:c>
      <x:c r="G6109" s="32" t="n">
        <x:f t="shared" si="276">AVERAGE(E5910:E6109)</x:f>
        <x:v>1384.1247500000004</x:v>
      </x:c>
      <x:c r="H6109" s="37" t="n">
        <x:f t="shared" si="277">IFERROR(E6109/G6109-1,"")</x:f>
        <x:v>0.18906912111787566</x:v>
      </x:c>
      <x:c r="I6109" s="38" t="b">
        <x:f t="shared" si="278">E6109&lt;G6109</x:f>
        <x:v>0</x:v>
      </x:c>
    </x:row>
    <x:row r="6110">
      <x:c r="A6110" s="31">
        <x:v>45936</x:v>
      </x:c>
      <x:c r="B6110" s="32">
        <x:v>1673.16</x:v>
      </x:c>
      <x:c r="C6110" s="32">
        <x:v>1695.5</x:v>
      </x:c>
      <x:c r="D6110" s="32">
        <x:v>1664.17</x:v>
      </x:c>
      <x:c r="E6110" s="32">
        <x:v>1695.5</x:v>
      </x:c>
      <x:c r="F6110" s="33">
        <x:v>1060007800</x:v>
      </x:c>
      <x:c r="G6110" s="32" t="n">
        <x:f t="shared" si="276">AVERAGE(E5911:E6110)</x:f>
        <x:v>1386.2579500000004</x:v>
      </x:c>
      <x:c r="H6110" s="37" t="n">
        <x:f t="shared" si="277">IFERROR(E6110/G6110-1,"")</x:f>
        <x:v>0.2230768451138545</x:v>
      </x:c>
      <x:c r="I6110" s="38" t="b">
        <x:f t="shared" si="278">E6110&lt;G6110</x:f>
        <x:v>0</x:v>
      </x:c>
    </x:row>
    <x:row r="6111">
      <x:c r="A6111" s="31">
        <x:v>45937</x:v>
      </x:c>
      <x:c r="B6111" s="32">
        <x:v>1703.9</x:v>
      </x:c>
      <x:c r="C6111" s="32">
        <x:v>1703.9</x:v>
      </x:c>
      <x:c r="D6111" s="32">
        <x:v>1685.3</x:v>
      </x:c>
      <x:c r="E6111" s="32">
        <x:v>1685.3</x:v>
      </x:c>
      <x:c r="F6111" s="33">
        <x:v>851125700</x:v>
      </x:c>
      <x:c r="G6111" s="32" t="n">
        <x:f t="shared" si="276">AVERAGE(E5912:E6111)</x:f>
        <x:v>1388.3477000000003</x:v>
      </x:c>
      <x:c r="H6111" s="37" t="n">
        <x:f t="shared" si="277">IFERROR(E6111/G6111-1,"")</x:f>
        <x:v>0.21388899913184556</x:v>
      </x:c>
      <x:c r="I6111" s="38" t="b">
        <x:f t="shared" si="278">E6111&lt;G6111</x:f>
        <x:v>0</x:v>
      </x:c>
    </x:row>
    <x:row r="6112">
      <x:c r="A6112" s="31">
        <x:v>45938</x:v>
      </x:c>
      <x:c r="B6112" s="32">
        <x:v>1701.06</x:v>
      </x:c>
      <x:c r="C6112" s="32">
        <x:v>1704.42</x:v>
      </x:c>
      <x:c r="D6112" s="32">
        <x:v>1680.87</x:v>
      </x:c>
      <x:c r="E6112" s="32">
        <x:v>1697.83</x:v>
      </x:c>
      <x:c r="F6112" s="33">
        <x:v>1073470600</x:v>
      </x:c>
      <x:c r="G6112" s="32" t="n">
        <x:f t="shared" si="276">AVERAGE(E5913:E6112)</x:f>
        <x:v>1390.5240000000003</x:v>
      </x:c>
      <x:c r="H6112" s="37" t="n">
        <x:f t="shared" si="277">IFERROR(E6112/G6112-1,"")</x:f>
        <x:v>0.22100014095405718</x:v>
      </x:c>
      <x:c r="I6112" s="38" t="b">
        <x:f t="shared" si="278">E6112&lt;G6112</x:f>
        <x:v>0</x:v>
      </x:c>
    </x:row>
    <x:row r="6113">
      <x:c r="A6113" s="31">
        <x:v>45939</x:v>
      </x:c>
      <x:c r="B6113" s="32">
        <x:v>1702.76</x:v>
      </x:c>
      <x:c r="C6113" s="32">
        <x:v>1717.65</x:v>
      </x:c>
      <x:c r="D6113" s="32">
        <x:v>1699.17</x:v>
      </x:c>
      <x:c r="E6113" s="32">
        <x:v>1716.47</x:v>
      </x:c>
      <x:c r="F6113" s="33">
        <x:v>1100903600</x:v>
      </x:c>
      <x:c r="G6113" s="32" t="n">
        <x:f t="shared" si="276">AVERAGE(E5914:E6113)</x:f>
        <x:v>1392.7874</x:v>
      </x:c>
      <x:c r="H6113" s="37" t="n">
        <x:f t="shared" si="277">IFERROR(E6113/G6113-1,"")</x:f>
        <x:v>0.2323991443345912</x:v>
      </x:c>
      <x:c r="I6113" s="38" t="b">
        <x:f t="shared" si="278">E6113&lt;G6113</x:f>
        <x:v>0</x:v>
      </x:c>
    </x:row>
    <x:row r="6114">
      <x:c r="A6114" s="31">
        <x:v>45940</x:v>
      </x:c>
      <x:c r="B6114" s="32">
        <x:v>1725.27</x:v>
      </x:c>
      <x:c r="C6114" s="32">
        <x:v>1747.61</x:v>
      </x:c>
      <x:c r="D6114" s="32">
        <x:v>1721.76</x:v>
      </x:c>
      <x:c r="E6114" s="32">
        <x:v>1747.55</x:v>
      </x:c>
      <x:c r="F6114" s="33">
        <x:v>1053875500</x:v>
      </x:c>
      <x:c r="G6114" s="32" t="n">
        <x:f t="shared" si="276">AVERAGE(E5915:E6114)</x:f>
        <x:v>1395.21655</x:v>
      </x:c>
      <x:c r="H6114" s="37" t="n">
        <x:f t="shared" si="277">IFERROR(E6114/G6114-1,"")</x:f>
        <x:v>0.25252958044398177</x:v>
      </x:c>
      <x:c r="I6114" s="38" t="b">
        <x:f t="shared" si="278">E6114&lt;G6114</x:f>
        <x:v>0</x:v>
      </x:c>
    </x:row>
    <x:row r="6115">
      <x:c r="A6115" s="31">
        <x:v>45943</x:v>
      </x:c>
      <x:c r="B6115" s="32">
        <x:v>1738.23</x:v>
      </x:c>
      <x:c r="C6115" s="32">
        <x:v>1766.77</x:v>
      </x:c>
      <x:c r="D6115" s="32">
        <x:v>1736.03</x:v>
      </x:c>
      <x:c r="E6115" s="32">
        <x:v>1765.12</x:v>
      </x:c>
      <x:c r="F6115" s="33">
        <x:v>1295266300</x:v>
      </x:c>
      <x:c r="G6115" s="32" t="n">
        <x:f t="shared" si="276">AVERAGE(E5916:E6115)</x:f>
        <x:v>1397.71215</x:v>
      </x:c>
      <x:c r="H6115" s="37" t="n">
        <x:f t="shared" si="277">IFERROR(E6115/G6115-1,"")</x:f>
        <x:v>0.26286374487050135</x:v>
      </x:c>
      <x:c r="I6115" s="38" t="b">
        <x:f t="shared" si="278">E6115&lt;G6115</x:f>
        <x:v>0</x:v>
      </x:c>
    </x:row>
    <x:row r="6116">
      <x:c r="A6116" s="31">
        <x:v>45944</x:v>
      </x:c>
      <x:c r="B6116" s="32">
        <x:v>1782.97</x:v>
      </x:c>
      <x:c r="C6116" s="32">
        <x:v>1794.58</x:v>
      </x:c>
      <x:c r="D6116" s="32">
        <x:v>1753.25</x:v>
      </x:c>
      <x:c r="E6116" s="32">
        <x:v>1761.06</x:v>
      </x:c>
      <x:c r="F6116" s="33">
        <x:v>1569005100</x:v>
      </x:c>
      <x:c r="G6116" s="32" t="n">
        <x:f t="shared" si="276">AVERAGE(E5917:E6116)</x:f>
        <x:v>1400.2441000000001</x:v>
      </x:c>
      <x:c r="H6116" s="37" t="n">
        <x:f t="shared" si="277">IFERROR(E6116/G6116-1,"")</x:f>
        <x:v>0.2576807143840134</x:v>
      </x:c>
      <x:c r="I6116" s="38" t="b">
        <x:f t="shared" si="278">E6116&lt;G6116</x:f>
        <x:v>0</x:v>
      </x:c>
    </x:row>
    <x:row r="6117">
      <x:c r="A6117" s="31">
        <x:v>45945</x:v>
      </x:c>
      <x:c r="B6117" s="32">
        <x:v>1766.12</x:v>
      </x:c>
      <x:c r="C6117" s="32">
        <x:v>1773.73</x:v>
      </x:c>
      <x:c r="D6117" s="32">
        <x:v>1754.89</x:v>
      </x:c>
      <x:c r="E6117" s="32">
        <x:v>1757.95</x:v>
      </x:c>
      <x:c r="F6117" s="33">
        <x:v>1157457100</x:v>
      </x:c>
      <x:c r="G6117" s="32" t="n">
        <x:f t="shared" si="276">AVERAGE(E5918:E6117)</x:f>
        <x:v>1402.7463500000001</x:v>
      </x:c>
      <x:c r="H6117" s="37" t="n">
        <x:f t="shared" si="277">IFERROR(E6117/G6117-1,"")</x:f>
        <x:v>0.25322015630267014</x:v>
      </x:c>
      <x:c r="I6117" s="38" t="b">
        <x:f t="shared" si="278">E6117&lt;G6117</x:f>
        <x:v>0</x:v>
      </x:c>
    </x:row>
    <x:row r="6118">
      <x:c r="A6118" s="31">
        <x:v>45946</x:v>
      </x:c>
      <x:c r="B6118" s="32">
        <x:v>1764.51</x:v>
      </x:c>
      <x:c r="C6118" s="32">
        <x:v>1768.51</x:v>
      </x:c>
      <x:c r="D6118" s="32">
        <x:v>1753.5</x:v>
      </x:c>
      <x:c r="E6118" s="32">
        <x:v>1766.85</x:v>
      </x:c>
      <x:c r="F6118" s="33">
        <x:v>1148794000</x:v>
      </x:c>
      <x:c r="G6118" s="32" t="n">
        <x:f t="shared" si="276">AVERAGE(E5919:E6118)</x:f>
        <x:v>1405.2668000000003</x:v>
      </x:c>
      <x:c r="H6118" s="37" t="n">
        <x:f t="shared" si="277">IFERROR(E6118/G6118-1,"")</x:f>
        <x:v>0.25730573012896873</x:v>
      </x:c>
      <x:c r="I6118" s="38" t="b">
        <x:f t="shared" si="278">E6118&lt;G6118</x:f>
        <x:v>0</x:v>
      </x:c>
    </x:row>
    <x:row r="6119">
      <x:c r="A6119" s="31">
        <x:v>45947</x:v>
      </x:c>
      <x:c r="B6119" s="32">
        <x:v>1773.17</x:v>
      </x:c>
      <x:c r="C6119" s="32">
        <x:v>1773.17</x:v>
      </x:c>
      <x:c r="D6119" s="32">
        <x:v>1725.1</x:v>
      </x:c>
      <x:c r="E6119" s="32">
        <x:v>1731.19</x:v>
      </x:c>
      <x:c r="F6119" s="33">
        <x:v>1280333000</x:v>
      </x:c>
      <x:c r="G6119" s="32" t="n">
        <x:f t="shared" si="276">AVERAGE(E5920:E6119)</x:f>
        <x:v>1407.62095</x:v>
      </x:c>
      <x:c r="H6119" s="37" t="n">
        <x:f t="shared" si="277">IFERROR(E6119/G6119-1,"")</x:f>
        <x:v>0.2298694474531655</x:v>
      </x:c>
      <x:c r="I6119" s="38" t="b">
        <x:f t="shared" si="278">E6119&lt;G6119</x:f>
        <x:v>0</x:v>
      </x:c>
    </x:row>
    <x:row r="6120">
      <x:c r="A6120" s="31">
        <x:v>45950</x:v>
      </x:c>
      <x:c r="B6120" s="32">
        <x:v>1723.59</x:v>
      </x:c>
      <x:c r="C6120" s="32">
        <x:v>1727.11</x:v>
      </x:c>
      <x:c r="D6120" s="32">
        <x:v>1636.43</x:v>
      </x:c>
      <x:c r="E6120" s="32">
        <x:v>1636.43</x:v>
      </x:c>
      <x:c r="F6120" s="33">
        <x:v>1702945200</x:v>
      </x:c>
      <x:c r="G6120" s="32" t="n">
        <x:f t="shared" si="276">AVERAGE(E5921:E6120)</x:f>
        <x:v>1409.4329</x:v>
      </x:c>
      <x:c r="H6120" s="37" t="n">
        <x:f t="shared" si="277">IFERROR(E6120/G6120-1,"")</x:f>
        <x:v>0.1610556274087258</x:v>
      </x:c>
      <x:c r="I6120" s="38" t="b">
        <x:f t="shared" si="278">E6120&lt;G6120</x:f>
        <x:v>0</x:v>
      </x:c>
    </x:row>
    <x:row r="6121">
      <x:c r="A6121" s="31">
        <x:v>45951</x:v>
      </x:c>
      <x:c r="B6121" s="32">
        <x:v>1640.8</x:v>
      </x:c>
      <x:c r="C6121" s="32">
        <x:v>1677.11</x:v>
      </x:c>
      <x:c r="D6121" s="32">
        <x:v>1622.37</x:v>
      </x:c>
      <x:c r="E6121" s="32">
        <x:v>1663.43</x:v>
      </x:c>
      <x:c r="F6121" s="33">
        <x:v>1621883900</x:v>
      </x:c>
      <x:c r="G6121" s="32" t="n">
        <x:f t="shared" si="276">AVERAGE(E5922:E6121)</x:f>
        <x:v>1411.3857</x:v>
      </x:c>
      <x:c r="H6121" s="37" t="n">
        <x:f t="shared" si="277">IFERROR(E6121/G6121-1,"")</x:f>
        <x:v>0.1785793210176354</x:v>
      </x:c>
      <x:c r="I6121" s="38" t="b">
        <x:f t="shared" si="278">E6121&lt;G6121</x:f>
        <x:v>0</x:v>
      </x:c>
    </x:row>
    <x:row r="6122">
      <x:c r="A6122" s="31">
        <x:v>45952</x:v>
      </x:c>
      <x:c r="B6122" s="32">
        <x:v>1678.82</x:v>
      </x:c>
      <x:c r="C6122" s="32">
        <x:v>1678.82</x:v>
      </x:c>
      <x:c r="D6122" s="32">
        <x:v>1628.37</x:v>
      </x:c>
      <x:c r="E6122" s="32">
        <x:v>1678.5</x:v>
      </x:c>
      <x:c r="F6122" s="33">
        <x:v>955184200</x:v>
      </x:c>
      <x:c r="G6122" s="32" t="n">
        <x:f t="shared" si="276">AVERAGE(E5923:E6122)</x:f>
        <x:v>1413.4025</x:v>
      </x:c>
      <x:c r="H6122" s="37" t="n">
        <x:f t="shared" si="277">IFERROR(E6122/G6122-1,"")</x:f>
        <x:v>0.18755980691982654</x:v>
      </x:c>
      <x:c r="I6122" s="38" t="b">
        <x:f t="shared" si="278">E6122&lt;G6122</x:f>
        <x:v>0</x:v>
      </x:c>
    </x:row>
    <x:row r="6123">
      <x:c r="A6123" s="31">
        <x:v>45953</x:v>
      </x:c>
      <x:c r="B6123" s="32">
        <x:v>1680.73</x:v>
      </x:c>
      <x:c r="C6123" s="32">
        <x:v>1698.01</x:v>
      </x:c>
      <x:c r="D6123" s="32">
        <x:v>1669.78</x:v>
      </x:c>
      <x:c r="E6123" s="32">
        <x:v>1687.06</x:v>
      </x:c>
      <x:c r="F6123" s="33">
        <x:v>743429400</x:v>
      </x:c>
      <x:c r="G6123" s="32" t="n">
        <x:f t="shared" si="276">AVERAGE(E5924:E6123)</x:f>
        <x:v>1415.4777000000001</x:v>
      </x:c>
      <x:c r="H6123" s="37" t="n">
        <x:f t="shared" si="277">IFERROR(E6123/G6123-1,"")</x:f>
        <x:v>0.19186618058341698</x:v>
      </x:c>
      <x:c r="I6123" s="38" t="b">
        <x:f t="shared" si="278">E6123&lt;G6123</x:f>
        <x:v>0</x:v>
      </x:c>
    </x:row>
    <x:row r="6124">
      <x:c r="A6124" s="31">
        <x:v>45954</x:v>
      </x:c>
      <x:c r="B6124" s="32">
        <x:v>1684.88</x:v>
      </x:c>
      <x:c r="C6124" s="32">
        <x:v>1691.69</x:v>
      </x:c>
      <x:c r="D6124" s="32">
        <x:v>1660.32</x:v>
      </x:c>
      <x:c r="E6124" s="32">
        <x:v>1683.18</x:v>
      </x:c>
      <x:c r="F6124" s="33">
        <x:v>961211500</x:v>
      </x:c>
      <x:c r="G6124" s="32" t="n">
        <x:f t="shared" si="276">AVERAGE(E5925:E6124)</x:f>
        <x:v>1417.5596999999998</x:v>
      </x:c>
      <x:c r="H6124" s="37" t="n">
        <x:f t="shared" si="277">IFERROR(E6124/G6124-1,"")</x:f>
        <x:v>0.1873785633155347</x:v>
      </x:c>
      <x:c r="I6124" s="38" t="b">
        <x:f t="shared" si="278">E6124&lt;G6124</x:f>
        <x:v>0</x:v>
      </x:c>
    </x:row>
    <x:row r="6125">
      <x:c r="A6125" s="31">
        <x:v>45957</x:v>
      </x:c>
      <x:c r="B6125" s="32">
        <x:v>1696.45</x:v>
      </x:c>
      <x:c r="C6125" s="32">
        <x:v>1697.16</x:v>
      </x:c>
      <x:c r="D6125" s="32">
        <x:v>1652.54</x:v>
      </x:c>
      <x:c r="E6125" s="32">
        <x:v>1652.54</x:v>
      </x:c>
      <x:c r="F6125" s="33">
        <x:v>947925600</x:v>
      </x:c>
      <x:c r="G6125" s="32" t="n">
        <x:f t="shared" si="276">AVERAGE(E5926:E6125)</x:f>
        <x:v>1419.4738499999994</x:v>
      </x:c>
      <x:c r="H6125" s="37" t="n">
        <x:f t="shared" si="277">IFERROR(E6125/G6125-1,"")</x:f>
        <x:v>0.16419192928422088</x:v>
      </x:c>
      <x:c r="I6125" s="38" t="b">
        <x:f t="shared" si="278">E6125&lt;G6125</x:f>
        <x:v>0</x:v>
      </x:c>
    </x:row>
    <x:row r="6126">
      <x:c r="A6126" s="31">
        <x:v>45958</x:v>
      </x:c>
      <x:c r="B6126" s="32">
        <x:v>1647.73</x:v>
      </x:c>
      <x:c r="C6126" s="32">
        <x:v>1680.5</x:v>
      </x:c>
      <x:c r="D6126" s="32">
        <x:v>1621.52</x:v>
      </x:c>
      <x:c r="E6126" s="32">
        <x:v>1680.5</x:v>
      </x:c>
      <x:c r="F6126" s="33">
        <x:v>924013400</x:v>
      </x:c>
      <x:c r="G6126" s="32" t="n">
        <x:f t="shared" si="276">AVERAGE(E5927:E6126)</x:f>
        <x:v>1421.6033999999997</x:v>
      </x:c>
      <x:c r="H6126" s="37" t="n">
        <x:f t="shared" si="277">IFERROR(E6126/G6126-1,"")</x:f>
        <x:v>0.18211591221574186</x:v>
      </x:c>
      <x:c r="I6126" s="38" t="b">
        <x:f t="shared" si="278">E6126&lt;G6126</x:f>
        <x:v>0</x:v>
      </x:c>
    </x:row>
    <x:row r="6127">
      <x:c r="A6127" s="31">
        <x:v>45959</x:v>
      </x:c>
      <x:c r="B6127" s="32">
        <x:v>1685.9</x:v>
      </x:c>
      <x:c r="C6127" s="32">
        <x:v>1695.99</x:v>
      </x:c>
      <x:c r="D6127" s="32">
        <x:v>1672</x:v>
      </x:c>
      <x:c r="E6127" s="32">
        <x:v>1685.83</x:v>
      </x:c>
      <x:c r="F6127" s="33">
        <x:v>864490400</x:v>
      </x:c>
      <x:c r="G6127" s="32" t="n">
        <x:f t="shared" si="276">AVERAGE(E5928:E6127)</x:f>
        <x:v>1423.8008</x:v>
      </x:c>
      <x:c r="H6127" s="37" t="n">
        <x:f t="shared" si="277">IFERROR(E6127/G6127-1,"")</x:f>
        <x:v>0.18403501388677412</x:v>
      </x:c>
      <x:c r="I6127" s="38" t="b">
        <x:f t="shared" si="278">E6127&lt;G6127</x:f>
        <x:v>0</x:v>
      </x:c>
    </x:row>
    <x:row r="6128">
      <x:c r="A6128" s="31">
        <x:v>45960</x:v>
      </x:c>
      <x:c r="B6128" s="32">
        <x:v>1688.83</x:v>
      </x:c>
      <x:c r="C6128" s="32">
        <x:v>1690.69</x:v>
      </x:c>
      <x:c r="D6128" s="32">
        <x:v>1661.48</x:v>
      </x:c>
      <x:c r="E6128" s="32">
        <x:v>1669.57</x:v>
      </x:c>
      <x:c r="F6128" s="33">
        <x:v>804089700</x:v>
      </x:c>
      <x:c r="G6128" s="32" t="n">
        <x:f t="shared" si="276">AVERAGE(E5929:E6128)</x:f>
        <x:v>1425.9047500000001</x:v>
      </x:c>
      <x:c r="H6128" s="37" t="n">
        <x:f t="shared" si="277">IFERROR(E6128/G6128-1,"")</x:f>
        <x:v>0.17088466112480494</x:v>
      </x:c>
      <x:c r="I6128" s="38" t="b">
        <x:f t="shared" si="278">E6128&lt;G6128</x:f>
        <x:v>0</x:v>
      </x:c>
    </x:row>
    <x:row r="6129">
      <x:c r="A6129" s="31">
        <x:v>45961</x:v>
      </x:c>
      <x:c r="B6129" s="32">
        <x:v>1669.61</x:v>
      </x:c>
      <x:c r="C6129" s="32">
        <x:v>1669.61</x:v>
      </x:c>
      <x:c r="D6129" s="32">
        <x:v>1626.86</x:v>
      </x:c>
      <x:c r="E6129" s="32">
        <x:v>1639.65</x:v>
      </x:c>
      <x:c r="F6129" s="33">
        <x:v>814596600</x:v>
      </x:c>
      <x:c r="G6129" s="32" t="n">
        <x:f t="shared" si="276">AVERAGE(E5930:E6129)</x:f>
        <x:v>1427.8479</x:v>
      </x:c>
      <x:c r="H6129" s="37" t="n">
        <x:f t="shared" si="277">IFERROR(E6129/G6129-1,"")</x:f>
        <x:v>0.14833659803680788</x:v>
      </x:c>
      <x:c r="I6129" s="38" t="b">
        <x:f t="shared" si="278">E6129&lt;G6129</x:f>
        <x:v>0</x:v>
      </x:c>
    </x:row>
    <x:row r="6130">
      <x:c r="A6130" s="31">
        <x:v>45964</x:v>
      </x:c>
      <x:c r="B6130" s="32">
        <x:v>1644.56</x:v>
      </x:c>
      <x:c r="C6130" s="32">
        <x:v>1652.48</x:v>
      </x:c>
      <x:c r="D6130" s="32">
        <x:v>1617</x:v>
      </x:c>
      <x:c r="E6130" s="32">
        <x:v>1617</x:v>
      </x:c>
      <x:c r="F6130" s="33">
        <x:v>1009678000</x:v>
      </x:c>
      <x:c r="G6130" s="32" t="n">
        <x:f t="shared" si="276">AVERAGE(E5931:E6130)</x:f>
        <x:v>1429.70405</x:v>
      </x:c>
      <x:c r="H6130" s="37" t="n">
        <x:f t="shared" si="277">IFERROR(E6130/G6130-1,"")</x:f>
        <x:v>0.1310033009978533</x:v>
      </x:c>
      <x:c r="I6130" s="38" t="b">
        <x:f t="shared" si="278">E6130&lt;G6130</x:f>
        <x:v>0</x:v>
      </x:c>
    </x:row>
    <x:row r="6131">
      <x:c r="A6131" s="31">
        <x:v>45965</x:v>
      </x:c>
      <x:c r="B6131" s="32">
        <x:v>1618.02</x:v>
      </x:c>
      <x:c r="C6131" s="32">
        <x:v>1658.93</x:v>
      </x:c>
      <x:c r="D6131" s="32">
        <x:v>1600.56</x:v>
      </x:c>
      <x:c r="E6131" s="32">
        <x:v>1651.98</x:v>
      </x:c>
      <x:c r="F6131" s="33">
        <x:v>1180329200</x:v>
      </x:c>
      <x:c r="G6131" s="32" t="n">
        <x:f t="shared" si="276">AVERAGE(E5932:E6131)</x:f>
        <x:v>1431.81155</x:v>
      </x:c>
      <x:c r="H6131" s="37" t="n">
        <x:f t="shared" si="277">IFERROR(E6131/G6131-1,"")</x:f>
        <x:v>0.15376915348950781</x:v>
      </x:c>
      <x:c r="I6131" s="38" t="b">
        <x:f t="shared" si="278">E6131&lt;G6131</x:f>
        <x:v>0</x:v>
      </x:c>
    </x:row>
    <x:row r="6132">
      <x:c r="A6132" s="31">
        <x:v>45966</x:v>
      </x:c>
      <x:c r="B6132" s="32">
        <x:v>1647.46</x:v>
      </x:c>
      <x:c r="C6132" s="32">
        <x:v>1659.58</x:v>
      </x:c>
      <x:c r="D6132" s="32">
        <x:v>1640.51</x:v>
      </x:c>
      <x:c r="E6132" s="32">
        <x:v>1654.89</x:v>
      </x:c>
      <x:c r="F6132" s="33">
        <x:v>649384200</x:v>
      </x:c>
      <x:c r="G6132" s="32" t="n">
        <x:f t="shared" si="276">AVERAGE(E5933:E6132)</x:f>
        <x:v>1433.9077499999999</x:v>
      </x:c>
      <x:c r="H6132" s="37" t="n">
        <x:f t="shared" si="277">IFERROR(E6132/G6132-1,"")</x:f>
        <x:v>0.1541119015501522</x:v>
      </x:c>
      <x:c r="I6132" s="38" t="b">
        <x:f t="shared" si="278">E6132&lt;G6132</x:f>
        <x:v>0</x:v>
      </x:c>
    </x:row>
    <x:row r="6133">
      <x:c r="A6133" s="31">
        <x:v>45967</x:v>
      </x:c>
      <x:c r="B6133" s="32">
        <x:v>1656.67</x:v>
      </x:c>
      <x:c r="C6133" s="32">
        <x:v>1658.69</x:v>
      </x:c>
      <x:c r="D6133" s="32">
        <x:v>1638.12</x:v>
      </x:c>
      <x:c r="E6133" s="32">
        <x:v>1642.64</x:v>
      </x:c>
      <x:c r="F6133" s="33">
        <x:v>583491600</x:v>
      </x:c>
      <x:c r="G6133" s="32" t="n">
        <x:f t="shared" si="276">AVERAGE(E5934:E6133)</x:f>
        <x:v>1435.9756000000002</x:v>
      </x:c>
      <x:c r="H6133" s="37" t="n">
        <x:f t="shared" si="277">IFERROR(E6133/G6133-1,"")</x:f>
        <x:v>0.14391915851494952</x:v>
      </x:c>
      <x:c r="I6133" s="38" t="b">
        <x:f t="shared" si="278">E6133&lt;G6133</x:f>
        <x:v>0</x:v>
      </x:c>
    </x:row>
    <x:row r="6134">
      <x:c r="A6134" s="31">
        <x:v>45968</x:v>
      </x:c>
      <x:c r="B6134" s="32">
        <x:v>1636.24</x:v>
      </x:c>
      <x:c r="C6134" s="32">
        <x:v>1638.59</x:v>
      </x:c>
      <x:c r="D6134" s="32">
        <x:v>1595.34</x:v>
      </x:c>
      <x:c r="E6134" s="32">
        <x:v>1599.1</x:v>
      </x:c>
      <x:c r="F6134" s="33">
        <x:v>860731800</x:v>
      </x:c>
      <x:c r="G6134" s="32" t="n">
        <x:f t="shared" si="276">AVERAGE(E5935:E6134)</x:f>
        <x:v>1437.7902</x:v>
      </x:c>
      <x:c r="H6134" s="37" t="n">
        <x:f t="shared" si="277">IFERROR(E6134/G6134-1,"")</x:f>
        <x:v>0.11219286374326387</x:v>
      </x:c>
      <x:c r="I6134" s="38" t="b">
        <x:f t="shared" si="278">E6134&lt;G6134</x:f>
        <x:v>0</x:v>
      </x:c>
    </x:row>
    <x:row r="6135">
      <x:c r="A6135" s="31">
        <x:v>45971</x:v>
      </x:c>
      <x:c r="B6135" s="32">
        <x:v>1598.02</x:v>
      </x:c>
      <x:c r="C6135" s="32">
        <x:v>1609.49</x:v>
      </x:c>
      <x:c r="D6135" s="32">
        <x:v>1580.54</x:v>
      </x:c>
      <x:c r="E6135" s="32">
        <x:v>1580.54</x:v>
      </x:c>
      <x:c r="F6135" s="33">
        <x:v>692129400</x:v>
      </x:c>
      <x:c r="G6135" s="32" t="n">
        <x:f t="shared" si="276">AVERAGE(E5936:E6135)</x:f>
        <x:v>1439.4811000000002</x:v>
      </x:c>
      <x:c r="H6135" s="37" t="n">
        <x:f t="shared" si="277">IFERROR(E6135/G6135-1,"")</x:f>
        <x:v>0.09799288090687663</x:v>
      </x:c>
      <x:c r="I6135" s="38" t="b">
        <x:f t="shared" si="278">E6135&lt;G6135</x:f>
        <x:v>0</x:v>
      </x:c>
    </x:row>
    <x:row r="6136">
      <x:c r="A6136" s="31">
        <x:v>45972</x:v>
      </x:c>
      <x:c r="B6136" s="32">
        <x:v>1585.32</x:v>
      </x:c>
      <x:c r="C6136" s="32">
        <x:v>1597.08</x:v>
      </x:c>
      <x:c r="D6136" s="32">
        <x:v>1578.42</x:v>
      </x:c>
      <x:c r="E6136" s="32">
        <x:v>1593.61</x:v>
      </x:c>
      <x:c r="F6136" s="33">
        <x:v>639095600</x:v>
      </x:c>
      <x:c r="G6136" s="32" t="n">
        <x:f t="shared" si="276">AVERAGE(E5937:E6136)</x:f>
        <x:v>1441.2036</x:v>
      </x:c>
      <x:c r="H6136" s="37" t="n">
        <x:f t="shared" si="277">IFERROR(E6136/G6136-1,"")</x:f>
        <x:v>0.10574938891354413</x:v>
      </x:c>
      <x:c r="I6136" s="38" t="b">
        <x:f t="shared" si="278">E6136&lt;G6136</x:f>
        <x:v>0</x:v>
      </x:c>
    </x:row>
    <x:row r="6137">
      <x:c r="A6137" s="31">
        <x:v>45973</x:v>
      </x:c>
      <x:c r="B6137" s="32">
        <x:v>1597.73</x:v>
      </x:c>
      <x:c r="C6137" s="32">
        <x:v>1631.86</x:v>
      </x:c>
      <x:c r="D6137" s="32">
        <x:v>1596.43</x:v>
      </x:c>
      <x:c r="E6137" s="32">
        <x:v>1631.86</x:v>
      </x:c>
      <x:c r="F6137" s="33">
        <x:v>720795200</x:v>
      </x:c>
      <x:c r="G6137" s="32" t="n">
        <x:f t="shared" si="276">AVERAGE(E5938:E6137)</x:f>
        <x:v>1443.11515</x:v>
      </x:c>
      <x:c r="H6137" s="37" t="n">
        <x:f t="shared" si="277">IFERROR(E6137/G6137-1,"")</x:f>
        <x:v>0.13078987494518346</x:v>
      </x:c>
      <x:c r="I6137" s="38" t="b">
        <x:f t="shared" si="278">E6137&lt;G6137</x:f>
        <x:v>0</x:v>
      </x:c>
    </x:row>
    <x:row r="6138">
      <x:c r="A6138" s="31">
        <x:v>45974</x:v>
      </x:c>
      <x:c r="B6138" s="32">
        <x:v>1632.64</x:v>
      </x:c>
      <x:c r="C6138" s="32">
        <x:v>1638.98</x:v>
      </x:c>
      <x:c r="D6138" s="32">
        <x:v>1625.94</x:v>
      </x:c>
      <x:c r="E6138" s="32">
        <x:v>1631.44</x:v>
      </x:c>
      <x:c r="F6138" s="33">
        <x:v>670948400</x:v>
      </x:c>
      <x:c r="G6138" s="32" t="n">
        <x:f t="shared" si="276">AVERAGE(E5939:E6138)</x:f>
        <x:v>1445.0418999999997</x:v>
      </x:c>
      <x:c r="H6138" s="37" t="n">
        <x:f t="shared" si="277">IFERROR(E6138/G6138-1,"")</x:f>
        <x:v>0.12899148460677878</x:v>
      </x:c>
      <x:c r="I6138" s="38" t="b">
        <x:f t="shared" si="278">E6138&lt;G6138</x:f>
        <x:v>0</x:v>
      </x:c>
    </x:row>
    <x:row r="6139">
      <x:c r="A6139" s="31">
        <x:v>45975</x:v>
      </x:c>
      <x:c r="B6139" s="32">
        <x:v>1627.45</x:v>
      </x:c>
      <x:c r="C6139" s="32">
        <x:v>1638.35</x:v>
      </x:c>
      <x:c r="D6139" s="32">
        <x:v>1623.03</x:v>
      </x:c>
      <x:c r="E6139" s="32">
        <x:v>1635.46</x:v>
      </x:c>
      <x:c r="F6139" s="33">
        <x:v>700109300</x:v>
      </x:c>
      <x:c r="G6139" s="32" t="n">
        <x:f t="shared" si="276">AVERAGE(E5940:E6139)</x:f>
        <x:v>1447.00655</x:v>
      </x:c>
      <x:c r="H6139" s="37" t="n">
        <x:f t="shared" si="277">IFERROR(E6139/G6139-1,"")</x:f>
        <x:v>0.13023676361382042</x:v>
      </x:c>
      <x:c r="I6139" s="38" t="b">
        <x:f t="shared" si="278">E6139&lt;G6139</x:f>
        <x:v>0</x:v>
      </x:c>
    </x:row>
    <x:row r="6140">
      <x:c r="A6140" s="31">
        <x:v>45978</x:v>
      </x:c>
      <x:c r="B6140" s="32">
        <x:v>1640.47</x:v>
      </x:c>
      <x:c r="C6140" s="32">
        <x:v>1654.68</x:v>
      </x:c>
      <x:c r="D6140" s="32">
        <x:v>1640.47</x:v>
      </x:c>
      <x:c r="E6140" s="32">
        <x:v>1654.42</x:v>
      </x:c>
      <x:c r="F6140" s="33">
        <x:v>712205000</x:v>
      </x:c>
      <x:c r="G6140" s="32" t="n">
        <x:f t="shared" si="276">AVERAGE(E5941:E6140)</x:f>
        <x:v>1448.9805</x:v>
      </x:c>
      <x:c r="H6140" s="37" t="n">
        <x:f t="shared" si="277">IFERROR(E6140/G6140-1,"")</x:f>
        <x:v>0.14178210127741564</x:v>
      </x:c>
      <x:c r="I6140" s="38" t="b">
        <x:f t="shared" si="278">E6140&lt;G6140</x:f>
        <x:v>0</x:v>
      </x:c>
    </x:row>
    <x:row r="6141">
      <x:c r="A6141" s="31">
        <x:v>45979</x:v>
      </x:c>
      <x:c r="B6141" s="32">
        <x:v>1657.43</x:v>
      </x:c>
      <x:c r="C6141" s="32">
        <x:v>1660.41</x:v>
      </x:c>
      <x:c r="D6141" s="32">
        <x:v>1647.64</x:v>
      </x:c>
      <x:c r="E6141" s="32">
        <x:v>1659.92</x:v>
      </x:c>
      <x:c r="F6141" s="33">
        <x:v>743865500</x:v>
      </x:c>
      <x:c r="G6141" s="32" t="n">
        <x:f t="shared" si="276">AVERAGE(E5942:E6141)</x:f>
        <x:v>1450.9548499999999</x:v>
      </x:c>
      <x:c r="H6141" s="37" t="n">
        <x:f t="shared" si="277">IFERROR(E6141/G6141-1,"")</x:f>
        <x:v>0.14401905751926058</x:v>
      </x:c>
      <x:c r="I6141" s="38" t="b">
        <x:f t="shared" si="278">E6141&lt;G6141</x:f>
        <x:v>0</x:v>
      </x:c>
    </x:row>
    <x:row r="6142">
      <x:c r="A6142" s="31">
        <x:v>45980</x:v>
      </x:c>
      <x:c r="B6142" s="32">
        <x:v>1659.25</x:v>
      </x:c>
      <x:c r="C6142" s="32">
        <x:v>1661.51</x:v>
      </x:c>
      <x:c r="D6142" s="32">
        <x:v>1643.04</x:v>
      </x:c>
      <x:c r="E6142" s="32">
        <x:v>1649</x:v>
      </x:c>
      <x:c r="F6142" s="33">
        <x:v>786311300</x:v>
      </x:c>
      <x:c r="G6142" s="32" t="n">
        <x:f t="shared" si="276">AVERAGE(E5943:E6142)</x:f>
        <x:v>1452.87645</x:v>
      </x:c>
      <x:c r="H6142" s="37" t="n">
        <x:f t="shared" si="277">IFERROR(E6142/G6142-1,"")</x:f>
        <x:v>0.1349898334438555</x:v>
      </x:c>
      <x:c r="I6142" s="38" t="b">
        <x:f t="shared" si="278">E6142&lt;G6142</x:f>
        <x:v>0</x:v>
      </x:c>
    </x:row>
    <x:row r="6143">
      <x:c r="A6143" s="31">
        <x:v>45981</x:v>
      </x:c>
      <x:c r="B6143" s="32">
        <x:v>1652.05</x:v>
      </x:c>
      <x:c r="C6143" s="32">
        <x:v>1660.55</x:v>
      </x:c>
      <x:c r="D6143" s="32">
        <x:v>1647.79</x:v>
      </x:c>
      <x:c r="E6143" s="32">
        <x:v>1655.99</x:v>
      </x:c>
      <x:c r="F6143" s="33">
        <x:v>626713100</x:v>
      </x:c>
      <x:c r="G6143" s="32" t="n">
        <x:f t="shared" si="276">AVERAGE(E5944:E6143)</x:f>
        <x:v>1454.80835</x:v>
      </x:c>
      <x:c r="H6143" s="37" t="n">
        <x:f t="shared" si="277">IFERROR(E6143/G6143-1,"")</x:f>
        <x:v>0.13828739022566094</x:v>
      </x:c>
      <x:c r="I6143" s="38" t="b">
        <x:f t="shared" si="278">E6143&lt;G6143</x:f>
        <x:v>0</x:v>
      </x:c>
    </x:row>
    <x:row r="6144">
      <x:c r="A6144" s="31">
        <x:v>45982</x:v>
      </x:c>
      <x:c r="B6144" s="32">
        <x:v>1646.36</x:v>
      </x:c>
      <x:c r="C6144" s="32">
        <x:v>1656.84</x:v>
      </x:c>
      <x:c r="D6144" s="32">
        <x:v>1635.1</x:v>
      </x:c>
      <x:c r="E6144" s="32">
        <x:v>1654.93</x:v>
      </x:c>
      <x:c r="F6144" s="33">
        <x:v>708943700</x:v>
      </x:c>
      <x:c r="G6144" s="32" t="n">
        <x:f t="shared" si="276">AVERAGE(E5945:E6144)</x:f>
        <x:v>1456.7255999999998</x:v>
      </x:c>
      <x:c r="H6144" s="37" t="n">
        <x:f t="shared" si="277">IFERROR(E6144/G6144-1,"")</x:f>
        <x:v>0.1360615890871968</x:v>
      </x:c>
      <x:c r="I6144" s="38" t="b">
        <x:f t="shared" si="278">E6144&lt;G6144</x:f>
        <x:v>0</x:v>
      </x:c>
    </x:row>
    <x:row r="6145">
      <x:c r="A6145" s="31">
        <x:v>45985</x:v>
      </x:c>
      <x:c r="B6145" s="32">
        <x:v>1656.19</x:v>
      </x:c>
      <x:c r="C6145" s="32">
        <x:v>1674.29</x:v>
      </x:c>
      <x:c r="D6145" s="32">
        <x:v>1656.01</x:v>
      </x:c>
      <x:c r="E6145" s="32">
        <x:v>1667.98</x:v>
      </x:c>
      <x:c r="F6145" s="33">
        <x:v>573052400</x:v>
      </x:c>
      <x:c r="G6145" s="32" t="n">
        <x:f t="shared" si="276">AVERAGE(E5946:E6145)</x:f>
        <x:v>1458.6894999999995</x:v>
      </x:c>
      <x:c r="H6145" s="37" t="n">
        <x:f t="shared" si="277">IFERROR(E6145/G6145-1,"")</x:f>
        <x:v>0.1434784441788335</x:v>
      </x:c>
      <x:c r="I6145" s="38" t="b">
        <x:f t="shared" si="278">E6145&lt;G6145</x:f>
        <x:v>0</x:v>
      </x:c>
    </x:row>
    <x:row r="6146">
      <x:c r="A6146" s="31">
        <x:v>45986</x:v>
      </x:c>
      <x:c r="B6146" s="32">
        <x:v>1670.08</x:v>
      </x:c>
      <x:c r="C6146" s="32">
        <x:v>1660.36</x:v>
      </x:c>
      <x:c r="D6146" s="32">
        <x:v>1655.73</x:v>
      </x:c>
      <x:c r="E6146" s="32">
        <x:v>1660.36</x:v>
      </x:c>
      <x:c r="F6146" s="33">
        <x:v>821346900</x:v>
      </x:c>
      <x:c r="G6146" s="32" t="n">
        <x:f t="shared" si="276">AVERAGE(E5947:E6146)</x:f>
        <x:v>1460.6749999999995</x:v>
      </x:c>
      <x:c r="H6146" s="37" t="n">
        <x:f t="shared" si="277">IFERROR(E6146/G6146-1,"")</x:f>
        <x:v>0.13670734420730168</x:v>
      </x:c>
      <x:c r="I6146" s="38" t="b">
        <x:f t="shared" si="278">E6146&lt;G6146</x:f>
        <x:v>0</x:v>
      </x:c>
    </x:row>
    <x:row r="6147">
      <x:c r="A6147" s="31">
        <x:v>45987</x:v>
      </x:c>
      <x:c r="B6147" s="32">
        <x:v>1667.31</x:v>
      </x:c>
      <x:c r="C6147" s="32">
        <x:v>1682.17</x:v>
      </x:c>
      <x:c r="D6147" s="32">
        <x:v>1663.99</x:v>
      </x:c>
      <x:c r="E6147" s="32">
        <x:v>1680.36</x:v>
      </x:c>
      <x:c r="F6147" s="33">
        <x:v>728592300</x:v>
      </x:c>
      <x:c r="G6147" s="32" t="n">
        <x:f t="shared" si="276">AVERAGE(E5948:E6147)</x:f>
        <x:v>1462.7345499999992</x:v>
      </x:c>
      <x:c r="H6147" s="37" t="n">
        <x:f t="shared" si="277">IFERROR(E6147/G6147-1,"")</x:f>
        <x:v>0.14877986576580193</x:v>
      </x:c>
      <x:c r="I6147" s="38" t="b">
        <x:f t="shared" si="278">E6147&lt;G6147</x:f>
        <x:v>0</x:v>
      </x:c>
    </x:row>
    <x:row r="6148">
      <x:c r="A6148" s="31">
        <x:v>45988</x:v>
      </x:c>
      <x:c r="B6148" s="32">
        <x:v>1686.03</x:v>
      </x:c>
      <x:c r="C6148" s="32">
        <x:v>1695.34</x:v>
      </x:c>
      <x:c r="D6148" s="32">
        <x:v>1681.08</x:v>
      </x:c>
      <x:c r="E6148" s="32">
        <x:v>1684.32</x:v>
      </x:c>
      <x:c r="F6148" s="33">
        <x:v>642513100</x:v>
      </x:c>
      <x:c r="G6148" s="32" t="n">
        <x:f t="shared" si="276">AVERAGE(E5949:E6148)</x:f>
        <x:v>1464.8215999999995</x:v>
      </x:c>
      <x:c r="H6148" s="37" t="n">
        <x:f t="shared" si="277">IFERROR(E6148/G6148-1,"")</x:f>
        <x:v>0.14984650690568757</x:v>
      </x:c>
      <x:c r="I6148" s="38" t="b">
        <x:f t="shared" si="278">E6148&lt;G6148</x:f>
        <x:v>0</x:v>
      </x:c>
    </x:row>
    <x:row r="6149">
      <x:c r="A6149" s="31">
        <x:v>45989</x:v>
      </x:c>
      <x:c r="B6149" s="32">
        <x:v>1683.77</x:v>
      </x:c>
      <x:c r="C6149" s="32">
        <x:v>1696.14</x:v>
      </x:c>
      <x:c r="D6149" s="32">
        <x:v>1679.12</x:v>
      </x:c>
      <x:c r="E6149" s="32">
        <x:v>1690.99</x:v>
      </x:c>
      <x:c r="F6149" s="33">
        <x:v>684314300</x:v>
      </x:c>
      <x:c r="G6149" s="32" t="n">
        <x:f t="shared" si="276">AVERAGE(E5950:E6149)</x:f>
        <x:v>1466.9247999999995</x:v>
      </x:c>
      <x:c r="H6149" s="37" t="n">
        <x:f t="shared" si="277">IFERROR(E6149/G6149-1,"")</x:f>
        <x:v>0.152744844180152</x:v>
      </x:c>
      <x:c r="I6149" s="38" t="b">
        <x:f t="shared" si="278">E6149&lt;G6149</x:f>
        <x:v>0</x:v>
      </x:c>
    </x:row>
    <x:row r="6150">
      <x:c r="A6150" s="31">
        <x:v>45992</x:v>
      </x:c>
      <x:c r="B6150" s="32">
        <x:v>1698.98</x:v>
      </x:c>
      <x:c r="C6150" s="32">
        <x:v>1713.77</x:v>
      </x:c>
      <x:c r="D6150" s="32">
        <x:v>1697.38</x:v>
      </x:c>
      <x:c r="E6150" s="32">
        <x:v>1701.67</x:v>
      </x:c>
      <x:c r="F6150" s="33">
        <x:v>569465700</x:v>
      </x:c>
      <x:c r="G6150" s="32" t="n">
        <x:f t="shared" si="276">AVERAGE(E5951:E6150)</x:f>
        <x:v>1469.0527499999994</x:v>
      </x:c>
      <x:c r="H6150" s="37" t="n">
        <x:f t="shared" si="277">IFERROR(E6150/G6150-1,"")</x:f>
        <x:v>0.1583450628304537</x:v>
      </x:c>
      <x:c r="I6150" s="38" t="b">
        <x:f t="shared" si="278">E6150&lt;G6150</x:f>
        <x:v>0</x:v>
      </x:c>
    </x:row>
    <x:row r="6151">
      <x:c r="A6151" s="31">
        <x:v>45993</x:v>
      </x:c>
      <x:c r="B6151" s="32">
        <x:v>1704.84</x:v>
      </x:c>
      <x:c r="C6151" s="32">
        <x:v>1719.03</x:v>
      </x:c>
      <x:c r="D6151" s="32">
        <x:v>1690.36</x:v>
      </x:c>
      <x:c r="E6151" s="32">
        <x:v>1717.06</x:v>
      </x:c>
      <x:c r="F6151" s="33">
        <x:v>707601200</x:v>
      </x:c>
      <x:c r="G6151" s="32" t="n">
        <x:f t="shared" si="276">AVERAGE(E5952:E6151)</x:f>
        <x:v>1471.2744499999992</x:v>
      </x:c>
      <x:c r="H6151" s="37" t="n">
        <x:f t="shared" si="277">IFERROR(E6151/G6151-1,"")</x:f>
        <x:v>0.16705622122371588</x:v>
      </x:c>
      <x:c r="I6151" s="38" t="b">
        <x:f t="shared" si="278">E6151&lt;G6151</x:f>
        <x:v>0</x:v>
      </x:c>
    </x:row>
    <x:row r="6152">
      <x:c r="A6152" s="31">
        <x:v>45994</x:v>
      </x:c>
      <x:c r="B6152" s="32">
        <x:v>1725.9</x:v>
      </x:c>
      <x:c r="C6152" s="32">
        <x:v>1741.65</x:v>
      </x:c>
      <x:c r="D6152" s="32">
        <x:v>1714.9</x:v>
      </x:c>
      <x:c r="E6152" s="32">
        <x:v>1731.77</x:v>
      </x:c>
      <x:c r="F6152" s="33">
        <x:v>776115100</x:v>
      </x:c>
      <x:c r="G6152" s="32" t="n">
        <x:f t="shared" si="276">AVERAGE(E5953:E6152)</x:f>
        <x:v>1473.5425999999993</x:v>
      </x:c>
      <x:c r="H6152" s="37" t="n">
        <x:f t="shared" si="277">IFERROR(E6152/G6152-1,"")</x:f>
        <x:v>0.17524257527403742</x:v>
      </x:c>
      <x:c r="I6152" s="38" t="b">
        <x:f t="shared" si="278">E6152&lt;G6152</x:f>
        <x:v>0</x:v>
      </x:c>
    </x:row>
    <x:row r="6153">
      <x:c r="A6153" s="31">
        <x:v>45995</x:v>
      </x:c>
      <x:c r="B6153" s="32">
        <x:v>1735.41</x:v>
      </x:c>
      <x:c r="C6153" s="32">
        <x:v>1741.71</x:v>
      </x:c>
      <x:c r="D6153" s="32">
        <x:v>1725.23</x:v>
      </x:c>
      <x:c r="E6153" s="32">
        <x:v>1737.24</x:v>
      </x:c>
      <x:c r="F6153" s="33">
        <x:v>828719700</x:v>
      </x:c>
      <x:c r="G6153" s="32" t="n">
        <x:f t="shared" si="276">AVERAGE(E5954:E6153)</x:f>
        <x:v>1475.7859999999994</x:v>
      </x:c>
      <x:c r="H6153" s="37" t="n">
        <x:f t="shared" si="277">IFERROR(E6153/G6153-1,"")</x:f>
        <x:v>0.17716254253665564</x:v>
      </x:c>
      <x:c r="I6153" s="38" t="b">
        <x:f t="shared" si="278">E6153&lt;G6153</x:f>
        <x:v>0</x:v>
      </x:c>
    </x:row>
    <x:row r="6154">
      <x:c r="A6154" s="31">
        <x:v>45996</x:v>
      </x:c>
      <x:c r="B6154" s="32">
        <x:v>1748.17</x:v>
      </x:c>
      <x:c r="C6154" s="32">
        <x:v>1758.44</x:v>
      </x:c>
      <x:c r="D6154" s="32">
        <x:v>1728.14</x:v>
      </x:c>
      <x:c r="E6154" s="32">
        <x:v>1741.32</x:v>
      </x:c>
      <x:c r="F6154" s="33">
        <x:v>674137400</x:v>
      </x:c>
      <x:c r="G6154" s="32" t="n">
        <x:f t="shared" si="276">AVERAGE(E5955:E6154)</x:f>
        <x:v>1478.0276999999994</x:v>
      </x:c>
      <x:c r="H6154" s="37" t="n">
        <x:f t="shared" si="277">IFERROR(E6154/G6154-1,"")</x:f>
        <x:v>0.1781375951208497</x:v>
      </x:c>
      <x:c r="I6154" s="38" t="b">
        <x:f t="shared" si="278">E6154&lt;G6154</x:f>
        <x:v>0</x:v>
      </x:c>
    </x:row>
    <x:row r="6155">
      <x:c r="A6155" s="31">
        <x:v>45999</x:v>
      </x:c>
      <x:c r="B6155" s="32">
        <x:v>1757.42</x:v>
      </x:c>
      <x:c r="C6155" s="32">
        <x:v>1758.41</x:v>
      </x:c>
      <x:c r="D6155" s="32">
        <x:v>1746.03</x:v>
      </x:c>
      <x:c r="E6155" s="32">
        <x:v>1753.74</x:v>
      </x:c>
      <x:c r="F6155" s="33">
        <x:v>649839400</x:v>
      </x:c>
      <x:c r="G6155" s="32" t="n">
        <x:f t="shared" si="276">AVERAGE(E5956:E6155)</x:f>
        <x:v>1480.3126499999996</x:v>
      </x:c>
      <x:c r="H6155" s="37" t="n">
        <x:f t="shared" si="277">IFERROR(E6155/G6155-1,"")</x:f>
        <x:v>0.18470918964314764</x:v>
      </x:c>
      <x:c r="I6155" s="38" t="b">
        <x:f t="shared" si="278">E6155&lt;G6155</x:f>
        <x:v>0</x:v>
      </x:c>
    </x:row>
    <x:row r="6156">
      <x:c r="A6156" s="31">
        <x:v>46000</x:v>
      </x:c>
      <x:c r="B6156" s="32">
        <x:v>1772.03</x:v>
      </x:c>
      <x:c r="C6156" s="32">
        <x:v>1772.03</x:v>
      </x:c>
      <x:c r="D6156" s="32">
        <x:v>1724.66</x:v>
      </x:c>
      <x:c r="E6156" s="32">
        <x:v>1747.17</x:v>
      </x:c>
      <x:c r="F6156" s="33">
        <x:v>954738700</x:v>
      </x:c>
      <x:c r="G6156" s="32" t="n">
        <x:f t="shared" si="276">AVERAGE(E5957:E6156)</x:f>
        <x:v>1482.5256999999997</x:v>
      </x:c>
      <x:c r="H6156" s="37" t="n">
        <x:f t="shared" si="277">IFERROR(E6156/G6156-1,"")</x:f>
        <x:v>0.17850908082065664</x:v>
      </x:c>
      <x:c r="I6156" s="38" t="b">
        <x:f t="shared" si="278">E6156&lt;G6156</x:f>
        <x:v>0</x:v>
      </x:c>
    </x:row>
    <x:row r="6157">
      <x:c r="A6157" s="31">
        <x:v>46001</x:v>
      </x:c>
      <x:c r="B6157" s="32">
        <x:v>1748.82</x:v>
      </x:c>
      <x:c r="C6157" s="32">
        <x:v>1748.82</x:v>
      </x:c>
      <x:c r="D6157" s="32">
        <x:v>1714.44</x:v>
      </x:c>
      <x:c r="E6157" s="32">
        <x:v>1718.98</x:v>
      </x:c>
      <x:c r="F6157" s="33">
        <x:v>551957500</x:v>
      </x:c>
      <x:c r="G6157" s="32" t="n">
        <x:f t="shared" ref="G6157:G6220" si="279">AVERAGE(E5958:E6157)</x:f>
        <x:v>1484.6047999999996</x:v>
      </x:c>
      <x:c r="H6157" s="37" t="n">
        <x:f t="shared" ref="H6157:H6220" si="280">IFERROR(E6157/G6157-1,"")</x:f>
        <x:v>0.1578704312420387</x:v>
      </x:c>
      <x:c r="I6157" s="38" t="b">
        <x:f t="shared" ref="I6157:I6220" si="281">E6157&lt;G6157</x:f>
        <x:v>0</x:v>
      </x:c>
    </x:row>
    <x:row r="6158">
      <x:c r="A6158" s="31">
        <x:v>46002</x:v>
      </x:c>
      <x:c r="B6158" s="32">
        <x:v>1710.28</x:v>
      </x:c>
      <x:c r="C6158" s="32">
        <x:v>1718.84</x:v>
      </x:c>
      <x:c r="D6158" s="32">
        <x:v>1693.72</x:v>
      </x:c>
      <x:c r="E6158" s="32">
        <x:v>1698.9</x:v>
      </x:c>
      <x:c r="F6158" s="33">
        <x:v>547495800</x:v>
      </x:c>
      <x:c r="G6158" s="32" t="n">
        <x:f t="shared" si="279">AVERAGE(E5959:E6158)</x:f>
        <x:v>1486.5844999999995</x:v>
      </x:c>
      <x:c r="H6158" s="37" t="n">
        <x:f t="shared" si="280">IFERROR(E6158/G6158-1,"")</x:f>
        <x:v>0.14282101017466586</x:v>
      </x:c>
      <x:c r="I6158" s="38" t="b">
        <x:f t="shared" si="281">E6158&lt;G6158</x:f>
        <x:v>0</x:v>
      </x:c>
    </x:row>
    <x:row r="6159">
      <x:c r="A6159" s="31">
        <x:v>46003</x:v>
      </x:c>
      <x:c r="B6159" s="32">
        <x:v>1702.72</x:v>
      </x:c>
      <x:c r="C6159" s="32">
        <x:v>1702.73</x:v>
      </x:c>
      <x:c r="D6159" s="32">
        <x:v>1642.57</x:v>
      </x:c>
      <x:c r="E6159" s="32">
        <x:v>1646.89</x:v>
      </x:c>
      <x:c r="F6159" s="33">
        <x:v>884513100</x:v>
      </x:c>
      <x:c r="G6159" s="32" t="n">
        <x:f t="shared" si="279">AVERAGE(E5960:E6159)</x:f>
        <x:v>1488.2799499999996</x:v>
      </x:c>
      <x:c r="H6159" s="37" t="n">
        <x:f t="shared" si="280">IFERROR(E6159/G6159-1,"")</x:f>
        <x:v>0.10657272511129401</x:v>
      </x:c>
      <x:c r="I6159" s="38" t="b">
        <x:f t="shared" si="281">E6159&lt;G6159</x:f>
        <x:v>0</x:v>
      </x:c>
    </x:row>
    <x:row r="6160">
      <x:c r="A6160" s="31">
        <x:v>46006</x:v>
      </x:c>
      <x:c r="B6160" s="32">
        <x:v>1645.87</x:v>
      </x:c>
      <x:c r="C6160" s="32">
        <x:v>1665.65</x:v>
      </x:c>
      <x:c r="D6160" s="32">
        <x:v>1635.86</x:v>
      </x:c>
      <x:c r="E6160" s="32">
        <x:v>1646.01</x:v>
      </x:c>
      <x:c r="F6160" s="33">
        <x:v>644591600</x:v>
      </x:c>
      <x:c r="G6160" s="32" t="n">
        <x:f t="shared" si="279">AVERAGE(E5961:E6160)</x:f>
        <x:v>1489.9831999999997</x:v>
      </x:c>
      <x:c r="H6160" s="37" t="n">
        <x:f t="shared" si="280">IFERROR(E6160/G6160-1,"")</x:f>
        <x:v>0.10471715385784242</x:v>
      </x:c>
      <x:c r="I6160" s="38" t="b">
        <x:f t="shared" si="281">E6160&lt;G6160</x:f>
        <x:v>0</x:v>
      </x:c>
    </x:row>
    <x:row r="6161">
      <x:c r="A6161" s="31">
        <x:v>46007</x:v>
      </x:c>
      <x:c r="B6161" s="32">
        <x:v>1647.42</x:v>
      </x:c>
      <x:c r="C6161" s="32">
        <x:v>1689.07</x:v>
      </x:c>
      <x:c r="D6161" s="32">
        <x:v>1629.37</x:v>
      </x:c>
      <x:c r="E6161" s="32">
        <x:v>1679.18</x:v>
      </x:c>
      <x:c r="F6161" s="33">
        <x:v>807074600</x:v>
      </x:c>
      <x:c r="G6161" s="32" t="n">
        <x:f t="shared" si="279">AVERAGE(E5962:E6161)</x:f>
        <x:v>1491.8322499999997</x:v>
      </x:c>
      <x:c r="H6161" s="37" t="n">
        <x:f t="shared" si="280">IFERROR(E6161/G6161-1,"")</x:f>
        <x:v>0.1255823166445158</x:v>
      </x:c>
      <x:c r="I6161" s="38" t="b">
        <x:f t="shared" si="281">E6161&lt;G6161</x:f>
        <x:v>0</x:v>
      </x:c>
    </x:row>
    <x:row r="6162">
      <x:c r="A6162" s="31">
        <x:v>46008</x:v>
      </x:c>
      <x:c r="B6162" s="32">
        <x:v>1680.18</x:v>
      </x:c>
      <x:c r="C6162" s="32">
        <x:v>1683.95</x:v>
      </x:c>
      <x:c r="D6162" s="32">
        <x:v>1671.07</x:v>
      </x:c>
      <x:c r="E6162" s="32">
        <x:v>1673.66</x:v>
      </x:c>
      <x:c r="F6162" s="33">
        <x:v>526603300</x:v>
      </x:c>
      <x:c r="G6162" s="32" t="n">
        <x:f t="shared" si="279">AVERAGE(E5963:E6162)</x:f>
        <x:v>1493.6409999999998</x:v>
      </x:c>
      <x:c r="H6162" s="37" t="n">
        <x:f t="shared" si="280">IFERROR(E6162/G6162-1,"")</x:f>
        <x:v>0.12052360640876914</x:v>
      </x:c>
      <x:c r="I6162" s="38" t="b">
        <x:f t="shared" si="281">E6162&lt;G6162</x:f>
        <x:v>0</x:v>
      </x:c>
    </x:row>
    <x:row r="6163">
      <x:c r="A6163" s="31">
        <x:v>46009</x:v>
      </x:c>
      <x:c r="B6163" s="32">
        <x:v>1675.54</x:v>
      </x:c>
      <x:c r="C6163" s="32">
        <x:v>1676.98</x:v>
      </x:c>
      <x:c r="D6163" s="32">
        <x:v>1665.21</x:v>
      </x:c>
      <x:c r="E6163" s="32">
        <x:v>1676.98</x:v>
      </x:c>
      <x:c r="F6163" s="33">
        <x:v>519948200</x:v>
      </x:c>
      <x:c r="G6163" s="32" t="n">
        <x:f t="shared" si="279">AVERAGE(E5964:E6163)</x:f>
        <x:v>1495.5023499999998</x:v>
      </x:c>
      <x:c r="H6163" s="37" t="n">
        <x:f t="shared" si="280">IFERROR(E6163/G6163-1,"")</x:f>
        <x:v>0.12134895675690527</x:v>
      </x:c>
      <x:c r="I6163" s="38" t="b">
        <x:f t="shared" si="281">E6163&lt;G6163</x:f>
        <x:v>0</x:v>
      </x:c>
    </x:row>
    <x:row r="6164">
      <x:c r="A6164" s="31">
        <x:v>46010</x:v>
      </x:c>
      <x:c r="B6164" s="32">
        <x:v>1678.72</x:v>
      </x:c>
      <x:c r="C6164" s="32">
        <x:v>1705.76</x:v>
      </x:c>
      <x:c r="D6164" s="32">
        <x:v>1677.67</x:v>
      </x:c>
      <x:c r="E6164" s="32">
        <x:v>1704.31</x:v>
      </x:c>
      <x:c r="F6164" s="33">
        <x:v>687722000</x:v>
      </x:c>
      <x:c r="G6164" s="32" t="n">
        <x:f t="shared" si="279">AVERAGE(E5965:E6164)</x:f>
        <x:v>1497.4327999999996</x:v>
      </x:c>
      <x:c r="H6164" s="37" t="n">
        <x:f t="shared" si="280">IFERROR(E6164/G6164-1,"")</x:f>
        <x:v>0.1381545802923514</x:v>
      </x:c>
      <x:c r="I6164" s="38" t="b">
        <x:f t="shared" si="281">E6164&lt;G6164</x:f>
        <x:v>0</x:v>
      </x:c>
    </x:row>
    <x:row r="6165">
      <x:c r="A6165" s="31">
        <x:v>46013</x:v>
      </x:c>
      <x:c r="B6165" s="32">
        <x:v>1719.86</x:v>
      </x:c>
      <x:c r="C6165" s="32">
        <x:v>1751.16</x:v>
      </x:c>
      <x:c r="D6165" s="32">
        <x:v>1712.48</x:v>
      </x:c>
      <x:c r="E6165" s="32">
        <x:v>1751.03</x:v>
      </x:c>
      <x:c r="F6165" s="33">
        <x:v>807915900</x:v>
      </x:c>
      <x:c r="G6165" s="32" t="n">
        <x:f t="shared" si="279">AVERAGE(E5966:E6165)</x:f>
        <x:v>1499.5576999999998</x:v>
      </x:c>
      <x:c r="H6165" s="37" t="n">
        <x:f t="shared" si="280">IFERROR(E6165/G6165-1,"")</x:f>
        <x:v>0.16769764844660529</x:v>
      </x:c>
      <x:c r="I6165" s="38" t="b">
        <x:f t="shared" si="281">E6165&lt;G6165</x:f>
        <x:v>0</x:v>
      </x:c>
    </x:row>
    <x:row r="6166">
      <x:c r="A6166" s="31">
        <x:v>46014</x:v>
      </x:c>
      <x:c r="B6166" s="32">
        <x:v>1765</x:v>
      </x:c>
      <x:c r="C6166" s="32">
        <x:v>1778.18</x:v>
      </x:c>
      <x:c r="D6166" s="32">
        <x:v>1763.52</x:v>
      </x:c>
      <x:c r="E6166" s="32">
        <x:v>1772.15</x:v>
      </x:c>
      <x:c r="F6166" s="33">
        <x:v>792463000</x:v>
      </x:c>
      <x:c r="G6166" s="32" t="n">
        <x:f t="shared" si="279">AVERAGE(E5967:E6166)</x:f>
        <x:v>1501.7670500000002</x:v>
      </x:c>
      <x:c r="H6166" s="37" t="n">
        <x:f t="shared" si="280">IFERROR(E6166/G6166-1,"")</x:f>
        <x:v>0.18004320310530186</x:v>
      </x:c>
      <x:c r="I6166" s="38" t="b">
        <x:f t="shared" si="281">E6166&lt;G6166</x:f>
        <x:v>0</x:v>
      </x:c>
    </x:row>
    <x:row r="6167">
      <x:c r="A6167" s="31">
        <x:v>46015</x:v>
      </x:c>
      <x:c r="B6167" s="32">
        <x:v>1782.71</x:v>
      </x:c>
      <x:c r="C6167" s="32">
        <x:v>1784.98</x:v>
      </x:c>
      <x:c r="D6167" s="32">
        <x:v>1753.65</x:v>
      </x:c>
      <x:c r="E6167" s="32">
        <x:v>1782.82</x:v>
      </x:c>
      <x:c r="F6167" s="33">
        <x:v>738855300</x:v>
      </x:c>
      <x:c r="G6167" s="32" t="n">
        <x:f t="shared" si="279">AVERAGE(E5968:E6167)</x:f>
        <x:v>1504.01845</x:v>
      </x:c>
      <x:c r="H6167" s="37" t="n">
        <x:f t="shared" si="280">IFERROR(E6167/G6167-1,"")</x:f>
        <x:v>0.1853710970101463</x:v>
      </x:c>
      <x:c r="I6167" s="38" t="b">
        <x:f t="shared" si="281">E6167&lt;G6167</x:f>
        <x:v>0</x:v>
      </x:c>
    </x:row>
    <x:row r="6168">
      <x:c r="A6168" s="31">
        <x:v>46016</x:v>
      </x:c>
      <x:c r="B6168" s="32">
        <x:v>1779.19</x:v>
      </x:c>
      <x:c r="C6168" s="32">
        <x:v>1805.93</x:v>
      </x:c>
      <x:c r="D6168" s="32">
        <x:v>1742.69</x:v>
      </x:c>
      <x:c r="E6168" s="32">
        <x:v>1742.85</x:v>
      </x:c>
      <x:c r="F6168" s="33">
        <x:v>684899200</x:v>
      </x:c>
      <x:c r="G6168" s="32" t="n">
        <x:f t="shared" si="279">AVERAGE(E5969:E6168)</x:f>
        <x:v>1506.0606500000001</x:v>
      </x:c>
      <x:c r="H6168" s="37" t="n">
        <x:f t="shared" si="280">IFERROR(E6168/G6168-1,"")</x:f>
        <x:v>0.15722431231438105</x:v>
      </x:c>
      <x:c r="I6168" s="38" t="b">
        <x:f t="shared" si="281">E6168&lt;G6168</x:f>
        <x:v>0</x:v>
      </x:c>
    </x:row>
    <x:row r="6169">
      <x:c r="A6169" s="31">
        <x:v>46017</x:v>
      </x:c>
      <x:c r="B6169" s="32">
        <x:v>1706.39</x:v>
      </x:c>
      <x:c r="C6169" s="32">
        <x:v>1730.99</x:v>
      </x:c>
      <x:c r="D6169" s="32">
        <x:v>1687.14</x:v>
      </x:c>
      <x:c r="E6169" s="32">
        <x:v>1729.8</x:v>
      </x:c>
      <x:c r="F6169" s="33">
        <x:v>985831700</x:v>
      </x:c>
      <x:c r="G6169" s="32" t="n">
        <x:f t="shared" si="279">AVERAGE(E5970:E6169)</x:f>
        <x:v>1508.0783000000001</x:v>
      </x:c>
      <x:c r="H6169" s="37" t="n">
        <x:f t="shared" si="280">IFERROR(E6169/G6169-1,"")</x:f>
        <x:v>0.14702267117032308</x:v>
      </x:c>
      <x:c r="I6169" s="38" t="b">
        <x:f t="shared" si="281">E6169&lt;G6169</x:f>
        <x:v>0</x:v>
      </x:c>
    </x:row>
    <x:row r="6170">
      <x:c r="A6170" s="31">
        <x:v>46020</x:v>
      </x:c>
      <x:c r="B6170" s="32">
        <x:v>1733.39</x:v>
      </x:c>
      <x:c r="C6170" s="32">
        <x:v>1754.84</x:v>
      </x:c>
      <x:c r="D6170" s="32">
        <x:v>1731.63</x:v>
      </x:c>
      <x:c r="E6170" s="32">
        <x:v>1754.84</x:v>
      </x:c>
      <x:c r="F6170" s="33">
        <x:v>546638100</x:v>
      </x:c>
      <x:c r="G6170" s="32" t="n">
        <x:f t="shared" si="279">AVERAGE(E5971:E6170)</x:f>
        <x:v>1510.2217500000002</x:v>
      </x:c>
      <x:c r="H6170" s="37" t="n">
        <x:f t="shared" si="280">IFERROR(E6170/G6170-1,"")</x:f>
        <x:v>0.16197505432563108</x:v>
      </x:c>
      <x:c r="I6170" s="38" t="b">
        <x:f t="shared" si="281">E6170&lt;G6170</x:f>
        <x:v>0</x:v>
      </x:c>
    </x:row>
    <x:row r="6171">
      <x:c r="A6171" s="31">
        <x:v>46021</x:v>
      </x:c>
      <x:c r="B6171" s="32">
        <x:v>1758.45</x:v>
      </x:c>
      <x:c r="C6171" s="32">
        <x:v>1766.9</x:v>
      </x:c>
      <x:c r="D6171" s="32">
        <x:v>1740.07</x:v>
      </x:c>
      <x:c r="E6171" s="32">
        <x:v>1766.9</x:v>
      </x:c>
      <x:c r="F6171" s="33">
        <x:v>589950000</x:v>
      </x:c>
      <x:c r="G6171" s="32" t="n">
        <x:f t="shared" si="279">AVERAGE(E5972:E6171)</x:f>
        <x:v>1512.3749500000004</x:v>
      </x:c>
      <x:c r="H6171" s="37" t="n">
        <x:f t="shared" si="280">IFERROR(E6171/G6171-1,"")</x:f>
        <x:v>0.16829493902950432</x:v>
      </x:c>
      <x:c r="I6171" s="38" t="b">
        <x:f t="shared" si="281">E6171&lt;G6171</x:f>
        <x:v>0</x:v>
      </x:c>
    </x:row>
    <x:row r="6172">
      <x:c r="A6172" s="31">
        <x:v>46022</x:v>
      </x:c>
      <x:c r="B6172" s="32">
        <x:v>1760.81</x:v>
      </x:c>
      <x:c r="C6172" s="32">
        <x:v>1787.75</x:v>
      </x:c>
      <x:c r="D6172" s="32">
        <x:v>1760.14</x:v>
      </x:c>
      <x:c r="E6172" s="32">
        <x:v>1784.49</x:v>
      </x:c>
      <x:c r="F6172" s="33">
        <x:v>632946700</x:v>
      </x:c>
      <x:c r="G6172" s="32" t="n">
        <x:f t="shared" si="279">AVERAGE(E5973:E6172)</x:f>
        <x:v>1514.6425500000003</x:v>
      </x:c>
      <x:c r="H6172" s="37" t="n">
        <x:f t="shared" si="280">IFERROR(E6172/G6172-1,"")</x:f>
        <x:v>0.17815916369178963</x:v>
      </x:c>
      <x:c r="I6172" s="38" t="b">
        <x:f t="shared" si="281">E6172&lt;G6172</x:f>
        <x:v>0</x:v>
      </x:c>
    </x:row>
    <x:row r="6173">
      <x:c r="A6173" s="31">
        <x:v>46027</x:v>
      </x:c>
      <x:c r="B6173" s="32">
        <x:v>1787.13</x:v>
      </x:c>
      <x:c r="C6173" s="32">
        <x:v>1797.4</x:v>
      </x:c>
      <x:c r="D6173" s="32">
        <x:v>1775.19</x:v>
      </x:c>
      <x:c r="E6173" s="32">
        <x:v>1788.4</x:v>
      </x:c>
      <x:c r="F6173" s="33">
        <x:v>864165500</x:v>
      </x:c>
      <x:c r="G6173" s="32" t="n">
        <x:f t="shared" si="279">AVERAGE(E5974:E6173)</x:f>
        <x:v>1516.9614000000004</x:v>
      </x:c>
      <x:c r="H6173" s="37" t="n">
        <x:f t="shared" si="280">IFERROR(E6173/G6173-1,"")</x:f>
        <x:v>0.17893573297250653</x:v>
      </x:c>
      <x:c r="I6173" s="38" t="b">
        <x:f t="shared" si="281">E6173&lt;G6173</x:f>
        <x:v>0</x:v>
      </x:c>
    </x:row>
    <x:row r="6174">
      <x:c r="A6174" s="31">
        <x:v>46028</x:v>
      </x:c>
      <x:c r="B6174" s="32">
        <x:v>1795.57</x:v>
      </x:c>
      <x:c r="C6174" s="32">
        <x:v>1817.06</x:v>
      </x:c>
      <x:c r="D6174" s="32">
        <x:v>1790.44</x:v>
      </x:c>
      <x:c r="E6174" s="32">
        <x:v>1816.27</x:v>
      </x:c>
      <x:c r="F6174" s="33">
        <x:v>891155300</x:v>
      </x:c>
      <x:c r="G6174" s="32" t="n">
        <x:f t="shared" si="279">AVERAGE(E5975:E6174)</x:f>
        <x:v>1519.4231000000002</x:v>
      </x:c>
      <x:c r="H6174" s="37" t="n">
        <x:f t="shared" si="280">IFERROR(E6174/G6174-1,"")</x:f>
        <x:v>0.19536816308768756</x:v>
      </x:c>
      <x:c r="I6174" s="38" t="b">
        <x:f t="shared" si="281">E6174&lt;G6174</x:f>
        <x:v>0</x:v>
      </x:c>
    </x:row>
    <x:row r="6175">
      <x:c r="A6175" s="31">
        <x:v>46029</x:v>
      </x:c>
      <x:c r="B6175" s="32">
        <x:v>1832.23</x:v>
      </x:c>
      <x:c r="C6175" s="32">
        <x:v>1861.67</x:v>
      </x:c>
      <x:c r="D6175" s="32">
        <x:v>1819.17</x:v>
      </x:c>
      <x:c r="E6175" s="32">
        <x:v>1861.58</x:v>
      </x:c>
      <x:c r="F6175" s="33">
        <x:v>992304400</x:v>
      </x:c>
      <x:c r="G6175" s="32" t="n">
        <x:f t="shared" si="279">AVERAGE(E5976:E6175)</x:f>
        <x:v>1522.1216000000006</x:v>
      </x:c>
      <x:c r="H6175" s="37" t="n">
        <x:f t="shared" si="280">IFERROR(E6175/G6175-1,"")</x:f>
        <x:v>0.22301661049944976</x:v>
      </x:c>
      <x:c r="I6175" s="38" t="b">
        <x:f t="shared" si="281">E6175&lt;G6175</x:f>
        <x:v>0</x:v>
      </x:c>
    </x:row>
    <x:row r="6176">
      <x:c r="A6176" s="31">
        <x:v>46030</x:v>
      </x:c>
      <x:c r="B6176" s="32">
        <x:v>1881.99</x:v>
      </x:c>
      <x:c r="C6176" s="32">
        <x:v>1888.33</x:v>
      </x:c>
      <x:c r="D6176" s="32">
        <x:v>1850.11</x:v>
      </x:c>
      <x:c r="E6176" s="32">
        <x:v>1855.56</x:v>
      </x:c>
      <x:c r="F6176" s="33">
        <x:v>1233082400</x:v>
      </x:c>
      <x:c r="G6176" s="32" t="n">
        <x:f t="shared" si="279">AVERAGE(E5977:E6176)</x:f>
        <x:v>1524.7478000000003</x:v>
      </x:c>
      <x:c r="H6176" s="37" t="n">
        <x:f t="shared" si="280">IFERROR(E6176/G6176-1,"")</x:f>
        <x:v>0.21696191330789238</x:v>
      </x:c>
      <x:c r="I6176" s="38" t="b">
        <x:f t="shared" si="281">E6176&lt;G6176</x:f>
        <x:v>0</x:v>
      </x:c>
    </x:row>
    <x:row r="6177">
      <x:c r="A6177" s="31">
        <x:v>46031</x:v>
      </x:c>
      <x:c r="B6177" s="32">
        <x:v>1863.21</x:v>
      </x:c>
      <x:c r="C6177" s="32">
        <x:v>1880.16</x:v>
      </x:c>
      <x:c r="D6177" s="32">
        <x:v>1853.16</x:v>
      </x:c>
      <x:c r="E6177" s="32">
        <x:v>1867.9</x:v>
      </x:c>
      <x:c r="F6177" s="33">
        <x:v>1271659600</x:v>
      </x:c>
      <x:c r="G6177" s="32" t="n">
        <x:f t="shared" si="279">AVERAGE(E5978:E6177)</x:f>
        <x:v>1527.4277000000004</x:v>
      </x:c>
      <x:c r="H6177" s="37" t="n">
        <x:f t="shared" si="280">IFERROR(E6177/G6177-1,"")</x:f>
        <x:v>0.22290567337491618</x:v>
      </x:c>
      <x:c r="I6177" s="38" t="b">
        <x:f t="shared" si="281">E6177&lt;G6177</x:f>
        <x:v>0</x:v>
      </x:c>
    </x:row>
    <x:row r="6178">
      <x:c r="A6178" s="31">
        <x:v>46034</x:v>
      </x:c>
      <x:c r="B6178" s="32">
        <x:v>1880.95</x:v>
      </x:c>
      <x:c r="C6178" s="32">
        <x:v>1887.92</x:v>
      </x:c>
      <x:c r="D6178" s="32">
        <x:v>1868.89</x:v>
      </x:c>
      <x:c r="E6178" s="32">
        <x:v>1877.33</x:v>
      </x:c>
      <x:c r="F6178" s="33">
        <x:v>1383441900</x:v>
      </x:c>
      <x:c r="G6178" s="32" t="n">
        <x:f t="shared" si="279">AVERAGE(E5979:E6178)</x:f>
        <x:v>1530.1839000000004</x:v>
      </x:c>
      <x:c r="H6178" s="37" t="n">
        <x:f t="shared" si="280">IFERROR(E6178/G6178-1,"")</x:f>
        <x:v>0.22686560746064544</x:v>
      </x:c>
      <x:c r="I6178" s="38" t="b">
        <x:f t="shared" si="281">E6178&lt;G6178</x:f>
        <x:v>0</x:v>
      </x:c>
    </x:row>
    <x:row r="6179">
      <x:c r="A6179" s="31">
        <x:v>46035</x:v>
      </x:c>
      <x:c r="B6179" s="32">
        <x:v>1873.93</x:v>
      </x:c>
      <x:c r="C6179" s="32">
        <x:v>1910.69</x:v>
      </x:c>
      <x:c r="D6179" s="32">
        <x:v>1871.79</x:v>
      </x:c>
      <x:c r="E6179" s="32">
        <x:v>1902.93</x:v>
      </x:c>
      <x:c r="F6179" s="33">
        <x:v>1350652300</x:v>
      </x:c>
      <x:c r="G6179" s="32" t="n">
        <x:f t="shared" si="279">AVERAGE(E5980:E6179)</x:f>
        <x:v>1533.0795000000005</x:v>
      </x:c>
      <x:c r="H6179" s="37" t="n">
        <x:f t="shared" si="280">IFERROR(E6179/G6179-1,"")</x:f>
        <x:v>0.24124678465793803</x:v>
      </x:c>
      <x:c r="I6179" s="38" t="b">
        <x:f t="shared" si="281">E6179&lt;G6179</x:f>
        <x:v>0</x:v>
      </x:c>
    </x:row>
    <x:row r="6180">
      <x:c r="A6180" s="31">
        <x:v>46036</x:v>
      </x:c>
      <x:c r="B6180" s="32">
        <x:v>1910.32</x:v>
      </x:c>
      <x:c r="C6180" s="32">
        <x:v>1918.46</x:v>
      </x:c>
      <x:c r="D6180" s="32">
        <x:v>1870.87</x:v>
      </x:c>
      <x:c r="E6180" s="32">
        <x:v>1894.44</x:v>
      </x:c>
      <x:c r="F6180" s="33">
        <x:v>1401757300</x:v>
      </x:c>
      <x:c r="G6180" s="32" t="n">
        <x:f t="shared" si="279">AVERAGE(E5981:E6180)</x:f>
        <x:v>1535.9644000000005</x:v>
      </x:c>
      <x:c r="H6180" s="37" t="n">
        <x:f t="shared" si="280">IFERROR(E6180/G6180-1,"")</x:f>
        <x:v>0.23338796133556183</x:v>
      </x:c>
      <x:c r="I6180" s="38" t="b">
        <x:f t="shared" si="281">E6180&lt;G6180</x:f>
        <x:v>0</x:v>
      </x:c>
    </x:row>
    <x:row r="6181">
      <x:c r="A6181" s="31">
        <x:v>46037</x:v>
      </x:c>
      <x:c r="B6181" s="32">
        <x:v>1883.7</x:v>
      </x:c>
      <x:c r="C6181" s="32">
        <x:v>1884.19</x:v>
      </x:c>
      <x:c r="D6181" s="32">
        <x:v>1845.95</x:v>
      </x:c>
      <x:c r="E6181" s="32">
        <x:v>1864.8</x:v>
      </x:c>
      <x:c r="F6181" s="33">
        <x:v>1267856000</x:v>
      </x:c>
      <x:c r="G6181" s="32" t="n">
        <x:f t="shared" si="279">AVERAGE(E5982:E6181)</x:f>
        <x:v>1538.7541000000003</x:v>
      </x:c>
      <x:c r="H6181" s="37" t="n">
        <x:f t="shared" si="280">IFERROR(E6181/G6181-1,"")</x:f>
        <x:v>0.21188954102543067</x:v>
      </x:c>
      <x:c r="I6181" s="38" t="b">
        <x:f t="shared" si="281">E6181&lt;G6181</x:f>
        <x:v>0</x:v>
      </x:c>
    </x:row>
    <x:row r="6182">
      <x:c r="A6182" s="31">
        <x:v>46038</x:v>
      </x:c>
      <x:c r="B6182" s="32">
        <x:v>1875.14</x:v>
      </x:c>
      <x:c r="C6182" s="32">
        <x:v>1901.22</x:v>
      </x:c>
      <x:c r="D6182" s="32">
        <x:v>1873.31</x:v>
      </x:c>
      <x:c r="E6182" s="32">
        <x:v>1879.13</x:v>
      </x:c>
      <x:c r="F6182" s="33">
        <x:v>1058372200</x:v>
      </x:c>
      <x:c r="G6182" s="32" t="n">
        <x:f t="shared" si="279">AVERAGE(E5983:E6182)</x:f>
        <x:v>1541.5631000000003</x:v>
      </x:c>
      <x:c r="H6182" s="37" t="n">
        <x:f t="shared" si="280">IFERROR(E6182/G6182-1,"")</x:f>
        <x:v>0.21897702403489006</x:v>
      </x:c>
      <x:c r="I6182" s="38" t="b">
        <x:f t="shared" si="281">E6182&lt;G6182</x:f>
        <x:v>0</x:v>
      </x:c>
    </x:row>
    <x:row r="6183">
      <x:c r="A6183" s="31">
        <x:v>46041</x:v>
      </x:c>
      <x:c r="B6183" s="32">
        <x:v>1894.79</x:v>
      </x:c>
      <x:c r="C6183" s="32">
        <x:v>1898.24</x:v>
      </x:c>
      <x:c r="D6183" s="32">
        <x:v>1874.69</x:v>
      </x:c>
      <x:c r="E6183" s="32">
        <x:v>1896.59</x:v>
      </x:c>
      <x:c r="F6183" s="33">
        <x:v>893401300</x:v>
      </x:c>
      <x:c r="G6183" s="32" t="n">
        <x:f t="shared" si="279">AVERAGE(E5984:E6183)</x:f>
        <x:v>1544.4569000000006</x:v>
      </x:c>
      <x:c r="H6183" s="37" t="n">
        <x:f t="shared" si="280">IFERROR(E6183/G6183-1,"")</x:f>
        <x:v>0.2279980101743202</x:v>
      </x:c>
      <x:c r="I6183" s="38" t="b">
        <x:f t="shared" si="281">E6183&lt;G6183</x:f>
        <x:v>0</x:v>
      </x:c>
    </x:row>
    <x:row r="6184">
      <x:c r="A6184" s="31">
        <x:v>46042</x:v>
      </x:c>
      <x:c r="B6184" s="32">
        <x:v>1904.58</x:v>
      </x:c>
      <x:c r="C6184" s="32">
        <x:v>1915.11</x:v>
      </x:c>
      <x:c r="D6184" s="32">
        <x:v>1884.6</x:v>
      </x:c>
      <x:c r="E6184" s="32">
        <x:v>1893.78</x:v>
      </x:c>
      <x:c r="F6184" s="33">
        <x:v>1056696800</x:v>
      </x:c>
      <x:c r="G6184" s="32" t="n">
        <x:f t="shared" si="279">AVERAGE(E5985:E6184)</x:f>
        <x:v>1547.7766000000008</x:v>
      </x:c>
      <x:c r="H6184" s="37" t="n">
        <x:f t="shared" si="280">IFERROR(E6184/G6184-1,"")</x:f>
        <x:v>0.22354866974988452</x:v>
      </x:c>
      <x:c r="I6184" s="38" t="b">
        <x:f t="shared" si="281">E6184&lt;G6184</x:f>
        <x:v>0</x:v>
      </x:c>
    </x:row>
    <x:row r="6185">
      <x:c r="A6185" s="31">
        <x:v>46043</x:v>
      </x:c>
      <x:c r="B6185" s="32">
        <x:v>1876.96</x:v>
      </x:c>
      <x:c r="C6185" s="32">
        <x:v>1894.22</x:v>
      </x:c>
      <x:c r="D6185" s="32">
        <x:v>1859.25</x:v>
      </x:c>
      <x:c r="E6185" s="32">
        <x:v>1885.44</x:v>
      </x:c>
      <x:c r="F6185" s="33">
        <x:v>1202609000</x:v>
      </x:c>
      <x:c r="G6185" s="32" t="n">
        <x:f t="shared" si="279">AVERAGE(E5986:E6185)</x:f>
        <x:v>1551.1504500000008</x:v>
      </x:c>
      <x:c r="H6185" s="37" t="n">
        <x:f t="shared" si="280">IFERROR(E6185/G6185-1,"")</x:f>
        <x:v>0.21551071980155068</x:v>
      </x:c>
      <x:c r="I6185" s="38" t="b">
        <x:f t="shared" si="281">E6185&lt;G6185</x:f>
        <x:v>0</x:v>
      </x:c>
    </x:row>
    <x:row r="6186">
      <x:c r="A6186" s="31">
        <x:v>46044</x:v>
      </x:c>
      <x:c r="B6186" s="32">
        <x:v>1895.08</x:v>
      </x:c>
      <x:c r="C6186" s="32">
        <x:v>1904.56</x:v>
      </x:c>
      <x:c r="D6186" s="32">
        <x:v>1874.81</x:v>
      </x:c>
      <x:c r="E6186" s="32">
        <x:v>1882.73</x:v>
      </x:c>
      <x:c r="F6186" s="33">
        <x:v>993672600</x:v>
      </x:c>
      <x:c r="G6186" s="32" t="n">
        <x:f t="shared" si="279">AVERAGE(E5987:E6186)</x:f>
        <x:v>1554.9001500000006</x:v>
      </x:c>
      <x:c r="H6186" s="37" t="n">
        <x:f t="shared" si="280">IFERROR(E6186/G6186-1,"")</x:f>
        <x:v>0.21083659294778467</x:v>
      </x:c>
      <x:c r="I6186" s="38" t="b">
        <x:f t="shared" si="281">E6186&lt;G6186</x:f>
        <x:v>0</x:v>
      </x:c>
    </x:row>
    <x:row r="6187">
      <x:c r="A6187" s="31">
        <x:v>46045</x:v>
      </x:c>
      <x:c r="B6187" s="32">
        <x:v>1890.39</x:v>
      </x:c>
      <x:c r="C6187" s="32">
        <x:v>1898.83</x:v>
      </x:c>
      <x:c r="D6187" s="32">
        <x:v>1866.71</x:v>
      </x:c>
      <x:c r="E6187" s="32">
        <x:v>1870.79</x:v>
      </x:c>
      <x:c r="F6187" s="33">
        <x:v>909832900</x:v>
      </x:c>
      <x:c r="G6187" s="32" t="n">
        <x:f t="shared" si="279">AVERAGE(E5988:E6187)</x:f>
        <x:v>1558.7826000000007</x:v>
      </x:c>
      <x:c r="H6187" s="37" t="n">
        <x:f t="shared" si="280">IFERROR(E6187/G6187-1,"")</x:f>
        <x:v>0.2001609461126903</x:v>
      </x:c>
      <x:c r="I6187" s="38" t="b">
        <x:f t="shared" si="281">E6187&lt;G6187</x:f>
        <x:v>0</x:v>
      </x:c>
    </x:row>
    <x:row r="6188">
      <x:c r="A6188" s="31">
        <x:v>46048</x:v>
      </x:c>
      <x:c r="B6188" s="32">
        <x:v>1876.81</x:v>
      </x:c>
      <x:c r="C6188" s="32">
        <x:v>1879.45</x:v>
      </x:c>
      <x:c r="D6188" s="32">
        <x:v>1833.21</x:v>
      </x:c>
      <x:c r="E6188" s="32">
        <x:v>1843.72</x:v>
      </x:c>
      <x:c r="F6188" s="33">
        <x:v>1058286200</x:v>
      </x:c>
      <x:c r="G6188" s="32" t="n">
        <x:f t="shared" si="279">AVERAGE(E5989:E6188)</x:f>
        <x:v>1562.1595000000007</x:v>
      </x:c>
      <x:c r="H6188" s="37" t="n">
        <x:f t="shared" si="280">IFERROR(E6188/G6188-1,"")</x:f>
        <x:v>0.18023799746440705</x:v>
      </x:c>
      <x:c r="I6188" s="38" t="b">
        <x:f t="shared" si="281">E6188&lt;G6188</x:f>
        <x:v>0</x:v>
      </x:c>
    </x:row>
    <x:row r="6189">
      <x:c r="A6189" s="31">
        <x:v>46049</x:v>
      </x:c>
      <x:c r="B6189" s="32">
        <x:v>1843.94</x:v>
      </x:c>
      <x:c r="C6189" s="32">
        <x:v>1845.7</x:v>
      </x:c>
      <x:c r="D6189" s="32">
        <x:v>1821.79</x:v>
      </x:c>
      <x:c r="E6189" s="32">
        <x:v>1830.5</x:v>
      </x:c>
      <x:c r="F6189" s="33">
        <x:v>805720400</x:v>
      </x:c>
      <x:c r="G6189" s="32" t="n">
        <x:f t="shared" si="279">AVERAGE(E5990:E6189)</x:f>
        <x:v>1565.1997000000006</x:v>
      </x:c>
      <x:c r="H6189" s="37" t="n">
        <x:f t="shared" si="280">IFERROR(E6189/G6189-1,"")</x:f>
        <x:v>0.16949932970214565</x:v>
      </x:c>
      <x:c r="I6189" s="38" t="b">
        <x:f t="shared" si="281">E6189&lt;G6189</x:f>
        <x:v>0</x:v>
      </x:c>
    </x:row>
    <x:row r="6190">
      <x:c r="A6190" s="31">
        <x:v>46050</x:v>
      </x:c>
      <x:c r="B6190" s="32">
        <x:v>1837.67</x:v>
      </x:c>
      <x:c r="C6190" s="32">
        <x:v>1842.61</x:v>
      </x:c>
      <x:c r="D6190" s="32">
        <x:v>1793.13</x:v>
      </x:c>
      <x:c r="E6190" s="32">
        <x:v>1802.91</x:v>
      </x:c>
      <x:c r="F6190" s="33">
        <x:v>923730200</x:v>
      </x:c>
      <x:c r="G6190" s="32" t="n">
        <x:f t="shared" si="279">AVERAGE(E5991:E6190)</x:f>
        <x:v>1568.0070500000004</x:v>
      </x:c>
      <x:c r="H6190" s="37" t="n">
        <x:f t="shared" si="280">IFERROR(E6190/G6190-1,"")</x:f>
        <x:v>0.14980988127572492</x:v>
      </x:c>
      <x:c r="I6190" s="38" t="b">
        <x:f t="shared" si="281">E6190&lt;G6190</x:f>
        <x:v>0</x:v>
      </x:c>
    </x:row>
    <x:row r="6191">
      <x:c r="A6191" s="31">
        <x:v>46051</x:v>
      </x:c>
      <x:c r="B6191" s="32">
        <x:v>1804.15</x:v>
      </x:c>
      <x:c r="C6191" s="32">
        <x:v>1815.13</x:v>
      </x:c>
      <x:c r="D6191" s="32">
        <x:v>1797.32</x:v>
      </x:c>
      <x:c r="E6191" s="32">
        <x:v>1814.98</x:v>
      </x:c>
      <x:c r="F6191" s="33">
        <x:v>727099500</x:v>
      </x:c>
      <x:c r="G6191" s="32" t="n">
        <x:f t="shared" si="279">AVERAGE(E5992:E6191)</x:f>
        <x:v>1570.9430000000004</x:v>
      </x:c>
      <x:c r="H6191" s="37" t="n">
        <x:f t="shared" si="280">IFERROR(E6191/G6191-1,"")</x:f>
        <x:v>0.1553442741079718</x:v>
      </x:c>
      <x:c r="I6191" s="38" t="b">
        <x:f t="shared" si="281">E6191&lt;G6191</x:f>
        <x:v>0</x:v>
      </x:c>
    </x:row>
    <x:row r="6192">
      <x:c r="A6192" s="31">
        <x:v>46052</x:v>
      </x:c>
      <x:c r="B6192" s="32">
        <x:v>1822.1</x:v>
      </x:c>
      <x:c r="C6192" s="32">
        <x:v>1831.97</x:v>
      </x:c>
      <x:c r="D6192" s="32">
        <x:v>1813.81</x:v>
      </x:c>
      <x:c r="E6192" s="32">
        <x:v>1829.04</x:v>
      </x:c>
      <x:c r="F6192" s="33">
        <x:v>913816900</x:v>
      </x:c>
      <x:c r="G6192" s="32" t="n">
        <x:f t="shared" si="279">AVERAGE(E5993:E6192)</x:f>
        <x:v>1574.0367000000003</x:v>
      </x:c>
      <x:c r="H6192" s="37" t="n">
        <x:f t="shared" si="280">IFERROR(E6192/G6192-1,"")</x:f>
        <x:v>0.16200594306346194</x:v>
      </x:c>
      <x:c r="I6192" s="38" t="b">
        <x:f t="shared" si="281">E6192&lt;G6192</x:f>
        <x:v>0</x:v>
      </x:c>
    </x:row>
    <x:row r="6193">
      <x:c r="A6193" s="31">
        <x:v>46055</x:v>
      </x:c>
      <x:c r="B6193" s="32">
        <x:v>1824.1</x:v>
      </x:c>
      <x:c r="C6193" s="32">
        <x:v>1827.91</x:v>
      </x:c>
      <x:c r="D6193" s="32">
        <x:v>1777.85</x:v>
      </x:c>
      <x:c r="E6193" s="32">
        <x:v>1806.5</x:v>
      </x:c>
      <x:c r="F6193" s="33">
        <x:v>968507400</x:v>
      </x:c>
      <x:c r="G6193" s="32" t="n">
        <x:f t="shared" si="279">AVERAGE(E5994:E6193)</x:f>
        <x:v>1576.9829500000008</x:v>
      </x:c>
      <x:c r="H6193" s="37" t="n">
        <x:f t="shared" si="280">IFERROR(E6193/G6193-1,"")</x:f>
        <x:v>0.14554187158459708</x:v>
      </x:c>
      <x:c r="I6193" s="38" t="b">
        <x:f t="shared" si="281">E6193&lt;G6193</x:f>
        <x:v>0</x:v>
      </x:c>
    </x:row>
    <x:row r="6194">
      <x:c r="A6194" s="31">
        <x:v>46056</x:v>
      </x:c>
      <x:c r="B6194" s="32">
        <x:v>1807.09</x:v>
      </x:c>
      <x:c r="C6194" s="32">
        <x:v>1827.22</x:v>
      </x:c>
      <x:c r="D6194" s="32">
        <x:v>1805.22</x:v>
      </x:c>
      <x:c r="E6194" s="32">
        <x:v>1813.4</x:v>
      </x:c>
      <x:c r="F6194" s="33">
        <x:v>981309300</x:v>
      </x:c>
      <x:c r="G6194" s="32" t="n">
        <x:f t="shared" si="279">AVERAGE(E5995:E6194)</x:f>
        <x:v>1579.9543500000007</x:v>
      </x:c>
      <x:c r="H6194" s="37" t="n">
        <x:f t="shared" si="280">IFERROR(E6194/G6194-1,"")</x:f>
        <x:v>0.14775468038048012</x:v>
      </x:c>
      <x:c r="I6194" s="38" t="b">
        <x:f t="shared" si="281">E6194&lt;G6194</x:f>
        <x:v>0</x:v>
      </x:c>
    </x:row>
    <x:row r="6195">
      <x:c r="A6195" s="31">
        <x:v>46057</x:v>
      </x:c>
      <x:c r="B6195" s="32">
        <x:v>1813.87</x:v>
      </x:c>
      <x:c r="C6195" s="32">
        <x:v>1813.87</x:v>
      </x:c>
      <x:c r="D6195" s="32">
        <x:v>1780.71</x:v>
      </x:c>
      <x:c r="E6195" s="32">
        <x:v>1791.43</x:v>
      </x:c>
      <x:c r="F6195" s="33">
        <x:v>1049958700</x:v>
      </x:c>
      <x:c r="G6195" s="32" t="n">
        <x:f t="shared" si="279">AVERAGE(E5996:E6195)</x:f>
        <x:v>1582.8761500000005</x:v>
      </x:c>
      <x:c r="H6195" s="37" t="n">
        <x:f t="shared" si="280">IFERROR(E6195/G6195-1,"")</x:f>
        <x:v>0.1317562653275175</x:v>
      </x:c>
      <x:c r="I6195" s="38" t="b">
        <x:f t="shared" si="281">E6195&lt;G6195</x:f>
        <x:v>0</x:v>
      </x:c>
    </x:row>
    <x:row r="6196">
      <x:c r="A6196" s="31">
        <x:v>46058</x:v>
      </x:c>
      <x:c r="B6196" s="32">
        <x:v>1789.14</x:v>
      </x:c>
      <x:c r="C6196" s="32">
        <x:v>1800.1</x:v>
      </x:c>
      <x:c r="D6196" s="32">
        <x:v>1782.18</x:v>
      </x:c>
      <x:c r="E6196" s="32">
        <x:v>1782.56</x:v>
      </x:c>
      <x:c r="F6196" s="33">
        <x:v>767650700</x:v>
      </x:c>
      <x:c r="G6196" s="32" t="n">
        <x:f t="shared" si="279">AVERAGE(E5997:E6196)</x:f>
        <x:v>1585.8033000000005</x:v>
      </x:c>
      <x:c r="H6196" s="37" t="n">
        <x:f t="shared" si="280">IFERROR(E6196/G6196-1,"")</x:f>
        <x:v>0.12407383690020035</x:v>
      </x:c>
      <x:c r="I6196" s="38" t="b">
        <x:f t="shared" si="281">E6196&lt;G6196</x:f>
        <x:v>0</x:v>
      </x:c>
    </x:row>
    <x:row r="6197">
      <x:c r="A6197" s="31">
        <x:v>46059</x:v>
      </x:c>
      <x:c r="B6197" s="32">
        <x:v>1767.88</x:v>
      </x:c>
      <x:c r="C6197" s="32">
        <x:v>1782.34</x:v>
      </x:c>
      <x:c r="D6197" s="32">
        <x:v>1755.49</x:v>
      </x:c>
      <x:c r="E6197" s="32">
        <x:v>1755.49</x:v>
      </x:c>
      <x:c r="F6197" s="33">
        <x:v>1091262400</x:v>
      </x:c>
      <x:c r="G6197" s="32" t="n">
        <x:f t="shared" si="279">AVERAGE(E5998:E6197)</x:f>
        <x:v>1588.52575</x:v>
      </x:c>
      <x:c r="H6197" s="37" t="n">
        <x:f t="shared" si="280">IFERROR(E6197/G6197-1,"")</x:f>
        <x:v>0.10510641706626411</x:v>
      </x:c>
      <x:c r="I6197" s="38" t="b">
        <x:f t="shared" si="281">E6197&lt;G6197</x:f>
        <x:v>0</x:v>
      </x:c>
    </x:row>
    <x:row r="6198">
      <x:c r="A6198" s="31">
        <x:v>46062</x:v>
      </x:c>
      <x:c r="B6198" s="32">
        <x:v>1769.76</x:v>
      </x:c>
      <x:c r="C6198" s="32">
        <x:v>1771.73</x:v>
      </x:c>
      <x:c r="D6198" s="32">
        <x:v>1749.87</x:v>
      </x:c>
      <x:c r="E6198" s="32">
        <x:v>1754.82</x:v>
      </x:c>
      <x:c r="F6198" s="33">
        <x:v>564237500</x:v>
      </x:c>
      <x:c r="G6198" s="32" t="n">
        <x:f t="shared" si="279">AVERAGE(E5999:E6198)</x:f>
        <x:v>1591.1831000000002</x:v>
      </x:c>
      <x:c r="H6198" s="37" t="n">
        <x:f t="shared" si="280">IFERROR(E6198/G6198-1,"")</x:f>
        <x:v>0.10283976746610723</x:v>
      </x:c>
      <x:c r="I6198" s="38" t="b">
        <x:f t="shared" si="281">E6198&lt;G6198</x:f>
        <x:v>0</x:v>
      </x:c>
    </x:row>
    <x:row r="6199">
      <x:c r="A6199" s="31">
        <x:v>46063</x:v>
      </x:c>
      <x:c r="B6199" s="32">
        <x:v>1756</x:v>
      </x:c>
      <x:c r="C6199" s="32">
        <x:v>1776.24</x:v>
      </x:c>
      <x:c r="D6199" s="32">
        <x:v>1741.37</x:v>
      </x:c>
      <x:c r="E6199" s="32">
        <x:v>1754.03</x:v>
      </x:c>
      <x:c r="F6199" s="33">
        <x:v>782487900</x:v>
      </x:c>
      <x:c r="G6199" s="32" t="n">
        <x:f t="shared" si="279">AVERAGE(E6000:E6199)</x:f>
        <x:v>1593.8071000000004</x:v>
      </x:c>
      <x:c r="H6199" s="37" t="n">
        <x:f t="shared" si="280">IFERROR(E6199/G6199-1,"")</x:f>
        <x:v>0.10052841400944912</x:v>
      </x:c>
      <x:c r="I6199" s="38" t="b">
        <x:f t="shared" si="281">E6199&lt;G6199</x:f>
        <x:v>0</x:v>
      </x:c>
    </x:row>
    <x:row r="6200">
      <x:c r="A6200" s="31">
        <x:v>46064</x:v>
      </x:c>
      <x:c r="B6200" s="32">
        <x:v>1768.18</x:v>
      </x:c>
      <x:c r="C6200" s="32">
        <x:v>1799.92</x:v>
      </x:c>
      <x:c r="D6200" s="32">
        <x:v>1763.96</x:v>
      </x:c>
      <x:c r="E6200" s="32">
        <x:v>1796.85</x:v>
      </x:c>
      <x:c r="F6200" s="33">
        <x:v>883010000</x:v>
      </x:c>
      <x:c r="G6200" s="32" t="n">
        <x:f t="shared" si="279">AVERAGE(E6001:E6200)</x:f>
        <x:v>1596.6573500000004</x:v>
      </x:c>
      <x:c r="H6200" s="37" t="n">
        <x:f t="shared" si="280">IFERROR(E6200/G6200-1,"")</x:f>
        <x:v>0.12538234956924188</x:v>
      </x:c>
      <x:c r="I6200" s="38" t="b">
        <x:f t="shared" si="281">E6200&lt;G6200</x:f>
        <x:v>0</x:v>
      </x:c>
    </x:row>
    <x:row r="6201">
      <x:c r="A6201" s="31">
        <x:v>46065</x:v>
      </x:c>
      <x:c r="B6201" s="32">
        <x:v>1809.01</x:v>
      </x:c>
      <x:c r="C6201" s="32">
        <x:v>1816.11</x:v>
      </x:c>
      <x:c r="D6201" s="32">
        <x:v>1804.6</x:v>
      </x:c>
      <x:c r="E6201" s="32">
        <x:v>1814.09</x:v>
      </x:c>
      <x:c r="F6201" s="33">
        <x:v>504232200</x:v>
      </x:c>
      <x:c r="G6201" s="32" t="n">
        <x:f t="shared" si="279">AVERAGE(E6002:E6201)</x:f>
        <x:v>1599.5963000000004</x:v>
      </x:c>
      <x:c r="H6201" s="37" t="n">
        <x:f t="shared" si="280">IFERROR(E6201/G6201-1,"")</x:f>
        <x:v>0.13409239568758657</x:v>
      </x:c>
      <x:c r="I6201" s="38" t="b">
        <x:f t="shared" si="281">E6201&lt;G6201</x:f>
        <x:v>0</x:v>
      </x:c>
    </x:row>
    <x:row r="6202">
      <x:c r="A6202" s="31">
        <x:v>46066</x:v>
      </x:c>
      <x:c r="B6202" s="32">
        <x:v>1818.07</x:v>
      </x:c>
      <x:c r="C6202" s="32">
        <x:v>1824.19</x:v>
      </x:c>
      <x:c r="D6202" s="32">
        <x:v>1792.91</x:v>
      </x:c>
      <x:c r="E6202" s="32">
        <x:v>1824.09</x:v>
      </x:c>
      <x:c r="F6202" s="33">
        <x:v>623845100</x:v>
      </x:c>
      <x:c r="G6202" s="32" t="n">
        <x:f t="shared" si="279">AVERAGE(E6003:E6202)</x:f>
        <x:v>1602.5165000000002</x:v>
      </x:c>
      <x:c r="H6202" s="37" t="n">
        <x:f t="shared" si="280">IFERROR(E6202/G6202-1,"")</x:f>
        <x:v>0.1382659710524039</x:v>
      </x:c>
      <x:c r="I6202" s="38" t="b">
        <x:f t="shared" si="281">E6202&lt;G6202</x:f>
        <x:v>0</x:v>
      </x:c>
    </x:row>
    <x:row r="6203">
      <x:c r="A6203" s="31">
        <x:v>46076</x:v>
      </x:c>
      <x:c r="B6203" s="32">
        <x:v>1833.9</x:v>
      </x:c>
      <x:c r="C6203" s="32">
        <x:v>1863.13</x:v>
      </x:c>
      <x:c r="D6203" s="32">
        <x:v>1833.9</x:v>
      </x:c>
      <x:c r="E6203" s="32">
        <x:v>1860.14</x:v>
      </x:c>
      <x:c r="F6203" s="33">
        <x:v>788482900</x:v>
      </x:c>
      <x:c r="G6203" s="32" t="n">
        <x:f t="shared" si="279">AVERAGE(E6004:E6203)</x:f>
        <x:v>1605.6074500000004</x:v>
      </x:c>
      <x:c r="H6203" s="37" t="n">
        <x:f t="shared" si="280">IFERROR(E6203/G6203-1,"")</x:f>
        <x:v>0.15852726019675578</x:v>
      </x:c>
      <x:c r="I6203" s="38" t="b">
        <x:f t="shared" si="281">E6203&lt;G6203</x:f>
        <x:v>0</x:v>
      </x:c>
    </x:row>
    <x:row r="6204">
      <x:c r="A6204" s="31">
        <x:v>46077</x:v>
      </x:c>
      <x:c r="B6204" s="32">
        <x:v>1862.18</x:v>
      </x:c>
      <x:c r="C6204" s="32">
        <x:v>1867.69</x:v>
      </x:c>
      <x:c r="D6204" s="32">
        <x:v>1849.6</x:v>
      </x:c>
      <x:c r="E6204" s="32">
        <x:v>1867.62</x:v>
      </x:c>
      <x:c r="F6204" s="33">
        <x:v>1049005400</x:v>
      </x:c>
      <x:c r="G6204" s="32" t="n">
        <x:f t="shared" si="279">AVERAGE(E6005:E6204)</x:f>
        <x:v>1608.6937000000005</x:v>
      </x:c>
      <x:c r="H6204" s="37" t="n">
        <x:f t="shared" si="280">IFERROR(E6204/G6204-1,"")</x:f>
        <x:v>0.16095438180680355</x:v>
      </x:c>
      <x:c r="I6204" s="38" t="b">
        <x:f t="shared" si="281">E6204&lt;G6204</x:f>
        <x:v>0</x:v>
      </x:c>
    </x:row>
    <x:row r="6205">
      <x:c r="A6205" s="31">
        <x:v>46078</x:v>
      </x:c>
      <x:c r="B6205" s="32">
        <x:v>1869.49</x:v>
      </x:c>
      <x:c r="C6205" s="32">
        <x:v>1876.01</x:v>
      </x:c>
      <x:c r="D6205" s="32">
        <x:v>1855.89</x:v>
      </x:c>
      <x:c r="E6205" s="32">
        <x:v>1860.91</x:v>
      </x:c>
      <x:c r="F6205" s="33">
        <x:v>1191505500</x:v>
      </x:c>
      <x:c r="G6205" s="32" t="n">
        <x:f t="shared" si="279">AVERAGE(E6006:E6205)</x:f>
        <x:v>1611.6492500000002</x:v>
      </x:c>
      <x:c r="H6205" s="37" t="n">
        <x:f t="shared" si="280">IFERROR(E6205/G6205-1,"")</x:f>
        <x:v>0.15466190922125267</x:v>
      </x:c>
      <x:c r="I6205" s="38" t="b">
        <x:f t="shared" si="281">E6205&lt;G6205</x:f>
        <x:v>0</x:v>
      </x:c>
    </x:row>
    <x:row r="6206">
      <x:c r="A6206" s="31">
        <x:v>46079</x:v>
      </x:c>
      <x:c r="B6206" s="32">
        <x:v>1861.16</x:v>
      </x:c>
      <x:c r="C6206" s="32">
        <x:v>1882.17</x:v>
      </x:c>
      <x:c r="D6206" s="32">
        <x:v>1859.04</x:v>
      </x:c>
      <x:c r="E6206" s="32">
        <x:v>1879.64</x:v>
      </x:c>
      <x:c r="F6206" s="33">
        <x:v>828408200</x:v>
      </x:c>
      <x:c r="G6206" s="32" t="n">
        <x:f t="shared" si="279">AVERAGE(E6007:E6206)</x:f>
        <x:v>1614.7109500000004</x:v>
      </x:c>
      <x:c r="H6206" s="37" t="n">
        <x:f t="shared" si="280">IFERROR(E6206/G6206-1,"")</x:f>
        <x:v>0.1640721207718321</x:v>
      </x:c>
      <x:c r="I6206" s="38" t="b">
        <x:f t="shared" si="281">E6206&lt;G6206</x:f>
        <x:v>0</x:v>
      </x:c>
    </x:row>
    <x:row r="6207">
      <x:c r="A6207" s="31">
        <x:v>46080</x:v>
      </x:c>
      <x:c r="B6207" s="32">
        <x:v>1883.12</x:v>
      </x:c>
      <x:c r="C6207" s="32">
        <x:v>1899.44</x:v>
      </x:c>
      <x:c r="D6207" s="32">
        <x:v>1863.31</x:v>
      </x:c>
      <x:c r="E6207" s="32">
        <x:v>1880.33</x:v>
      </x:c>
      <x:c r="F6207" s="33">
        <x:v>932132800</x:v>
      </x:c>
      <x:c r="G6207" s="32" t="n">
        <x:f t="shared" si="279">AVERAGE(E6008:E6207)</x:f>
        <x:v>1617.6963000000003</x:v>
      </x:c>
      <x:c r="H6207" s="37" t="n">
        <x:f t="shared" si="280">IFERROR(E6207/G6207-1,"")</x:f>
        <x:v>0.16235043623453893</x:v>
      </x:c>
      <x:c r="I6207" s="38" t="b">
        <x:f t="shared" si="281">E6207&lt;G6207</x:f>
        <x:v>0</x:v>
      </x:c>
    </x:row>
    <x:row r="6208">
      <x:c r="A6208" s="31">
        <x:v>46083</x:v>
      </x:c>
      <x:c r="B6208" s="32">
        <x:v>1876.01</x:v>
      </x:c>
      <x:c r="C6208" s="32">
        <x:v>1885.14</x:v>
      </x:c>
      <x:c r="D6208" s="32">
        <x:v>1844.25</x:v>
      </x:c>
      <x:c r="E6208" s="32">
        <x:v>1846.1</x:v>
      </x:c>
      <x:c r="F6208" s="33">
        <x:v>1526548500</x:v>
      </x:c>
      <x:c r="G6208" s="32" t="n">
        <x:f t="shared" si="279">AVERAGE(E6009:E6208)</x:f>
        <x:v>1620.45965</x:v>
      </x:c>
      <x:c r="H6208" s="37" t="n">
        <x:f t="shared" si="280">IFERROR(E6208/G6208-1,"")</x:f>
        <x:v>0.13924465814375564</x:v>
      </x:c>
      <x:c r="I6208" s="38" t="b">
        <x:f t="shared" si="281">E6208&lt;G6208</x:f>
        <x:v>0</x:v>
      </x:c>
    </x:row>
    <x:row r="6209">
      <x:c r="A6209" s="31">
        <x:v>46084</x:v>
      </x:c>
      <x:c r="B6209" s="32">
        <x:v>1854.28</x:v>
      </x:c>
      <x:c r="C6209" s="32">
        <x:v>1854.28</x:v>
      </x:c>
      <x:c r="D6209" s="32">
        <x:v>1808.55</x:v>
      </x:c>
      <x:c r="E6209" s="32">
        <x:v>1813.14</x:v>
      </x:c>
      <x:c r="F6209" s="33">
        <x:v>1332045400</x:v>
      </x:c>
      <x:c r="G6209" s="32" t="n">
        <x:f t="shared" si="279">AVERAGE(E6010:E6209)</x:f>
        <x:v>1622.9767000000002</x:v>
      </x:c>
      <x:c r="H6209" s="37" t="n">
        <x:f t="shared" si="280">IFERROR(E6209/G6209-1,"")</x:f>
        <x:v>0.11716945782400945</x:v>
      </x:c>
      <x:c r="I6209" s="38" t="b">
        <x:f t="shared" si="281">E6209&lt;G6209</x:f>
        <x:v>0</x:v>
      </x:c>
    </x:row>
    <x:row r="6210">
      <x:c r="A6210" s="31">
        <x:v>46085</x:v>
      </x:c>
      <x:c r="B6210" s="32">
        <x:v>1803.54</x:v>
      </x:c>
      <x:c r="C6210" s="32">
        <x:v>1833.33</x:v>
      </x:c>
      <x:c r="D6210" s="32">
        <x:v>1766.86</x:v>
      </x:c>
      <x:c r="E6210" s="32">
        <x:v>1767.46</x:v>
      </x:c>
      <x:c r="F6210" s="33">
        <x:v>1577207600</x:v>
      </x:c>
      <x:c r="G6210" s="32" t="n">
        <x:f t="shared" si="279">AVERAGE(E6011:E6210)</x:f>
        <x:v>1625.2480000000003</x:v>
      </x:c>
      <x:c r="H6210" s="37" t="n">
        <x:f t="shared" si="280">IFERROR(E6210/G6210-1,"")</x:f>
        <x:v>0.08750172281399493</x:v>
      </x:c>
      <x:c r="I6210" s="38" t="b">
        <x:f t="shared" si="281">E6210&lt;G6210</x:f>
        <x:v>0</x:v>
      </x:c>
    </x:row>
    <x:row r="6211">
      <x:c r="A6211" s="31">
        <x:v>46086</x:v>
      </x:c>
      <x:c r="B6211" s="32">
        <x:v>1837.4</x:v>
      </x:c>
      <x:c r="C6211" s="32">
        <x:v>1849.01</x:v>
      </x:c>
      <x:c r="D6211" s="32">
        <x:v>1806.37</x:v>
      </x:c>
      <x:c r="E6211" s="32">
        <x:v>1808.51</x:v>
      </x:c>
      <x:c r="F6211" s="33">
        <x:v>1159196900</x:v>
      </x:c>
      <x:c r="G6211" s="32" t="n">
        <x:f t="shared" si="279">AVERAGE(E6012:E6211)</x:f>
        <x:v>1627.7836000000002</x:v>
      </x:c>
      <x:c r="H6211" s="37" t="n">
        <x:f t="shared" si="280">IFERROR(E6211/G6211-1,"")</x:f>
        <x:v>0.1110260602207811</x:v>
      </x:c>
      <x:c r="I6211" s="38" t="b">
        <x:f t="shared" si="281">E6211&lt;G6211</x:f>
        <x:v>0</x:v>
      </x:c>
    </x:row>
    <x:row r="6212">
      <x:c r="A6212" s="31">
        <x:v>46087</x:v>
      </x:c>
      <x:c r="B6212" s="32">
        <x:v>1801.08</x:v>
      </x:c>
      <x:c r="C6212" s="32">
        <x:v>1807.31</x:v>
      </x:c>
      <x:c r="D6212" s="32">
        <x:v>1767.84</x:v>
      </x:c>
      <x:c r="E6212" s="32">
        <x:v>1767.84</x:v>
      </x:c>
      <x:c r="F6212" s="33">
        <x:v>1022839500</x:v>
      </x:c>
      <x:c r="G6212" s="32" t="n">
        <x:f t="shared" si="279">AVERAGE(E6013:E6212)</x:f>
        <x:v>1630.14135</x:v>
      </x:c>
      <x:c r="H6212" s="37" t="n">
        <x:f t="shared" si="280">IFERROR(E6212/G6212-1,"")</x:f>
        <x:v>0.08447037430220372</x:v>
      </x:c>
      <x:c r="I6212" s="38" t="b">
        <x:f t="shared" si="281">E6212&lt;G6212</x:f>
        <x:v>0</x:v>
      </x:c>
    </x:row>
    <x:row r="6213">
      <x:c r="A6213" s="31">
        <x:v>46090</x:v>
      </x:c>
      <x:c r="B6213" s="32">
        <x:v>1757.73</x:v>
      </x:c>
      <x:c r="C6213" s="32">
        <x:v>1757.73</x:v>
      </x:c>
      <x:c r="D6213" s="32">
        <x:v>1650.49</x:v>
      </x:c>
      <x:c r="E6213" s="32">
        <x:v>1652.79</x:v>
      </x:c>
      <x:c r="F6213" s="33">
        <x:v>1354217000</x:v>
      </x:c>
      <x:c r="G6213" s="32" t="n">
        <x:f t="shared" si="279">AVERAGE(E6014:E6213)</x:f>
        <x:v>1631.82955</x:v>
      </x:c>
      <x:c r="H6213" s="37" t="n">
        <x:f t="shared" si="280">IFERROR(E6213/G6213-1,"")</x:f>
        <x:v>0.012844754527211455</x:v>
      </x:c>
      <x:c r="I6213" s="38" t="b">
        <x:f t="shared" si="281">E6213&lt;G6213</x:f>
        <x:v>0</x:v>
      </x:c>
    </x:row>
    <x:row r="6214">
      <x:c r="A6214" s="31">
        <x:v>46091</x:v>
      </x:c>
      <x:c r="B6214" s="32">
        <x:v>1697.87</x:v>
      </x:c>
      <x:c r="C6214" s="32">
        <x:v>1716.62</x:v>
      </x:c>
      <x:c r="D6214" s="32">
        <x:v>1651.29</x:v>
      </x:c>
      <x:c r="E6214" s="32">
        <x:v>1676.73</x:v>
      </x:c>
      <x:c r="F6214" s="33">
        <x:v>1415919700</x:v>
      </x:c>
      <x:c r="G6214" s="32" t="n">
        <x:f t="shared" si="279">AVERAGE(E6015:E6214)</x:f>
        <x:v>1633.5979499999996</x:v>
      </x:c>
      <x:c r="H6214" s="37" t="n">
        <x:f t="shared" si="280">IFERROR(E6214/G6214-1,"")</x:f>
        <x:v>0.02640309997940471</x:v>
      </x:c>
      <x:c r="I6214" s="38" t="b">
        <x:f t="shared" si="281">E6214&lt;G6214</x:f>
        <x:v>0</x:v>
      </x:c>
    </x:row>
    <x:row r="6215">
      <x:c r="A6215" s="31">
        <x:v>46092</x:v>
      </x:c>
      <x:c r="B6215" s="32">
        <x:v>1675.87</x:v>
      </x:c>
      <x:c r="C6215" s="32">
        <x:v>1729.77</x:v>
      </x:c>
      <x:c r="D6215" s="32">
        <x:v>1675.17</x:v>
      </x:c>
      <x:c r="E6215" s="32">
        <x:v>1728.34</x:v>
      </x:c>
      <x:c r="F6215" s="33">
        <x:v>973168300</x:v>
      </x:c>
      <x:c r="G6215" s="32" t="n">
        <x:f t="shared" si="279">AVERAGE(E6016:E6215)</x:f>
        <x:v>1635.6704499999998</x:v>
      </x:c>
      <x:c r="H6215" s="37" t="n">
        <x:f t="shared" si="280">IFERROR(E6215/G6215-1,"")</x:f>
        <x:v>0.0566553916774617</x:v>
      </x:c>
      <x:c r="I6215" s="38" t="b">
        <x:f t="shared" si="281">E6215&lt;G6215</x:f>
        <x:v>0</x:v>
      </x:c>
    </x:row>
    <x:row r="6216">
      <x:c r="A6216" s="31">
        <x:v>46093</x:v>
      </x:c>
      <x:c r="B6216" s="32">
        <x:v>1716.62</x:v>
      </x:c>
      <x:c r="C6216" s="32">
        <x:v>1725.52</x:v>
      </x:c>
      <x:c r="D6216" s="32">
        <x:v>1701.59</x:v>
      </x:c>
      <x:c r="E6216" s="32">
        <x:v>1709.61</x:v>
      </x:c>
      <x:c r="F6216" s="33">
        <x:v>922941200</x:v>
      </x:c>
      <x:c r="G6216" s="32" t="n">
        <x:f t="shared" si="279">AVERAGE(E6017:E6216)</x:f>
        <x:v>1637.6461999999997</x:v>
      </x:c>
      <x:c r="H6216" s="37" t="n">
        <x:f t="shared" si="280">IFERROR(E6216/G6216-1,"")</x:f>
        <x:v>0.0439434354013708</x:v>
      </x:c>
      <x:c r="I6216" s="38" t="b">
        <x:f t="shared" si="281">E6216&lt;G6216</x:f>
        <x:v>0</x:v>
      </x:c>
    </x:row>
    <x:row r="6217">
      <x:c r="A6217" s="31">
        <x:v>46094</x:v>
      </x:c>
      <x:c r="B6217" s="32">
        <x:v>1697.72</x:v>
      </x:c>
      <x:c r="C6217" s="32">
        <x:v>1716.75</x:v>
      </x:c>
      <x:c r="D6217" s="32">
        <x:v>1688.67</x:v>
      </x:c>
      <x:c r="E6217" s="32">
        <x:v>1696.24</x:v>
      </x:c>
      <x:c r="F6217" s="33">
        <x:v>940508100</x:v>
      </x:c>
      <x:c r="G6217" s="32" t="n">
        <x:f t="shared" si="279">AVERAGE(E6018:E6217)</x:f>
        <x:v>1639.4648499999996</x:v>
      </x:c>
      <x:c r="H6217" s="37" t="n">
        <x:f t="shared" si="280">IFERROR(E6217/G6217-1,"")</x:f>
        <x:v>0.03463029414750829</x:v>
      </x:c>
      <x:c r="I6217" s="38" t="b">
        <x:f t="shared" si="281">E6217&lt;G6217</x:f>
        <x:v>0</x:v>
      </x:c>
    </x:row>
    <x:row r="6218">
      <x:c r="A6218" s="31">
        <x:v>46097</x:v>
      </x:c>
      <x:c r="B6218" s="32">
        <x:v>1701.06</x:v>
      </x:c>
      <x:c r="C6218" s="32">
        <x:v>1707</x:v>
      </x:c>
      <x:c r="D6218" s="32">
        <x:v>1680.7</x:v>
      </x:c>
      <x:c r="E6218" s="32">
        <x:v>1693.21</x:v>
      </x:c>
      <x:c r="F6218" s="33">
        <x:v>794763700</x:v>
      </x:c>
      <x:c r="G6218" s="32" t="n">
        <x:f t="shared" si="279">AVERAGE(E6019:E6218)</x:f>
        <x:v>1641.2318499999994</x:v>
      </x:c>
      <x:c r="H6218" s="37" t="n">
        <x:f t="shared" si="280">IFERROR(E6218/G6218-1,"")</x:f>
        <x:v>0.031670205522760675</x:v>
      </x:c>
      <x:c r="I6218" s="38" t="b">
        <x:f t="shared" si="281">E6218&lt;G6218</x:f>
        <x:v>0</x:v>
      </x:c>
    </x:row>
    <x:row r="6219">
      <x:c r="A6219" s="31">
        <x:v>46098</x:v>
      </x:c>
      <x:c r="B6219" s="32">
        <x:v>1709.38</x:v>
      </x:c>
      <x:c r="C6219" s="32">
        <x:v>1732.31</x:v>
      </x:c>
      <x:c r="D6219" s="32">
        <x:v>1707.5</x:v>
      </x:c>
      <x:c r="E6219" s="32">
        <x:v>1710.29</x:v>
      </x:c>
      <x:c r="F6219" s="33">
        <x:v>786358900</x:v>
      </x:c>
      <x:c r="G6219" s="32" t="n">
        <x:f t="shared" si="279">AVERAGE(E6020:E6219)</x:f>
        <x:v>1643.0739499999993</x:v>
      </x:c>
      <x:c r="H6219" s="37" t="n">
        <x:f t="shared" si="280">IFERROR(E6219/G6219-1,"")</x:f>
        <x:v>0.04090871868548618</x:v>
      </x:c>
      <x:c r="I6219" s="38" t="b">
        <x:f t="shared" si="281">E6219&lt;G6219</x:f>
        <x:v>0</x:v>
      </x:c>
    </x:row>
    <x:row r="6220">
      <x:c r="A6220" s="31">
        <x:v>46099</x:v>
      </x:c>
      <x:c r="B6220" s="32">
        <x:v>1718.3</x:v>
      </x:c>
      <x:c r="C6220" s="32">
        <x:v>1742.87</x:v>
      </x:c>
      <x:c r="D6220" s="32">
        <x:v>1703.4</x:v>
      </x:c>
      <x:c r="E6220" s="32">
        <x:v>1713.83</x:v>
      </x:c>
      <x:c r="F6220" s="33">
        <x:v>772738800</x:v>
      </x:c>
      <x:c r="G6220" s="32" t="n">
        <x:f t="shared" si="279">AVERAGE(E6021:E6220)</x:f>
        <x:v>1644.9337999999996</x:v>
      </x:c>
      <x:c r="H6220" s="37" t="n">
        <x:f t="shared" si="280">IFERROR(E6220/G6220-1,"")</x:f>
        <x:v>0.04188387398933635</x:v>
      </x:c>
      <x:c r="I6220" s="38" t="b">
        <x:f t="shared" si="281">E6220&lt;G6220</x:f>
        <x:v>0</x:v>
      </x:c>
    </x:row>
    <x:row r="6221">
      <x:c r="A6221" s="31">
        <x:v>46100</x:v>
      </x:c>
      <x:c r="B6221" s="32">
        <x:v>1700.19</x:v>
      </x:c>
      <x:c r="C6221" s="32">
        <x:v>1709.47</x:v>
      </x:c>
      <x:c r="D6221" s="32">
        <x:v>1685.9</x:v>
      </x:c>
      <x:c r="E6221" s="32">
        <x:v>1699.13</x:v>
      </x:c>
      <x:c r="F6221" s="33">
        <x:v>886755400</x:v>
      </x:c>
      <x:c r="G6221" s="32" t="n">
        <x:f t="shared" ref="G6221:G6284" si="282">AVERAGE(E6022:E6221)</x:f>
        <x:v>1646.7664499999994</x:v>
      </x:c>
      <x:c r="H6221" s="37" t="n">
        <x:f t="shared" ref="H6221:H6284" si="283">IFERROR(E6221/G6221-1,"")</x:f>
        <x:v>0.0317977998640917</x:v>
      </x:c>
      <x:c r="I6221" s="38" t="b">
        <x:f t="shared" ref="I6221:I6284" si="284">E6221&lt;G6221</x:f>
        <x:v>0</x:v>
      </x:c>
    </x:row>
    <x:row r="6222">
      <x:c r="A6222" s="31">
        <x:v>46101</x:v>
      </x:c>
      <x:c r="B6222" s="32">
        <x:v>1698.62</x:v>
      </x:c>
      <x:c r="C6222" s="32">
        <x:v>1698.62</x:v>
      </x:c>
      <x:c r="D6222" s="32">
        <x:v>1647.16</x:v>
      </x:c>
      <x:c r="E6222" s="32">
        <x:v>1647.81</x:v>
      </x:c>
      <x:c r="F6222" s="33">
        <x:v>916041800</x:v>
      </x:c>
      <x:c r="G6222" s="32" t="n">
        <x:f t="shared" si="282">AVERAGE(E6023:E6222)</x:f>
        <x:v>1648.3239999999994</x:v>
      </x:c>
      <x:c r="H6222" s="37" t="n">
        <x:f t="shared" si="283">IFERROR(E6222/G6222-1,"")</x:f>
        <x:v>-0.0003118318971266909</x:v>
      </x:c>
      <x:c r="I6222" s="38" t="b">
        <x:f t="shared" si="284">E6222&lt;G6222</x:f>
        <x:v>1</x:v>
      </x:c>
    </x:row>
    <x:row r="6223">
      <x:c r="A6223" s="31">
        <x:v>46104</x:v>
      </x:c>
      <x:c r="B6223" s="32">
        <x:v>1629.62</x:v>
      </x:c>
      <x:c r="C6223" s="32">
        <x:v>1636.27</x:v>
      </x:c>
      <x:c r="D6223" s="32">
        <x:v>1586.44</x:v>
      </x:c>
      <x:c r="E6223" s="32">
        <x:v>1591.17</x:v>
      </x:c>
      <x:c r="F6223" s="33">
        <x:v>1059404300</x:v>
      </x:c>
      <x:c r="G6223" s="32" t="n">
        <x:f t="shared" si="282">AVERAGE(E6024:E6223)</x:f>
        <x:v>1649.5435999999993</x:v>
      </x:c>
      <x:c r="H6223" s="37" t="n">
        <x:f t="shared" si="283">IFERROR(E6223/G6223-1,"")</x:f>
        <x:v>-0.0353877278539344</x:v>
      </x:c>
      <x:c r="I6223" s="38" t="b">
        <x:f t="shared" si="284">E6223&lt;G6223</x:f>
        <x:v>1</x:v>
      </x:c>
    </x:row>
    <x:row r="6224">
      <x:c r="A6224" s="31">
        <x:v>46105</x:v>
      </x:c>
      <x:c r="B6224" s="32">
        <x:v>1626.34</x:v>
      </x:c>
      <x:c r="C6224" s="32">
        <x:v>1630.63</x:v>
      </x:c>
      <x:c r="D6224" s="32">
        <x:v>1602.92</x:v>
      </x:c>
      <x:c r="E6224" s="32">
        <x:v>1614.77</x:v>
      </x:c>
      <x:c r="F6224" s="33">
        <x:v>731576200</x:v>
      </x:c>
      <x:c r="G6224" s="32" t="n">
        <x:f t="shared" si="282">AVERAGE(E6025:E6224)</x:f>
        <x:v>1650.8887499999994</x:v>
      </x:c>
      <x:c r="H6224" s="37" t="n">
        <x:f t="shared" si="283">IFERROR(E6224/G6224-1,"")</x:f>
        <x:v>-0.02187836703109125</x:v>
      </x:c>
      <x:c r="I6224" s="38" t="b">
        <x:f t="shared" si="284">E6224&lt;G6224</x:f>
        <x:v>1</x:v>
      </x:c>
    </x:row>
    <x:row r="6225">
      <x:c r="A6225" s="31">
        <x:v>46106</x:v>
      </x:c>
      <x:c r="B6225" s="32">
        <x:v>1634.15</x:v>
      </x:c>
      <x:c r="C6225" s="32">
        <x:v>1658.77</x:v>
      </x:c>
      <x:c r="D6225" s="32">
        <x:v>1629.73</x:v>
      </x:c>
      <x:c r="E6225" s="32">
        <x:v>1658.19</x:v>
      </x:c>
      <x:c r="F6225" s="33">
        <x:v>862805200</x:v>
      </x:c>
      <x:c r="G6225" s="32" t="n">
        <x:f t="shared" si="282">AVERAGE(E6026:E6225)</x:f>
        <x:v>1652.4692499999996</x:v>
      </x:c>
      <x:c r="H6225" s="37" t="n">
        <x:f t="shared" si="283">IFERROR(E6225/G6225-1,"")</x:f>
        <x:v>0.0034619403659101877</x:v>
      </x:c>
      <x:c r="I6225" s="38" t="b">
        <x:f t="shared" si="284">E6225&lt;G6225</x:f>
        <x:v>0</x:v>
      </x:c>
    </x:row>
    <x:row r="6226">
      <x:c r="A6226" s="31">
        <x:v>46107</x:v>
      </x:c>
      <x:c r="B6226" s="32">
        <x:v>1661.88</x:v>
      </x:c>
      <x:c r="C6226" s="32">
        <x:v>1661.88</x:v>
      </x:c>
      <x:c r="D6226" s="32">
        <x:v>1634.55</x:v>
      </x:c>
      <x:c r="E6226" s="32">
        <x:v>1644.63</x:v>
      </x:c>
      <x:c r="F6226" s="33">
        <x:v>701366700</x:v>
      </x:c>
      <x:c r="G6226" s="32" t="n">
        <x:f t="shared" si="282">AVERAGE(E6027:E6226)</x:f>
        <x:v>1654.0429499999998</x:v>
      </x:c>
      <x:c r="H6226" s="37" t="n">
        <x:f t="shared" si="283">IFERROR(E6226/G6226-1,"")</x:f>
        <x:v>-0.005690873988489664</x:v>
      </x:c>
      <x:c r="I6226" s="38" t="b">
        <x:f t="shared" si="284">E6226&lt;G6226</x:f>
        <x:v>1</x:v>
      </x:c>
    </x:row>
    <x:row r="6227">
      <x:c r="A6227" s="31">
        <x:v>46108</x:v>
      </x:c>
      <x:c r="B6227" s="32">
        <x:v>1643.89</x:v>
      </x:c>
      <x:c r="C6227" s="32">
        <x:v>1673.31</x:v>
      </x:c>
      <x:c r="D6227" s="32">
        <x:v>1640.31</x:v>
      </x:c>
      <x:c r="E6227" s="32">
        <x:v>1672.8</x:v>
      </x:c>
      <x:c r="F6227" s="33">
        <x:v>861666600</x:v>
      </x:c>
      <x:c r="G6227" s="32" t="n">
        <x:f t="shared" si="282">AVERAGE(E6028:E6227)</x:f>
        <x:v>1655.8540999999998</x:v>
      </x:c>
      <x:c r="H6227" s="37" t="n">
        <x:f t="shared" si="283">IFERROR(E6227/G6227-1,"")</x:f>
        <x:v>0.010233933050019406</x:v>
      </x:c>
      <x:c r="I6227" s="38" t="b">
        <x:f t="shared" si="284">E6227&lt;G6227</x:f>
        <x:v>0</x:v>
      </x:c>
    </x:row>
    <x:row r="6228">
      <x:c r="A6228" s="31">
        <x:v>46111</x:v>
      </x:c>
      <x:c r="B6228" s="32">
        <x:v>1646.08</x:v>
      </x:c>
      <x:c r="C6228" s="32">
        <x:v>1671.6</x:v>
      </x:c>
      <x:c r="D6228" s="32">
        <x:v>1637.58</x:v>
      </x:c>
      <x:c r="E6228" s="32">
        <x:v>1662.54</x:v>
      </x:c>
      <x:c r="F6228" s="33">
        <x:v>793800500</x:v>
      </x:c>
      <x:c r="G6228" s="32" t="n">
        <x:f t="shared" si="282">AVERAGE(E6029:E6228)</x:f>
        <x:v>1657.5856499999998</x:v>
      </x:c>
      <x:c r="H6228" s="37" t="n">
        <x:f t="shared" si="283">IFERROR(E6228/G6228-1,"")</x:f>
        <x:v>0.0029888953249566086</x:v>
      </x:c>
      <x:c r="I6228" s="38" t="b">
        <x:f t="shared" si="284">E6228&lt;G6228</x:f>
        <x:v>0</x:v>
      </x:c>
    </x:row>
    <x:row r="6229">
      <x:c r="A6229" s="31">
        <x:v>46112</x:v>
      </x:c>
      <x:c r="B6229" s="32">
        <x:v>1668.87</x:v>
      </x:c>
      <x:c r="C6229" s="32">
        <x:v>1677.83</x:v>
      </x:c>
      <x:c r="D6229" s="32">
        <x:v>1663.11</x:v>
      </x:c>
      <x:c r="E6229" s="32">
        <x:v>1674.49</x:v>
      </x:c>
      <x:c r="F6229" s="33">
        <x:v>857297400</x:v>
      </x:c>
      <x:c r="G6229" s="32" t="n">
        <x:f t="shared" si="282">AVERAGE(E6030:E6229)</x:f>
        <x:v>1659.3820999999998</x:v>
      </x:c>
      <x:c r="H6229" s="37" t="n">
        <x:f t="shared" si="283">IFERROR(E6229/G6229-1,"")</x:f>
        <x:v>0.0091045335489639</x:v>
      </x:c>
      <x:c r="I6229" s="38" t="b">
        <x:f t="shared" si="284">E6229&lt;G6229</x:f>
        <x:v>0</x:v>
      </x:c>
    </x:row>
    <x:row r="6230">
      <x:c r="A6230" s="31">
        <x:v>46113</x:v>
      </x:c>
      <x:c r="B6230" s="32">
        <x:v>1713.92</x:v>
      </x:c>
      <x:c r="C6230" s="32">
        <x:v>1715.21</x:v>
      </x:c>
      <x:c r="D6230" s="32">
        <x:v>1700.18</x:v>
      </x:c>
      <x:c r="E6230" s="32">
        <x:v>1702.93</x:v>
      </x:c>
      <x:c r="F6230" s="33">
        <x:v>885531400</x:v>
      </x:c>
      <x:c r="G6230" s="32" t="n">
        <x:f t="shared" si="282">AVERAGE(E6031:E6230)</x:f>
        <x:v>1661.2818</x:v>
      </x:c>
      <x:c r="H6230" s="37" t="n">
        <x:f t="shared" si="283">IFERROR(E6230/G6230-1,"")</x:f>
        <x:v>0.025069918902380195</x:v>
      </x:c>
      <x:c r="I6230" s="38" t="b">
        <x:f t="shared" si="284">E6230&lt;G6230</x:f>
        <x:v>0</x:v>
      </x:c>
    </x:row>
    <x:row r="6231">
      <x:c r="A6231" s="31">
        <x:v>46114</x:v>
      </x:c>
      <x:c r="B6231" s="32">
        <x:v>1706.15</x:v>
      </x:c>
      <x:c r="C6231" s="32">
        <x:v>1706.15</x:v>
      </x:c>
      <x:c r="D6231" s="32">
        <x:v>1684.47</x:v>
      </x:c>
      <x:c r="E6231" s="32">
        <x:v>1694.82</x:v>
      </x:c>
      <x:c r="F6231" s="33">
        <x:v>780735900</x:v>
      </x:c>
      <x:c r="G6231" s="32" t="n">
        <x:f t="shared" si="282">AVERAGE(E6032:E6231)</x:f>
        <x:v>1663.17845</x:v>
      </x:c>
      <x:c r="H6231" s="37" t="n">
        <x:f t="shared" si="283">IFERROR(E6231/G6231-1,"")</x:f>
        <x:v>0.019024747464711167</x:v>
      </x:c>
      <x:c r="I6231" s="38" t="b">
        <x:f t="shared" si="284">E6231&lt;G6231</x:f>
        <x:v>0</x:v>
      </x:c>
    </x:row>
    <x:row r="6232">
      <x:c r="A6232" s="31">
        <x:v>46115</x:v>
      </x:c>
      <x:c r="B6232" s="32">
        <x:v>1700.14</x:v>
      </x:c>
      <x:c r="C6232" s="32">
        <x:v>1713.95</x:v>
      </x:c>
      <x:c r="D6232" s="32">
        <x:v>1679.17</x:v>
      </x:c>
      <x:c r="E6232" s="32">
        <x:v>1684.04</x:v>
      </x:c>
      <x:c r="F6232" s="33">
        <x:v>750444600</x:v>
      </x:c>
      <x:c r="G6232" s="32" t="n">
        <x:f t="shared" si="282">AVERAGE(E6033:E6232)</x:f>
        <x:v>1664.9080999999999</x:v>
      </x:c>
      <x:c r="H6232" s="37" t="n">
        <x:f t="shared" si="283">IFERROR(E6232/G6232-1,"")</x:f>
        <x:v>0.011491264893239483</x:v>
      </x:c>
      <x:c r="I6232" s="38" t="b">
        <x:f t="shared" si="284">E6232&lt;G6232</x:f>
        <x:v>0</x:v>
      </x:c>
    </x:row>
    <x:row r="6233">
      <x:c r="A6233" s="31">
        <x:v>46118</x:v>
      </x:c>
      <x:c r="B6233" s="32">
        <x:v>1682.09</x:v>
      </x:c>
      <x:c r="C6233" s="32">
        <x:v>1693.03</x:v>
      </x:c>
      <x:c r="D6233" s="32">
        <x:v>1669.31</x:v>
      </x:c>
      <x:c r="E6233" s="32">
        <x:v>1674.99</x:v>
      </x:c>
      <x:c r="F6233" s="33">
        <x:v>607243800</x:v>
      </x:c>
      <x:c r="G6233" s="32" t="n">
        <x:f t="shared" si="282">AVERAGE(E6034:E6233)</x:f>
        <x:v>1666.5446000000002</x:v>
      </x:c>
      <x:c r="H6233" s="37" t="n">
        <x:f t="shared" si="283">IFERROR(E6233/G6233-1,"")</x:f>
        <x:v>0.005067611151840623</x:v>
      </x:c>
      <x:c r="I6233" s="38" t="b">
        <x:f t="shared" si="284">E6233&lt;G6233</x:f>
        <x:v>0</x:v>
      </x:c>
    </x:row>
    <x:row r="6234">
      <x:c r="A6234" s="31">
        <x:v>46119</x:v>
      </x:c>
      <x:c r="B6234" s="32">
        <x:v>1677.99</x:v>
      </x:c>
      <x:c r="C6234" s="32">
        <x:v>1690.31</x:v>
      </x:c>
      <x:c r="D6234" s="32">
        <x:v>1665.36</x:v>
      </x:c>
      <x:c r="E6234" s="32">
        <x:v>1677.54</x:v>
      </x:c>
      <x:c r="F6234" s="33">
        <x:v>563089100</x:v>
      </x:c>
      <x:c r="G6234" s="32" t="n">
        <x:f t="shared" si="282">AVERAGE(E6035:E6234)</x:f>
        <x:v>1668.1981499999997</x:v>
      </x:c>
      <x:c r="H6234" s="37" t="n">
        <x:f t="shared" si="283">IFERROR(E6234/G6234-1,"")</x:f>
        <x:v>0.005599964248851563</x:v>
      </x:c>
      <x:c r="I6234" s="38" t="b">
        <x:f t="shared" si="284">E6234&lt;G6234</x:f>
        <x:v>0</x:v>
      </x:c>
    </x:row>
    <x:row r="6235">
      <x:c r="A6235" s="31">
        <x:v>46120</x:v>
      </x:c>
      <x:c r="B6235" s="32">
        <x:v>1706.59</x:v>
      </x:c>
      <x:c r="C6235" s="32">
        <x:v>1756.82</x:v>
      </x:c>
      <x:c r="D6235" s="32">
        <x:v>1706.59</x:v>
      </x:c>
      <x:c r="E6235" s="32">
        <x:v>1756.55</x:v>
      </x:c>
      <x:c r="F6235" s="33">
        <x:v>1211978700</x:v>
      </x:c>
      <x:c r="G6235" s="32" t="n">
        <x:f t="shared" si="282">AVERAGE(E6036:E6235)</x:f>
        <x:v>1670.2206999999999</x:v>
      </x:c>
      <x:c r="H6235" s="37" t="n">
        <x:f t="shared" si="283">IFERROR(E6235/G6235-1,"")</x:f>
        <x:v>0.05168736083800196</x:v>
      </x:c>
      <x:c r="I6235" s="38" t="b">
        <x:f t="shared" si="284">E6235&lt;G6235</x:f>
        <x:v>0</x:v>
      </x:c>
    </x:row>
    <x:row r="6236">
      <x:c r="A6236" s="31">
        <x:v>46121</x:v>
      </x:c>
      <x:c r="B6236" s="32">
        <x:v>1750.88</x:v>
      </x:c>
      <x:c r="C6236" s="32">
        <x:v>1754.77</x:v>
      </x:c>
      <x:c r="D6236" s="32">
        <x:v>1736.68</x:v>
      </x:c>
      <x:c r="E6236" s="32">
        <x:v>1736.68</x:v>
      </x:c>
      <x:c r="F6236" s="33">
        <x:v>1006848400</x:v>
      </x:c>
      <x:c r="G6236" s="32" t="n">
        <x:f t="shared" si="282">AVERAGE(E6037:E6236)</x:f>
        <x:v>1672.1573499999995</x:v>
      </x:c>
      <x:c r="H6236" s="37" t="n">
        <x:f t="shared" si="283">IFERROR(E6236/G6236-1,"")</x:f>
        <x:v>0.038586470346227086</x:v>
      </x:c>
      <x:c r="I6236" s="38" t="b">
        <x:f t="shared" si="284">E6236&lt;G6236</x:f>
        <x:v>0</x:v>
      </x:c>
    </x:row>
    <x:row r="6237">
      <x:c r="A6237" s="31">
        <x:v>46122</x:v>
      </x:c>
      <x:c r="B6237" s="32">
        <x:v>1750.86</x:v>
      </x:c>
      <x:c r="C6237" s="32">
        <x:v>1762.84</x:v>
      </x:c>
      <x:c r="D6237" s="32">
        <x:v>1746.04</x:v>
      </x:c>
      <x:c r="E6237" s="32">
        <x:v>1750</x:v>
      </x:c>
      <x:c r="F6237" s="33">
        <x:v>925131100</x:v>
      </x:c>
      <x:c r="G6237" s="32" t="n">
        <x:f t="shared" si="282">AVERAGE(E6038:E6237)</x:f>
        <x:v>1674.1164499999995</x:v>
      </x:c>
      <x:c r="H6237" s="37" t="n">
        <x:f t="shared" si="283">IFERROR(E6237/G6237-1,"")</x:f>
        <x:v>0.04532752186982014</x:v>
      </x:c>
      <x:c r="I6237" s="38" t="b">
        <x:f t="shared" si="284">E6237&lt;G6237</x:f>
        <x:v>0</x:v>
      </x:c>
    </x:row>
    <x:row r="6238">
      <x:c r="A6238" s="31">
        <x:v>46125</x:v>
      </x:c>
      <x:c r="B6238" s="32">
        <x:v>1738.57</x:v>
      </x:c>
      <x:c r="C6238" s="32">
        <x:v>1765.67</x:v>
      </x:c>
      <x:c r="D6238" s="32">
        <x:v>1733.18</x:v>
      </x:c>
      <x:c r="E6238" s="32">
        <x:v>1758.96</x:v>
      </x:c>
      <x:c r="F6238" s="33">
        <x:v>825933100</x:v>
      </x:c>
      <x:c r="G6238" s="32" t="n">
        <x:f t="shared" si="282">AVERAGE(E6039:E6238)</x:f>
        <x:v>1676.0774</x:v>
      </x:c>
      <x:c r="H6238" s="37" t="n">
        <x:f t="shared" si="283">IFERROR(E6238/G6238-1,"")</x:f>
        <x:v>0.049450341613102244</x:v>
      </x:c>
      <x:c r="I6238" s="38" t="b">
        <x:f t="shared" si="284">E6238&lt;G6238</x:f>
        <x:v>0</x:v>
      </x:c>
    </x:row>
    <x:row r="6239">
      <x:c r="A6239" s="31">
        <x:v>46126</x:v>
      </x:c>
      <x:c r="B6239" s="32">
        <x:v>1775.41</x:v>
      </x:c>
      <x:c r="C6239" s="32">
        <x:v>1784.43</x:v>
      </x:c>
      <x:c r="D6239" s="32">
        <x:v>1765.52</x:v>
      </x:c>
      <x:c r="E6239" s="32">
        <x:v>1775.65</x:v>
      </x:c>
      <x:c r="F6239" s="33">
        <x:v>826661400</x:v>
      </x:c>
      <x:c r="G6239" s="32" t="n">
        <x:f t="shared" si="282">AVERAGE(E6040:E6239)</x:f>
        <x:v>1678.1219</x:v>
      </x:c>
      <x:c r="H6239" s="37" t="n">
        <x:f t="shared" si="283">IFERROR(E6239/G6239-1,"")</x:f>
        <x:v>0.058117410898457456</x:v>
      </x:c>
      <x:c r="I6239" s="38" t="b">
        <x:f t="shared" si="284">E6239&lt;G6239</x:f>
        <x:v>0</x:v>
      </x:c>
    </x:row>
    <x:row r="6240">
      <x:c r="A6240" s="31">
        <x:v>46127</x:v>
      </x:c>
      <x:c r="B6240" s="32">
        <x:v>1787.24</x:v>
      </x:c>
      <x:c r="C6240" s="32">
        <x:v>1801.83</x:v>
      </x:c>
      <x:c r="D6240" s="32">
        <x:v>1786.65</x:v>
      </x:c>
      <x:c r="E6240" s="32">
        <x:v>1800.65</x:v>
      </x:c>
      <x:c r="F6240" s="33">
        <x:v>867853100</x:v>
      </x:c>
      <x:c r="G6240" s="32" t="n">
        <x:f t="shared" si="282">AVERAGE(E6041:E6240)</x:f>
        <x:v>1680.2967999999998</x:v>
      </x:c>
      <x:c r="H6240" s="37" t="n">
        <x:f t="shared" si="283">IFERROR(E6240/G6240-1,"")</x:f>
        <x:v>0.07162615556965912</x:v>
      </x:c>
      <x:c r="I6240" s="38" t="b">
        <x:f t="shared" si="284">E6240&lt;G6240</x:f>
        <x:v>0</x:v>
      </x:c>
    </x:row>
    <x:row r="6241">
      <x:c r="A6241" s="31">
        <x:v>46128</x:v>
      </x:c>
      <x:c r="B6241" s="32">
        <x:v>1806.2</x:v>
      </x:c>
      <x:c r="C6241" s="32">
        <x:v>1824.03</x:v>
      </x:c>
      <x:c r="D6241" s="32">
        <x:v>1799.18</x:v>
      </x:c>
      <x:c r="E6241" s="32">
        <x:v>1819.83</x:v>
      </x:c>
      <x:c r="F6241" s="33">
        <x:v>890369200</x:v>
      </x:c>
      <x:c r="G6241" s="32" t="n">
        <x:f t="shared" si="282">AVERAGE(E6042:E6241)</x:f>
        <x:v>1682.53875</x:v>
      </x:c>
      <x:c r="H6241" s="37" t="n">
        <x:f t="shared" si="283">IFERROR(E6241/G6241-1,"")</x:f>
        <x:v>0.08159767494210768</x:v>
      </x:c>
      <x:c r="I6241" s="38" t="b">
        <x:f t="shared" si="284">E6241&lt;G6241</x:f>
        <x:v>0</x:v>
      </x:c>
    </x:row>
    <x:row r="6242">
      <x:c r="A6242" s="31">
        <x:v>46129</x:v>
      </x:c>
      <x:c r="B6242" s="32">
        <x:v>1832.33</x:v>
      </x:c>
      <x:c r="C6242" s="32">
        <x:v>1846.19</x:v>
      </x:c>
      <x:c r="D6242" s="32">
        <x:v>1812.21</x:v>
      </x:c>
      <x:c r="E6242" s="32">
        <x:v>1817.17</x:v>
      </x:c>
      <x:c r="F6242" s="33">
        <x:v>708729100</x:v>
      </x:c>
      <x:c r="G6242" s="32" t="n">
        <x:f t="shared" si="282">AVERAGE(E6043:E6242)</x:f>
        <x:v>1684.74425</x:v>
      </x:c>
      <x:c r="H6242" s="37" t="n">
        <x:f t="shared" si="283">IFERROR(E6242/G6242-1,"")</x:f>
        <x:v>0.07860287993266635</x:v>
      </x:c>
      <x:c r="I6242" s="38" t="b">
        <x:f t="shared" si="284">E6242&lt;G6242</x:f>
        <x:v>0</x:v>
      </x:c>
    </x:row>
    <x:row r="6243">
      <x:c r="A6243" s="31">
        <x:v>46132</x:v>
      </x:c>
      <x:c r="B6243" s="32">
        <x:v>1819.03</x:v>
      </x:c>
      <x:c r="C6243" s="32">
        <x:v>1839.05</x:v>
      </x:c>
      <x:c r="D6243" s="32">
        <x:v>1802.42</x:v>
      </x:c>
      <x:c r="E6243" s="32">
        <x:v>1837.11</x:v>
      </x:c>
      <x:c r="F6243" s="33">
        <x:v>643588600</x:v>
      </x:c>
      <x:c r="G6243" s="32" t="n">
        <x:f t="shared" si="282">AVERAGE(E6044:E6243)</x:f>
        <x:v>1687.0405999999996</x:v>
      </x:c>
      <x:c r="H6243" s="37" t="n">
        <x:f t="shared" si="283">IFERROR(E6243/G6243-1,"")</x:f>
        <x:v>0.08895423145121728</x:v>
      </x:c>
      <x:c r="I6243" s="38" t="b">
        <x:f t="shared" si="284">E6243&lt;G6243</x:f>
        <x:v>0</x:v>
      </x:c>
    </x:row>
    <x:row r="6244">
      <x:c r="A6244" s="31">
        <x:v>46133</x:v>
      </x:c>
      <x:c r="B6244" s="32">
        <x:v>1851.74</x:v>
      </x:c>
      <x:c r="C6244" s="32">
        <x:v>1866.1</x:v>
      </x:c>
      <x:c r="D6244" s="32">
        <x:v>1831.81</x:v>
      </x:c>
      <x:c r="E6244" s="32">
        <x:v>1833.48</x:v>
      </x:c>
      <x:c r="F6244" s="33">
        <x:v>841329000</x:v>
      </x:c>
      <x:c r="G6244" s="32" t="n">
        <x:f t="shared" si="282">AVERAGE(E6045:E6244)</x:f>
        <x:v>1689.2850499999997</x:v>
      </x:c>
      <x:c r="H6244" s="37" t="n">
        <x:f t="shared" si="283">IFERROR(E6244/G6244-1,"")</x:f>
        <x:v>0.0853585663355041</x:v>
      </x:c>
      <x:c r="I6244" s="38" t="b">
        <x:f t="shared" si="284">E6244&lt;G6244</x:f>
        <x:v>0</x:v>
      </x:c>
    </x:row>
    <x:row r="6245">
      <x:c r="A6245" s="31">
        <x:v>46134</x:v>
      </x:c>
      <x:c r="B6245" s="32">
        <x:v>1834.53</x:v>
      </x:c>
      <x:c r="C6245" s="32">
        <x:v>1861.34</x:v>
      </x:c>
      <x:c r="D6245" s="32">
        <x:v>1819.21</x:v>
      </x:c>
      <x:c r="E6245" s="32">
        <x:v>1857.3</x:v>
      </x:c>
      <x:c r="F6245" s="33">
        <x:v>641338600</x:v>
      </x:c>
      <x:c r="G6245" s="32" t="n">
        <x:f t="shared" si="282">AVERAGE(E6046:E6245)</x:f>
        <x:v>1691.6617499999995</x:v>
      </x:c>
      <x:c r="H6245" s="37" t="n">
        <x:f t="shared" si="283">IFERROR(E6245/G6245-1,"")</x:f>
        <x:v>0.09791452103235199</x:v>
      </x:c>
      <x:c r="I6245" s="38" t="b">
        <x:f t="shared" si="284">E6245&lt;G6245</x:f>
        <x:v>0</x:v>
      </x:c>
    </x:row>
    <x:row r="6246">
      <x:c r="A6246" s="31">
        <x:v>46135</x:v>
      </x:c>
      <x:c r="B6246" s="32">
        <x:v>1868.31</x:v>
      </x:c>
      <x:c r="C6246" s="32">
        <x:v>1888.99</x:v>
      </x:c>
      <x:c r="D6246" s="32">
        <x:v>1855.09</x:v>
      </x:c>
      <x:c r="E6246" s="32">
        <x:v>1870.36</x:v>
      </x:c>
      <x:c r="F6246" s="33">
        <x:v>1014702100</x:v>
      </x:c>
      <x:c r="G6246" s="32" t="n">
        <x:f t="shared" si="282">AVERAGE(E6047:E6246)</x:f>
        <x:v>1694.0786999999993</x:v>
      </x:c>
      <x:c r="H6246" s="37" t="n">
        <x:f t="shared" si="283">IFERROR(E6246/G6246-1,"")</x:f>
        <x:v>0.10405732626235165</x:v>
      </x:c>
      <x:c r="I6246" s="38" t="b">
        <x:f t="shared" si="284">E6246&lt;G6246</x:f>
        <x:v>0</x:v>
      </x:c>
    </x:row>
    <x:row r="6247">
      <x:c r="A6247" s="31">
        <x:v>46136</x:v>
      </x:c>
      <x:c r="B6247" s="32">
        <x:v>1873.23</x:v>
      </x:c>
      <x:c r="C6247" s="32">
        <x:v>1881.93</x:v>
      </x:c>
      <x:c r="D6247" s="32">
        <x:v>1843.63</x:v>
      </x:c>
      <x:c r="E6247" s="32">
        <x:v>1853.29</x:v>
      </x:c>
      <x:c r="F6247" s="33">
        <x:v>625709200</x:v>
      </x:c>
      <x:c r="G6247" s="32" t="n">
        <x:f t="shared" si="282">AVERAGE(E6048:E6247)</x:f>
        <x:v>1696.3348499999993</x:v>
      </x:c>
      <x:c r="H6247" s="37" t="n">
        <x:f t="shared" si="283">IFERROR(E6247/G6247-1,"")</x:f>
        <x:v>0.09252604224926508</x:v>
      </x:c>
      <x:c r="I6247" s="38" t="b">
        <x:f t="shared" si="284">E6247&lt;G6247</x:f>
        <x:v>0</x:v>
      </x:c>
    </x:row>
    <x:row r="6248">
      <x:c r="A6248" s="31">
        <x:v>46140</x:v>
      </x:c>
      <x:c r="B6248" s="32">
        <x:v>1850.07</x:v>
      </x:c>
      <x:c r="C6248" s="32">
        <x:v>1887.69</x:v>
      </x:c>
      <x:c r="D6248" s="32">
        <x:v>1848.98</x:v>
      </x:c>
      <x:c r="E6248" s="32">
        <x:v>1875.84</x:v>
      </x:c>
      <x:c r="F6248" s="33">
        <x:v>631088700</x:v>
      </x:c>
      <x:c r="G6248" s="32" t="n">
        <x:f t="shared" si="282">AVERAGE(E6049:E6248)</x:f>
        <x:v>1698.6367499999997</x:v>
      </x:c>
      <x:c r="H6248" s="37" t="n">
        <x:f t="shared" si="283">IFERROR(E6248/G6248-1,"")</x:f>
        <x:v>0.10432086200890223</x:v>
      </x:c>
      <x:c r="I6248" s="38" t="b">
        <x:f t="shared" si="284">E6248&lt;G6248</x:f>
        <x:v>0</x:v>
      </x:c>
    </x:row>
    <x:row r="6249">
      <x:c r="A6249" s="31">
        <x:v>46141</x:v>
      </x:c>
      <x:c r="B6249" s="32">
        <x:v>1878.96</x:v>
      </x:c>
      <x:c r="C6249" s="32">
        <x:v>1881.18</x:v>
      </x:c>
      <x:c r="D6249" s="32">
        <x:v>1838.8</x:v>
      </x:c>
      <x:c r="E6249" s="32">
        <x:v>1854.1</x:v>
      </x:c>
      <x:c r="F6249" s="33">
        <x:v>684081700</x:v>
      </x:c>
      <x:c r="G6249" s="32" t="n">
        <x:f t="shared" si="282">AVERAGE(E6050:E6249)</x:f>
        <x:v>1700.7506499999995</x:v>
      </x:c>
      <x:c r="H6249" s="37" t="n">
        <x:f t="shared" si="283">IFERROR(E6249/G6249-1,"")</x:f>
        <x:v>0.09016568654552648</x:v>
      </x:c>
      <x:c r="I6249" s="38" t="b">
        <x:f t="shared" si="284">E6249&lt;G6249</x:f>
        <x:v>0</x:v>
      </x:c>
    </x:row>
    <x:row r="6250">
      <x:c r="A6250" s="31">
        <x:v>46146</x:v>
      </x:c>
      <x:c r="B6250" s="32">
        <x:v>1870.66</x:v>
      </x:c>
      <x:c r="C6250" s="32">
        <x:v>1876.8</x:v>
      </x:c>
      <x:c r="D6250" s="32">
        <x:v>1840.43</x:v>
      </x:c>
      <x:c r="E6250" s="32">
        <x:v>1854.06</x:v>
      </x:c>
      <x:c r="F6250" s="33">
        <x:v>671298200</x:v>
      </x:c>
      <x:c r="G6250" s="32" t="n">
        <x:f t="shared" si="282">AVERAGE(E6051:E6250)</x:f>
        <x:v>1702.7927499999994</x:v>
      </x:c>
      <x:c r="H6250" s="37" t="n">
        <x:f t="shared" si="283">IFERROR(E6250/G6250-1,"")</x:f>
        <x:v>0.08883479801050398</x:v>
      </x:c>
      <x:c r="I6250" s="38" t="b">
        <x:f t="shared" si="284">E6250&lt;G6250</x:f>
        <x:v>0</x:v>
      </x:c>
    </x:row>
    <x:row r="6251">
      <x:c r="A6251" s="31">
        <x:v>46147</x:v>
      </x:c>
      <x:c r="B6251" s="32">
        <x:v>1853.08</x:v>
      </x:c>
      <x:c r="C6251" s="32">
        <x:v>1875.97</x:v>
      </x:c>
      <x:c r="D6251" s="32">
        <x:v>1849.32</x:v>
      </x:c>
      <x:c r="E6251" s="32">
        <x:v>1874.85</x:v>
      </x:c>
      <x:c r="F6251" s="33">
        <x:v>762314900</x:v>
      </x:c>
      <x:c r="G6251" s="32" t="n">
        <x:f t="shared" si="282">AVERAGE(E6052:E6251)</x:f>
        <x:v>1704.8781999999992</x:v>
      </x:c>
      <x:c r="H6251" s="37" t="n">
        <x:f t="shared" si="283">IFERROR(E6251/G6251-1,"")</x:f>
        <x:v>0.09969732735159664</x:v>
      </x:c>
      <x:c r="I6251" s="38" t="b">
        <x:f t="shared" si="284">E6251&lt;G6251</x:f>
        <x:v>0</x:v>
      </x:c>
    </x:row>
    <x:row r="6252">
      <x:c r="A6252" s="31">
        <x:v>46148</x:v>
      </x:c>
      <x:c r="B6252" s="32">
        <x:v>1881.22</x:v>
      </x:c>
      <x:c r="C6252" s="32">
        <x:v>1892</x:v>
      </x:c>
      <x:c r="D6252" s="32">
        <x:v>1868.92</x:v>
      </x:c>
      <x:c r="E6252" s="32">
        <x:v>1891.2</x:v>
      </x:c>
      <x:c r="F6252" s="33">
        <x:v>787614800</x:v>
      </x:c>
      <x:c r="G6252" s="32" t="n">
        <x:f t="shared" si="282">AVERAGE(E6053:E6252)</x:f>
        <x:v>1706.9820999999993</x:v>
      </x:c>
      <x:c r="H6252" s="37" t="n">
        <x:f t="shared" si="283">IFERROR(E6252/G6252-1,"")</x:f>
        <x:v>0.10792022950914415</x:v>
      </x:c>
      <x:c r="I6252" s="38" t="b">
        <x:f t="shared" si="284">E6252&lt;G6252</x:f>
        <x:v>0</x:v>
      </x:c>
    </x:row>
    <x:row r="6253">
      <x:c r="A6253" s="31">
        <x:v>46149</x:v>
      </x:c>
      <x:c r="B6253" s="32">
        <x:v>1897.44</x:v>
      </x:c>
      <x:c r="C6253" s="32">
        <x:v>1924.95</x:v>
      </x:c>
      <x:c r="D6253" s="32">
        <x:v>1896.45</x:v>
      </x:c>
      <x:c r="E6253" s="32">
        <x:v>1909.01</x:v>
      </x:c>
      <x:c r="F6253" s="33">
        <x:v>913003500</x:v>
      </x:c>
      <x:c r="G6253" s="32" t="n">
        <x:f t="shared" si="282">AVERAGE(E6054:E6253)</x:f>
        <x:v>1709.2238999999993</x:v>
      </x:c>
      <x:c r="H6253" s="37" t="n">
        <x:f t="shared" si="283">IFERROR(E6253/G6253-1,"")</x:f>
        <x:v>0.1168870269132094</x:v>
      </x:c>
      <x:c r="I6253" s="38" t="b">
        <x:f t="shared" si="284">E6253&lt;G6253</x:f>
        <x:v>0</x:v>
      </x:c>
    </x:row>
    <x:row r="6254">
      <x:c r="A6254" s="31">
        <x:v>46150</x:v>
      </x:c>
      <x:c r="B6254" s="32">
        <x:v>1911.15</x:v>
      </x:c>
      <x:c r="C6254" s="32">
        <x:v>1921.81</x:v>
      </x:c>
      <x:c r="D6254" s="32">
        <x:v>1897.06</x:v>
      </x:c>
      <x:c r="E6254" s="32">
        <x:v>1915.37</x:v>
      </x:c>
      <x:c r="F6254" s="33">
        <x:v>914284200</x:v>
      </x:c>
      <x:c r="G6254" s="32" t="n">
        <x:f t="shared" si="282">AVERAGE(E6055:E6254)</x:f>
        <x:v>1711.4647999999993</x:v>
      </x:c>
      <x:c r="H6254" s="37" t="n">
        <x:f t="shared" si="283">IFERROR(E6254/G6254-1,"")</x:f>
        <x:v>0.11914075007560809</x:v>
      </x:c>
      <x:c r="I6254" s="38" t="b">
        <x:f t="shared" si="284">E6254&lt;G6254</x:f>
        <x:v>0</x:v>
      </x:c>
    </x:row>
    <x:row r="6255">
      <x:c r="A6255" s="31">
        <x:v>46153</x:v>
      </x:c>
      <x:c r="B6255" s="32">
        <x:v>1918.93</x:v>
      </x:c>
      <x:c r="C6255" s="32">
        <x:v>1927.06</x:v>
      </x:c>
      <x:c r="D6255" s="32">
        <x:v>1888.17</x:v>
      </x:c>
      <x:c r="E6255" s="32">
        <x:v>1895.5</x:v>
      </x:c>
      <x:c r="F6255" s="33">
        <x:v>939873900</x:v>
      </x:c>
      <x:c r="G6255" s="32" t="n">
        <x:f t="shared" si="282">AVERAGE(E6056:E6255)</x:f>
        <x:v>1713.492249999999</x:v>
      </x:c>
      <x:c r="H6255" s="37" t="n">
        <x:f t="shared" si="283">IFERROR(E6255/G6255-1,"")</x:f>
        <x:v>0.10622035203252356</x:v>
      </x:c>
      <x:c r="I6255" s="38" t="b">
        <x:f t="shared" si="284">E6255&lt;G6255</x:f>
        <x:v>0</x:v>
      </x:c>
    </x:row>
    <x:row r="6256">
      <x:c r="A6256" s="31">
        <x:v>46154</x:v>
      </x:c>
      <x:c r="B6256" s="32">
        <x:v>1893.36</x:v>
      </x:c>
      <x:c r="C6256" s="32">
        <x:v>1906.64</x:v>
      </x:c>
      <x:c r="D6256" s="32">
        <x:v>1875.25</x:v>
      </x:c>
      <x:c r="E6256" s="32">
        <x:v>1901.1</x:v>
      </x:c>
      <x:c r="F6256" s="33">
        <x:v>710517800</x:v>
      </x:c>
      <x:c r="G6256" s="32" t="n">
        <x:f t="shared" si="282">AVERAGE(E6057:E6256)</x:f>
        <x:v>1715.5113499999989</x:v>
      </x:c>
      <x:c r="H6256" s="37" t="n">
        <x:f t="shared" si="283">IFERROR(E6256/G6256-1,"")</x:f>
        <x:v>0.10818270016109266</x:v>
      </x:c>
      <x:c r="I6256" s="38" t="b">
        <x:f t="shared" si="284">E6256&lt;G6256</x:f>
        <x:v>0</x:v>
      </x:c>
    </x:row>
    <x:row r="6257">
      <x:c r="A6257" s="31">
        <x:v>46155</x:v>
      </x:c>
      <x:c r="B6257" s="32">
        <x:v>1908.46</x:v>
      </x:c>
      <x:c r="C6257" s="32">
        <x:v>1908.77</x:v>
      </x:c>
      <x:c r="D6257" s="32">
        <x:v>1865.12</x:v>
      </x:c>
      <x:c r="E6257" s="32">
        <x:v>1898.37</x:v>
      </x:c>
      <x:c r="F6257" s="33">
        <x:v>871218400</x:v>
      </x:c>
      <x:c r="G6257" s="32" t="n">
        <x:f t="shared" si="282">AVERAGE(E6058:E6257)</x:f>
        <x:v>1717.577949999999</x:v>
      </x:c>
      <x:c r="H6257" s="37" t="n">
        <x:f t="shared" si="283">IFERROR(E6257/G6257-1,"")</x:f>
        <x:v>0.10525988063598568</x:v>
      </x:c>
      <x:c r="I6257" s="38" t="b">
        <x:f t="shared" si="284">E6257&lt;G6257</x:f>
        <x:v>0</x:v>
      </x:c>
    </x:row>
    <x:row r="6258">
      <x:c r="A6258" s="31">
        <x:v>46156</x:v>
      </x:c>
      <x:c r="B6258" s="32">
        <x:v>1899.18</x:v>
      </x:c>
      <x:c r="C6258" s="32">
        <x:v>1927.74</x:v>
      </x:c>
      <x:c r="D6258" s="32">
        <x:v>1883.98</x:v>
      </x:c>
      <x:c r="E6258" s="32">
        <x:v>1925.46</x:v>
      </x:c>
      <x:c r="F6258" s="33">
        <x:v>643389000</x:v>
      </x:c>
      <x:c r="G6258" s="32" t="n">
        <x:f t="shared" si="282">AVERAGE(E6059:E6258)</x:f>
        <x:v>1719.6575499999992</x:v>
      </x:c>
      <x:c r="H6258" s="37" t="n">
        <x:f t="shared" si="283">IFERROR(E6258/G6258-1,"")</x:f>
        <x:v>0.1196764146442999</x:v>
      </x:c>
      <x:c r="I6258" s="38" t="b">
        <x:f t="shared" si="284">E6258&lt;G6258</x:f>
        <x:v>0</x:v>
      </x:c>
    </x:row>
    <x:row r="6259">
      <x:c r="A6259" s="31">
        <x:v>46157</x:v>
      </x:c>
      <x:c r="B6259" s="32">
        <x:v>1928.61</x:v>
      </x:c>
      <x:c r="C6259" s="32">
        <x:v>1930.58</x:v>
      </x:c>
      <x:c r="D6259" s="32">
        <x:v>1909.9</x:v>
      </x:c>
      <x:c r="E6259" s="32">
        <x:v>1921.6</x:v>
      </x:c>
      <x:c r="F6259" s="33">
        <x:v>774992800</x:v>
      </x:c>
      <x:c r="G6259" s="32" t="n">
        <x:f t="shared" si="282">AVERAGE(E6060:E6259)</x:f>
        <x:v>1721.703999999999</x:v>
      </x:c>
      <x:c r="H6259" s="37" t="n">
        <x:f t="shared" si="283">IFERROR(E6259/G6259-1,"")</x:f>
        <x:v>0.1161035811033726</x:v>
      </x:c>
      <x:c r="I6259" s="38" t="b">
        <x:f t="shared" si="284">E6259&lt;G6259</x:f>
        <x:v>0</x:v>
      </x:c>
    </x:row>
    <x:row r="6260">
      <x:c r="A6260" s="31">
        <x:v>46160</x:v>
      </x:c>
      <x:c r="B6260" s="32">
        <x:v>1916.56</x:v>
      </x:c>
      <x:c r="C6260" s="32">
        <x:v>1932.62</x:v>
      </x:c>
      <x:c r="D6260" s="32">
        <x:v>1908.78</x:v>
      </x:c>
      <x:c r="E6260" s="32">
        <x:v>1927.94</x:v>
      </x:c>
      <x:c r="F6260" s="33">
        <x:v>848822600</x:v>
      </x:c>
      <x:c r="G6260" s="32" t="n">
        <x:f t="shared" si="282">AVERAGE(E6061:E6260)</x:f>
        <x:v>1723.7385999999992</x:v>
      </x:c>
      <x:c r="H6260" s="37" t="n">
        <x:f t="shared" si="283">IFERROR(E6260/G6260-1,"")</x:f>
        <x:v>0.1184642497418118</x:v>
      </x:c>
      <x:c r="I6260" s="38" t="b">
        <x:f t="shared" si="284">E6260&lt;G6260</x:f>
        <x:v>0</x:v>
      </x:c>
    </x:row>
    <x:row r="6261">
      <x:c r="A6261" s="31">
        <x:v>46161</x:v>
      </x:c>
      <x:c r="B6261" s="32">
        <x:v>1933.01</x:v>
      </x:c>
      <x:c r="C6261" s="32">
        <x:v>1933.11</x:v>
      </x:c>
      <x:c r="D6261" s="32">
        <x:v>1904.47</x:v>
      </x:c>
      <x:c r="E6261" s="32">
        <x:v>1912.93</x:v>
      </x:c>
      <x:c r="F6261" s="33">
        <x:v>969801300</x:v>
      </x:c>
      <x:c r="G6261" s="32" t="n">
        <x:f t="shared" si="282">AVERAGE(E6062:E6261)</x:f>
        <x:v>1725.6475999999993</x:v>
      </x:c>
      <x:c r="H6261" s="37" t="n">
        <x:f t="shared" si="283">IFERROR(E6261/G6261-1,"")</x:f>
        <x:v>0.10852876334658412</x:v>
      </x:c>
      <x:c r="I6261" s="38" t="b">
        <x:f t="shared" si="284">E6261&lt;G6261</x:f>
        <x:v>0</x:v>
      </x:c>
    </x:row>
    <x:row r="6262">
      <x:c r="A6262" s="31">
        <x:v>46162</x:v>
      </x:c>
      <x:c r="B6262" s="32">
        <x:v>1907.1</x:v>
      </x:c>
      <x:c r="C6262" s="32">
        <x:v>1919.39</x:v>
      </x:c>
      <x:c r="D6262" s="32">
        <x:v>1859.22</x:v>
      </x:c>
      <x:c r="E6262" s="32">
        <x:v>1913.23</x:v>
      </x:c>
      <x:c r="F6262" s="33">
        <x:v>1162450200</x:v>
      </x:c>
      <x:c r="G6262" s="32" t="n">
        <x:f t="shared" si="282">AVERAGE(E6063:E6262)</x:f>
        <x:v>1727.4266499999992</x:v>
      </x:c>
      <x:c r="H6262" s="37" t="n">
        <x:f t="shared" si="283">IFERROR(E6262/G6262-1,"")</x:f>
        <x:v>0.10756077544595066</x:v>
      </x:c>
      <x:c r="I6262" s="38" t="b">
        <x:f t="shared" si="284">E6262&lt;G6262</x:f>
        <x:v>0</x:v>
      </x:c>
    </x:row>
    <x:row r="6263">
      <x:c r="A6263" s="31">
        <x:v>46163</x:v>
      </x:c>
      <x:c r="B6263" s="32">
        <x:v>1920.44</x:v>
      </x:c>
      <x:c r="C6263" s="32">
        <x:v>1923.21</x:v>
      </x:c>
      <x:c r="D6263" s="32">
        <x:v>1886.62</x:v>
      </x:c>
      <x:c r="E6263" s="32">
        <x:v>1896.89</x:v>
      </x:c>
      <x:c r="F6263" s="33">
        <x:v>610866000</x:v>
      </x:c>
      <x:c r="G6263" s="32" t="n">
        <x:f t="shared" si="282">AVERAGE(E6064:E6263)</x:f>
        <x:v>1729.4440499999992</x:v>
      </x:c>
      <x:c r="H6263" s="37" t="n">
        <x:f t="shared" si="283">IFERROR(E6263/G6263-1,"")</x:f>
        <x:v>0.09682068061120619</x:v>
      </x:c>
      <x:c r="I6263" s="38" t="b">
        <x:f t="shared" si="284">E6263&lt;G6263</x:f>
        <x:v>0</x:v>
      </x:c>
    </x:row>
    <x:row r="6264">
      <x:c r="A6264" s="31">
        <x:v>46164</x:v>
      </x:c>
      <x:c r="B6264" s="32">
        <x:v>1896.74</x:v>
      </x:c>
      <x:c r="C6264" s="32">
        <x:v>1896.74</x:v>
      </x:c>
      <x:c r="D6264" s="32">
        <x:v>1856.08</x:v>
      </x:c>
      <x:c r="E6264" s="32">
        <x:v>1877.13</x:v>
      </x:c>
      <x:c r="F6264" s="33">
        <x:v>692643700</x:v>
      </x:c>
      <x:c r="G6264" s="32" t="n">
        <x:f t="shared" si="282">AVERAGE(E6065:E6264)</x:f>
        <x:v>1731.291549999999</x:v>
      </x:c>
      <x:c r="H6264" s="37" t="n">
        <x:f t="shared" si="283">IFERROR(E6264/G6264-1,"")</x:f>
        <x:v>0.08423679420141639</x:v>
      </x:c>
      <x:c r="I6264" s="38" t="b">
        <x:f t="shared" si="284">E6264&lt;G6264</x:f>
        <x:v>0</x:v>
      </x:c>
    </x:row>
    <x:row r="6265">
      <x:c r="A6265" s="31">
        <x:v>46167</x:v>
      </x:c>
      <x:c r="B6265" s="32">
        <x:v>1876.37</x:v>
      </x:c>
      <x:c r="C6265" s="32">
        <x:v>1891.26</x:v>
      </x:c>
      <x:c r="D6265" s="32">
        <x:v>1876.37</x:v>
      </x:c>
      <x:c r="E6265" s="32">
        <x:v>1886.03</x:v>
      </x:c>
      <x:c r="F6265" s="33">
        <x:v>538325400</x:v>
      </x:c>
      <x:c r="G6265" s="32" t="n">
        <x:f t="shared" si="282">AVERAGE(E6066:E6265)</x:f>
        <x:v>1733.2090999999991</x:v>
      </x:c>
      <x:c r="H6265" s="37" t="n">
        <x:f t="shared" si="283">IFERROR(E6265/G6265-1,"")</x:f>
        <x:v>0.08817222342070608</x:v>
      </x:c>
      <x:c r="I6265" s="38" t="b">
        <x:f t="shared" si="284">E6265&lt;G6265</x:f>
        <x:v>0</x:v>
      </x:c>
    </x:row>
    <x:row r="6266">
      <x:c r="A6266" s="31">
        <x:v>46168</x:v>
      </x:c>
      <x:c r="B6266" s="32">
        <x:v>1889.15</x:v>
      </x:c>
      <x:c r="C6266" s="32">
        <x:v>1889.15</x:v>
      </x:c>
      <x:c r="D6266" s="32">
        <x:v>1876.32</x:v>
      </x:c>
      <x:c r="E6266" s="32">
        <x:v>1884.18</x:v>
      </x:c>
      <x:c r="F6266" s="33">
        <x:v>653839900</x:v>
      </x:c>
      <x:c r="G6266" s="32" t="n">
        <x:f t="shared" si="282">AVERAGE(E6067:E6266)</x:f>
        <x:v>1735.091849999999</x:v>
      </x:c>
      <x:c r="H6266" s="37" t="n">
        <x:f t="shared" si="283">IFERROR(E6266/G6266-1,"")</x:f>
        <x:v>0.08592522061584296</x:v>
      </x:c>
      <x:c r="I6266" s="38" t="b">
        <x:f t="shared" si="284">E6266&lt;G6266</x:f>
        <x:v>0</x:v>
      </x:c>
    </x:row>
    <x:row r="6267">
      <x:c r="A6267" s="31">
        <x:v>46169</x:v>
      </x:c>
      <x:c r="B6267" s="32">
        <x:v>1889.87</x:v>
      </x:c>
      <x:c r="C6267" s="32">
        <x:v>1889.87</x:v>
      </x:c>
      <x:c r="D6267" s="32">
        <x:v>1861.05</x:v>
      </x:c>
      <x:c r="E6267" s="32">
        <x:v>1874.43</x:v>
      </x:c>
      <x:c r="F6267" s="33">
        <x:v>738639700</x:v>
      </x:c>
      <x:c r="G6267" s="32" t="n">
        <x:f t="shared" si="282">AVERAGE(E6068:E6267)</x:f>
        <x:v>1736.823049999999</x:v>
      </x:c>
      <x:c r="H6267" s="37" t="n">
        <x:f t="shared" si="283">IFERROR(E6267/G6267-1,"")</x:f>
        <x:v>0.07922911317880144</x:v>
      </x:c>
      <x:c r="I6267" s="38" t="b">
        <x:f t="shared" si="284">E6267&lt;G6267</x:f>
        <x:v>0</x:v>
      </x:c>
    </x:row>
    <x:row r="6268">
      <x:c r="A6268" s="31">
        <x:v>46170</x:v>
      </x:c>
      <x:c r="B6268" s="32">
        <x:v>1869.7</x:v>
      </x:c>
      <x:c r="C6268" s="32">
        <x:v>1882.66</x:v>
      </x:c>
      <x:c r="D6268" s="32">
        <x:v>1857.25</x:v>
      </x:c>
      <x:c r="E6268" s="32">
        <x:v>1863.67</x:v>
      </x:c>
      <x:c r="F6268" s="33">
        <x:v>662946900</x:v>
      </x:c>
      <x:c r="G6268" s="32" t="n">
        <x:f t="shared" si="282">AVERAGE(E6069:E6268)</x:f>
        <x:v>1738.4056499999988</x:v>
      </x:c>
      <x:c r="H6268" s="37" t="n">
        <x:f t="shared" si="283">IFERROR(E6268/G6268-1,"")</x:f>
        <x:v>0.07205703110778616</x:v>
      </x:c>
      <x:c r="I6268" s="38" t="b">
        <x:f t="shared" si="284">E6268&lt;G6268</x:f>
        <x:v>0</x:v>
      </x:c>
    </x:row>
    <x:row r="6269">
      <x:c r="A6269" s="31">
        <x:v>46171</x:v>
      </x:c>
      <x:c r="B6269" s="32">
        <x:v>1864.42</x:v>
      </x:c>
      <x:c r="C6269" s="32">
        <x:v>1873.17</x:v>
      </x:c>
      <x:c r="D6269" s="32">
        <x:v>1855.96</x:v>
      </x:c>
      <x:c r="E6269" s="32">
        <x:v>1863.49</x:v>
      </x:c>
      <x:c r="F6269" s="33">
        <x:v>605552400</x:v>
      </x:c>
      <x:c r="G6269" s="32" t="n">
        <x:f t="shared" si="282">AVERAGE(E6070:E6269)</x:f>
        <x:v>1739.854549999999</x:v>
      </x:c>
      <x:c r="H6269" s="37" t="n">
        <x:f t="shared" si="283">IFERROR(E6269/G6269-1,"")</x:f>
        <x:v>0.07106079643266794</x:v>
      </x:c>
      <x:c r="I6269" s="38" t="b">
        <x:f t="shared" si="284">E6269&lt;G6269</x:f>
        <x:v>0</x:v>
      </x:c>
    </x:row>
    <x:row r="6270">
      <x:c r="A6270" s="31">
        <x:v>46174</x:v>
      </x:c>
      <x:c r="B6270" s="32">
        <x:v>1867.26</x:v>
      </x:c>
      <x:c r="C6270" s="32">
        <x:v>1871.09</x:v>
      </x:c>
      <x:c r="D6270" s="32">
        <x:v>1836.21</x:v>
      </x:c>
      <x:c r="E6270" s="32">
        <x:v>1844.54</x:v>
      </x:c>
      <x:c r="F6270" s="33">
        <x:v>477008200</x:v>
      </x:c>
      <x:c r="G6270" s="32" t="n">
        <x:f t="shared" si="282">AVERAGE(E6071:E6270)</x:f>
        <x:v>1741.168199999999</x:v>
      </x:c>
      <x:c r="H6270" s="37" t="n">
        <x:f t="shared" si="283">IFERROR(E6270/G6270-1,"")</x:f>
        <x:v>0.059369221192990373</x:v>
      </x:c>
      <x:c r="I6270" s="38" t="b">
        <x:f t="shared" si="284">E6270&lt;G6270</x:f>
        <x:v>0</x:v>
      </x:c>
    </x:row>
    <x:row r="6271">
      <x:c r="A6271" s="31">
        <x:v>46175</x:v>
      </x:c>
      <x:c r="B6271" s="32">
        <x:v>1845.32</x:v>
      </x:c>
      <x:c r="C6271" s="32">
        <x:v>1858.76</x:v>
      </x:c>
      <x:c r="D6271" s="32">
        <x:v>1817.53</x:v>
      </x:c>
      <x:c r="E6271" s="32">
        <x:v>1826.47</x:v>
      </x:c>
      <x:c r="F6271" s="33">
        <x:v>712979900</x:v>
      </x:c>
      <x:c r="G6271" s="32" t="n">
        <x:f t="shared" si="282">AVERAGE(E6072:E6271)</x:f>
        <x:v>1742.3757999999987</x:v>
      </x:c>
      <x:c r="H6271" s="37" t="n">
        <x:f t="shared" si="283">IFERROR(E6271/G6271-1,"")</x:f>
        <x:v>0.048264100086790274</x:v>
      </x:c>
      <x:c r="I6271" s="38" t="b">
        <x:f t="shared" si="284">E6271&lt;G6271</x:f>
        <x:v>0</x:v>
      </x:c>
    </x:row>
    <x:row r="6272">
      <x:c r="A6272" s="31">
        <x:v>46176</x:v>
      </x:c>
      <x:c r="B6272" s="32">
        <x:v>1824.18</x:v>
      </x:c>
      <x:c r="C6272" s="32">
        <x:v>1831.65</x:v>
      </x:c>
      <x:c r="D6272" s="32">
        <x:v>1798.05</x:v>
      </x:c>
      <x:c r="E6272" s="32">
        <x:v>1819.01</x:v>
      </x:c>
      <x:c r="F6272" s="33">
        <x:v>664719500</x:v>
      </x:c>
      <x:c r="G6272" s="32" t="n">
        <x:f t="shared" si="282">AVERAGE(E6073:E6272)</x:f>
        <x:v>1743.4687999999985</x:v>
      </x:c>
      <x:c r="H6272" s="37" t="n">
        <x:f t="shared" si="283">IFERROR(E6272/G6272-1,"")</x:f>
        <x:v>0.04332810544129129</x:v>
      </x:c>
      <x:c r="I6272" s="38" t="b">
        <x:f t="shared" si="284">E6272&lt;G6272</x:f>
        <x:v>0</x:v>
      </x:c>
    </x:row>
    <x:row r="6273">
      <x:c r="A6273" s="31">
        <x:v>46177</x:v>
      </x:c>
      <x:c r="B6273" s="32">
        <x:v>1822.08</x:v>
      </x:c>
      <x:c r="C6273" s="32">
        <x:v>1831.66</x:v>
      </x:c>
      <x:c r="D6273" s="32">
        <x:v>1812.65</x:v>
      </x:c>
      <x:c r="E6273" s="32">
        <x:v>1831.55</x:v>
      </x:c>
      <x:c r="F6273" s="33">
        <x:v>508760100</x:v>
      </x:c>
      <x:c r="G6273" s="32" t="n">
        <x:f t="shared" si="282">AVERAGE(E6074:E6273)</x:f>
        <x:v>1744.5854499999987</x:v>
      </x:c>
      <x:c r="H6273" s="37" t="n">
        <x:f t="shared" si="283">IFERROR(E6273/G6273-1,"")</x:f>
        <x:v>0.04984826051369473</x:v>
      </x:c>
      <x:c r="I6273" s="38" t="b">
        <x:f t="shared" si="284">E6273&lt;G6273</x:f>
        <x:v>0</x:v>
      </x:c>
    </x:row>
    <x:row r="6274">
      <x:c r="A6274" s="31">
        <x:v>46178</x:v>
      </x:c>
      <x:c r="B6274" s="32">
        <x:v>1833.07</x:v>
      </x:c>
      <x:c r="C6274" s="32">
        <x:v>1846.71</x:v>
      </x:c>
      <x:c r="D6274" s="32">
        <x:v>1829.98</x:v>
      </x:c>
      <x:c r="E6274" s="32">
        <x:v>1838.9</x:v>
      </x:c>
      <x:c r="F6274" s="33">
        <x:v>489652900</x:v>
      </x:c>
      <x:c r="G6274" s="32" t="n">
        <x:f t="shared" si="282">AVERAGE(E6075:E6274)</x:f>
        <x:v>1745.721949999999</x:v>
      </x:c>
      <x:c r="H6274" s="37" t="n">
        <x:f t="shared" si="283">IFERROR(E6274/G6274-1,"")</x:f>
        <x:v>0.053375080722334545</x:v>
      </x:c>
      <x:c r="I6274" s="38" t="b">
        <x:f t="shared" si="284">E6274&lt;G6274</x:f>
        <x:v>0</x:v>
      </x:c>
    </x:row>
    <x:row r="6275">
      <x:c r="A6275" s="31">
        <x:v>46181</x:v>
      </x:c>
      <x:c r="B6275" s="32">
        <x:v>1822.1</x:v>
      </x:c>
      <x:c r="C6275" s="32">
        <x:v>1822.95</x:v>
      </x:c>
      <x:c r="D6275" s="32">
        <x:v>1879.31</x:v>
      </x:c>
      <x:c r="E6275" s="32">
        <x:v>1790.53</x:v>
      </x:c>
      <x:c r="F6275" s="33">
        <x:v>671318500</x:v>
      </x:c>
      <x:c r="G6275" s="32" t="n">
        <x:f t="shared" si="282">AVERAGE(E6076:E6275)</x:f>
        <x:v>1746.471149999999</x:v>
      </x:c>
      <x:c r="H6275" s="37" t="n">
        <x:f t="shared" si="283">IFERROR(E6275/G6275-1,"")</x:f>
        <x:v>0.02522735631791062</x:v>
      </x:c>
      <x:c r="I6275" s="38" t="b">
        <x:f t="shared" si="284">E6275&lt;G6275</x:f>
        <x:v>0</x:v>
      </x:c>
    </x:row>
    <x:row r="6276">
      <x:c r="A6276" s="31">
        <x:v>46182</x:v>
      </x:c>
      <x:c r="B6276" s="32">
        <x:v>1799.21</x:v>
      </x:c>
      <x:c r="C6276" s="32">
        <x:v>1800.8</x:v>
      </x:c>
      <x:c r="D6276" s="32">
        <x:v>1780.71</x:v>
      </x:c>
      <x:c r="E6276" s="32">
        <x:v>1793.05</x:v>
      </x:c>
      <x:c r="F6276" s="33">
        <x:v>470780600</x:v>
      </x:c>
      <x:c r="G6276" s="32" t="n">
        <x:f t="shared" si="282">AVERAGE(E6077:E6276)</x:f>
        <x:v>1747.2863999999993</x:v>
      </x:c>
      <x:c r="H6276" s="37" t="n">
        <x:f t="shared" si="283">IFERROR(E6276/G6276-1,"")</x:f>
        <x:v>0.026191241458756176</x:v>
      </x:c>
      <x:c r="I6276" s="38" t="b">
        <x:f t="shared" si="284">E6276&lt;G6276</x:f>
        <x:v>0</x:v>
      </x:c>
    </x:row>
    <x:row r="6277">
      <x:c r="A6277" s="31">
        <x:v>46183</x:v>
      </x:c>
      <x:c r="B6277" s="32">
        <x:v>1793.39</x:v>
      </x:c>
      <x:c r="C6277" s="32">
        <x:v>1804.68</x:v>
      </x:c>
      <x:c r="D6277" s="32">
        <x:v>1789.48</x:v>
      </x:c>
      <x:c r="E6277" s="32">
        <x:v>1803.71</x:v>
      </x:c>
      <x:c r="F6277" s="33">
        <x:v>498141500</x:v>
      </x:c>
      <x:c r="G6277" s="32" t="n">
        <x:f t="shared" si="282">AVERAGE(E6078:E6277)</x:f>
        <x:v>1748.1230999999993</x:v>
      </x:c>
      <x:c r="H6277" s="37" t="n">
        <x:f t="shared" si="283">IFERROR(E6277/G6277-1,"")</x:f>
        <x:v>0.031798046716504436</x:v>
      </x:c>
      <x:c r="I6277" s="38" t="b">
        <x:f t="shared" si="284">E6277&lt;G6277</x:f>
        <x:v>0</x:v>
      </x:c>
    </x:row>
    <x:row r="6278">
      <x:c r="A6278" s="31">
        <x:v>46184</x:v>
      </x:c>
      <x:c r="B6278" s="32">
        <x:v>1793.15</x:v>
      </x:c>
      <x:c r="C6278" s="32">
        <x:v>1801.99</x:v>
      </x:c>
      <x:c r="D6278" s="32">
        <x:v>1788.64</x:v>
      </x:c>
      <x:c r="E6278" s="32">
        <x:v>1798.61</x:v>
      </x:c>
      <x:c r="F6278" s="33">
        <x:v>404643900</x:v>
      </x:c>
      <x:c r="G6278" s="32" t="n">
        <x:f t="shared" si="282">AVERAGE(E6079:E6278)</x:f>
        <x:v>1748.845149999999</x:v>
      </x:c>
      <x:c r="H6278" s="37" t="n">
        <x:f t="shared" si="283">IFERROR(E6278/G6278-1,"")</x:f>
        <x:v>0.02845583555525244</x:v>
      </x:c>
      <x:c r="I6278" s="38" t="b">
        <x:f t="shared" si="284">E6278&lt;G6278</x:f>
        <x:v>0</x:v>
      </x:c>
    </x:row>
    <x:row r="6279">
      <x:c r="A6279" s="31">
        <x:v>46185</x:v>
      </x:c>
      <x:c r="B6279" s="32">
        <x:v>1813.07</x:v>
      </x:c>
      <x:c r="C6279" s="32">
        <x:v>1813.57</x:v>
      </x:c>
      <x:c r="D6279" s="32">
        <x:v>1788.8</x:v>
      </x:c>
      <x:c r="E6279" s="32">
        <x:v>1791.65</x:v>
      </x:c>
      <x:c r="F6279" s="33">
        <x:v>626462300</x:v>
      </x:c>
      <x:c r="G6279" s="32" t="n">
        <x:f t="shared" si="282">AVERAGE(E6080:E6279)</x:f>
        <x:v>1749.4815999999994</x:v>
      </x:c>
      <x:c r="H6279" s="37" t="n">
        <x:f t="shared" si="283">IFERROR(E6279/G6279-1,"")</x:f>
        <x:v>0.024103368677899084</x:v>
      </x:c>
      <x:c r="I6279" s="38" t="b">
        <x:f t="shared" si="284">E6279&lt;G6279</x:f>
        <x:v>0</x:v>
      </x:c>
    </x:row>
    <x:row r="6280">
      <x:c r="A6280" s="31">
        <x:v>46188</x:v>
      </x:c>
      <x:c r="B6280" s="32">
        <x:v>1804.24</x:v>
      </x:c>
      <x:c r="C6280" s="32">
        <x:v>1810.41</x:v>
      </x:c>
      <x:c r="D6280" s="32">
        <x:v>1775.72</x:v>
      </x:c>
      <x:c r="E6280" s="32">
        <x:v>1799.31</x:v>
      </x:c>
      <x:c r="F6280" s="33">
        <x:v>668289100</x:v>
      </x:c>
      <x:c r="G6280" s="32" t="n">
        <x:f t="shared" si="282">AVERAGE(E6081:E6280)</x:f>
        <x:v>1750.0381499999994</x:v>
      </x:c>
      <x:c r="H6280" s="37" t="n">
        <x:f t="shared" si="283">IFERROR(E6280/G6280-1,"")</x:f>
        <x:v>0.028154729084049146</x:v>
      </x:c>
      <x:c r="I6280" s="38" t="b">
        <x:f t="shared" si="284">E6280&lt;G6280</x:f>
        <x:v>0</x:v>
      </x:c>
    </x:row>
    <x:row r="6281">
      <x:c r="A6281" s="31">
        <x:v>46189</x:v>
      </x:c>
      <x:c r="B6281" s="32">
        <x:v>1808.56</x:v>
      </x:c>
      <x:c r="C6281" s="32">
        <x:v>1811.59</x:v>
      </x:c>
      <x:c r="D6281" s="32">
        <x:v>1799.86</x:v>
      </x:c>
      <x:c r="E6281" s="32">
        <x:v>1807.94</x:v>
      </x:c>
      <x:c r="F6281" s="33">
        <x:v>611868500</x:v>
      </x:c>
      <x:c r="G6281" s="32" t="n">
        <x:f t="shared" si="282">AVERAGE(E6082:E6281)</x:f>
        <x:v>1750.8504999999993</x:v>
      </x:c>
      <x:c r="H6281" s="37" t="n">
        <x:f t="shared" si="283">IFERROR(E6281/G6281-1,"")</x:f>
        <x:v>0.03260672456043556</x:v>
      </x:c>
      <x:c r="I6281" s="38" t="b">
        <x:f t="shared" si="284">E6281&lt;G6281</x:f>
        <x:v>0</x:v>
      </x:c>
    </x:row>
    <x:row r="6282">
      <x:c r="A6282" s="31">
        <x:v>46190</x:v>
      </x:c>
      <x:c r="B6282" s="32">
        <x:v>1797.41</x:v>
      </x:c>
      <x:c r="C6282" s="32">
        <x:v>1808.57</x:v>
      </x:c>
      <x:c r="D6282" s="32">
        <x:v>1787.89</x:v>
      </x:c>
      <x:c r="E6282" s="32">
        <x:v>1806.2</x:v>
      </x:c>
      <x:c r="F6282" s="33">
        <x:v>683536800</x:v>
      </x:c>
      <x:c r="G6282" s="32" t="n">
        <x:f t="shared" si="282">AVERAGE(E6083:E6282)</x:f>
        <x:v>1751.8113499999995</x:v>
      </x:c>
      <x:c r="H6282" s="37" t="n">
        <x:f t="shared" si="283">IFERROR(E6282/G6282-1,"")</x:f>
        <x:v>0.03104709305599629</x:v>
      </x:c>
      <x:c r="I6282" s="38" t="b">
        <x:f t="shared" si="284">E6282&lt;G6282</x:f>
        <x:v>0</x:v>
      </x:c>
    </x:row>
    <x:row r="6283">
      <x:c r="A6283" s="31">
        <x:v>46191</x:v>
      </x:c>
      <x:c r="B6283" s="32">
        <x:v>1822.37</x:v>
      </x:c>
      <x:c r="C6283" s="32">
        <x:v>1836.4</x:v>
      </x:c>
      <x:c r="D6283" s="32">
        <x:v>1819.62</x:v>
      </x:c>
      <x:c r="E6283" s="32">
        <x:v>1830.47</x:v>
      </x:c>
      <x:c r="F6283" s="33">
        <x:v>549440100</x:v>
      </x:c>
      <x:c r="G6283" s="32" t="n">
        <x:f t="shared" si="282">AVERAGE(E6084:E6283)</x:f>
        <x:v>1752.6255499999993</x:v>
      </x:c>
      <x:c r="H6283" s="37" t="n">
        <x:f t="shared" si="283">IFERROR(E6283/G6283-1,"")</x:f>
        <x:v>0.044415905040298354</x:v>
      </x:c>
      <x:c r="I6283" s="38" t="b">
        <x:f t="shared" si="284">E6283&lt;G6283</x:f>
        <x:v>0</x:v>
      </x:c>
    </x:row>
    <x:row r="6284">
      <x:c r="A6284" s="31">
        <x:v>46192</x:v>
      </x:c>
      <x:c r="B6284" s="32">
        <x:v>1837.38</x:v>
      </x:c>
      <x:c r="C6284" s="32">
        <x:v>1838.52</x:v>
      </x:c>
      <x:c r="D6284" s="32">
        <x:v>1822.47</x:v>
      </x:c>
      <x:c r="E6284" s="32">
        <x:v>1824.53</x:v>
      </x:c>
      <x:c r="F6284" s="33">
        <x:v>579018100</x:v>
      </x:c>
      <x:c r="G6284" s="32" t="n">
        <x:f t="shared" si="282">AVERAGE(E6085:E6284)</x:f>
        <x:v>1753.3831999999995</x:v>
      </x:c>
      <x:c r="H6284" s="37" t="n">
        <x:f t="shared" si="283">IFERROR(E6284/G6284-1,"")</x:f>
        <x:v>0.04057686876434108</x:v>
      </x:c>
      <x:c r="I6284" s="38" t="b">
        <x:f t="shared" si="284">E6284&lt;G6284</x:f>
        <x:v>0</x:v>
      </x:c>
    </x:row>
    <x:row r="6285">
      <x:c r="A6285" s="31">
        <x:v>46195</x:v>
      </x:c>
      <x:c r="B6285" s="32">
        <x:v>1827.53</x:v>
      </x:c>
      <x:c r="C6285" s="32">
        <x:v>1859.78</x:v>
      </x:c>
      <x:c r="D6285" s="32">
        <x:v>1822.58</x:v>
      </x:c>
      <x:c r="E6285" s="32">
        <x:v>1857.91</x:v>
      </x:c>
      <x:c r="F6285" s="33">
        <x:v>483208100</x:v>
      </x:c>
      <x:c r="G6285" s="32" t="n">
        <x:f t="shared" ref="G6285:G6304" si="285">AVERAGE(E6086:E6285)</x:f>
        <x:v>1754.2684499999993</x:v>
      </x:c>
      <x:c r="H6285" s="37" t="n">
        <x:f t="shared" ref="H6285:H6304" si="286">IFERROR(E6285/G6285-1,"")</x:f>
        <x:v>0.05907964086112405</x:v>
      </x:c>
      <x:c r="I6285" s="38" t="b">
        <x:f t="shared" ref="I6285:I6304" si="287">E6285&lt;G6285</x:f>
        <x:v>0</x:v>
      </x:c>
    </x:row>
    <x:row r="6286">
      <x:c r="A6286" s="31">
        <x:v>46196</x:v>
      </x:c>
      <x:c r="B6286" s="32">
        <x:v>1871.92</x:v>
      </x:c>
      <x:c r="C6286" s="32">
        <x:v>1886.6</x:v>
      </x:c>
      <x:c r="D6286" s="32">
        <x:v>1862.29</x:v>
      </x:c>
      <x:c r="E6286" s="32">
        <x:v>1869.04</x:v>
      </x:c>
      <x:c r="F6286" s="33">
        <x:v>758215200</x:v>
      </x:c>
      <x:c r="G6286" s="32" t="n">
        <x:f t="shared" si="285">AVERAGE(E6087:E6286)</x:f>
        <x:v>1755.2025999999992</x:v>
      </x:c>
      <x:c r="H6286" s="37" t="n">
        <x:f t="shared" si="286">IFERROR(E6286/G6286-1,"")</x:f>
        <x:v>0.06485712817426359</x:v>
      </x:c>
      <x:c r="I6286" s="38" t="b">
        <x:f t="shared" si="287">E6286&lt;G6286</x:f>
        <x:v>0</x:v>
      </x:c>
    </x:row>
    <x:row r="6287">
      <x:c r="A6287" s="31">
        <x:v>46197</x:v>
      </x:c>
      <x:c r="B6287" s="32">
        <x:v>1873.19</x:v>
      </x:c>
      <x:c r="C6287" s="32">
        <x:v>1894.75</x:v>
      </x:c>
      <x:c r="D6287" s="32">
        <x:v>1861.72</x:v>
      </x:c>
      <x:c r="E6287" s="32">
        <x:v>1878.02</x:v>
      </x:c>
      <x:c r="F6287" s="33">
        <x:v>541657800</x:v>
      </x:c>
      <x:c r="G6287" s="32" t="n">
        <x:f t="shared" si="285">AVERAGE(E6088:E6287)</x:f>
        <x:v>1756.1861999999992</x:v>
      </x:c>
      <x:c r="H6287" s="37" t="n">
        <x:f t="shared" si="286">IFERROR(E6287/G6287-1,"")</x:f>
        <x:v>0.06937407889892366</x:v>
      </x:c>
      <x:c r="I6287" s="38" t="b">
        <x:f t="shared" si="287">E6287&lt;G6287</x:f>
        <x:v>0</x:v>
      </x:c>
    </x:row>
    <x:row r="6288">
      <x:c r="A6288" s="31">
        <x:v>46198</x:v>
      </x:c>
      <x:c r="B6288" s="32">
        <x:v>1878.71</x:v>
      </x:c>
      <x:c r="C6288" s="32">
        <x:v>1880.16</x:v>
      </x:c>
      <x:c r="D6288" s="32">
        <x:v>1856.3</x:v>
      </x:c>
      <x:c r="E6288" s="32">
        <x:v>1863.07</x:v>
      </x:c>
      <x:c r="F6288" s="33">
        <x:v>461350800</x:v>
      </x:c>
      <x:c r="G6288" s="32" t="n">
        <x:f t="shared" si="285">AVERAGE(E6089:E6288)</x:f>
        <x:v>1757.0200999999988</x:v>
      </x:c>
      <x:c r="H6288" s="37" t="n">
        <x:f t="shared" si="286">IFERROR(E6288/G6288-1,"")</x:f>
        <x:v>0.060357818331162605</x:v>
      </x:c>
      <x:c r="I6288" s="38" t="b">
        <x:f t="shared" si="287">E6288&lt;G6288</x:f>
        <x:v>0</x:v>
      </x:c>
    </x:row>
    <x:row r="6289">
      <x:c r="A6289" s="31">
        <x:v>46199</x:v>
      </x:c>
      <x:c r="B6289" s="32">
        <x:v>1857.24</x:v>
      </x:c>
      <x:c r="C6289" s="32">
        <x:v>1873.91</x:v>
      </x:c>
      <x:c r="D6289" s="32">
        <x:v>1854.94</x:v>
      </x:c>
      <x:c r="E6289" s="32">
        <x:v>1871.91</x:v>
      </x:c>
      <x:c r="F6289" s="33">
        <x:v>446261700</x:v>
      </x:c>
      <x:c r="G6289" s="32" t="n">
        <x:f t="shared" si="285">AVERAGE(E6090:E6289)</x:f>
        <x:v>1758.0447999999988</x:v>
      </x:c>
      <x:c r="H6289" s="37" t="n">
        <x:f t="shared" si="286">IFERROR(E6289/G6289-1,"")</x:f>
        <x:v>0.06476808782119847</x:v>
      </x:c>
      <x:c r="I6289" s="38" t="b">
        <x:f t="shared" si="287">E6289&lt;G6289</x:f>
        <x:v>0</x:v>
      </x:c>
    </x:row>
    <x:row r="6290">
      <x:c r="A6290" s="31">
        <x:v>46202</x:v>
      </x:c>
      <x:c r="B6290" s="32">
        <x:v>1868.64</x:v>
      </x:c>
      <x:c r="C6290" s="32">
        <x:v>1869.52</x:v>
      </x:c>
      <x:c r="D6290" s="32">
        <x:v>1850.82</x:v>
      </x:c>
      <x:c r="E6290" s="32">
        <x:v>1854.97</x:v>
      </x:c>
      <x:c r="F6290" s="33">
        <x:v>490634900</x:v>
      </x:c>
      <x:c r="G6290" s="32" t="n">
        <x:f t="shared" si="285">AVERAGE(E6091:E6290)</x:f>
        <x:v>1759.1969999999988</x:v>
      </x:c>
      <x:c r="H6290" s="37" t="n">
        <x:f t="shared" si="286">IFERROR(E6290/G6290-1,"")</x:f>
        <x:v>0.05444131612320935</x:v>
      </x:c>
      <x:c r="I6290" s="38" t="b">
        <x:f t="shared" si="287">E6290&lt;G6290</x:f>
        <x:v>0</x:v>
      </x:c>
    </x:row>
    <x:row r="6291">
      <x:c r="A6291" s="31">
        <x:v>46203</x:v>
      </x:c>
      <x:c r="B6291" s="32">
        <x:v>1855.67</x:v>
      </x:c>
      <x:c r="C6291" s="32">
        <x:v>1863.14</x:v>
      </x:c>
      <x:c r="D6291" s="32">
        <x:v>1844.66</x:v>
      </x:c>
      <x:c r="E6291" s="32">
        <x:v>1860.01</x:v>
      </x:c>
      <x:c r="F6291" s="33">
        <x:v>554250600</x:v>
      </x:c>
      <x:c r="G6291" s="32" t="n">
        <x:f t="shared" si="285">AVERAGE(E6092:E6291)</x:f>
        <x:v>1760.310449999999</x:v>
      </x:c>
      <x:c r="H6291" s="37" t="n">
        <x:f t="shared" si="286">IFERROR(E6291/G6291-1,"")</x:f>
        <x:v>0.0566374811897532</x:v>
      </x:c>
      <x:c r="I6291" s="38" t="b">
        <x:f t="shared" si="287">E6291&lt;G6291</x:f>
        <x:v>0</x:v>
      </x:c>
    </x:row>
    <x:row r="6292">
      <x:c r="A6292" s="31">
        <x:v>46204</x:v>
      </x:c>
      <x:c r="B6292" s="32">
        <x:v>1859.96</x:v>
      </x:c>
      <x:c r="C6292" s="32">
        <x:v>1871.68</x:v>
      </x:c>
      <x:c r="D6292" s="32">
        <x:v>1859.68</x:v>
      </x:c>
      <x:c r="E6292" s="32">
        <x:v>1867.21</x:v>
      </x:c>
      <x:c r="F6292" s="33">
        <x:v>490748500</x:v>
      </x:c>
      <x:c r="G6292" s="32" t="n">
        <x:f t="shared" si="285">AVERAGE(E6093:E6292)</x:f>
        <x:v>1761.430199999999</x:v>
      </x:c>
      <x:c r="H6292" s="37" t="n">
        <x:f t="shared" si="286">IFERROR(E6292/G6292-1,"")</x:f>
        <x:v>0.060053358912547816</x:v>
      </x:c>
      <x:c r="I6292" s="38" t="b">
        <x:f t="shared" si="287">E6292&lt;G6292</x:f>
        <x:v>0</x:v>
      </x:c>
    </x:row>
    <x:row r="6293">
      <x:c r="A6293" s="31">
        <x:v>46205</x:v>
      </x:c>
      <x:c r="B6293" s="32">
        <x:v>1869.87</x:v>
      </x:c>
      <x:c r="C6293" s="32">
        <x:v>1873.87</x:v>
      </x:c>
      <x:c r="D6293" s="32">
        <x:v>1861.89</x:v>
      </x:c>
      <x:c r="E6293" s="32">
        <x:v>1866</x:v>
      </x:c>
      <x:c r="F6293" s="33">
        <x:v>452993000</x:v>
      </x:c>
      <x:c r="G6293" s="32" t="n">
        <x:f t="shared" si="285">AVERAGE(E6094:E6293)</x:f>
        <x:v>1762.4714499999993</x:v>
      </x:c>
      <x:c r="H6293" s="37" t="n">
        <x:f t="shared" si="286">IFERROR(E6293/G6293-1,"")</x:f>
        <x:v>0.058740554350540375</x:v>
      </x:c>
      <x:c r="I6293" s="38" t="b">
        <x:f t="shared" si="287">E6293&lt;G6293</x:f>
        <x:v>0</x:v>
      </x:c>
    </x:row>
    <x:row r="6294">
      <x:c r="A6294" s="31">
        <x:v>46206</x:v>
      </x:c>
      <x:c r="B6294" s="32">
        <x:v>1867.41</x:v>
      </x:c>
      <x:c r="C6294" s="32">
        <x:v>1872.98</x:v>
      </x:c>
      <x:c r="D6294" s="32">
        <x:v>1857.28</x:v>
      </x:c>
      <x:c r="E6294" s="32">
        <x:v>1862</x:v>
      </x:c>
      <x:c r="F6294" s="33">
        <x:v>537505700</x:v>
      </x:c>
      <x:c r="G6294" s="32" t="n">
        <x:f t="shared" si="285">AVERAGE(E6095:E6294)</x:f>
        <x:v>1763.4451499999993</x:v>
      </x:c>
      <x:c r="H6294" s="37" t="n">
        <x:f t="shared" si="286">IFERROR(E6294/G6294-1,"")</x:f>
        <x:v>0.05588767532690242</x:v>
      </x:c>
      <x:c r="I6294" s="38" t="b">
        <x:f t="shared" si="287">E6294&lt;G6294</x:f>
        <x:v>0</x:v>
      </x:c>
    </x:row>
    <x:row r="6295">
      <x:c r="A6295" s="31">
        <x:v>46209</x:v>
      </x:c>
      <x:c r="B6295" s="32">
        <x:v>1873.24</x:v>
      </x:c>
      <x:c r="C6295" s="32">
        <x:v>1873.58</x:v>
      </x:c>
      <x:c r="D6295" s="32">
        <x:v>1829.05</x:v>
      </x:c>
      <x:c r="E6295" s="32">
        <x:v>1844</x:v>
      </x:c>
      <x:c r="F6295" s="33">
        <x:v>757429700</x:v>
      </x:c>
      <x:c r="G6295" s="32" t="n">
        <x:f t="shared" si="285">AVERAGE(E6096:E6295)</x:f>
        <x:v>1764.240649999999</x:v>
      </x:c>
      <x:c r="H6295" s="37" t="n">
        <x:f t="shared" si="286">IFERROR(E6295/G6295-1,"")</x:f>
        <x:v>0.045208883493303986</x:v>
      </x:c>
      <x:c r="I6295" s="38" t="b">
        <x:f t="shared" si="287">E6295&lt;G6295</x:f>
        <x:v>0</x:v>
      </x:c>
    </x:row>
    <x:row r="6296">
      <x:c r="A6296" s="31">
        <x:v>46210</x:v>
      </x:c>
      <x:c r="B6296" s="32">
        <x:v>1840.69</x:v>
      </x:c>
      <x:c r="C6296" s="32">
        <x:v>1848.61</x:v>
      </x:c>
      <x:c r="D6296" s="32">
        <x:v>1825.79</x:v>
      </x:c>
      <x:c r="E6296" s="32">
        <x:v>1848</x:v>
      </x:c>
      <x:c r="F6296" s="33">
        <x:v>498396700</x:v>
      </x:c>
      <x:c r="G6296" s="32" t="n">
        <x:f t="shared" si="285">AVERAGE(E6097:E6296)</x:f>
        <x:v>1765.0761499999994</x:v>
      </x:c>
      <x:c r="H6296" s="37" t="n">
        <x:f t="shared" si="286">IFERROR(E6296/G6296-1,"")</x:f>
        <x:v>0.046980324333316004</x:v>
      </x:c>
      <x:c r="I6296" s="38" t="b">
        <x:f t="shared" si="287">E6296&lt;G6296</x:f>
        <x:v>0</x:v>
      </x:c>
    </x:row>
    <x:row r="6297">
      <x:c r="A6297" s="31">
        <x:v>46211</x:v>
      </x:c>
      <x:c r="B6297" s="32">
        <x:v>1847.42</x:v>
      </x:c>
      <x:c r="C6297" s="32">
        <x:v>1855.74</x:v>
      </x:c>
      <x:c r="D6297" s="32">
        <x:v>1842.19</x:v>
      </x:c>
      <x:c r="E6297" s="32">
        <x:v>1854</x:v>
      </x:c>
      <x:c r="F6297" s="33">
        <x:v>590000500</x:v>
      </x:c>
      <x:c r="G6297" s="32" t="n">
        <x:f t="shared" si="285">AVERAGE(E6098:E6297)</x:f>
        <x:v>1765.9912999999995</x:v>
      </x:c>
      <x:c r="H6297" s="37" t="n">
        <x:f t="shared" si="286">IFERROR(E6297/G6297-1,"")</x:f>
        <x:v>0.04983529647060014</x:v>
      </x:c>
      <x:c r="I6297" s="38" t="b">
        <x:f t="shared" si="287">E6297&lt;G6297</x:f>
        <x:v>0</x:v>
      </x:c>
    </x:row>
    <x:row r="6298">
      <x:c r="A6298" s="31">
        <x:v>46212</x:v>
      </x:c>
      <x:c r="B6298" s="32">
        <x:v>1843.01</x:v>
      </x:c>
      <x:c r="C6298" s="32">
        <x:v>1850.56</x:v>
      </x:c>
      <x:c r="D6298" s="32">
        <x:v>1838.34</x:v>
      </x:c>
      <x:c r="E6298" s="32">
        <x:v>1841</x:v>
      </x:c>
      <x:c r="F6298" s="33">
        <x:v>497843400</x:v>
      </x:c>
      <x:c r="G6298" s="32" t="n">
        <x:f t="shared" si="285">AVERAGE(E6099:E6298)</x:f>
        <x:v>1766.8703999999996</x:v>
      </x:c>
      <x:c r="H6298" s="37" t="n">
        <x:f t="shared" si="286">IFERROR(E6298/G6298-1,"")</x:f>
        <x:v>0.04195531262508023</x:v>
      </x:c>
      <x:c r="I6298" s="38" t="b">
        <x:f t="shared" si="287">E6298&lt;G6298</x:f>
        <x:v>0</x:v>
      </x:c>
    </x:row>
    <x:row r="6299">
      <x:c r="A6299" s="31">
        <x:v>46213</x:v>
      </x:c>
      <x:c r="B6299" s="32">
        <x:v>1840.33</x:v>
      </x:c>
      <x:c r="C6299" s="32">
        <x:v>1845.86</x:v>
      </x:c>
      <x:c r="D6299" s="32">
        <x:v>1823.97</x:v>
      </x:c>
      <x:c r="E6299" s="32">
        <x:v>1828</x:v>
      </x:c>
      <x:c r="F6299" s="33">
        <x:v>541863100</x:v>
      </x:c>
      <x:c r="G6299" s="32" t="n">
        <x:f t="shared" si="285">AVERAGE(E6100:E6299)</x:f>
        <x:v>1767.7172999999996</x:v>
      </x:c>
      <x:c r="H6299" s="37" t="n">
        <x:f t="shared" si="286">IFERROR(E6299/G6299-1,"")</x:f>
        <x:v>0.03410200262225205</x:v>
      </x:c>
      <x:c r="I6299" s="38" t="b">
        <x:f t="shared" si="287">E6299&lt;G6299</x:f>
        <x:v>0</x:v>
      </x:c>
    </x:row>
    <x:row r="6300">
      <x:c r="A6300" s="31">
        <x:v>46216</x:v>
      </x:c>
      <x:c r="B6300" s="32">
        <x:v>1829.5</x:v>
      </x:c>
      <x:c r="C6300" s="32">
        <x:v>1829.5</x:v>
      </x:c>
      <x:c r="D6300" s="32">
        <x:v>1781.45</x:v>
      </x:c>
      <x:c r="E6300" s="32">
        <x:v>1801</x:v>
      </x:c>
      <x:c r="F6300" s="33">
        <x:v>776591900</x:v>
      </x:c>
      <x:c r="G6300" s="32" t="n">
        <x:f t="shared" si="285">AVERAGE(E6101:E6300)</x:f>
        <x:v>1768.5500499999994</x:v>
      </x:c>
      <x:c r="H6300" s="37" t="n">
        <x:f t="shared" si="286">IFERROR(E6300/G6300-1,"")</x:f>
        <x:v>0.018348335688888495</x:v>
      </x:c>
      <x:c r="I6300" s="38" t="b">
        <x:f t="shared" si="287">E6300&lt;G6300</x:f>
        <x:v>0</x:v>
      </x:c>
    </x:row>
    <x:row r="6301">
      <x:c r="A6301" s="31">
        <x:v>46217</x:v>
      </x:c>
      <x:c r="B6301" s="32">
        <x:v>1793.23</x:v>
      </x:c>
      <x:c r="C6301" s="32">
        <x:v>1806.77</x:v>
      </x:c>
      <x:c r="D6301" s="32">
        <x:v>1774.22</x:v>
      </x:c>
      <x:c r="E6301" s="32">
        <x:v>1807</x:v>
      </x:c>
      <x:c r="F6301" s="33">
        <x:v>537084100</x:v>
      </x:c>
      <x:c r="G6301" s="32" t="n">
        <x:f t="shared" si="285">AVERAGE(E6102:E6301)</x:f>
        <x:v>1769.4087499999996</x:v>
      </x:c>
      <x:c r="H6301" s="37" t="n">
        <x:f t="shared" si="286">IFERROR(E6301/G6301-1,"")</x:f>
        <x:v>0.021245091050895004</x:v>
      </x:c>
      <x:c r="I6301" s="38" t="b">
        <x:f t="shared" si="287">E6301&lt;G6301</x:f>
        <x:v>0</x:v>
      </x:c>
    </x:row>
    <x:row r="6302">
      <x:c r="A6302" s="31">
        <x:v>46218</x:v>
      </x:c>
      <x:c r="B6302" s="32">
        <x:v>1805.93</x:v>
      </x:c>
      <x:c r="C6302" s="32">
        <x:v>1805.93</x:v>
      </x:c>
      <x:c r="D6302" s="32">
        <x:v>1775.09</x:v>
      </x:c>
      <x:c r="E6302" s="32">
        <x:v>1782</x:v>
      </x:c>
      <x:c r="F6302" s="33">
        <x:v>553835700</x:v>
      </x:c>
      <x:c r="G6302" s="32" t="n">
        <x:f t="shared" si="285">AVERAGE(E6103:E6302)</x:f>
        <x:v>1770.0314499999995</x:v>
      </x:c>
      <x:c r="H6302" s="37" t="n">
        <x:f t="shared" si="286">IFERROR(E6302/G6302-1,"")</x:f>
        <x:v>0.006761772509748631</x:v>
      </x:c>
      <x:c r="I6302" s="38" t="b">
        <x:f t="shared" si="287">E6302&lt;G6302</x:f>
        <x:v>0</x:v>
      </x:c>
    </x:row>
    <x:row r="6303">
      <x:c r="A6303" s="31">
        <x:v>46219</x:v>
      </x:c>
      <x:c r="B6303" s="32">
        <x:v>1772.52</x:v>
      </x:c>
      <x:c r="C6303" s="32">
        <x:v>1804.47</x:v>
      </x:c>
      <x:c r="D6303" s="32">
        <x:v>1804.24</x:v>
      </x:c>
      <x:c r="E6303" s="32">
        <x:v>1804.24</x:v>
      </x:c>
      <x:c r="F6303" s="33">
        <x:v>778537600</x:v>
      </x:c>
      <x:c r="G6303" s="32" t="n">
        <x:f t="shared" si="285">AVERAGE(E6104:E6303)</x:f>
        <x:v>1770.7221999999997</x:v>
      </x:c>
      <x:c r="H6303" s="37" t="n">
        <x:f t="shared" si="286">IFERROR(E6303/G6303-1,"")</x:f>
        <x:v>0.018928886755923857</x:v>
      </x:c>
      <x:c r="I6303" s="38" t="b">
        <x:f t="shared" si="287">E6303&lt;G6303</x:f>
        <x:v>0</x:v>
      </x:c>
    </x:row>
    <x:row r="6304">
      <x:c r="A6304" s="173" t="n">
        <x:v>46220</x:v>
      </x:c>
      <x:c r="B6304" s="175" t="n">
        <x:v>1804.24</x:v>
      </x:c>
      <x:c r="C6304" s="175" t="n">
        <x:v>1805.57</x:v>
      </x:c>
      <x:c r="D6304" s="175" t="n">
        <x:v>1779.58</x:v>
      </x:c>
      <x:c r="E6304" s="175" t="n">
        <x:v>1787.45</x:v>
      </x:c>
      <x:c r="F6304" s="177" t="n">
        <x:v>385810000</x:v>
      </x:c>
      <x:c r="G6304" s="175" t="n">
        <x:f t="shared" si="285">AVERAGE(E6105:E6304)</x:f>
        <x:v>1771.3559499999997</x:v>
      </x:c>
      <x:c r="H6304" s="179" t="n">
        <x:f t="shared" si="286">IFERROR(E6304/G6304-1,"")</x:f>
        <x:v>0.009085723284470548</x:v>
      </x:c>
      <x:c r="I6304" s="181" t="b">
        <x:f t="shared" si="287">E6304&lt;G6304</x:f>
        <x:v>0</x:v>
      </x:c>
    </x:row>
    <x:row r="6305">
      <x:c r="A6305" s="174" t="n">
        <x:v>46223</x:v>
      </x:c>
      <x:c r="B6305" s="176" t="n">
        <x:v>1782.93</x:v>
      </x:c>
      <x:c r="C6305" s="176" t="n">
        <x:v>1783.83</x:v>
      </x:c>
      <x:c r="D6305" s="176" t="n">
        <x:v>1733.25</x:v>
      </x:c>
      <x:c r="E6305" s="176" t="n">
        <x:v>1743.51</x:v>
      </x:c>
      <x:c r="F6305" s="178" t="n">
        <x:v>935467894</x:v>
      </x:c>
      <x:c r="G6305" s="176" t="n">
        <x:f>AVERAGE(E6106:E6305)</x:f>
        <x:v>1771.7411</x:v>
      </x:c>
      <x:c r="H6305" s="180" t="n">
        <x:f>IFERROR(E6305/G6305-1,"")</x:f>
        <x:v>-0.01593410007816598</x:v>
      </x:c>
      <x:c r="I6305" s="182" t="b">
        <x:f>E6305&lt;G6305</x:f>
        <x:v>1</x:v>
      </x:c>
    </x:row>
    <x:row r="6306">
      <x:c r="A6306" s="174" t="n">
        <x:v>46224</x:v>
      </x:c>
      <x:c r="B6306" s="176" t="n">
        <x:v>1733.44</x:v>
      </x:c>
      <x:c r="C6306" s="176" t="n">
        <x:v>1750.3</x:v>
      </x:c>
      <x:c r="D6306" s="176" t="n">
        <x:v>1725.34</x:v>
      </x:c>
      <x:c r="E6306" s="176" t="n">
        <x:v>1730.56</x:v>
      </x:c>
      <x:c r="F6306" s="178" t="n">
        <x:v>841557742</x:v>
      </x:c>
      <x:c r="G6306" s="176" t="n">
        <x:f>AVERAGE(E6107:E6306)</x:f>
        <x:v>1772.0853999999997</x:v>
      </x:c>
      <x:c r="H6306" s="180" t="n">
        <x:f>IFERROR(E6306/G6306-1,"")</x:f>
        <x:v>-0.02343306930918776</x:v>
      </x:c>
      <x:c r="I6306" s="182" t="b">
        <x:f>E6306&lt;G6306</x:f>
        <x:v>1</x:v>
      </x:c>
    </x:row>
    <x:row r="6307">
      <x:c r="A6307" s="174" t="n">
        <x:v>46225</x:v>
      </x:c>
      <x:c r="B6307" s="176" t="n">
        <x:v>1729.33</x:v>
      </x:c>
      <x:c r="C6307" s="176" t="n">
        <x:v>1736.91</x:v>
      </x:c>
      <x:c r="D6307" s="176" t="n">
        <x:v>1664.18</x:v>
      </x:c>
      <x:c r="E6307" s="176" t="n">
        <x:v>1668.53</x:v>
      </x:c>
      <x:c r="F6307" s="178" t="n">
        <x:v>980648199</x:v>
      </x:c>
      <x:c r="G6307" s="176" t="n">
        <x:f>AVERAGE(E6108:E6307)</x:f>
        <x:v>1772.1028000000003</x:v>
      </x:c>
      <x:c r="H6307" s="180" t="n">
        <x:f>IFERROR(E6307/G6307-1,"")</x:f>
        <x:v>-0.05844627072424935</x:v>
      </x:c>
      <x:c r="I6307" s="182" t="b">
        <x:f>E6307&lt;G6307</x:f>
        <x:v>1</x:v>
      </x:c>
    </x:row>
    <x:row r="6308">
      <x:c r="A6308" s="174" t="n">
        <x:v>46226</x:v>
      </x:c>
      <x:c r="B6308" s="176" t="n">
        <x:v>1664.5</x:v>
      </x:c>
      <x:c r="C6308" s="176" t="n">
        <x:v>1703.48</x:v>
      </x:c>
      <x:c r="D6308" s="176" t="n">
        <x:v>1658.35</x:v>
      </x:c>
      <x:c r="E6308" s="176" t="n">
        <x:v>1699.38</x:v>
      </x:c>
      <x:c r="F6308" s="178" t="n">
        <x:v>940132604</x:v>
      </x:c>
      <x:c r="G6308" s="176" t="n">
        <x:f>AVERAGE(E6109:E6308)</x:f>
        <x:v>1772.3361499999999</x:v>
      </x:c>
      <x:c r="H6308" s="180" t="n">
        <x:f>IFERROR(E6308/G6308-1,"")</x:f>
        <x:v>-0.04116383339582608</x:v>
      </x:c>
      <x:c r="I6308" s="182" t="b">
        <x:f>E6308&lt;G6308</x:f>
        <x:v>1</x:v>
      </x:c>
    </x:row>
    <x:row r="6309">
      <x:c r="A6309" s="174" t="n">
        <x:v>46227</x:v>
      </x:c>
      <x:c r="B6309" s="176" t="n">
        <x:v>1699.38</x:v>
      </x:c>
      <x:c r="C6309" s="176" t="n">
        <x:v>1702.82</x:v>
      </x:c>
      <x:c r="D6309" s="176" t="n">
        <x:v>1674.64</x:v>
      </x:c>
      <x:c r="E6309" s="176" t="n">
        <x:v>1686.11</x:v>
      </x:c>
      <x:c r="F6309" s="178" t="n">
        <x:v>589610571</x:v>
      </x:c>
      <x:c r="G6309" s="176" t="n">
        <x:f>AVERAGE(E6110:E6309)</x:f>
        <x:v>1772.5375999999999</x:v>
      </x:c>
      <x:c r="H6309" s="180" t="n">
        <x:f>IFERROR(E6309/G6309-1,"")</x:f>
        <x:v>-0.04875924775869356</x:v>
      </x:c>
      <x:c r="I6309" s="182" t="b">
        <x:f>E6309&lt;G6309</x:f>
        <x:v>1</x:v>
      </x:c>
    </x:row>
    <x:row r="6310">
      <x:c r="A6310" s="174" t="n">
        <x:v>46230</x:v>
      </x:c>
      <x:c r="B6310" s="176" t="n">
        <x:v>1675.14</x:v>
      </x:c>
      <x:c r="C6310" s="176" t="n">
        <x:v>1700.69</x:v>
      </x:c>
      <x:c r="D6310" s="176" t="n">
        <x:v>1662.85</x:v>
      </x:c>
      <x:c r="E6310" s="176" t="n">
        <x:v>1669.01</x:v>
      </x:c>
      <x:c r="F6310" s="178" t="n">
        <x:v>635422543</x:v>
      </x:c>
      <x:c r="G6310" s="176" t="n">
        <x:f>AVERAGE(E6111:E6310)</x:f>
        <x:v>1772.4051499999998</x:v>
      </x:c>
      <x:c r="H6310" s="180" t="n">
        <x:f>IFERROR(E6310/G6310-1,"")</x:f>
        <x:v>-0.0583360694929147</x:v>
      </x:c>
      <x:c r="I6310" s="182" t="b">
        <x:f>E6310&lt;G6310</x:f>
        <x:v>1</x:v>
      </x:c>
    </x:row>
  </x:sheetData>
  <x:mergeCells>
    <x:mergeCell ref="A1:I2"/>
    <x:mergeCell ref="A3:I3"/>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4.25"/>
  <x:cols>
    <x:col min="1" max="1" width="22" customWidth="1"/>
    <x:col min="2" max="8" width="17" customWidth="1"/>
  </x:cols>
  <x:sheetData>
    <x:row r="1">
      <x:c r="A1" s="104" t="s">
        <x:v>65</x:v>
      </x:c>
      <x:c r="B1" s="104"/>
      <x:c r="C1" s="104"/>
      <x:c r="D1" s="104"/>
      <x:c r="E1" s="104"/>
      <x:c r="F1" s="104"/>
      <x:c r="G1" s="104"/>
      <x:c r="H1" s="104"/>
    </x:row>
    <x:row r="2">
      <x:c r="A2" s="104"/>
      <x:c r="B2" s="104"/>
      <x:c r="C2" s="104"/>
      <x:c r="D2" s="104"/>
      <x:c r="E2" s="104"/>
      <x:c r="F2" s="104"/>
      <x:c r="G2" s="104"/>
      <x:c r="H2" s="104"/>
    </x:row>
    <x:row r="3">
      <x:c r="A3" s="105" t="s">
        <x:v>66</x:v>
      </x:c>
      <x:c r="B3" s="105"/>
      <x:c r="C3" s="105"/>
      <x:c r="D3" s="105"/>
      <x:c r="E3" s="105"/>
      <x:c r="F3" s="105"/>
      <x:c r="G3" s="105"/>
      <x:c r="H3" s="105"/>
    </x:row>
    <x:row r="5" ht="15">
      <x:c r="A5" s="89" t="s">
        <x:v>67</x:v>
      </x:c>
      <x:c r="B5" s="89"/>
      <x:c r="C5" s="89"/>
      <x:c r="D5" s="89"/>
      <x:c r="E5" s="89"/>
      <x:c r="F5" s="89"/>
      <x:c r="G5" s="89"/>
      <x:c r="H5" s="89"/>
    </x:row>
    <x:row r="6">
      <x:c r="A6" s="1" t="s">
        <x:v>68</x:v>
      </x:c>
      <x:c r="B6" s="116" t="s">
        <x:v>69</x:v>
      </x:c>
      <x:c r="C6" s="116"/>
      <x:c r="D6" s="116"/>
      <x:c r="E6" s="116"/>
      <x:c r="F6" s="116"/>
      <x:c r="G6" s="116"/>
      <x:c r="H6" s="116"/>
    </x:row>
    <x:row r="7" ht="15">
      <x:c r="A7" s="45" t="s">
        <x:v>70</x:v>
      </x:c>
      <x:c r="B7" s="106" t="s">
        <x:v>71</x:v>
      </x:c>
      <x:c r="C7" s="106"/>
      <x:c r="D7" s="106"/>
      <x:c r="E7" s="106"/>
      <x:c r="F7" s="106"/>
      <x:c r="G7" s="106"/>
      <x:c r="H7" s="106"/>
    </x:row>
    <x:row r="8" ht="15">
      <x:c r="A8" s="45" t="s">
        <x:v>51</x:v>
      </x:c>
      <x:c r="B8" s="106" t="s">
        <x:v>72</x:v>
      </x:c>
      <x:c r="C8" s="106"/>
      <x:c r="D8" s="106"/>
      <x:c r="E8" s="106"/>
      <x:c r="F8" s="106"/>
      <x:c r="G8" s="106"/>
      <x:c r="H8" s="106"/>
    </x:row>
    <x:row r="9" ht="15">
      <x:c r="A9" s="45" t="s">
        <x:v>24</x:v>
      </x:c>
      <x:c r="B9" s="106" t="s">
        <x:v>73</x:v>
      </x:c>
      <x:c r="C9" s="106"/>
      <x:c r="D9" s="106"/>
      <x:c r="E9" s="106"/>
      <x:c r="F9" s="106"/>
      <x:c r="G9" s="106"/>
      <x:c r="H9" s="106"/>
    </x:row>
    <x:row r="10" ht="15">
      <x:c r="A10" s="45" t="s">
        <x:v>74</x:v>
      </x:c>
      <x:c r="B10" s="106" t="s">
        <x:v>75</x:v>
      </x:c>
      <x:c r="C10" s="106"/>
      <x:c r="D10" s="106"/>
      <x:c r="E10" s="106"/>
      <x:c r="F10" s="106"/>
      <x:c r="G10" s="106"/>
      <x:c r="H10" s="106"/>
    </x:row>
    <x:row r="11" ht="15">
      <x:c r="A11" s="45" t="s">
        <x:v>76</x:v>
      </x:c>
      <x:c r="B11" s="106" t="s">
        <x:v>77</x:v>
      </x:c>
      <x:c r="C11" s="106"/>
      <x:c r="D11" s="106"/>
      <x:c r="E11" s="106"/>
      <x:c r="F11" s="106"/>
      <x:c r="G11" s="106"/>
      <x:c r="H11" s="106"/>
    </x:row>
    <x:row r="12" ht="15">
      <x:c r="A12" s="45" t="s">
        <x:v>78</x:v>
      </x:c>
      <x:c r="B12" s="106" t="s">
        <x:v>79</x:v>
      </x:c>
      <x:c r="C12" s="106"/>
      <x:c r="D12" s="106"/>
      <x:c r="E12" s="106"/>
      <x:c r="F12" s="106"/>
      <x:c r="G12" s="106"/>
      <x:c r="H12" s="106"/>
    </x:row>
    <x:row r="13" ht="15">
      <x:c r="A13" s="45" t="s">
        <x:v>2</x:v>
      </x:c>
      <x:c r="B13" s="106" t="s">
        <x:v>80</x:v>
      </x:c>
      <x:c r="C13" s="106"/>
      <x:c r="D13" s="106"/>
      <x:c r="E13" s="106"/>
      <x:c r="F13" s="106"/>
      <x:c r="G13" s="106"/>
      <x:c r="H13" s="106"/>
    </x:row>
    <x:row r="15" ht="15">
      <x:c r="A15" s="89" t="s">
        <x:v>81</x:v>
      </x:c>
      <x:c r="B15" s="89"/>
      <x:c r="C15" s="89"/>
      <x:c r="D15" s="89"/>
      <x:c r="E15" s="89"/>
      <x:c r="F15" s="89"/>
      <x:c r="G15" s="89"/>
      <x:c r="H15" s="89"/>
    </x:row>
    <x:row r="16">
      <x:c r="A16" s="107" t="s">
        <x:v>82</x:v>
      </x:c>
      <x:c r="B16" s="108"/>
      <x:c r="C16" s="108"/>
      <x:c r="D16" s="108"/>
      <x:c r="E16" s="108"/>
      <x:c r="F16" s="108"/>
      <x:c r="G16" s="108"/>
      <x:c r="H16" s="109"/>
    </x:row>
    <x:row r="17">
      <x:c r="A17" s="110"/>
      <x:c r="B17" s="111"/>
      <x:c r="C17" s="111"/>
      <x:c r="D17" s="111"/>
      <x:c r="E17" s="111"/>
      <x:c r="F17" s="111"/>
      <x:c r="G17" s="111"/>
      <x:c r="H17" s="112"/>
    </x:row>
    <x:row r="18">
      <x:c r="A18" s="110"/>
      <x:c r="B18" s="111"/>
      <x:c r="C18" s="111"/>
      <x:c r="D18" s="111"/>
      <x:c r="E18" s="111"/>
      <x:c r="F18" s="111"/>
      <x:c r="G18" s="111"/>
      <x:c r="H18" s="112"/>
    </x:row>
    <x:row r="19">
      <x:c r="A19" s="113"/>
      <x:c r="B19" s="114"/>
      <x:c r="C19" s="114"/>
      <x:c r="D19" s="114"/>
      <x:c r="E19" s="114"/>
      <x:c r="F19" s="114"/>
      <x:c r="G19" s="114"/>
      <x:c r="H19" s="115"/>
    </x:row>
  </x:sheetData>
  <x:mergeCells>
    <x:mergeCell ref="A1:H2"/>
    <x:mergeCell ref="A3:H3"/>
    <x:mergeCell ref="A5:H5"/>
    <x:mergeCell ref="B6:H6"/>
    <x:mergeCell ref="B7:H7"/>
    <x:mergeCell ref="B13:H13"/>
    <x:mergeCell ref="A15:H15"/>
    <x:mergeCell ref="A16:H19"/>
    <x:mergeCell ref="B8:H8"/>
    <x:mergeCell ref="B9:H9"/>
    <x:mergeCell ref="B10:H10"/>
    <x:mergeCell ref="B11:H11"/>
    <x:mergeCell ref="B12:H1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4.25"/>
  <x:cols>
    <x:col min="1" max="1" width="22" customWidth="1"/>
    <x:col min="2" max="2" width="14" customWidth="1"/>
    <x:col min="3" max="3" width="12" customWidth="1"/>
    <x:col min="4" max="4" width="22" customWidth="1"/>
    <x:col min="5" max="5" width="24" customWidth="1"/>
    <x:col min="6" max="6" width="55" customWidth="1"/>
    <x:col min="7" max="7" width="12" customWidth="1"/>
    <x:col min="8" max="8" width="40" customWidth="1"/>
  </x:cols>
  <x:sheetData>
    <x:row r="1">
      <x:c r="A1" s="104" t="s">
        <x:v>83</x:v>
      </x:c>
      <x:c r="B1" s="104"/>
      <x:c r="C1" s="104"/>
      <x:c r="D1" s="104"/>
      <x:c r="E1" s="104"/>
      <x:c r="F1" s="104"/>
      <x:c r="G1" s="104"/>
      <x:c r="H1" s="104"/>
    </x:row>
    <x:row r="2">
      <x:c r="A2" s="104"/>
      <x:c r="B2" s="104"/>
      <x:c r="C2" s="104"/>
      <x:c r="D2" s="104"/>
      <x:c r="E2" s="104"/>
      <x:c r="F2" s="104"/>
      <x:c r="G2" s="104"/>
      <x:c r="H2" s="104"/>
    </x:row>
    <x:row r="3">
      <x:c r="A3" s="105" t="s">
        <x:v>84</x:v>
      </x:c>
      <x:c r="B3" s="105"/>
      <x:c r="C3" s="105"/>
      <x:c r="D3" s="105"/>
      <x:c r="E3" s="105"/>
      <x:c r="F3" s="105"/>
      <x:c r="G3" s="105"/>
      <x:c r="H3" s="105"/>
    </x:row>
    <x:row r="5">
      <x:c r="A5" s="1" t="s">
        <x:v>68</x:v>
      </x:c>
      <x:c r="B5" s="1" t="s">
        <x:v>85</x:v>
      </x:c>
      <x:c r="C5" s="1" t="s">
        <x:v>86</x:v>
      </x:c>
      <x:c r="D5" s="1" t="s">
        <x:v>87</x:v>
      </x:c>
      <x:c r="E5" s="1" t="s">
        <x:v>88</x:v>
      </x:c>
      <x:c r="F5" s="1" t="s">
        <x:v>89</x:v>
      </x:c>
      <x:c r="G5" s="1" t="s">
        <x:v>55</x:v>
      </x:c>
      <x:c r="H5" s="1" t="s">
        <x:v>90</x:v>
      </x:c>
    </x:row>
    <x:row r="6" ht="28.5">
      <x:c r="A6" s="44" t="s">
        <x:v>91</x:v>
      </x:c>
      <x:c r="B6" s="46" t="n">
        <x:v>6305</x:v>
      </x:c>
      <x:c r="C6" s="44" t="s">
        <x:v>10</x:v>
      </x:c>
      <x:c r="D6" s="44" t="str">
        <x:v>2000-07-28 – 2026-07-27</x:v>
      </x:c>
      <x:c r="E6" s="44" t="s">
        <x:v>92</x:v>
      </x:c>
      <x:c r="F6" s="44" t="s">
        <x:v>93</x:v>
      </x:c>
      <x:c r="G6" s="44" t="s">
        <x:v>94</x:v>
      </x:c>
      <x:c r="H6" s="44" t="str">
        <x:v>Giá đóng cửa là đầu vào MA200; đã bổ sung 6 phiên và hiệu chỉnh 17/07</x:v>
      </x:c>
    </x:row>
    <x:row r="7">
      <x:c r="A7" s="44" t="s">
        <x:v>95</x:v>
      </x:c>
      <x:c r="B7" s="46"/>
      <x:c r="C7" s="44"/>
      <x:c r="D7" s="44" t="s">
        <x:v>96</x:v>
      </x:c>
      <x:c r="E7" s="44" t="s">
        <x:v>97</x:v>
      </x:c>
      <x:c r="F7" s="44" t="s">
        <x:v>98</x:v>
      </x:c>
      <x:c r="G7" s="44" t="s">
        <x:v>94</x:v>
      </x:c>
      <x:c r="H7" s="44" t="s">
        <x:v>99</x:v>
      </x:c>
    </x:row>
    <x:row r="8">
      <x:c r="A8" s="44" t="s">
        <x:v>100</x:v>
      </x:c>
      <x:c r="B8" s="46" t="n">
        <x:v>6106</x:v>
      </x:c>
      <x:c r="C8" s="44" t="s">
        <x:v>10</x:v>
      </x:c>
      <x:c r="D8" s="44" t="str">
        <x:v>2000-07-28 – 2026-07-27</x:v>
      </x:c>
      <x:c r="E8" s="44" t="s">
        <x:v>101</x:v>
      </x:c>
      <x:c r="F8" s="44"/>
      <x:c r="G8" s="44" t="s">
        <x:v>94</x:v>
      </x:c>
      <x:c r="H8" s="44" t="s">
        <x:v>102</x:v>
      </x:c>
    </x:row>
    <x:row r="9">
      <x:c r="A9" s="44" t="s">
        <x:v>103</x:v>
      </x:c>
      <x:c r="B9" s="46" t="n">
        <x:v>72</x:v>
      </x:c>
      <x:c r="C9" s="44" t="s">
        <x:v>9</x:v>
      </x:c>
      <x:c r="D9" s="44" t="s">
        <x:v>104</x:v>
      </x:c>
      <x:c r="E9" s="44" t="s">
        <x:v>101</x:v>
      </x:c>
      <x:c r="F9" s="44"/>
      <x:c r="G9" s="44" t="s">
        <x:v>94</x:v>
      </x:c>
      <x:c r="H9" s="44" t="str">
        <x:v>71 đã quay lại; 1 đang mở từ 20/07/2026</x:v>
      </x:c>
    </x:row>
    <x:row r="10">
      <x:c r="A10" s="44" t="s">
        <x:v>105</x:v>
      </x:c>
      <x:c r="B10" s="46" t="n">
        <x:v>37</x:v>
      </x:c>
      <x:c r="C10" s="44" t="s">
        <x:v>9</x:v>
      </x:c>
      <x:c r="D10" s="44" t="s">
        <x:v>104</x:v>
      </x:c>
      <x:c r="E10" s="44" t="s">
        <x:v>101</x:v>
      </x:c>
      <x:c r="F10" s="44"/>
      <x:c r="G10" s="44" t="s">
        <x:v>94</x:v>
      </x:c>
      <x:c r="H10" s="44" t="str">
        <x:v>36 đã quay lại; 1 đang mở từ 20/07/2026</x:v>
      </x:c>
    </x:row>
    <x:row r="11" ht="28.5">
      <x:c r="A11" s="44" t="s">
        <x:v>106</x:v>
      </x:c>
      <x:c r="B11" s="46" t="n">
        <x:v>6305</x:v>
      </x:c>
      <x:c r="C11" s="44" t="s">
        <x:v>107</x:v>
      </x:c>
      <x:c r="D11" s="44" t="str">
        <x:v>27/07/2026</x:v>
      </x:c>
      <x:c r="E11" s="44" t="s">
        <x:v>108</x:v>
      </x:c>
      <x:c r="F11" s="44"/>
      <x:c r="G11" s="44" t="s">
        <x:v>94</x:v>
      </x:c>
      <x:c r="H11" s="44" t="str">
        <x:v>Không trùng ngày; sắp xếp tăng dần; 6.106 dòng có MA200</x:v>
      </x:c>
    </x:row>
    <x:row r="12" ht="60" customHeight="1">
      <x:c r="A12" t="str">
        <x:v>Đối chiếu cập nhật</x:v>
      </x:c>
      <x:c r="B12" t="str">
        <x:v>17–27/07/2026</x:v>
      </x:c>
      <x:c r="C12" t="str">
        <x:v>OHLCV</x:v>
      </x:c>
      <x:c r="D12" t="str">
        <x:v>27/07/2026</x:v>
      </x:c>
      <x:c r="E12" t="str">
        <x:v>CafeF; TTXVN; VnEconomy; Investing.com</x:v>
      </x:c>
      <x:c r="F12" s="201" t="str">
        <x:v>https://cafef.vn/du-lieu/lich-su-giao-dich-symbol-vnindex/trang-1-0-tab-1.chn
https://infographics.vn/interactive-phien-27-7-2026-vn-index-giam-171-diem/241664.vna
https://vneconomy.vn/lai-xuat-hien-ban-thao-co-phieu-ngan-hang-la-toi-do.htm
https://www.investing.com/indices/vn-historical-data</x:v>
      </x:c>
      <x:c r="G12" t="str">
        <x:v>OK</x:v>
      </x:c>
      <x:c r="H12" t="str">
        <x:v>Ưu tiên giá đóng cửa nguồn Việt Nam; OHLCV dùng để đối chiếu và không ảnh hưởng thuật toán MA200</x:v>
      </x:c>
    </x:row>
  </x:sheetData>
  <x:mergeCells>
    <x:mergeCell ref="A1:H2"/>
    <x:mergeCell ref="A3:H3"/>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4.25"/>
  <x:cols>
    <x:col min="1" max="1" width="20" customWidth="1"/>
    <x:col min="2" max="2" width="12" customWidth="1"/>
    <x:col min="3" max="8" width="14" customWidth="1"/>
    <x:col min="9" max="9" width="13" customWidth="1"/>
    <x:col min="10" max="10" width="16" customWidth="1"/>
    <x:col min="11" max="12" width="15" customWidth="1"/>
    <x:col min="13" max="17" width="12" customWidth="1"/>
  </x:cols>
  <x:sheetData>
    <x:row r="1" ht="27.950000762939453" customHeight="1">
      <x:c r="A1" s="117" t="s">
        <x:v>109</x:v>
      </x:c>
      <x:c r="B1" s="118"/>
      <x:c r="C1" s="118"/>
      <x:c r="D1" s="118"/>
      <x:c r="E1" s="118"/>
      <x:c r="F1" s="118"/>
      <x:c r="G1" s="118"/>
      <x:c r="H1" s="118"/>
      <x:c r="I1" s="118"/>
      <x:c r="J1" s="118"/>
      <x:c r="K1" s="118"/>
      <x:c r="L1" s="118"/>
      <x:c r="M1" s="118"/>
      <x:c r="N1" s="118"/>
      <x:c r="O1" s="118"/>
      <x:c r="P1" s="118"/>
      <x:c r="Q1" s="118"/>
    </x:row>
    <x:row r="2" ht="27.950000762939453" customHeight="1">
      <x:c r="A2" s="118"/>
      <x:c r="B2" s="118"/>
      <x:c r="C2" s="118"/>
      <x:c r="D2" s="118"/>
      <x:c r="E2" s="118"/>
      <x:c r="F2" s="118"/>
      <x:c r="G2" s="118"/>
      <x:c r="H2" s="118"/>
      <x:c r="I2" s="118"/>
      <x:c r="J2" s="118"/>
      <x:c r="K2" s="118"/>
      <x:c r="L2" s="118"/>
      <x:c r="M2" s="118"/>
      <x:c r="N2" s="118"/>
      <x:c r="O2" s="118"/>
      <x:c r="P2" s="118"/>
      <x:c r="Q2" s="118"/>
    </x:row>
    <x:row r="3" ht="20.100000381469727" customHeight="1">
      <x:c r="A3" s="119" t="str">
        <x:v>Nghiên cứu 36 chu kỳ gãy xác nhận đã hoàn tất • Dữ liệu 28/07/2000–27/07/2026 • 1 tín hiệu đang mở chưa đưa vào thống kê</x:v>
      </x:c>
      <x:c r="B3" s="118"/>
      <x:c r="C3" s="118"/>
      <x:c r="D3" s="118"/>
      <x:c r="E3" s="118"/>
      <x:c r="F3" s="118"/>
      <x:c r="G3" s="118"/>
      <x:c r="H3" s="118"/>
      <x:c r="I3" s="118"/>
      <x:c r="J3" s="118"/>
      <x:c r="K3" s="118"/>
      <x:c r="L3" s="118"/>
      <x:c r="M3" s="118"/>
      <x:c r="N3" s="118"/>
      <x:c r="O3" s="118"/>
      <x:c r="P3" s="118"/>
      <x:c r="Q3" s="118"/>
    </x:row>
    <x:row r="5" ht="21.950000762939453" customHeight="1">
      <x:c r="A5" s="120" t="s">
        <x:v>110</x:v>
      </x:c>
      <x:c r="B5" s="118"/>
      <x:c r="C5" s="118"/>
      <x:c r="D5" s="118"/>
      <x:c r="E5" s="118"/>
      <x:c r="F5" s="118"/>
      <x:c r="G5" s="118"/>
      <x:c r="H5" s="118"/>
      <x:c r="I5" s="118"/>
      <x:c r="J5" s="118"/>
      <x:c r="K5" s="118"/>
      <x:c r="L5" s="118"/>
      <x:c r="M5" s="118"/>
      <x:c r="N5" s="118"/>
      <x:c r="O5" s="118"/>
      <x:c r="P5" s="118"/>
      <x:c r="Q5" s="118"/>
    </x:row>
    <x:row r="7">
      <x:c r="A7" s="121" t="s">
        <x:v>111</x:v>
      </x:c>
      <x:c r="B7" s="122"/>
      <x:c r="C7" s="121" t="s">
        <x:v>112</x:v>
      </x:c>
      <x:c r="D7" s="122"/>
      <x:c r="E7" s="121" t="s">
        <x:v>113</x:v>
      </x:c>
      <x:c r="F7" s="122"/>
      <x:c r="G7" s="121" t="s">
        <x:v>114</x:v>
      </x:c>
      <x:c r="H7" s="122"/>
      <x:c r="I7" s="121" t="s">
        <x:v>115</x:v>
      </x:c>
      <x:c r="J7" s="122"/>
      <x:c r="K7" s="121" t="s">
        <x:v>116</x:v>
      </x:c>
      <x:c r="L7" s="122"/>
    </x:row>
    <x:row r="8">
      <x:c r="A8" s="123" t="n">
        <x:f>B23</x:f>
        <x:v>9</x:v>
      </x:c>
      <x:c r="B8" s="118"/>
      <x:c r="C8" s="124" t="n">
        <x:f>C23</x:f>
        <x:v>-0.24764841253882064</x:v>
      </x:c>
      <x:c r="D8" s="118"/>
      <x:c r="E8" s="125" t="n">
        <x:f>D23</x:f>
        <x:v>75</x:v>
      </x:c>
      <x:c r="F8" s="118"/>
      <x:c r="G8" s="126" t="n">
        <x:f>G23</x:f>
        <x:v>1</x:v>
      </x:c>
      <x:c r="H8" s="118"/>
      <x:c r="I8" s="125" t="n">
        <x:f>E23</x:f>
        <x:v>39</x:v>
      </x:c>
      <x:c r="J8" s="118"/>
      <x:c r="K8" s="125" t="n">
        <x:f>F23</x:f>
        <x:v>145</x:v>
      </x:c>
      <x:c r="L8" s="118"/>
    </x:row>
    <x:row r="9">
      <x:c r="A9" s="118"/>
      <x:c r="B9" s="118"/>
      <x:c r="C9" s="118"/>
      <x:c r="D9" s="118"/>
      <x:c r="E9" s="118"/>
      <x:c r="F9" s="118"/>
      <x:c r="G9" s="118"/>
      <x:c r="H9" s="118"/>
      <x:c r="I9" s="118"/>
      <x:c r="J9" s="118"/>
      <x:c r="K9" s="118"/>
      <x:c r="L9" s="118"/>
    </x:row>
    <x:row r="12" ht="23.100000381469727" customHeight="1">
      <x:c r="A12" s="127" t="s">
        <x:v>117</x:v>
      </x:c>
      <x:c r="B12" s="128"/>
      <x:c r="C12" s="128"/>
      <x:c r="D12" s="128"/>
      <x:c r="E12" s="128"/>
      <x:c r="F12" s="128"/>
      <x:c r="G12" s="128"/>
      <x:c r="H12" s="128"/>
      <x:c r="I12" s="128"/>
      <x:c r="J12" s="128"/>
      <x:c r="K12" s="128"/>
      <x:c r="L12" s="128"/>
      <x:c r="M12" s="128"/>
      <x:c r="N12" s="128"/>
      <x:c r="O12" s="128"/>
      <x:c r="P12" s="128"/>
      <x:c r="Q12" s="129"/>
    </x:row>
    <x:row r="13" ht="23.100000381469727" customHeight="1">
      <x:c r="A13" s="130"/>
      <x:c r="B13" s="131"/>
      <x:c r="C13" s="131"/>
      <x:c r="D13" s="131"/>
      <x:c r="E13" s="131"/>
      <x:c r="F13" s="131"/>
      <x:c r="G13" s="131"/>
      <x:c r="H13" s="131"/>
      <x:c r="I13" s="131"/>
      <x:c r="J13" s="131"/>
      <x:c r="K13" s="131"/>
      <x:c r="L13" s="131"/>
      <x:c r="M13" s="131"/>
      <x:c r="N13" s="131"/>
      <x:c r="O13" s="131"/>
      <x:c r="P13" s="131"/>
      <x:c r="Q13" s="132"/>
    </x:row>
    <x:row r="14" ht="23.100000381469727" customHeight="1">
      <x:c r="A14" s="133"/>
      <x:c r="B14" s="134"/>
      <x:c r="C14" s="134"/>
      <x:c r="D14" s="134"/>
      <x:c r="E14" s="134"/>
      <x:c r="F14" s="134"/>
      <x:c r="G14" s="134"/>
      <x:c r="H14" s="134"/>
      <x:c r="I14" s="134"/>
      <x:c r="J14" s="134"/>
      <x:c r="K14" s="134"/>
      <x:c r="L14" s="134"/>
      <x:c r="M14" s="134"/>
      <x:c r="N14" s="134"/>
      <x:c r="O14" s="134"/>
      <x:c r="P14" s="134"/>
      <x:c r="Q14" s="135"/>
    </x:row>
    <x:row r="16" ht="21" customHeight="1">
      <x:c r="A16" s="136" t="s">
        <x:v>118</x:v>
      </x:c>
      <x:c r="B16" s="137"/>
      <x:c r="C16" s="137"/>
      <x:c r="D16" s="137"/>
      <x:c r="E16" s="137"/>
      <x:c r="F16" s="137"/>
      <x:c r="G16" s="137"/>
      <x:c r="H16" s="137"/>
      <x:c r="I16" s="137"/>
      <x:c r="J16" s="137"/>
      <x:c r="K16" s="137"/>
      <x:c r="L16" s="137"/>
      <x:c r="M16" s="137"/>
      <x:c r="N16" s="137"/>
      <x:c r="O16" s="137"/>
      <x:c r="P16" s="137"/>
      <x:c r="Q16" s="138"/>
    </x:row>
    <x:row r="17" ht="21" customHeight="1">
      <x:c r="A17" s="139"/>
      <x:c r="B17" s="140"/>
      <x:c r="C17" s="140"/>
      <x:c r="D17" s="140"/>
      <x:c r="E17" s="140"/>
      <x:c r="F17" s="140"/>
      <x:c r="G17" s="140"/>
      <x:c r="H17" s="140"/>
      <x:c r="I17" s="140"/>
      <x:c r="J17" s="140"/>
      <x:c r="K17" s="140"/>
      <x:c r="L17" s="140"/>
      <x:c r="M17" s="140"/>
      <x:c r="N17" s="140"/>
      <x:c r="O17" s="140"/>
      <x:c r="P17" s="140"/>
      <x:c r="Q17" s="141"/>
    </x:row>
    <x:row r="18" ht="21" customHeight="1">
      <x:c r="A18" s="142"/>
      <x:c r="B18" s="143"/>
      <x:c r="C18" s="143"/>
      <x:c r="D18" s="143"/>
      <x:c r="E18" s="143"/>
      <x:c r="F18" s="143"/>
      <x:c r="G18" s="143"/>
      <x:c r="H18" s="143"/>
      <x:c r="I18" s="143"/>
      <x:c r="J18" s="143"/>
      <x:c r="K18" s="143"/>
      <x:c r="L18" s="143"/>
      <x:c r="M18" s="143"/>
      <x:c r="N18" s="143"/>
      <x:c r="O18" s="143"/>
      <x:c r="P18" s="143"/>
      <x:c r="Q18" s="144"/>
    </x:row>
    <x:row r="20" ht="32.099998474121094" customHeight="1">
      <x:c r="A20" s="120" t="s">
        <x:v>119</x:v>
      </x:c>
      <x:c r="B20" s="118"/>
      <x:c r="C20" s="118"/>
      <x:c r="D20" s="118"/>
      <x:c r="E20" s="118"/>
      <x:c r="F20" s="118"/>
      <x:c r="G20" s="118"/>
      <x:c r="H20" s="118"/>
      <x:c r="J20" s="47" t="s">
        <x:v>120</x:v>
      </x:c>
      <x:c r="K20" s="47" t="s">
        <x:v>121</x:v>
      </x:c>
      <x:c r="L20" s="47" t="s">
        <x:v>122</x:v>
      </x:c>
    </x:row>
    <x:row r="21" ht="32.099998474121094" customHeight="1">
      <x:c r="A21" s="47" t="s">
        <x:v>120</x:v>
      </x:c>
      <x:c r="B21" s="47" t="s">
        <x:v>123</x:v>
      </x:c>
      <x:c r="C21" s="47" t="s">
        <x:v>112</x:v>
      </x:c>
      <x:c r="D21" s="47" t="s">
        <x:v>124</x:v>
      </x:c>
      <x:c r="E21" s="47" t="s">
        <x:v>125</x:v>
      </x:c>
      <x:c r="F21" s="47" t="s">
        <x:v>126</x:v>
      </x:c>
      <x:c r="G21" s="47" t="s">
        <x:v>127</x:v>
      </x:c>
      <x:c r="H21" s="47" t="s">
        <x:v>128</x:v>
      </x:c>
      <x:c r="J21" s="48" t="str">
        <x:f>A22</x:f>
        <x:v>Toàn bộ 36 sự kiện</x:v>
      </x:c>
      <x:c r="K21" s="48" t="n">
        <x:f t="shared" ref="K21:L25" si="0">D22</x:f>
        <x:v>7</x:v>
      </x:c>
      <x:c r="L21" s="48">
        <x:f t="shared" si="0"/>
        <x:v>13</x:v>
      </x:c>
    </x:row>
    <x:row r="22">
      <x:c r="A22" s="48" t="s">
        <x:v>129</x:v>
      </x:c>
      <x:c r="B22" s="50">
        <x:v>36</x:v>
      </x:c>
      <x:c r="C22" s="52">
        <x:v>-3.601623470068005E-2</x:v>
      </x:c>
      <x:c r="D22" s="54">
        <x:v>7</x:v>
      </x:c>
      <x:c r="E22" s="54">
        <x:v>13</x:v>
      </x:c>
      <x:c r="F22" s="54">
        <x:v>25</x:v>
      </x:c>
      <x:c r="G22" s="54">
        <x:v>0</x:v>
      </x:c>
      <x:c r="H22" s="56">
        <x:v>0.22222222222222221</x:v>
      </x:c>
      <x:c r="J22" s="49" t="str">
        <x:f>A23</x:f>
        <x:v>Giảm ≥10%</x:v>
      </x:c>
      <x:c r="K22" s="49">
        <x:f t="shared" si="0"/>
        <x:v>75</x:v>
      </x:c>
      <x:c r="L22" s="49">
        <x:f t="shared" si="0"/>
        <x:v>39</x:v>
      </x:c>
    </x:row>
    <x:row r="23">
      <x:c r="A23" s="58" t="s">
        <x:v>130</x:v>
      </x:c>
      <x:c r="B23" s="59">
        <x:v>9</x:v>
      </x:c>
      <x:c r="C23" s="60">
        <x:v>-0.24764841253882064</x:v>
      </x:c>
      <x:c r="D23" s="61">
        <x:v>75</x:v>
      </x:c>
      <x:c r="E23" s="61">
        <x:v>39</x:v>
      </x:c>
      <x:c r="F23" s="61">
        <x:v>145</x:v>
      </x:c>
      <x:c r="G23" s="61">
        <x:v>1</x:v>
      </x:c>
      <x:c r="H23" s="62">
        <x:v>0.66666666666666663</x:v>
      </x:c>
      <x:c r="J23" s="49" t="str">
        <x:f>A24</x:f>
        <x:v>Giảm ≥15%</x:v>
      </x:c>
      <x:c r="K23" s="49">
        <x:f t="shared" si="0"/>
        <x:v>76</x:v>
      </x:c>
      <x:c r="L23" s="49">
        <x:f t="shared" si="0"/>
        <x:v>49</x:v>
      </x:c>
    </x:row>
    <x:row r="24">
      <x:c r="A24" s="49" t="s">
        <x:v>131</x:v>
      </x:c>
      <x:c r="B24" s="51">
        <x:v>7</x:v>
      </x:c>
      <x:c r="C24" s="53">
        <x:v>-0.31302236395089522</x:v>
      </x:c>
      <x:c r="D24" s="55">
        <x:v>76</x:v>
      </x:c>
      <x:c r="E24" s="55">
        <x:v>49</x:v>
      </x:c>
      <x:c r="F24" s="55">
        <x:v>151</x:v>
      </x:c>
      <x:c r="G24" s="55">
        <x:v>1</x:v>
      </x:c>
      <x:c r="H24" s="57">
        <x:v>0.8571428571428571</x:v>
      </x:c>
      <x:c r="J24" s="49" t="str">
        <x:f>A25</x:f>
        <x:v>Quay lại ≥60 phiên</x:v>
      </x:c>
      <x:c r="K24" s="49">
        <x:f t="shared" si="0"/>
        <x:v>69</x:v>
      </x:c>
      <x:c r="L24" s="49">
        <x:f t="shared" si="0"/>
        <x:v>45</x:v>
      </x:c>
    </x:row>
    <x:row r="25">
      <x:c r="A25" s="49" t="s">
        <x:v>132</x:v>
      </x:c>
      <x:c r="B25" s="51">
        <x:v>12</x:v>
      </x:c>
      <x:c r="C25" s="53">
        <x:v>-0.17874913220863592</x:v>
      </x:c>
      <x:c r="D25" s="55">
        <x:v>69</x:v>
      </x:c>
      <x:c r="E25" s="55">
        <x:v>45</x:v>
      </x:c>
      <x:c r="F25" s="55">
        <x:v>129</x:v>
      </x:c>
      <x:c r="G25" s="55">
        <x:v>1</x:v>
      </x:c>
      <x:c r="H25" s="57">
        <x:v>0.66666666666666663</x:v>
      </x:c>
      <x:c r="J25" s="49" t="str">
        <x:f>A26</x:f>
        <x:v>Giảm ≥30%</x:v>
      </x:c>
      <x:c r="K25" s="49">
        <x:f t="shared" si="0"/>
        <x:v>231</x:v>
      </x:c>
      <x:c r="L25" s="49">
        <x:f t="shared" si="0"/>
        <x:v>78</x:v>
      </x:c>
    </x:row>
    <x:row r="26">
      <x:c r="A26" s="49" t="s">
        <x:v>133</x:v>
      </x:c>
      <x:c r="B26" s="51">
        <x:v>4</x:v>
      </x:c>
      <x:c r="C26" s="53">
        <x:v>-0.43144356556247926</x:v>
      </x:c>
      <x:c r="D26" s="55">
        <x:v>231</x:v>
      </x:c>
      <x:c r="E26" s="55">
        <x:v>78</x:v>
      </x:c>
      <x:c r="F26" s="55">
        <x:v>322</x:v>
      </x:c>
      <x:c r="G26" s="55">
        <x:v>3.5</x:v>
      </x:c>
      <x:c r="H26" s="57">
        <x:v>0.75</x:v>
      </x:c>
    </x:row>
    <x:row r="29" ht="21.950000762939453" customHeight="1">
      <x:c r="A29" s="120" t="s">
        <x:v>134</x:v>
      </x:c>
      <x:c r="B29" s="118"/>
      <x:c r="C29" s="118"/>
      <x:c r="D29" s="118"/>
      <x:c r="E29" s="118"/>
      <x:c r="F29" s="118"/>
      <x:c r="G29" s="118"/>
      <x:c r="H29" s="118"/>
    </x:row>
    <x:row r="30" ht="32.099998474121094" customHeight="1">
      <x:c r="A30" s="47" t="s">
        <x:v>120</x:v>
      </x:c>
      <x:c r="B30" s="47" t="s">
        <x:v>135</x:v>
      </x:c>
      <x:c r="C30" s="47" t="s">
        <x:v>136</x:v>
      </x:c>
      <x:c r="D30" s="47" t="s">
        <x:v>137</x:v>
      </x:c>
      <x:c r="E30" s="47" t="s">
        <x:v>138</x:v>
      </x:c>
      <x:c r="F30" s="47" t="s">
        <x:v>139</x:v>
      </x:c>
    </x:row>
    <x:row r="31">
      <x:c r="A31" s="48" t="s">
        <x:v>129</x:v>
      </x:c>
      <x:c r="B31" s="54">
        <x:v>0</x:v>
      </x:c>
      <x:c r="C31" s="54">
        <x:v>0.77777777777777779</x:v>
      </x:c>
      <x:c r="D31" s="54">
        <x:v>0</x:v>
      </x:c>
      <x:c r="E31" s="54">
        <x:v>0.52777777777777779</x:v>
      </x:c>
      <x:c r="F31" s="54">
        <x:v>0</x:v>
      </x:c>
    </x:row>
    <x:row r="32">
      <x:c r="A32" s="49" t="s">
        <x:v>130</x:v>
      </x:c>
      <x:c r="B32" s="55">
        <x:v>1</x:v>
      </x:c>
      <x:c r="C32" s="55">
        <x:v>2.4444444444444446</x:v>
      </x:c>
      <x:c r="D32" s="55">
        <x:v>1</x:v>
      </x:c>
      <x:c r="E32" s="55">
        <x:v>1.7777777777777777</x:v>
      </x:c>
      <x:c r="F32" s="55">
        <x:v>0</x:v>
      </x:c>
    </x:row>
    <x:row r="33">
      <x:c r="A33" s="49" t="s">
        <x:v>131</x:v>
      </x:c>
      <x:c r="B33" s="55">
        <x:v>2</x:v>
      </x:c>
      <x:c r="C33" s="55">
        <x:v>3.1428571428571428</x:v>
      </x:c>
      <x:c r="D33" s="55">
        <x:v>1</x:v>
      </x:c>
      <x:c r="E33" s="55">
        <x:v>2.2857142857142856</x:v>
      </x:c>
      <x:c r="F33" s="55">
        <x:v>1</x:v>
      </x:c>
    </x:row>
    <x:row r="34">
      <x:c r="A34" s="49" t="s">
        <x:v>133</x:v>
      </x:c>
      <x:c r="B34" s="55">
        <x:v>5</x:v>
      </x:c>
      <x:c r="C34" s="55">
        <x:v>4.5</x:v>
      </x:c>
      <x:c r="D34" s="55">
        <x:v>3.5</x:v>
      </x:c>
      <x:c r="E34" s="55">
        <x:v>3.25</x:v>
      </x:c>
      <x:c r="F34" s="55">
        <x:v>2.5</x:v>
      </x:c>
    </x:row>
    <x:row r="36">
      <x:c r="A36" s="145" t="s">
        <x:v>140</x:v>
      </x:c>
      <x:c r="B36" s="146"/>
      <x:c r="C36" s="146"/>
      <x:c r="D36" s="146"/>
      <x:c r="E36" s="146"/>
      <x:c r="F36" s="146"/>
      <x:c r="G36" s="146"/>
      <x:c r="H36" s="147"/>
    </x:row>
    <x:row r="37">
      <x:c r="A37" s="148"/>
      <x:c r="B37" s="149"/>
      <x:c r="C37" s="149"/>
      <x:c r="D37" s="149"/>
      <x:c r="E37" s="149"/>
      <x:c r="F37" s="149"/>
      <x:c r="G37" s="149"/>
      <x:c r="H37" s="150"/>
    </x:row>
    <x:row r="38">
      <x:c r="A38" s="151"/>
      <x:c r="B38" s="152"/>
      <x:c r="C38" s="152"/>
      <x:c r="D38" s="152"/>
      <x:c r="E38" s="152"/>
      <x:c r="F38" s="152"/>
      <x:c r="G38" s="152"/>
      <x:c r="H38" s="153"/>
    </x:row>
  </x:sheetData>
  <x:mergeCells>
    <x:mergeCell ref="A12:Q14"/>
    <x:mergeCell ref="A16:Q18"/>
    <x:mergeCell ref="A20:H20"/>
    <x:mergeCell ref="A29:H29"/>
    <x:mergeCell ref="A36:H38"/>
    <x:mergeCell ref="A1:Q2"/>
    <x:mergeCell ref="A3:Q3"/>
    <x:mergeCell ref="A5:Q5"/>
    <x:mergeCell ref="A7:B7"/>
    <x:mergeCell ref="A8:B9"/>
    <x:mergeCell ref="C7:D7"/>
    <x:mergeCell ref="C8:D9"/>
    <x:mergeCell ref="E7:F7"/>
    <x:mergeCell ref="E8:F9"/>
    <x:mergeCell ref="G7:H7"/>
    <x:mergeCell ref="G8:H9"/>
    <x:mergeCell ref="I7:J7"/>
    <x:mergeCell ref="I8:J9"/>
    <x:mergeCell ref="K7:L7"/>
    <x:mergeCell ref="K8:L9"/>
  </x:mergeCells>
  <x:pageMargins left="0.7" right="0.7" top="0.75" bottom="0.75" header="0.3" footer="0.3"/>
  <x:drawing xmlns:r="http://schemas.openxmlformats.org/officeDocument/2006/relationships" r:id="R3c344cae4ab8438c"/>
  <x:legacyDrawing xmlns:r="http://schemas.openxmlformats.org/officeDocument/2006/relationships" r:id="Rd6f82e7807b940eb"/>
</x:worksheet>
</file>

<file path=xl/worksheets/sheet8.xml><?xml version="1.0" encoding="utf-8"?>
<x:worksheet xmlns:x="http://schemas.openxmlformats.org/spreadsheetml/2006/main">
  <x:sheetViews>
    <x:sheetView showGridLines="0" workbookViewId="0"/>
  </x:sheetViews>
  <x:sheetFormatPr defaultRowHeight="14.25"/>
  <x:cols>
    <x:col min="1" max="1" width="7" customWidth="1"/>
    <x:col min="2" max="3" width="13" customWidth="1"/>
    <x:col min="4" max="4" width="15" customWidth="1"/>
    <x:col min="5" max="6" width="12" customWidth="1"/>
    <x:col min="7" max="7" width="11" customWidth="1"/>
    <x:col min="8" max="9" width="14" customWidth="1"/>
    <x:col min="10" max="11" width="16" customWidth="1"/>
    <x:col min="12" max="17" width="11" customWidth="1"/>
    <x:col min="18" max="18" width="13" customWidth="1"/>
    <x:col min="19" max="20" width="12" customWidth="1"/>
    <x:col min="21" max="21" width="13" customWidth="1"/>
  </x:cols>
  <x:sheetData>
    <x:row r="1" ht="27.950000762939453" customHeight="1">
      <x:c r="A1" s="117" t="str">
        <x:v>PHÂN TÍCH 36 CHU KỲ GÃY MA200 ĐÃ HOÀN TẤT</x:v>
      </x:c>
      <x:c r="B1" s="118"/>
      <x:c r="C1" s="118"/>
      <x:c r="D1" s="118"/>
      <x:c r="E1" s="118"/>
      <x:c r="F1" s="118"/>
      <x:c r="G1" s="118"/>
      <x:c r="H1" s="118"/>
      <x:c r="I1" s="118"/>
      <x:c r="J1" s="118"/>
      <x:c r="K1" s="118"/>
      <x:c r="L1" s="118"/>
      <x:c r="M1" s="118"/>
      <x:c r="N1" s="118"/>
      <x:c r="O1" s="118"/>
      <x:c r="P1" s="118"/>
      <x:c r="Q1" s="118"/>
      <x:c r="R1" s="118"/>
      <x:c r="S1" s="118"/>
      <x:c r="T1" s="118"/>
      <x:c r="U1" s="118"/>
    </x:row>
    <x:row r="2" ht="27.950000762939453" customHeight="1">
      <x:c r="A2" s="118"/>
      <x:c r="B2" s="118"/>
      <x:c r="C2" s="118"/>
      <x:c r="D2" s="118"/>
      <x:c r="E2" s="118"/>
      <x:c r="F2" s="118"/>
      <x:c r="G2" s="118"/>
      <x:c r="H2" s="118"/>
      <x:c r="I2" s="118"/>
      <x:c r="J2" s="118"/>
      <x:c r="K2" s="118"/>
      <x:c r="L2" s="118"/>
      <x:c r="M2" s="118"/>
      <x:c r="N2" s="118"/>
      <x:c r="O2" s="118"/>
      <x:c r="P2" s="118"/>
      <x:c r="Q2" s="118"/>
      <x:c r="R2" s="118"/>
      <x:c r="S2" s="118"/>
      <x:c r="T2" s="118"/>
      <x:c r="U2" s="118"/>
    </x:row>
    <x:row r="3" ht="20.100000381469727" customHeight="1">
      <x:c r="A3" s="119" t="str">
        <x:v>Mức giảm tính từ giá đóng cửa ngày gãy tới đáy; đổi trend = 3 phiên liên tiếp trên hoặc bằng MA200. Tín hiệu mở 20/07/2026 theo dõi tại sheet Sự kiện xác nhận.</x:v>
      </x:c>
      <x:c r="B3" s="118"/>
      <x:c r="C3" s="118"/>
      <x:c r="D3" s="118"/>
      <x:c r="E3" s="118"/>
      <x:c r="F3" s="118"/>
      <x:c r="G3" s="118"/>
      <x:c r="H3" s="118"/>
      <x:c r="I3" s="118"/>
      <x:c r="J3" s="118"/>
      <x:c r="K3" s="118"/>
      <x:c r="L3" s="118"/>
      <x:c r="M3" s="118"/>
      <x:c r="N3" s="118"/>
      <x:c r="O3" s="118"/>
      <x:c r="P3" s="118"/>
      <x:c r="Q3" s="118"/>
      <x:c r="R3" s="118"/>
      <x:c r="S3" s="118"/>
      <x:c r="T3" s="118"/>
      <x:c r="U3" s="118"/>
    </x:row>
    <x:row r="4" ht="32.099998474121094" customHeight="1">
      <x:c r="A4" s="47" t="s">
        <x:v>49</x:v>
      </x:c>
      <x:c r="B4" s="47" t="s">
        <x:v>1</x:v>
      </x:c>
      <x:c r="C4" s="47" t="s">
        <x:v>54</x:v>
      </x:c>
      <x:c r="D4" s="47" t="s">
        <x:v>141</x:v>
      </x:c>
      <x:c r="E4" s="47" t="s">
        <x:v>39</x:v>
      </x:c>
      <x:c r="F4" s="47" t="s">
        <x:v>40</x:v>
      </x:c>
      <x:c r="G4" s="47" t="s">
        <x:v>142</x:v>
      </x:c>
      <x:c r="H4" s="47" t="s">
        <x:v>124</x:v>
      </x:c>
      <x:c r="I4" s="47" t="s">
        <x:v>143</x:v>
      </x:c>
      <x:c r="J4" s="47" t="s">
        <x:v>144</x:v>
      </x:c>
      <x:c r="K4" s="47" t="s">
        <x:v>145</x:v>
      </x:c>
      <x:c r="L4" s="47" t="s">
        <x:v>146</x:v>
      </x:c>
      <x:c r="M4" s="47" t="s">
        <x:v>147</x:v>
      </x:c>
      <x:c r="N4" s="47" t="s">
        <x:v>148</x:v>
      </x:c>
      <x:c r="O4" s="47" t="s">
        <x:v>149</x:v>
      </x:c>
      <x:c r="P4" s="47" t="s">
        <x:v>150</x:v>
      </x:c>
      <x:c r="Q4" s="47" t="s">
        <x:v>151</x:v>
      </x:c>
      <x:c r="R4" s="47" t="s">
        <x:v>152</x:v>
      </x:c>
      <x:c r="S4" s="47" t="s">
        <x:v>153</x:v>
      </x:c>
      <x:c r="T4" s="47" t="s">
        <x:v>154</x:v>
      </x:c>
      <x:c r="U4" s="47" t="s">
        <x:v>155</x:v>
      </x:c>
    </x:row>
    <x:row r="5">
      <x:c r="A5" s="48">
        <x:v>1</x:v>
      </x:c>
      <x:c r="B5" s="63">
        <x:v>37237</x:v>
      </x:c>
      <x:c r="C5" s="63">
        <x:v>37918</x:v>
      </x:c>
      <x:c r="D5" s="63">
        <x:v>37944</x:v>
      </x:c>
      <x:c r="E5" s="65">
        <x:v>267.83</x:v>
      </x:c>
      <x:c r="F5" s="65">
        <x:v>130.9</x:v>
      </x:c>
      <x:c r="G5" s="52">
        <x:v>-0.5112571407235933</x:v>
      </x:c>
      <x:c r="H5" s="50">
        <x:v>423</x:v>
      </x:c>
      <x:c r="I5" s="50">
        <x:v>681</x:v>
      </x:c>
      <x:c r="J5" s="50">
        <x:v>18</x:v>
      </x:c>
      <x:c r="K5" s="50">
        <x:v>26</x:v>
      </x:c>
      <x:c r="L5" s="50">
        <x:v>441</x:v>
      </x:c>
      <x:c r="M5" s="50">
        <x:v>707</x:v>
      </x:c>
      <x:c r="N5" s="50">
        <x:v>4</x:v>
      </x:c>
      <x:c r="O5" s="50">
        <x:v>3</x:v>
      </x:c>
      <x:c r="P5" s="50">
        <x:v>3</x:v>
      </x:c>
      <x:c r="Q5" s="56" t="n">
        <x:f t="shared" ref="Q5:Q40" si="0">IFERROR(H5/L5,0)</x:f>
        <x:v>0.9591836734693877</x:v>
      </x:c>
      <x:c r="R5" s="48" t="s">
        <x:v>156</x:v>
      </x:c>
      <x:c r="S5" s="48" t="s">
        <x:v>157</x:v>
      </x:c>
      <x:c r="T5" s="48" t="s">
        <x:v>157</x:v>
      </x:c>
      <x:c r="U5" s="50" t="n">
        <x:f t="shared" ref="U5:U40" si="1">H5+J5-L5</x:f>
        <x:v>0</x:v>
      </x:c>
    </x:row>
    <x:row r="6">
      <x:c r="A6" s="49">
        <x:v>2</x:v>
      </x:c>
      <x:c r="B6" s="64">
        <x:v>38247</x:v>
      </x:c>
      <x:c r="C6" s="64">
        <x:v>38316</x:v>
      </x:c>
      <x:c r="D6" s="64">
        <x:v>38414</x:v>
      </x:c>
      <x:c r="E6" s="66">
        <x:v>231.25</x:v>
      </x:c>
      <x:c r="F6" s="66">
        <x:v>221.33</x:v>
      </x:c>
      <x:c r="G6" s="53">
        <x:v>-4.2897297297297188E-2</x:v>
      </x:c>
      <x:c r="H6" s="51">
        <x:v>49</x:v>
      </x:c>
      <x:c r="I6" s="51">
        <x:v>69</x:v>
      </x:c>
      <x:c r="J6" s="51">
        <x:v>64</x:v>
      </x:c>
      <x:c r="K6" s="51">
        <x:v>98</x:v>
      </x:c>
      <x:c r="L6" s="51">
        <x:v>113</x:v>
      </x:c>
      <x:c r="M6" s="51">
        <x:v>167</x:v>
      </x:c>
      <x:c r="N6" s="51">
        <x:v>0</x:v>
      </x:c>
      <x:c r="O6" s="51">
        <x:v>0</x:v>
      </x:c>
      <x:c r="P6" s="51">
        <x:v>0</x:v>
      </x:c>
      <x:c r="Q6" s="57">
        <x:f t="shared" si="0"/>
        <x:v>0.4336283185840708</x:v>
      </x:c>
      <x:c r="R6" s="49" t="s">
        <x:v>158</x:v>
      </x:c>
      <x:c r="S6" s="49" t="s">
        <x:v>159</x:v>
      </x:c>
      <x:c r="T6" s="49" t="s">
        <x:v>159</x:v>
      </x:c>
      <x:c r="U6" s="51">
        <x:f t="shared" si="1"/>
        <x:v>0</x:v>
      </x:c>
    </x:row>
    <x:row r="7">
      <x:c r="A7" s="49">
        <x:v>3</x:v>
      </x:c>
      <x:c r="B7" s="64">
        <x:v>38930</x:v>
      </x:c>
      <x:c r="C7" s="64">
        <x:v>38931</x:v>
      </x:c>
      <x:c r="D7" s="64">
        <x:v>38937</x:v>
      </x:c>
      <x:c r="E7" s="66">
        <x:v>404.87</x:v>
      </x:c>
      <x:c r="F7" s="66">
        <x:v>399.8</x:v>
      </x:c>
      <x:c r="G7" s="53">
        <x:v>-1.2522538098648894E-2</x:v>
      </x:c>
      <x:c r="H7" s="51">
        <x:v>1</x:v>
      </x:c>
      <x:c r="I7" s="51">
        <x:v>1</x:v>
      </x:c>
      <x:c r="J7" s="51">
        <x:v>4</x:v>
      </x:c>
      <x:c r="K7" s="51">
        <x:v>6</x:v>
      </x:c>
      <x:c r="L7" s="51">
        <x:v>5</x:v>
      </x:c>
      <x:c r="M7" s="51">
        <x:v>7</x:v>
      </x:c>
      <x:c r="N7" s="51">
        <x:v>0</x:v>
      </x:c>
      <x:c r="O7" s="51">
        <x:v>0</x:v>
      </x:c>
      <x:c r="P7" s="51">
        <x:v>0</x:v>
      </x:c>
      <x:c r="Q7" s="57">
        <x:f t="shared" si="0"/>
        <x:v>0.2</x:v>
      </x:c>
      <x:c r="R7" s="49" t="s">
        <x:v>158</x:v>
      </x:c>
      <x:c r="S7" s="49" t="s">
        <x:v>159</x:v>
      </x:c>
      <x:c r="T7" s="49" t="s">
        <x:v>159</x:v>
      </x:c>
      <x:c r="U7" s="51">
        <x:f t="shared" si="1"/>
        <x:v>0</x:v>
      </x:c>
    </x:row>
    <x:row r="8">
      <x:c r="A8" s="49">
        <x:v>4</x:v>
      </x:c>
      <x:c r="B8" s="64">
        <x:v>39297</x:v>
      </x:c>
      <x:c r="C8" s="64">
        <x:v>39300</x:v>
      </x:c>
      <x:c r="D8" s="64">
        <x:v>39349</x:v>
      </x:c>
      <x:c r="E8" s="66">
        <x:v>892.88</x:v>
      </x:c>
      <x:c r="F8" s="66">
        <x:v>883.9</x:v>
      </x:c>
      <x:c r="G8" s="53">
        <x:v>-1.0057342532031166E-2</x:v>
      </x:c>
      <x:c r="H8" s="51">
        <x:v>1</x:v>
      </x:c>
      <x:c r="I8" s="51">
        <x:v>3</x:v>
      </x:c>
      <x:c r="J8" s="51">
        <x:v>34</x:v>
      </x:c>
      <x:c r="K8" s="51">
        <x:v>49</x:v>
      </x:c>
      <x:c r="L8" s="51">
        <x:v>35</x:v>
      </x:c>
      <x:c r="M8" s="51">
        <x:v>52</x:v>
      </x:c>
      <x:c r="N8" s="51">
        <x:v>0</x:v>
      </x:c>
      <x:c r="O8" s="51">
        <x:v>0</x:v>
      </x:c>
      <x:c r="P8" s="51">
        <x:v>0</x:v>
      </x:c>
      <x:c r="Q8" s="57">
        <x:f t="shared" si="0"/>
        <x:v>2.8571428571428571E-2</x:v>
      </x:c>
      <x:c r="R8" s="49" t="s">
        <x:v>158</x:v>
      </x:c>
      <x:c r="S8" s="49" t="s">
        <x:v>159</x:v>
      </x:c>
      <x:c r="T8" s="49" t="s">
        <x:v>159</x:v>
      </x:c>
      <x:c r="U8" s="51">
        <x:f t="shared" si="1"/>
        <x:v>0</x:v>
      </x:c>
    </x:row>
    <x:row r="9">
      <x:c r="A9" s="49">
        <x:v>5</x:v>
      </x:c>
      <x:c r="B9" s="64">
        <x:v>39395</x:v>
      </x:c>
      <x:c r="C9" s="64">
        <x:v>39868</x:v>
      </x:c>
      <x:c r="D9" s="64">
        <x:v>39940</x:v>
      </x:c>
      <x:c r="E9" s="66">
        <x:v>1018.29</x:v>
      </x:c>
      <x:c r="F9" s="66">
        <x:v>235.5</x:v>
      </x:c>
      <x:c r="G9" s="53">
        <x:v>-0.76872992958783848</x:v>
      </x:c>
      <x:c r="H9" s="51">
        <x:v>316</x:v>
      </x:c>
      <x:c r="I9" s="51">
        <x:v>473</x:v>
      </x:c>
      <x:c r="J9" s="51">
        <x:v>49</x:v>
      </x:c>
      <x:c r="K9" s="51">
        <x:v>72</x:v>
      </x:c>
      <x:c r="L9" s="51">
        <x:v>365</x:v>
      </x:c>
      <x:c r="M9" s="51">
        <x:v>545</x:v>
      </x:c>
      <x:c r="N9" s="51">
        <x:v>8</x:v>
      </x:c>
      <x:c r="O9" s="51">
        <x:v>6</x:v>
      </x:c>
      <x:c r="P9" s="51">
        <x:v>6</x:v>
      </x:c>
      <x:c r="Q9" s="57">
        <x:f t="shared" si="0"/>
        <x:v>0.86575342465753424</x:v>
      </x:c>
      <x:c r="R9" s="49" t="s">
        <x:v>156</x:v>
      </x:c>
      <x:c r="S9" s="49" t="s">
        <x:v>157</x:v>
      </x:c>
      <x:c r="T9" s="49" t="s">
        <x:v>157</x:v>
      </x:c>
      <x:c r="U9" s="51">
        <x:f t="shared" si="1"/>
        <x:v>0</x:v>
      </x:c>
    </x:row>
    <x:row r="10">
      <x:c r="A10" s="49">
        <x:v>6</x:v>
      </x:c>
      <x:c r="B10" s="64">
        <x:v>40163</x:v>
      </x:c>
      <x:c r="C10" s="64">
        <x:v>40164</x:v>
      </x:c>
      <x:c r="D10" s="64">
        <x:v>40169</x:v>
      </x:c>
      <x:c r="E10" s="66">
        <x:v>442.1</x:v>
      </x:c>
      <x:c r="F10" s="66">
        <x:v>434.9</x:v>
      </x:c>
      <x:c r="G10" s="53">
        <x:v>-1.6285908165573515E-2</x:v>
      </x:c>
      <x:c r="H10" s="51">
        <x:v>1</x:v>
      </x:c>
      <x:c r="I10" s="51">
        <x:v>1</x:v>
      </x:c>
      <x:c r="J10" s="51">
        <x:v>3</x:v>
      </x:c>
      <x:c r="K10" s="51">
        <x:v>5</x:v>
      </x:c>
      <x:c r="L10" s="51">
        <x:v>4</x:v>
      </x:c>
      <x:c r="M10" s="51">
        <x:v>6</x:v>
      </x:c>
      <x:c r="N10" s="51">
        <x:v>0</x:v>
      </x:c>
      <x:c r="O10" s="51">
        <x:v>0</x:v>
      </x:c>
      <x:c r="P10" s="51">
        <x:v>0</x:v>
      </x:c>
      <x:c r="Q10" s="57">
        <x:f t="shared" si="0"/>
        <x:v>0.25</x:v>
      </x:c>
      <x:c r="R10" s="49" t="s">
        <x:v>158</x:v>
      </x:c>
      <x:c r="S10" s="49" t="s">
        <x:v>159</x:v>
      </x:c>
      <x:c r="T10" s="49" t="s">
        <x:v>159</x:v>
      </x:c>
      <x:c r="U10" s="51">
        <x:f t="shared" si="1"/>
        <x:v>0</x:v>
      </x:c>
    </x:row>
    <x:row r="11">
      <x:c r="A11" s="49">
        <x:v>7</x:v>
      </x:c>
      <x:c r="B11" s="64">
        <x:v>40199</x:v>
      </x:c>
      <x:c r="C11" s="64">
        <x:v>40200</x:v>
      </x:c>
      <x:c r="D11" s="64">
        <x:v>40220</x:v>
      </x:c>
      <x:c r="E11" s="66">
        <x:v>478.4</x:v>
      </x:c>
      <x:c r="F11" s="66">
        <x:v>477.6</x:v>
      </x:c>
      <x:c r="G11" s="53">
        <x:v>-1.6722408026754731E-3</x:v>
      </x:c>
      <x:c r="H11" s="51">
        <x:v>1</x:v>
      </x:c>
      <x:c r="I11" s="51">
        <x:v>1</x:v>
      </x:c>
      <x:c r="J11" s="51">
        <x:v>14</x:v>
      </x:c>
      <x:c r="K11" s="51">
        <x:v>20</x:v>
      </x:c>
      <x:c r="L11" s="51">
        <x:v>15</x:v>
      </x:c>
      <x:c r="M11" s="51">
        <x:v>21</x:v>
      </x:c>
      <x:c r="N11" s="51">
        <x:v>0</x:v>
      </x:c>
      <x:c r="O11" s="51">
        <x:v>0</x:v>
      </x:c>
      <x:c r="P11" s="51">
        <x:v>0</x:v>
      </x:c>
      <x:c r="Q11" s="57">
        <x:f t="shared" si="0"/>
        <x:v>6.6666666666666666E-2</x:v>
      </x:c>
      <x:c r="R11" s="49" t="s">
        <x:v>158</x:v>
      </x:c>
      <x:c r="S11" s="49" t="s">
        <x:v>159</x:v>
      </x:c>
      <x:c r="T11" s="49" t="s">
        <x:v>159</x:v>
      </x:c>
      <x:c r="U11" s="51">
        <x:f t="shared" si="1"/>
        <x:v>0</x:v>
      </x:c>
    </x:row>
    <x:row r="12">
      <x:c r="A12" s="49">
        <x:v>8</x:v>
      </x:c>
      <x:c r="B12" s="64">
        <x:v>40232</x:v>
      </x:c>
      <x:c r="C12" s="64">
        <x:v>40233</x:v>
      </x:c>
      <x:c r="D12" s="64">
        <x:v>40240</x:v>
      </x:c>
      <x:c r="E12" s="66">
        <x:v>496.3</x:v>
      </x:c>
      <x:c r="F12" s="66">
        <x:v>494.6</x:v>
      </x:c>
      <x:c r="G12" s="53">
        <x:v>-3.4253475720330551E-3</x:v>
      </x:c>
      <x:c r="H12" s="51">
        <x:v>1</x:v>
      </x:c>
      <x:c r="I12" s="51">
        <x:v>1</x:v>
      </x:c>
      <x:c r="J12" s="51">
        <x:v>5</x:v>
      </x:c>
      <x:c r="K12" s="51">
        <x:v>7</x:v>
      </x:c>
      <x:c r="L12" s="51">
        <x:v>6</x:v>
      </x:c>
      <x:c r="M12" s="51">
        <x:v>8</x:v>
      </x:c>
      <x:c r="N12" s="51">
        <x:v>0</x:v>
      </x:c>
      <x:c r="O12" s="51">
        <x:v>0</x:v>
      </x:c>
      <x:c r="P12" s="51">
        <x:v>0</x:v>
      </x:c>
      <x:c r="Q12" s="57">
        <x:f t="shared" si="0"/>
        <x:v>0.16666666666666666</x:v>
      </x:c>
      <x:c r="R12" s="49" t="s">
        <x:v>158</x:v>
      </x:c>
      <x:c r="S12" s="49" t="s">
        <x:v>159</x:v>
      </x:c>
      <x:c r="T12" s="49" t="s">
        <x:v>159</x:v>
      </x:c>
      <x:c r="U12" s="51">
        <x:f t="shared" si="1"/>
        <x:v>0</x:v>
      </x:c>
    </x:row>
    <x:row r="13">
      <x:c r="A13" s="49">
        <x:v>9</x:v>
      </x:c>
      <x:c r="B13" s="64">
        <x:v>40262</x:v>
      </x:c>
      <x:c r="C13" s="64">
        <x:v>40268</x:v>
      </x:c>
      <x:c r="D13" s="64">
        <x:v>40273</x:v>
      </x:c>
      <x:c r="E13" s="66">
        <x:v>503.4</x:v>
      </x:c>
      <x:c r="F13" s="66">
        <x:v>499.2</x:v>
      </x:c>
      <x:c r="G13" s="53">
        <x:v>-8.3432657926102438E-3</x:v>
      </x:c>
      <x:c r="H13" s="51">
        <x:v>4</x:v>
      </x:c>
      <x:c r="I13" s="51">
        <x:v>6</x:v>
      </x:c>
      <x:c r="J13" s="51">
        <x:v>3</x:v>
      </x:c>
      <x:c r="K13" s="51">
        <x:v>5</x:v>
      </x:c>
      <x:c r="L13" s="51">
        <x:v>7</x:v>
      </x:c>
      <x:c r="M13" s="51">
        <x:v>11</x:v>
      </x:c>
      <x:c r="N13" s="51">
        <x:v>0</x:v>
      </x:c>
      <x:c r="O13" s="51">
        <x:v>0</x:v>
      </x:c>
      <x:c r="P13" s="51">
        <x:v>0</x:v>
      </x:c>
      <x:c r="Q13" s="57">
        <x:f t="shared" si="0"/>
        <x:v>0.5714285714285714</x:v>
      </x:c>
      <x:c r="R13" s="49" t="s">
        <x:v>158</x:v>
      </x:c>
      <x:c r="S13" s="49" t="s">
        <x:v>159</x:v>
      </x:c>
      <x:c r="T13" s="49" t="s">
        <x:v>159</x:v>
      </x:c>
      <x:c r="U13" s="51">
        <x:f t="shared" si="1"/>
        <x:v>0</x:v>
      </x:c>
    </x:row>
    <x:row r="14">
      <x:c r="A14" s="49">
        <x:v>10</x:v>
      </x:c>
      <x:c r="B14" s="64">
        <x:v>40310</x:v>
      </x:c>
      <x:c r="C14" s="64">
        <x:v>40415</x:v>
      </x:c>
      <x:c r="D14" s="64">
        <x:v>40525</x:v>
      </x:c>
      <x:c r="E14" s="66">
        <x:v>519.6</x:v>
      </x:c>
      <x:c r="F14" s="66">
        <x:v>423.89</x:v>
      </x:c>
      <x:c r="G14" s="53">
        <x:v>-0.18419938414164749</x:v>
      </x:c>
      <x:c r="H14" s="51">
        <x:v>75</x:v>
      </x:c>
      <x:c r="I14" s="51">
        <x:v>105</x:v>
      </x:c>
      <x:c r="J14" s="51">
        <x:v>76</x:v>
      </x:c>
      <x:c r="K14" s="51">
        <x:v>110</x:v>
      </x:c>
      <x:c r="L14" s="51">
        <x:v>151</x:v>
      </x:c>
      <x:c r="M14" s="51">
        <x:v>215</x:v>
      </x:c>
      <x:c r="N14" s="51">
        <x:v>1</x:v>
      </x:c>
      <x:c r="O14" s="51">
        <x:v>1</x:v>
      </x:c>
      <x:c r="P14" s="51">
        <x:v>0</x:v>
      </x:c>
      <x:c r="Q14" s="57">
        <x:f t="shared" si="0"/>
        <x:v>0.49668874172185429</x:v>
      </x:c>
      <x:c r="R14" s="49" t="s">
        <x:v>160</x:v>
      </x:c>
      <x:c r="S14" s="49" t="s">
        <x:v>157</x:v>
      </x:c>
      <x:c r="T14" s="49" t="s">
        <x:v>157</x:v>
      </x:c>
      <x:c r="U14" s="51">
        <x:f t="shared" si="1"/>
        <x:v>0</x:v>
      </x:c>
    </x:row>
    <x:row r="15">
      <x:c r="A15" s="49">
        <x:v>11</x:v>
      </x:c>
      <x:c r="B15" s="64">
        <x:v>40532</x:v>
      </x:c>
      <x:c r="C15" s="64">
        <x:v>40536</x:v>
      </x:c>
      <x:c r="D15" s="64">
        <x:v>40543</x:v>
      </x:c>
      <x:c r="E15" s="66">
        <x:v>478.3</x:v>
      </x:c>
      <x:c r="F15" s="66">
        <x:v>472.8</x:v>
      </x:c>
      <x:c r="G15" s="53">
        <x:v>-1.1499059167886294E-2</x:v>
      </x:c>
      <x:c r="H15" s="51">
        <x:v>4</x:v>
      </x:c>
      <x:c r="I15" s="51">
        <x:v>4</x:v>
      </x:c>
      <x:c r="J15" s="51">
        <x:v>5</x:v>
      </x:c>
      <x:c r="K15" s="51">
        <x:v>7</x:v>
      </x:c>
      <x:c r="L15" s="51">
        <x:v>9</x:v>
      </x:c>
      <x:c r="M15" s="51">
        <x:v>11</x:v>
      </x:c>
      <x:c r="N15" s="51">
        <x:v>0</x:v>
      </x:c>
      <x:c r="O15" s="51">
        <x:v>0</x:v>
      </x:c>
      <x:c r="P15" s="51">
        <x:v>0</x:v>
      </x:c>
      <x:c r="Q15" s="57">
        <x:f t="shared" si="0"/>
        <x:v>0.44444444444444442</x:v>
      </x:c>
      <x:c r="R15" s="49" t="s">
        <x:v>158</x:v>
      </x:c>
      <x:c r="S15" s="49" t="s">
        <x:v>159</x:v>
      </x:c>
      <x:c r="T15" s="49" t="s">
        <x:v>159</x:v>
      </x:c>
      <x:c r="U15" s="51">
        <x:f t="shared" si="1"/>
        <x:v>0</x:v>
      </x:c>
    </x:row>
    <x:row r="16">
      <x:c r="A16" s="49">
        <x:v>12</x:v>
      </x:c>
      <x:c r="B16" s="64">
        <x:v>40596</x:v>
      </x:c>
      <x:c r="C16" s="64">
        <x:v>40605</x:v>
      </x:c>
      <x:c r="D16" s="64">
        <x:v>40612</x:v>
      </x:c>
      <x:c r="E16" s="66">
        <x:v>470</x:v>
      </x:c>
      <x:c r="F16" s="66">
        <x:v>452.3</x:v>
      </x:c>
      <x:c r="G16" s="53">
        <x:v>-3.76595744680851E-2</x:v>
      </x:c>
      <x:c r="H16" s="51">
        <x:v>7</x:v>
      </x:c>
      <x:c r="I16" s="51">
        <x:v>9</x:v>
      </x:c>
      <x:c r="J16" s="51">
        <x:v>5</x:v>
      </x:c>
      <x:c r="K16" s="51">
        <x:v>7</x:v>
      </x:c>
      <x:c r="L16" s="51">
        <x:v>12</x:v>
      </x:c>
      <x:c r="M16" s="51">
        <x:v>16</x:v>
      </x:c>
      <x:c r="N16" s="51">
        <x:v>0</x:v>
      </x:c>
      <x:c r="O16" s="51">
        <x:v>0</x:v>
      </x:c>
      <x:c r="P16" s="51">
        <x:v>0</x:v>
      </x:c>
      <x:c r="Q16" s="57">
        <x:f t="shared" si="0"/>
        <x:v>0.58333333333333337</x:v>
      </x:c>
      <x:c r="R16" s="49" t="s">
        <x:v>158</x:v>
      </x:c>
      <x:c r="S16" s="49" t="s">
        <x:v>159</x:v>
      </x:c>
      <x:c r="T16" s="49" t="s">
        <x:v>159</x:v>
      </x:c>
      <x:c r="U16" s="51">
        <x:f t="shared" si="1"/>
        <x:v>0</x:v>
      </x:c>
    </x:row>
    <x:row r="17">
      <x:c r="A17" s="49">
        <x:v>13</x:v>
      </x:c>
      <x:c r="B17" s="64">
        <x:v>40617</x:v>
      </x:c>
      <x:c r="C17" s="64">
        <x:v>40652</x:v>
      </x:c>
      <x:c r="D17" s="64">
        <x:v>40660</x:v>
      </x:c>
      <x:c r="E17" s="66">
        <x:v>468.7</x:v>
      </x:c>
      <x:c r="F17" s="66">
        <x:v>453.7</x:v>
      </x:c>
      <x:c r="G17" s="53">
        <x:v>-3.2003413697461069E-2</x:v>
      </x:c>
      <x:c r="H17" s="51">
        <x:v>23</x:v>
      </x:c>
      <x:c r="I17" s="51">
        <x:v>35</x:v>
      </x:c>
      <x:c r="J17" s="51">
        <x:v>6</x:v>
      </x:c>
      <x:c r="K17" s="51">
        <x:v>8</x:v>
      </x:c>
      <x:c r="L17" s="51">
        <x:v>29</x:v>
      </x:c>
      <x:c r="M17" s="51">
        <x:v>43</x:v>
      </x:c>
      <x:c r="N17" s="51">
        <x:v>0</x:v>
      </x:c>
      <x:c r="O17" s="51">
        <x:v>0</x:v>
      </x:c>
      <x:c r="P17" s="51">
        <x:v>0</x:v>
      </x:c>
      <x:c r="Q17" s="57">
        <x:f t="shared" si="0"/>
        <x:v>0.7931034482758621</x:v>
      </x:c>
      <x:c r="R17" s="49" t="s">
        <x:v>158</x:v>
      </x:c>
      <x:c r="S17" s="49" t="s">
        <x:v>159</x:v>
      </x:c>
      <x:c r="T17" s="49" t="s">
        <x:v>159</x:v>
      </x:c>
      <x:c r="U17" s="51">
        <x:f t="shared" si="1"/>
        <x:v>0</x:v>
      </x:c>
    </x:row>
    <x:row r="18">
      <x:c r="A18" s="49">
        <x:v>14</x:v>
      </x:c>
      <x:c r="B18" s="64">
        <x:v>40680</x:v>
      </x:c>
      <x:c r="C18" s="64">
        <x:v>40767</x:v>
      </x:c>
      <x:c r="D18" s="64">
        <x:v>40794</x:v>
      </x:c>
      <x:c r="E18" s="66">
        <x:v>464.4</x:v>
      </x:c>
      <x:c r="F18" s="66">
        <x:v>383.92</x:v>
      </x:c>
      <x:c r="G18" s="53">
        <x:v>-0.17329888027562435</x:v>
      </x:c>
      <x:c r="H18" s="51">
        <x:v>63</x:v>
      </x:c>
      <x:c r="I18" s="51">
        <x:v>87</x:v>
      </x:c>
      <x:c r="J18" s="51">
        <x:v>18</x:v>
      </x:c>
      <x:c r="K18" s="51">
        <x:v>27</x:v>
      </x:c>
      <x:c r="L18" s="51">
        <x:v>81</x:v>
      </x:c>
      <x:c r="M18" s="51">
        <x:v>114</x:v>
      </x:c>
      <x:c r="N18" s="51">
        <x:v>1</x:v>
      </x:c>
      <x:c r="O18" s="51">
        <x:v>1</x:v>
      </x:c>
      <x:c r="P18" s="51">
        <x:v>1</x:v>
      </x:c>
      <x:c r="Q18" s="57">
        <x:f t="shared" si="0"/>
        <x:v>0.77777777777777779</x:v>
      </x:c>
      <x:c r="R18" s="49" t="s">
        <x:v>160</x:v>
      </x:c>
      <x:c r="S18" s="49" t="s">
        <x:v>157</x:v>
      </x:c>
      <x:c r="T18" s="49" t="s">
        <x:v>157</x:v>
      </x:c>
      <x:c r="U18" s="51">
        <x:f t="shared" si="1"/>
        <x:v>0</x:v>
      </x:c>
    </x:row>
    <x:row r="19">
      <x:c r="A19" s="49">
        <x:v>15</x:v>
      </x:c>
      <x:c r="B19" s="64">
        <x:v>40807</x:v>
      </x:c>
      <x:c r="C19" s="64">
        <x:v>40914</x:v>
      </x:c>
      <x:c r="D19" s="64">
        <x:v>40959</x:v>
      </x:c>
      <x:c r="E19" s="66">
        <x:v>447.57</x:v>
      </x:c>
      <x:c r="F19" s="66">
        <x:v>336.73</x:v>
      </x:c>
      <x:c r="G19" s="53">
        <x:v>-0.24764841253882064</x:v>
      </x:c>
      <x:c r="H19" s="51">
        <x:v>76</x:v>
      </x:c>
      <x:c r="I19" s="51">
        <x:v>107</x:v>
      </x:c>
      <x:c r="J19" s="51">
        <x:v>26</x:v>
      </x:c>
      <x:c r="K19" s="51">
        <x:v>45</x:v>
      </x:c>
      <x:c r="L19" s="51">
        <x:v>102</x:v>
      </x:c>
      <x:c r="M19" s="51">
        <x:v>152</x:v>
      </x:c>
      <x:c r="N19" s="51">
        <x:v>2</x:v>
      </x:c>
      <x:c r="O19" s="51">
        <x:v>1</x:v>
      </x:c>
      <x:c r="P19" s="51">
        <x:v>0</x:v>
      </x:c>
      <x:c r="Q19" s="57">
        <x:f t="shared" si="0"/>
        <x:v>0.74509803921568629</x:v>
      </x:c>
      <x:c r="R19" s="49" t="s">
        <x:v>161</x:v>
      </x:c>
      <x:c r="S19" s="49" t="s">
        <x:v>157</x:v>
      </x:c>
      <x:c r="T19" s="49" t="s">
        <x:v>157</x:v>
      </x:c>
      <x:c r="U19" s="51">
        <x:f t="shared" si="1"/>
        <x:v>0</x:v>
      </x:c>
    </x:row>
    <x:row r="20">
      <x:c r="A20" s="49">
        <x:v>16</x:v>
      </x:c>
      <x:c r="B20" s="64">
        <x:v>41093</x:v>
      </x:c>
      <x:c r="C20" s="64">
        <x:v>41100</x:v>
      </x:c>
      <x:c r="D20" s="64">
        <x:v>41107</x:v>
      </x:c>
      <x:c r="E20" s="66">
        <x:v>413.09</x:v>
      </x:c>
      <x:c r="F20" s="66">
        <x:v>405.39</x:v>
      </x:c>
      <x:c r="G20" s="53">
        <x:v>-1.8640005809871907E-2</x:v>
      </x:c>
      <x:c r="H20" s="51">
        <x:v>5</x:v>
      </x:c>
      <x:c r="I20" s="51">
        <x:v>7</x:v>
      </x:c>
      <x:c r="J20" s="51">
        <x:v>5</x:v>
      </x:c>
      <x:c r="K20" s="51">
        <x:v>7</x:v>
      </x:c>
      <x:c r="L20" s="51">
        <x:v>10</x:v>
      </x:c>
      <x:c r="M20" s="51">
        <x:v>14</x:v>
      </x:c>
      <x:c r="N20" s="51">
        <x:v>0</x:v>
      </x:c>
      <x:c r="O20" s="51">
        <x:v>0</x:v>
      </x:c>
      <x:c r="P20" s="51">
        <x:v>0</x:v>
      </x:c>
      <x:c r="Q20" s="57">
        <x:f t="shared" si="0"/>
        <x:v>0.5</x:v>
      </x:c>
      <x:c r="R20" s="49" t="s">
        <x:v>158</x:v>
      </x:c>
      <x:c r="S20" s="49" t="s">
        <x:v>159</x:v>
      </x:c>
      <x:c r="T20" s="49" t="s">
        <x:v>159</x:v>
      </x:c>
      <x:c r="U20" s="51">
        <x:f t="shared" si="1"/>
        <x:v>0</x:v>
      </x:c>
    </x:row>
    <x:row r="21">
      <x:c r="A21" s="49">
        <x:v>17</x:v>
      </x:c>
      <x:c r="B21" s="64">
        <x:v>41115</x:v>
      </x:c>
      <x:c r="C21" s="64">
        <x:v>41122</x:v>
      </x:c>
      <x:c r="D21" s="64">
        <x:v>41123</x:v>
      </x:c>
      <x:c r="E21" s="66">
        <x:v>412.91</x:v>
      </x:c>
      <x:c r="F21" s="66">
        <x:v>412.55</x:v>
      </x:c>
      <x:c r="G21" s="53">
        <x:v>-8.7186069603550909E-4</x:v>
      </x:c>
      <x:c r="H21" s="51">
        <x:v>5</x:v>
      </x:c>
      <x:c r="I21" s="51">
        <x:v>7</x:v>
      </x:c>
      <x:c r="J21" s="51">
        <x:v>1</x:v>
      </x:c>
      <x:c r="K21" s="51">
        <x:v>1</x:v>
      </x:c>
      <x:c r="L21" s="51">
        <x:v>6</x:v>
      </x:c>
      <x:c r="M21" s="51">
        <x:v>8</x:v>
      </x:c>
      <x:c r="N21" s="51">
        <x:v>0</x:v>
      </x:c>
      <x:c r="O21" s="51">
        <x:v>0</x:v>
      </x:c>
      <x:c r="P21" s="51">
        <x:v>0</x:v>
      </x:c>
      <x:c r="Q21" s="57">
        <x:f t="shared" si="0"/>
        <x:v>0.83333333333333337</x:v>
      </x:c>
      <x:c r="R21" s="49" t="s">
        <x:v>158</x:v>
      </x:c>
      <x:c r="S21" s="49" t="s">
        <x:v>159</x:v>
      </x:c>
      <x:c r="T21" s="49" t="s">
        <x:v>159</x:v>
      </x:c>
      <x:c r="U21" s="51">
        <x:f t="shared" si="1"/>
        <x:v>0</x:v>
      </x:c>
    </x:row>
    <x:row r="22">
      <x:c r="A22" s="49">
        <x:v>18</x:v>
      </x:c>
      <x:c r="B22" s="64">
        <x:v>41143</x:v>
      </x:c>
      <x:c r="C22" s="64">
        <x:v>41215</x:v>
      </x:c>
      <x:c r="D22" s="64">
        <x:v>41276</x:v>
      </x:c>
      <x:c r="E22" s="66">
        <x:v>410.23</x:v>
      </x:c>
      <x:c r="F22" s="66">
        <x:v>375.26</x:v>
      </x:c>
      <x:c r="G22" s="53">
        <x:v>-8.5244862638032437E-2</x:v>
      </x:c>
      <x:c r="H22" s="51">
        <x:v>51</x:v>
      </x:c>
      <x:c r="I22" s="51">
        <x:v>72</x:v>
      </x:c>
      <x:c r="J22" s="51">
        <x:v>41</x:v>
      </x:c>
      <x:c r="K22" s="51">
        <x:v>61</x:v>
      </x:c>
      <x:c r="L22" s="51">
        <x:v>92</x:v>
      </x:c>
      <x:c r="M22" s="51">
        <x:v>133</x:v>
      </x:c>
      <x:c r="N22" s="51">
        <x:v>2</x:v>
      </x:c>
      <x:c r="O22" s="51">
        <x:v>0</x:v>
      </x:c>
      <x:c r="P22" s="51">
        <x:v>0</x:v>
      </x:c>
      <x:c r="Q22" s="57">
        <x:f t="shared" si="0"/>
        <x:v>0.55434782608695654</x:v>
      </x:c>
      <x:c r="R22" s="49" t="s">
        <x:v>162</x:v>
      </x:c>
      <x:c r="S22" s="49" t="s">
        <x:v>159</x:v>
      </x:c>
      <x:c r="T22" s="49" t="s">
        <x:v>159</x:v>
      </x:c>
      <x:c r="U22" s="51">
        <x:f t="shared" si="1"/>
        <x:v>0</x:v>
      </x:c>
    </x:row>
    <x:row r="23">
      <x:c r="A23" s="49">
        <x:v>19</x:v>
      </x:c>
      <x:c r="B23" s="64">
        <x:v>41964</x:v>
      </x:c>
      <x:c r="C23" s="64">
        <x:v>41990</x:v>
      </x:c>
      <x:c r="D23" s="64">
        <x:v>42047</x:v>
      </x:c>
      <x:c r="E23" s="66">
        <x:v>588.03</x:v>
      </x:c>
      <x:c r="F23" s="66">
        <x:v>518.22</x:v>
      </x:c>
      <x:c r="G23" s="53">
        <x:v>-0.11871843273302374</x:v>
      </x:c>
      <x:c r="H23" s="51">
        <x:v>18</x:v>
      </x:c>
      <x:c r="I23" s="51">
        <x:v>26</x:v>
      </x:c>
      <x:c r="J23" s="51">
        <x:v>39</x:v>
      </x:c>
      <x:c r="K23" s="51">
        <x:v>57</x:v>
      </x:c>
      <x:c r="L23" s="51">
        <x:v>57</x:v>
      </x:c>
      <x:c r="M23" s="51">
        <x:v>83</x:v>
      </x:c>
      <x:c r="N23" s="51">
        <x:v>0</x:v>
      </x:c>
      <x:c r="O23" s="51">
        <x:v>0</x:v>
      </x:c>
      <x:c r="P23" s="51">
        <x:v>0</x:v>
      </x:c>
      <x:c r="Q23" s="57">
        <x:f t="shared" si="0"/>
        <x:v>0.31578947368421051</x:v>
      </x:c>
      <x:c r="R23" s="49" t="s">
        <x:v>160</x:v>
      </x:c>
      <x:c r="S23" s="49" t="s">
        <x:v>157</x:v>
      </x:c>
      <x:c r="T23" s="49" t="s">
        <x:v>159</x:v>
      </x:c>
      <x:c r="U23" s="51">
        <x:f t="shared" si="1"/>
        <x:v>0</x:v>
      </x:c>
    </x:row>
    <x:row r="24">
      <x:c r="A24" s="49">
        <x:v>20</x:v>
      </x:c>
      <x:c r="B24" s="64">
        <x:v>42076</x:v>
      </x:c>
      <x:c r="C24" s="64">
        <x:v>42142</x:v>
      </x:c>
      <x:c r="D24" s="64">
        <x:v>42166</x:v>
      </x:c>
      <x:c r="E24" s="66">
        <x:v>586.1</x:v>
      </x:c>
      <x:c r="F24" s="66">
        <x:v>528.95000000000005</x:v>
      </x:c>
      <x:c r="G24" s="53">
        <x:v>-9.7508957515782257E-2</x:v>
      </x:c>
      <x:c r="H24" s="51">
        <x:v>42</x:v>
      </x:c>
      <x:c r="I24" s="51">
        <x:v>66</x:v>
      </x:c>
      <x:c r="J24" s="51">
        <x:v>18</x:v>
      </x:c>
      <x:c r="K24" s="51">
        <x:v>24</x:v>
      </x:c>
      <x:c r="L24" s="51">
        <x:v>60</x:v>
      </x:c>
      <x:c r="M24" s="51">
        <x:v>90</x:v>
      </x:c>
      <x:c r="N24" s="51">
        <x:v>1</x:v>
      </x:c>
      <x:c r="O24" s="51">
        <x:v>1</x:v>
      </x:c>
      <x:c r="P24" s="51">
        <x:v>0</x:v>
      </x:c>
      <x:c r="Q24" s="57">
        <x:f t="shared" si="0"/>
        <x:v>0.7</x:v>
      </x:c>
      <x:c r="R24" s="49" t="s">
        <x:v>162</x:v>
      </x:c>
      <x:c r="S24" s="49" t="s">
        <x:v>159</x:v>
      </x:c>
      <x:c r="T24" s="49" t="s">
        <x:v>159</x:v>
      </x:c>
      <x:c r="U24" s="51">
        <x:f t="shared" si="1"/>
        <x:v>0</x:v>
      </x:c>
    </x:row>
    <x:row r="25">
      <x:c r="A25" s="49">
        <x:v>21</x:v>
      </x:c>
      <x:c r="B25" s="64">
        <x:v>42235</x:v>
      </x:c>
      <x:c r="C25" s="64">
        <x:v>42240</x:v>
      </x:c>
      <x:c r="D25" s="64">
        <x:v>42283</x:v>
      </x:c>
      <x:c r="E25" s="66">
        <x:v>577.82000000000005</x:v>
      </x:c>
      <x:c r="F25" s="66">
        <x:v>526.92999999999995</x:v>
      </x:c>
      <x:c r="G25" s="53">
        <x:v>-8.8072410093108733E-2</x:v>
      </x:c>
      <x:c r="H25" s="51">
        <x:v>3</x:v>
      </x:c>
      <x:c r="I25" s="51">
        <x:v>5</x:v>
      </x:c>
      <x:c r="J25" s="51">
        <x:v>30</x:v>
      </x:c>
      <x:c r="K25" s="51">
        <x:v>43</x:v>
      </x:c>
      <x:c r="L25" s="51">
        <x:v>33</x:v>
      </x:c>
      <x:c r="M25" s="51">
        <x:v>48</x:v>
      </x:c>
      <x:c r="N25" s="51">
        <x:v>0</x:v>
      </x:c>
      <x:c r="O25" s="51">
        <x:v>0</x:v>
      </x:c>
      <x:c r="P25" s="51">
        <x:v>0</x:v>
      </x:c>
      <x:c r="Q25" s="57">
        <x:f t="shared" si="0"/>
        <x:v>9.0909090909090912E-2</x:v>
      </x:c>
      <x:c r="R25" s="49" t="s">
        <x:v>162</x:v>
      </x:c>
      <x:c r="S25" s="49" t="s">
        <x:v>159</x:v>
      </x:c>
      <x:c r="T25" s="49" t="s">
        <x:v>159</x:v>
      </x:c>
      <x:c r="U25" s="51">
        <x:f t="shared" si="1"/>
        <x:v>0</x:v>
      </x:c>
    </x:row>
    <x:row r="26">
      <x:c r="A26" s="49">
        <x:v>22</x:v>
      </x:c>
      <x:c r="B26" s="64">
        <x:v>42338</x:v>
      </x:c>
      <x:c r="C26" s="64">
        <x:v>42390</x:v>
      </x:c>
      <x:c r="D26" s="64">
        <x:v>42482</x:v>
      </x:c>
      <x:c r="E26" s="66">
        <x:v>573.20000000000005</x:v>
      </x:c>
      <x:c r="F26" s="66">
        <x:v>521.88</x:v>
      </x:c>
      <x:c r="G26" s="53">
        <x:v>-8.953244940683891E-2</x:v>
      </x:c>
      <x:c r="H26" s="51">
        <x:v>37</x:v>
      </x:c>
      <x:c r="I26" s="51">
        <x:v>52</x:v>
      </x:c>
      <x:c r="J26" s="51">
        <x:v>60</x:v>
      </x:c>
      <x:c r="K26" s="51">
        <x:v>92</x:v>
      </x:c>
      <x:c r="L26" s="51">
        <x:v>97</x:v>
      </x:c>
      <x:c r="M26" s="51">
        <x:v>144</x:v>
      </x:c>
      <x:c r="N26" s="51">
        <x:v>1</x:v>
      </x:c>
      <x:c r="O26" s="51">
        <x:v>0</x:v>
      </x:c>
      <x:c r="P26" s="51">
        <x:v>0</x:v>
      </x:c>
      <x:c r="Q26" s="57">
        <x:f t="shared" si="0"/>
        <x:v>0.38144329896907214</x:v>
      </x:c>
      <x:c r="R26" s="49" t="s">
        <x:v>162</x:v>
      </x:c>
      <x:c r="S26" s="49" t="s">
        <x:v>159</x:v>
      </x:c>
      <x:c r="T26" s="49" t="s">
        <x:v>159</x:v>
      </x:c>
      <x:c r="U26" s="51">
        <x:f t="shared" si="1"/>
        <x:v>0</x:v>
      </x:c>
    </x:row>
    <x:row r="27">
      <x:c r="A27" s="49">
        <x:v>23</x:v>
      </x:c>
      <x:c r="B27" s="64">
        <x:v>43248</x:v>
      </x:c>
      <x:c r="C27" s="64">
        <x:v>43248</x:v>
      </x:c>
      <x:c r="D27" s="64">
        <x:v>43251</x:v>
      </x:c>
      <x:c r="E27" s="66">
        <x:v>931.75</x:v>
      </x:c>
      <x:c r="F27" s="66">
        <x:v>931.75</x:v>
      </x:c>
      <x:c r="G27" s="53">
        <x:v>0</x:v>
      </x:c>
      <x:c r="H27" s="51">
        <x:v>0</x:v>
      </x:c>
      <x:c r="I27" s="51">
        <x:v>0</x:v>
      </x:c>
      <x:c r="J27" s="51">
        <x:v>3</x:v>
      </x:c>
      <x:c r="K27" s="51">
        <x:v>3</x:v>
      </x:c>
      <x:c r="L27" s="51">
        <x:v>3</x:v>
      </x:c>
      <x:c r="M27" s="51">
        <x:v>3</x:v>
      </x:c>
      <x:c r="N27" s="51">
        <x:v>0</x:v>
      </x:c>
      <x:c r="O27" s="51">
        <x:v>0</x:v>
      </x:c>
      <x:c r="P27" s="51">
        <x:v>0</x:v>
      </x:c>
      <x:c r="Q27" s="57">
        <x:f t="shared" si="0"/>
        <x:v>0</x:v>
      </x:c>
      <x:c r="R27" s="49" t="s">
        <x:v>158</x:v>
      </x:c>
      <x:c r="S27" s="49" t="s">
        <x:v>159</x:v>
      </x:c>
      <x:c r="T27" s="49" t="s">
        <x:v>159</x:v>
      </x:c>
      <x:c r="U27" s="51">
        <x:f t="shared" si="1"/>
        <x:v>0</x:v>
      </x:c>
    </x:row>
    <x:row r="28">
      <x:c r="A28" s="49">
        <x:v>24</x:v>
      </x:c>
      <x:c r="B28" s="64">
        <x:v>43270</x:v>
      </x:c>
      <x:c r="C28" s="64">
        <x:v>43468</x:v>
      </x:c>
      <x:c r="D28" s="64">
        <x:v>43514</x:v>
      </x:c>
      <x:c r="E28" s="66">
        <x:v>962.16</x:v>
      </x:c>
      <x:c r="F28" s="66">
        <x:v>878.22</x:v>
      </x:c>
      <x:c r="G28" s="53">
        <x:v>-8.7241207283611844E-2</x:v>
      </x:c>
      <x:c r="H28" s="51">
        <x:v>139</x:v>
      </x:c>
      <x:c r="I28" s="51">
        <x:v>198</x:v>
      </x:c>
      <x:c r="J28" s="51">
        <x:v>27</x:v>
      </x:c>
      <x:c r="K28" s="51">
        <x:v>46</x:v>
      </x:c>
      <x:c r="L28" s="51">
        <x:v>166</x:v>
      </x:c>
      <x:c r="M28" s="51">
        <x:v>244</x:v>
      </x:c>
      <x:c r="N28" s="51">
        <x:v>2</x:v>
      </x:c>
      <x:c r="O28" s="51">
        <x:v>2</x:v>
      </x:c>
      <x:c r="P28" s="51">
        <x:v>2</x:v>
      </x:c>
      <x:c r="Q28" s="57">
        <x:f t="shared" si="0"/>
        <x:v>0.83734939759036142</x:v>
      </x:c>
      <x:c r="R28" s="49" t="s">
        <x:v>162</x:v>
      </x:c>
      <x:c r="S28" s="49" t="s">
        <x:v>159</x:v>
      </x:c>
      <x:c r="T28" s="49" t="s">
        <x:v>159</x:v>
      </x:c>
      <x:c r="U28" s="51">
        <x:f t="shared" si="1"/>
        <x:v>0</x:v>
      </x:c>
    </x:row>
    <x:row r="29">
      <x:c r="A29" s="49">
        <x:v>25</x:v>
      </x:c>
      <x:c r="B29" s="64">
        <x:v>43593</x:v>
      </x:c>
      <x:c r="C29" s="64">
        <x:v>43594</x:v>
      </x:c>
      <x:c r="D29" s="64">
        <x:v>43598</x:v>
      </x:c>
      <x:c r="E29" s="66">
        <x:v>951.22</x:v>
      </x:c>
      <x:c r="F29" s="66">
        <x:v>947.01</x:v>
      </x:c>
      <x:c r="G29" s="53">
        <x:v>-4.4258951662076162E-3</x:v>
      </x:c>
      <x:c r="H29" s="51">
        <x:v>1</x:v>
      </x:c>
      <x:c r="I29" s="51">
        <x:v>1</x:v>
      </x:c>
      <x:c r="J29" s="51">
        <x:v>2</x:v>
      </x:c>
      <x:c r="K29" s="51">
        <x:v>4</x:v>
      </x:c>
      <x:c r="L29" s="51">
        <x:v>3</x:v>
      </x:c>
      <x:c r="M29" s="51">
        <x:v>5</x:v>
      </x:c>
      <x:c r="N29" s="51">
        <x:v>0</x:v>
      </x:c>
      <x:c r="O29" s="51">
        <x:v>0</x:v>
      </x:c>
      <x:c r="P29" s="51">
        <x:v>0</x:v>
      </x:c>
      <x:c r="Q29" s="57">
        <x:f t="shared" si="0"/>
        <x:v>0.33333333333333331</x:v>
      </x:c>
      <x:c r="R29" s="49" t="s">
        <x:v>158</x:v>
      </x:c>
      <x:c r="S29" s="49" t="s">
        <x:v>159</x:v>
      </x:c>
      <x:c r="T29" s="49" t="s">
        <x:v>159</x:v>
      </x:c>
      <x:c r="U29" s="51">
        <x:f t="shared" si="1"/>
        <x:v>0</x:v>
      </x:c>
    </x:row>
    <x:row r="30">
      <x:c r="A30" s="49">
        <x:v>26</x:v>
      </x:c>
      <x:c r="B30" s="64">
        <x:v>43619</x:v>
      </x:c>
      <x:c r="C30" s="64">
        <x:v>43619</x:v>
      </x:c>
      <x:c r="D30" s="64">
        <x:v>43623</x:v>
      </x:c>
      <x:c r="E30" s="66">
        <x:v>946.47</x:v>
      </x:c>
      <x:c r="F30" s="66">
        <x:v>946.47</x:v>
      </x:c>
      <x:c r="G30" s="53">
        <x:v>0</x:v>
      </x:c>
      <x:c r="H30" s="51">
        <x:v>0</x:v>
      </x:c>
      <x:c r="I30" s="51">
        <x:v>0</x:v>
      </x:c>
      <x:c r="J30" s="51">
        <x:v>4</x:v>
      </x:c>
      <x:c r="K30" s="51">
        <x:v>4</x:v>
      </x:c>
      <x:c r="L30" s="51">
        <x:v>4</x:v>
      </x:c>
      <x:c r="M30" s="51">
        <x:v>4</x:v>
      </x:c>
      <x:c r="N30" s="51">
        <x:v>0</x:v>
      </x:c>
      <x:c r="O30" s="51">
        <x:v>0</x:v>
      </x:c>
      <x:c r="P30" s="51">
        <x:v>0</x:v>
      </x:c>
      <x:c r="Q30" s="57">
        <x:f t="shared" si="0"/>
        <x:v>0</x:v>
      </x:c>
      <x:c r="R30" s="49" t="s">
        <x:v>158</x:v>
      </x:c>
      <x:c r="S30" s="49" t="s">
        <x:v>159</x:v>
      </x:c>
      <x:c r="T30" s="49" t="s">
        <x:v>159</x:v>
      </x:c>
      <x:c r="U30" s="51">
        <x:f t="shared" si="1"/>
        <x:v>0</x:v>
      </x:c>
    </x:row>
    <x:row r="31">
      <x:c r="A31" s="49">
        <x:v>27</x:v>
      </x:c>
      <x:c r="B31" s="64">
        <x:v>43628</x:v>
      </x:c>
      <x:c r="C31" s="64">
        <x:v>43634</x:v>
      </x:c>
      <x:c r="D31" s="64">
        <x:v>43636</x:v>
      </x:c>
      <x:c r="E31" s="66">
        <x:v>954.17</x:v>
      </x:c>
      <x:c r="F31" s="66">
        <x:v>944.01</x:v>
      </x:c>
      <x:c r="G31" s="53">
        <x:v>-1.0647997736252468E-2</x:v>
      </x:c>
      <x:c r="H31" s="51">
        <x:v>4</x:v>
      </x:c>
      <x:c r="I31" s="51">
        <x:v>6</x:v>
      </x:c>
      <x:c r="J31" s="51">
        <x:v>2</x:v>
      </x:c>
      <x:c r="K31" s="51">
        <x:v>2</x:v>
      </x:c>
      <x:c r="L31" s="51">
        <x:v>6</x:v>
      </x:c>
      <x:c r="M31" s="51">
        <x:v>8</x:v>
      </x:c>
      <x:c r="N31" s="51">
        <x:v>0</x:v>
      </x:c>
      <x:c r="O31" s="51">
        <x:v>0</x:v>
      </x:c>
      <x:c r="P31" s="51">
        <x:v>0</x:v>
      </x:c>
      <x:c r="Q31" s="57">
        <x:f t="shared" si="0"/>
        <x:v>0.66666666666666663</x:v>
      </x:c>
      <x:c r="R31" s="49" t="s">
        <x:v>158</x:v>
      </x:c>
      <x:c r="S31" s="49" t="s">
        <x:v>159</x:v>
      </x:c>
      <x:c r="T31" s="49" t="s">
        <x:v>159</x:v>
      </x:c>
      <x:c r="U31" s="51">
        <x:f t="shared" si="1"/>
        <x:v>0</x:v>
      </x:c>
    </x:row>
    <x:row r="32">
      <x:c r="A32" s="49">
        <x:v>28</x:v>
      </x:c>
      <x:c r="B32" s="64">
        <x:v>43791</x:v>
      </x:c>
      <x:c r="C32" s="64">
        <x:v>43838</x:v>
      </x:c>
      <x:c r="D32" s="64">
        <x:v>43847</x:v>
      </x:c>
      <x:c r="E32" s="66">
        <x:v>977.78</x:v>
      </x:c>
      <x:c r="F32" s="66">
        <x:v>948.98</x:v>
      </x:c>
      <x:c r="G32" s="53">
        <x:v>-2.9454478512548787E-2</x:v>
      </x:c>
      <x:c r="H32" s="51">
        <x:v>32</x:v>
      </x:c>
      <x:c r="I32" s="51">
        <x:v>47</x:v>
      </x:c>
      <x:c r="J32" s="51">
        <x:v>7</x:v>
      </x:c>
      <x:c r="K32" s="51">
        <x:v>9</x:v>
      </x:c>
      <x:c r="L32" s="51">
        <x:v>39</x:v>
      </x:c>
      <x:c r="M32" s="51">
        <x:v>56</x:v>
      </x:c>
      <x:c r="N32" s="51">
        <x:v>0</x:v>
      </x:c>
      <x:c r="O32" s="51">
        <x:v>0</x:v>
      </x:c>
      <x:c r="P32" s="51">
        <x:v>0</x:v>
      </x:c>
      <x:c r="Q32" s="57">
        <x:f t="shared" si="0"/>
        <x:v>0.82051282051282048</x:v>
      </x:c>
      <x:c r="R32" s="49" t="s">
        <x:v>158</x:v>
      </x:c>
      <x:c r="S32" s="49" t="s">
        <x:v>159</x:v>
      </x:c>
      <x:c r="T32" s="49" t="s">
        <x:v>159</x:v>
      </x:c>
      <x:c r="U32" s="51">
        <x:f t="shared" si="1"/>
        <x:v>0</x:v>
      </x:c>
    </x:row>
    <x:row r="33">
      <x:c r="A33" s="49">
        <x:v>29</x:v>
      </x:c>
      <x:c r="B33" s="64">
        <x:v>43860</x:v>
      </x:c>
      <x:c r="C33" s="64">
        <x:v>43914</x:v>
      </x:c>
      <x:c r="D33" s="64">
        <x:v>44068</x:v>
      </x:c>
      <x:c r="E33" s="66">
        <x:v>959.58</x:v>
      </x:c>
      <x:c r="F33" s="66">
        <x:v>659.21</x:v>
      </x:c>
      <x:c r="G33" s="53">
        <x:v>-0.31302236395089522</x:v>
      </x:c>
      <x:c r="H33" s="51">
        <x:v>38</x:v>
      </x:c>
      <x:c r="I33" s="51">
        <x:v>54</x:v>
      </x:c>
      <x:c r="J33" s="51">
        <x:v>107</x:v>
      </x:c>
      <x:c r="K33" s="51">
        <x:v>154</x:v>
      </x:c>
      <x:c r="L33" s="51">
        <x:v>145</x:v>
      </x:c>
      <x:c r="M33" s="51">
        <x:v>208</x:v>
      </x:c>
      <x:c r="N33" s="51">
        <x:v>0</x:v>
      </x:c>
      <x:c r="O33" s="51">
        <x:v>0</x:v>
      </x:c>
      <x:c r="P33" s="51">
        <x:v>0</x:v>
      </x:c>
      <x:c r="Q33" s="57">
        <x:f t="shared" si="0"/>
        <x:v>0.2620689655172414</x:v>
      </x:c>
      <x:c r="R33" s="49" t="s">
        <x:v>156</x:v>
      </x:c>
      <x:c r="S33" s="49" t="s">
        <x:v>157</x:v>
      </x:c>
      <x:c r="T33" s="49" t="s">
        <x:v>157</x:v>
      </x:c>
      <x:c r="U33" s="51">
        <x:f t="shared" si="1"/>
        <x:v>0</x:v>
      </x:c>
    </x:row>
    <x:row r="34">
      <x:c r="A34" s="49">
        <x:v>30</x:v>
      </x:c>
      <x:c r="B34" s="64">
        <x:v>44670</x:v>
      </x:c>
      <x:c r="C34" s="64">
        <x:v>44880</x:v>
      </x:c>
      <x:c r="D34" s="64">
        <x:v>45078</x:v>
      </x:c>
      <x:c r="E34" s="66">
        <x:v>1406.45</x:v>
      </x:c>
      <x:c r="F34" s="66">
        <x:v>911.9</x:v>
      </x:c>
      <x:c r="G34" s="53">
        <x:v>-0.35162999040136522</x:v>
      </x:c>
      <x:c r="H34" s="51">
        <x:v>146</x:v>
      </x:c>
      <x:c r="I34" s="51">
        <x:v>210</x:v>
      </x:c>
      <x:c r="J34" s="51">
        <x:v>133</x:v>
      </x:c>
      <x:c r="K34" s="51">
        <x:v>198</x:v>
      </x:c>
      <x:c r="L34" s="51">
        <x:v>279</x:v>
      </x:c>
      <x:c r="M34" s="51">
        <x:v>408</x:v>
      </x:c>
      <x:c r="N34" s="51">
        <x:v>6</x:v>
      </x:c>
      <x:c r="O34" s="51">
        <x:v>4</x:v>
      </x:c>
      <x:c r="P34" s="51">
        <x:v>2</x:v>
      </x:c>
      <x:c r="Q34" s="57">
        <x:f t="shared" si="0"/>
        <x:v>0.52329749103942658</x:v>
      </x:c>
      <x:c r="R34" s="49" t="s">
        <x:v>156</x:v>
      </x:c>
      <x:c r="S34" s="49" t="s">
        <x:v>157</x:v>
      </x:c>
      <x:c r="T34" s="49" t="s">
        <x:v>157</x:v>
      </x:c>
      <x:c r="U34" s="51">
        <x:f t="shared" si="1"/>
        <x:v>0</x:v>
      </x:c>
    </x:row>
    <x:row r="35">
      <x:c r="A35" s="49">
        <x:v>31</x:v>
      </x:c>
      <x:c r="B35" s="64">
        <x:v>45217</x:v>
      </x:c>
      <x:c r="C35" s="64">
        <x:v>45230</x:v>
      </x:c>
      <x:c r="D35" s="64">
        <x:v>45266</x:v>
      </x:c>
      <x:c r="E35" s="66">
        <x:v>1103.4000000000001</x:v>
      </x:c>
      <x:c r="F35" s="66">
        <x:v>1028.19</x:v>
      </x:c>
      <x:c r="G35" s="53">
        <x:v>-6.8162044589450854E-2</x:v>
      </x:c>
      <x:c r="H35" s="51">
        <x:v>9</x:v>
      </x:c>
      <x:c r="I35" s="51">
        <x:v>13</x:v>
      </x:c>
      <x:c r="J35" s="51">
        <x:v>26</x:v>
      </x:c>
      <x:c r="K35" s="51">
        <x:v>36</x:v>
      </x:c>
      <x:c r="L35" s="51">
        <x:v>35</x:v>
      </x:c>
      <x:c r="M35" s="51">
        <x:v>49</x:v>
      </x:c>
      <x:c r="N35" s="51">
        <x:v>0</x:v>
      </x:c>
      <x:c r="O35" s="51">
        <x:v>0</x:v>
      </x:c>
      <x:c r="P35" s="51">
        <x:v>0</x:v>
      </x:c>
      <x:c r="Q35" s="57">
        <x:f t="shared" si="0"/>
        <x:v>0.25714285714285712</x:v>
      </x:c>
      <x:c r="R35" s="49" t="s">
        <x:v>162</x:v>
      </x:c>
      <x:c r="S35" s="49" t="s">
        <x:v>159</x:v>
      </x:c>
      <x:c r="T35" s="49" t="s">
        <x:v>159</x:v>
      </x:c>
      <x:c r="U35" s="51">
        <x:f t="shared" si="1"/>
        <x:v>0</x:v>
      </x:c>
    </x:row>
    <x:row r="36">
      <x:c r="A36" s="49">
        <x:v>32</x:v>
      </x:c>
      <x:c r="B36" s="64">
        <x:v>45273</x:v>
      </x:c>
      <x:c r="C36" s="64">
        <x:v>45278</x:v>
      </x:c>
      <x:c r="D36" s="64">
        <x:v>45288</x:v>
      </x:c>
      <x:c r="E36" s="66">
        <x:v>1114.2</x:v>
      </x:c>
      <x:c r="F36" s="66">
        <x:v>1091.8800000000001</x:v>
      </x:c>
      <x:c r="G36" s="53">
        <x:v>-2.0032310177705903E-2</x:v>
      </x:c>
      <x:c r="H36" s="51">
        <x:v>3</x:v>
      </x:c>
      <x:c r="I36" s="51">
        <x:v>5</x:v>
      </x:c>
      <x:c r="J36" s="51">
        <x:v>8</x:v>
      </x:c>
      <x:c r="K36" s="51">
        <x:v>10</x:v>
      </x:c>
      <x:c r="L36" s="51">
        <x:v>11</x:v>
      </x:c>
      <x:c r="M36" s="51">
        <x:v>15</x:v>
      </x:c>
      <x:c r="N36" s="51">
        <x:v>0</x:v>
      </x:c>
      <x:c r="O36" s="51">
        <x:v>0</x:v>
      </x:c>
      <x:c r="P36" s="51">
        <x:v>0</x:v>
      </x:c>
      <x:c r="Q36" s="57">
        <x:f t="shared" si="0"/>
        <x:v>0.27272727272727271</x:v>
      </x:c>
      <x:c r="R36" s="49" t="s">
        <x:v>158</x:v>
      </x:c>
      <x:c r="S36" s="49" t="s">
        <x:v>159</x:v>
      </x:c>
      <x:c r="T36" s="49" t="s">
        <x:v>159</x:v>
      </x:c>
      <x:c r="U36" s="51">
        <x:f t="shared" si="1"/>
        <x:v>0</x:v>
      </x:c>
    </x:row>
    <x:row r="37">
      <x:c r="A37" s="49">
        <x:v>33</x:v>
      </x:c>
      <x:c r="B37" s="64">
        <x:v>45604</x:v>
      </x:c>
      <x:c r="C37" s="64">
        <x:v>45615</x:v>
      </x:c>
      <x:c r="D37" s="64">
        <x:v>45631</x:v>
      </x:c>
      <x:c r="E37" s="66">
        <x:v>1252.56</x:v>
      </x:c>
      <x:c r="F37" s="66">
        <x:v>1205.1500000000001</x:v>
      </x:c>
      <x:c r="G37" s="53">
        <x:v>-3.7850482212428815E-2</x:v>
      </x:c>
      <x:c r="H37" s="51">
        <x:v>7</x:v>
      </x:c>
      <x:c r="I37" s="51">
        <x:v>11</x:v>
      </x:c>
      <x:c r="J37" s="51">
        <x:v>12</x:v>
      </x:c>
      <x:c r="K37" s="51">
        <x:v>16</x:v>
      </x:c>
      <x:c r="L37" s="51">
        <x:v>19</x:v>
      </x:c>
      <x:c r="M37" s="51">
        <x:v>27</x:v>
      </x:c>
      <x:c r="N37" s="51">
        <x:v>0</x:v>
      </x:c>
      <x:c r="O37" s="51">
        <x:v>0</x:v>
      </x:c>
      <x:c r="P37" s="51">
        <x:v>0</x:v>
      </x:c>
      <x:c r="Q37" s="57">
        <x:f t="shared" si="0"/>
        <x:v>0.36842105263157893</x:v>
      </x:c>
      <x:c r="R37" s="49" t="s">
        <x:v>158</x:v>
      </x:c>
      <x:c r="S37" s="49" t="s">
        <x:v>159</x:v>
      </x:c>
      <x:c r="T37" s="49" t="s">
        <x:v>159</x:v>
      </x:c>
      <x:c r="U37" s="51">
        <x:f t="shared" si="1"/>
        <x:v>0</x:v>
      </x:c>
    </x:row>
    <x:row r="38">
      <x:c r="A38" s="49">
        <x:v>34</x:v>
      </x:c>
      <x:c r="B38" s="64">
        <x:v>45660</x:v>
      </x:c>
      <x:c r="C38" s="64">
        <x:v>45671</x:v>
      </x:c>
      <x:c r="D38" s="64">
        <x:v>45680</x:v>
      </x:c>
      <x:c r="E38" s="66">
        <x:v>1254.5899999999999</x:v>
      </x:c>
      <x:c r="F38" s="66">
        <x:v>1229.07</x:v>
      </x:c>
      <x:c r="G38" s="53">
        <x:v>-2.0341306721717856E-2</x:v>
      </x:c>
      <x:c r="H38" s="51">
        <x:v>7</x:v>
      </x:c>
      <x:c r="I38" s="51">
        <x:v>11</x:v>
      </x:c>
      <x:c r="J38" s="51">
        <x:v>7</x:v>
      </x:c>
      <x:c r="K38" s="51">
        <x:v>9</x:v>
      </x:c>
      <x:c r="L38" s="51">
        <x:v>14</x:v>
      </x:c>
      <x:c r="M38" s="51">
        <x:v>20</x:v>
      </x:c>
      <x:c r="N38" s="51">
        <x:v>0</x:v>
      </x:c>
      <x:c r="O38" s="51">
        <x:v>0</x:v>
      </x:c>
      <x:c r="P38" s="51">
        <x:v>0</x:v>
      </x:c>
      <x:c r="Q38" s="57">
        <x:f t="shared" si="0"/>
        <x:v>0.5</x:v>
      </x:c>
      <x:c r="R38" s="49" t="s">
        <x:v>158</x:v>
      </x:c>
      <x:c r="S38" s="49" t="s">
        <x:v>159</x:v>
      </x:c>
      <x:c r="T38" s="49" t="s">
        <x:v>159</x:v>
      </x:c>
      <x:c r="U38" s="51">
        <x:f t="shared" si="1"/>
        <x:v>0</x:v>
      </x:c>
    </x:row>
    <x:row r="39">
      <x:c r="A39" s="49">
        <x:v>35</x:v>
      </x:c>
      <x:c r="B39" s="64">
        <x:v>45750</x:v>
      </x:c>
      <x:c r="C39" s="64">
        <x:v>45756</x:v>
      </x:c>
      <x:c r="D39" s="64">
        <x:v>45785</x:v>
      </x:c>
      <x:c r="E39" s="66">
        <x:v>1229.8399999999999</x:v>
      </x:c>
      <x:c r="F39" s="66">
        <x:v>1094.3</x:v>
      </x:c>
      <x:c r="G39" s="53">
        <x:v>-0.11020945814089633</x:v>
      </x:c>
      <x:c r="H39" s="51">
        <x:v>3</x:v>
      </x:c>
      <x:c r="I39" s="51">
        <x:v>6</x:v>
      </x:c>
      <x:c r="J39" s="51">
        <x:v>18</x:v>
      </x:c>
      <x:c r="K39" s="51">
        <x:v>29</x:v>
      </x:c>
      <x:c r="L39" s="51">
        <x:v>21</x:v>
      </x:c>
      <x:c r="M39" s="51">
        <x:v>35</x:v>
      </x:c>
      <x:c r="N39" s="51">
        <x:v>0</x:v>
      </x:c>
      <x:c r="O39" s="51">
        <x:v>0</x:v>
      </x:c>
      <x:c r="P39" s="51">
        <x:v>0</x:v>
      </x:c>
      <x:c r="Q39" s="57">
        <x:f t="shared" si="0"/>
        <x:v>0.14285714285714285</x:v>
      </x:c>
      <x:c r="R39" s="49" t="s">
        <x:v>160</x:v>
      </x:c>
      <x:c r="S39" s="49" t="s">
        <x:v>157</x:v>
      </x:c>
      <x:c r="T39" s="49" t="s">
        <x:v>159</x:v>
      </x:c>
      <x:c r="U39" s="51">
        <x:f t="shared" si="1"/>
        <x:v>0</x:v>
      </x:c>
    </x:row>
    <x:row r="40">
      <x:c r="A40" s="49">
        <x:v>36</x:v>
      </x:c>
      <x:c r="B40" s="64">
        <x:v>46101</x:v>
      </x:c>
      <x:c r="C40" s="64">
        <x:v>46104</x:v>
      </x:c>
      <x:c r="D40" s="64">
        <x:v>46108</x:v>
      </x:c>
      <x:c r="E40" s="66">
        <x:v>1647.81</x:v>
      </x:c>
      <x:c r="F40" s="66">
        <x:v>1591.17</x:v>
      </x:c>
      <x:c r="G40" s="53">
        <x:v>-3.4372894933275E-2</x:v>
      </x:c>
      <x:c r="H40" s="51">
        <x:v>1</x:v>
      </x:c>
      <x:c r="I40" s="51">
        <x:v>3</x:v>
      </x:c>
      <x:c r="J40" s="51">
        <x:v>4</x:v>
      </x:c>
      <x:c r="K40" s="51">
        <x:v>4</x:v>
      </x:c>
      <x:c r="L40" s="51">
        <x:v>5</x:v>
      </x:c>
      <x:c r="M40" s="51">
        <x:v>7</x:v>
      </x:c>
      <x:c r="N40" s="51">
        <x:v>0</x:v>
      </x:c>
      <x:c r="O40" s="51">
        <x:v>0</x:v>
      </x:c>
      <x:c r="P40" s="51">
        <x:v>0</x:v>
      </x:c>
      <x:c r="Q40" s="57">
        <x:f t="shared" si="0"/>
        <x:v>0.2</x:v>
      </x:c>
      <x:c r="R40" s="49" t="s">
        <x:v>158</x:v>
      </x:c>
      <x:c r="S40" s="49" t="s">
        <x:v>159</x:v>
      </x:c>
      <x:c r="T40" s="49" t="s">
        <x:v>159</x:v>
      </x:c>
      <x:c r="U40" s="51">
        <x:f t="shared" si="1"/>
        <x:v>0</x:v>
      </x:c>
    </x:row>
  </x:sheetData>
  <x:mergeCells>
    <x:mergeCell ref="A1:U2"/>
    <x:mergeCell ref="A3:U3"/>
  </x:mergeCells>
  <x:conditionalFormatting sqref="G5:G40">
    <x:cfRule type="cellIs" dxfId="4" priority="1" operator="lessThanOrEqual">
      <x:formula>-0.15</x:formula>
    </x:cfRule>
  </x:conditionalFormatting>
  <x:conditionalFormatting sqref="O5:O40">
    <x:cfRule type="dataBar" priority="2">
      <x:dataBar>
        <x:cfvo type="min"/>
        <x:cfvo type="max"/>
        <x:color rgb="FF2E75B6"/>
      </x:dataBar>
    </x:cfRule>
  </x:conditionalFormatting>
  <x:conditionalFormatting sqref="O5:O40">
    <x:cfRule type="dataBar" priority="3">
      <x:dataBar>
        <x:cfvo type="min"/>
        <x:cfvo type="max"/>
        <x:color rgb="FF2E75B6"/>
      </x:dataBar>
      <x:extLst>
        <x:ext xmlns:x14="http://schemas.microsoft.com/office/spreadsheetml/2009/9/main" uri="{B025F937-C7B1-47D3-B67F-A62EFF666E3E}">
          <x14:id>{C1DBA23F-4E87-07DD-3E5E-DE76718E0D5F}</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3" id="{C1DBA23F-4E87-07DD-3E5E-DE76718E0D5F}">
            <x14:dataBar>
              <x14:cfvo type="min"/>
              <x14:cfvo type="max"/>
              <x14:fillColor rgb="FF2E75B6"/>
              <x14:negativeFillColor auto="1"/>
              <x14:axisColor auto="1"/>
            </x14:dataBar>
          </x14:cfRule>
          <xm:sqref>O5:O40</xm:sqref>
        </x14:conditionalFormatting>
      </x14:conditionalFormattings>
    </x:ext>
  </x:extLst>
</x:worksheet>
</file>

<file path=xl/worksheets/sheet9.xml><?xml version="1.0" encoding="utf-8"?>
<x:worksheet xmlns:x="http://schemas.openxmlformats.org/spreadsheetml/2006/main">
  <x:sheetViews>
    <x:sheetView showGridLines="0" workbookViewId="0"/>
  </x:sheetViews>
  <x:sheetFormatPr defaultRowHeight="14.25"/>
  <x:cols>
    <x:col min="1" max="1" width="11" customWidth="1"/>
    <x:col min="2" max="2" width="13" customWidth="1"/>
    <x:col min="3" max="4" width="10" customWidth="1"/>
    <x:col min="5" max="6" width="14" customWidth="1"/>
    <x:col min="7" max="7" width="18" customWidth="1"/>
    <x:col min="8" max="8" width="16" customWidth="1"/>
    <x:col min="9" max="9" width="15" customWidth="1"/>
    <x:col min="10" max="10" width="12" customWidth="1"/>
    <x:col min="11" max="11" width="18" customWidth="1"/>
  </x:cols>
  <x:sheetData>
    <x:row r="1" ht="27.950000762939453" customHeight="1">
      <x:c r="A1" s="117" t="s">
        <x:v>163</x:v>
      </x:c>
      <x:c r="B1" s="118"/>
      <x:c r="C1" s="118"/>
      <x:c r="D1" s="118"/>
      <x:c r="E1" s="118"/>
      <x:c r="F1" s="118"/>
      <x:c r="G1" s="118"/>
      <x:c r="H1" s="118"/>
      <x:c r="I1" s="118"/>
      <x:c r="J1" s="118"/>
      <x:c r="K1" s="118"/>
    </x:row>
    <x:row r="2" ht="27.950000762939453" customHeight="1">
      <x:c r="A2" s="118"/>
      <x:c r="B2" s="118"/>
      <x:c r="C2" s="118"/>
      <x:c r="D2" s="118"/>
      <x:c r="E2" s="118"/>
      <x:c r="F2" s="118"/>
      <x:c r="G2" s="118"/>
      <x:c r="H2" s="118"/>
      <x:c r="I2" s="118"/>
      <x:c r="J2" s="118"/>
      <x:c r="K2" s="118"/>
    </x:row>
    <x:row r="3" ht="20.100000381469727" customHeight="1">
      <x:c r="A3" s="119" t="s">
        <x:v>164</x:v>
      </x:c>
      <x:c r="B3" s="118"/>
      <x:c r="C3" s="118"/>
      <x:c r="D3" s="118"/>
      <x:c r="E3" s="118"/>
      <x:c r="F3" s="118"/>
      <x:c r="G3" s="118"/>
      <x:c r="H3" s="118"/>
      <x:c r="I3" s="118"/>
      <x:c r="J3" s="118"/>
      <x:c r="K3" s="118"/>
    </x:row>
    <x:row r="4" ht="32.099998474121094" customHeight="1">
      <x:c r="A4" s="47" t="s">
        <x:v>165</x:v>
      </x:c>
      <x:c r="B4" s="47" t="s">
        <x:v>1</x:v>
      </x:c>
      <x:c r="C4" s="47" t="s">
        <x:v>15</x:v>
      </x:c>
      <x:c r="D4" s="47" t="s">
        <x:v>166</x:v>
      </x:c>
      <x:c r="E4" s="47" t="s">
        <x:v>167</x:v>
      </x:c>
      <x:c r="F4" s="47" t="s">
        <x:v>168</x:v>
      </x:c>
      <x:c r="G4" s="47" t="s">
        <x:v>169</x:v>
      </x:c>
      <x:c r="H4" s="47" t="s">
        <x:v>170</x:v>
      </x:c>
      <x:c r="I4" s="47" t="s">
        <x:v>171</x:v>
      </x:c>
      <x:c r="J4" s="47" t="s">
        <x:v>172</x:v>
      </x:c>
      <x:c r="K4" s="47" t="s">
        <x:v>173</x:v>
      </x:c>
    </x:row>
    <x:row r="5">
      <x:c r="A5" s="48">
        <x:v>1</x:v>
      </x:c>
      <x:c r="B5" s="63">
        <x:v>37237</x:v>
      </x:c>
      <x:c r="C5" s="67">
        <x:v>0.03</x:v>
      </x:c>
      <x:c r="D5" s="48">
        <x:v>1</x:v>
      </x:c>
      <x:c r="E5" s="63">
        <x:v>37277</x:v>
      </x:c>
      <x:c r="F5" s="63">
        <x:v>37284</x:v>
      </x:c>
      <x:c r="G5" s="63">
        <x:v>37305</x:v>
      </x:c>
      <x:c r="H5" s="65">
        <x:v>203.27</x:v>
      </x:c>
      <x:c r="I5" s="65">
        <x:v>210.76</x:v>
      </x:c>
      <x:c r="J5" s="56">
        <x:v>3.684754267722723E-2</x:v>
      </x:c>
      <x:c r="K5" s="50">
        <x:v>3</x:v>
      </x:c>
    </x:row>
    <x:row r="6">
      <x:c r="A6" s="49">
        <x:v>1</x:v>
      </x:c>
      <x:c r="B6" s="64">
        <x:v>37237</x:v>
      </x:c>
      <x:c r="C6" s="68">
        <x:v>0.03</x:v>
      </x:c>
      <x:c r="D6" s="49">
        <x:v>2</x:v>
      </x:c>
      <x:c r="E6" s="64">
        <x:v>37326</x:v>
      </x:c>
      <x:c r="F6" s="64">
        <x:v>37382</x:v>
      </x:c>
      <x:c r="G6" s="64">
        <x:v>37523</x:v>
      </x:c>
      <x:c r="H6" s="66">
        <x:v>180.73</x:v>
      </x:c>
      <x:c r="I6" s="66">
        <x:v>214.23</x:v>
      </x:c>
      <x:c r="J6" s="57">
        <x:v>0.18535937586454931</x:v>
      </x:c>
      <x:c r="K6" s="51">
        <x:v>37</x:v>
      </x:c>
    </x:row>
    <x:row r="7">
      <x:c r="A7" s="49">
        <x:v>1</x:v>
      </x:c>
      <x:c r="B7" s="64">
        <x:v>37237</x:v>
      </x:c>
      <x:c r="C7" s="68">
        <x:v>0.03</x:v>
      </x:c>
      <x:c r="D7" s="49">
        <x:v>3</x:v>
      </x:c>
      <x:c r="E7" s="64">
        <x:v>37567</x:v>
      </x:c>
      <x:c r="F7" s="64">
        <x:v>37594</x:v>
      </x:c>
      <x:c r="G7" s="64">
        <x:v>37637</x:v>
      </x:c>
      <x:c r="H7" s="66">
        <x:v>174.62</x:v>
      </x:c>
      <x:c r="I7" s="66">
        <x:v>187.21</x:v>
      </x:c>
      <x:c r="J7" s="57">
        <x:v>7.209941587447033E-2</x:v>
      </x:c>
      <x:c r="K7" s="51">
        <x:v>19</x:v>
      </x:c>
    </x:row>
    <x:row r="8">
      <x:c r="A8" s="49">
        <x:v>1</x:v>
      </x:c>
      <x:c r="B8" s="64">
        <x:v>37237</x:v>
      </x:c>
      <x:c r="C8" s="68">
        <x:v>0.03</x:v>
      </x:c>
      <x:c r="D8" s="49">
        <x:v>4</x:v>
      </x:c>
      <x:c r="E8" s="64">
        <x:v>37712</x:v>
      </x:c>
      <x:c r="F8" s="64">
        <x:v>37754</x:v>
      </x:c>
      <x:c r="G8" s="64">
        <x:v>37893</x:v>
      </x:c>
      <x:c r="H8" s="66">
        <x:v>139.63999999999999</x:v>
      </x:c>
      <x:c r="I8" s="66">
        <x:v>158.54</x:v>
      </x:c>
      <x:c r="J8" s="57">
        <x:v>0.13534803781151528</x:v>
      </x:c>
      <x:c r="K8" s="51">
        <x:v>7</x:v>
      </x:c>
    </x:row>
    <x:row r="9">
      <x:c r="A9" s="49">
        <x:v>1</x:v>
      </x:c>
      <x:c r="B9" s="64">
        <x:v>37237</x:v>
      </x:c>
      <x:c r="C9" s="68">
        <x:v>0.05</x:v>
      </x:c>
      <x:c r="D9" s="49">
        <x:v>1</x:v>
      </x:c>
      <x:c r="E9" s="64">
        <x:v>37326</x:v>
      </x:c>
      <x:c r="F9" s="64">
        <x:v>37382</x:v>
      </x:c>
      <x:c r="G9" s="64">
        <x:v>37523</x:v>
      </x:c>
      <x:c r="H9" s="66">
        <x:v>180.73</x:v>
      </x:c>
      <x:c r="I9" s="66">
        <x:v>214.23</x:v>
      </x:c>
      <x:c r="J9" s="57">
        <x:v>0.18535937586454931</x:v>
      </x:c>
      <x:c r="K9" s="51">
        <x:v>37</x:v>
      </x:c>
    </x:row>
    <x:row r="10">
      <x:c r="A10" s="49">
        <x:v>1</x:v>
      </x:c>
      <x:c r="B10" s="64">
        <x:v>37237</x:v>
      </x:c>
      <x:c r="C10" s="68">
        <x:v>0.05</x:v>
      </x:c>
      <x:c r="D10" s="49">
        <x:v>2</x:v>
      </x:c>
      <x:c r="E10" s="64">
        <x:v>37567</x:v>
      </x:c>
      <x:c r="F10" s="64">
        <x:v>37594</x:v>
      </x:c>
      <x:c r="G10" s="64">
        <x:v>37637</x:v>
      </x:c>
      <x:c r="H10" s="66">
        <x:v>174.62</x:v>
      </x:c>
      <x:c r="I10" s="66">
        <x:v>187.21</x:v>
      </x:c>
      <x:c r="J10" s="57">
        <x:v>7.209941587447033E-2</x:v>
      </x:c>
      <x:c r="K10" s="51">
        <x:v>19</x:v>
      </x:c>
    </x:row>
    <x:row r="11">
      <x:c r="A11" s="49">
        <x:v>1</x:v>
      </x:c>
      <x:c r="B11" s="64">
        <x:v>37237</x:v>
      </x:c>
      <x:c r="C11" s="68">
        <x:v>0.05</x:v>
      </x:c>
      <x:c r="D11" s="49">
        <x:v>3</x:v>
      </x:c>
      <x:c r="E11" s="64">
        <x:v>37712</x:v>
      </x:c>
      <x:c r="F11" s="64">
        <x:v>37754</x:v>
      </x:c>
      <x:c r="G11" s="64">
        <x:v>37893</x:v>
      </x:c>
      <x:c r="H11" s="66">
        <x:v>139.63999999999999</x:v>
      </x:c>
      <x:c r="I11" s="66">
        <x:v>158.54</x:v>
      </x:c>
      <x:c r="J11" s="57">
        <x:v>0.13534803781151528</x:v>
      </x:c>
      <x:c r="K11" s="51">
        <x:v>7</x:v>
      </x:c>
    </x:row>
    <x:row r="12">
      <x:c r="A12" s="49">
        <x:v>1</x:v>
      </x:c>
      <x:c r="B12" s="64">
        <x:v>37237</x:v>
      </x:c>
      <x:c r="C12" s="68">
        <x:v>7.0000000000000007E-2</x:v>
      </x:c>
      <x:c r="D12" s="49">
        <x:v>1</x:v>
      </x:c>
      <x:c r="E12" s="64">
        <x:v>37326</x:v>
      </x:c>
      <x:c r="F12" s="64">
        <x:v>37382</x:v>
      </x:c>
      <x:c r="G12" s="64">
        <x:v>37523</x:v>
      </x:c>
      <x:c r="H12" s="66">
        <x:v>180.73</x:v>
      </x:c>
      <x:c r="I12" s="66">
        <x:v>214.23</x:v>
      </x:c>
      <x:c r="J12" s="57">
        <x:v>0.18535937586454931</x:v>
      </x:c>
      <x:c r="K12" s="51">
        <x:v>37</x:v>
      </x:c>
    </x:row>
    <x:row r="13">
      <x:c r="A13" s="49">
        <x:v>1</x:v>
      </x:c>
      <x:c r="B13" s="64">
        <x:v>37237</x:v>
      </x:c>
      <x:c r="C13" s="68">
        <x:v>7.0000000000000007E-2</x:v>
      </x:c>
      <x:c r="D13" s="49">
        <x:v>2</x:v>
      </x:c>
      <x:c r="E13" s="64">
        <x:v>37567</x:v>
      </x:c>
      <x:c r="F13" s="64">
        <x:v>37594</x:v>
      </x:c>
      <x:c r="G13" s="64">
        <x:v>37637</x:v>
      </x:c>
      <x:c r="H13" s="66">
        <x:v>174.62</x:v>
      </x:c>
      <x:c r="I13" s="66">
        <x:v>187.21</x:v>
      </x:c>
      <x:c r="J13" s="57">
        <x:v>7.209941587447033E-2</x:v>
      </x:c>
      <x:c r="K13" s="51">
        <x:v>19</x:v>
      </x:c>
    </x:row>
    <x:row r="14">
      <x:c r="A14" s="49">
        <x:v>1</x:v>
      </x:c>
      <x:c r="B14" s="64">
        <x:v>37237</x:v>
      </x:c>
      <x:c r="C14" s="68">
        <x:v>7.0000000000000007E-2</x:v>
      </x:c>
      <x:c r="D14" s="49">
        <x:v>3</x:v>
      </x:c>
      <x:c r="E14" s="64">
        <x:v>37712</x:v>
      </x:c>
      <x:c r="F14" s="64">
        <x:v>37754</x:v>
      </x:c>
      <x:c r="G14" s="64">
        <x:v>37893</x:v>
      </x:c>
      <x:c r="H14" s="66">
        <x:v>139.63999999999999</x:v>
      </x:c>
      <x:c r="I14" s="66">
        <x:v>158.54</x:v>
      </x:c>
      <x:c r="J14" s="57">
        <x:v>0.13534803781151528</x:v>
      </x:c>
      <x:c r="K14" s="51">
        <x:v>7</x:v>
      </x:c>
    </x:row>
    <x:row r="15">
      <x:c r="A15" s="49">
        <x:v>5</x:v>
      </x:c>
      <x:c r="B15" s="64">
        <x:v>39395</x:v>
      </x:c>
      <x:c r="C15" s="68">
        <x:v>0.03</x:v>
      </x:c>
      <x:c r="D15" s="49">
        <x:v>1</x:v>
      </x:c>
      <x:c r="E15" s="64">
        <x:v>39462</x:v>
      </x:c>
      <x:c r="F15" s="64">
        <x:v>39465</x:v>
      </x:c>
      <x:c r="G15" s="64">
        <x:v>39469</x:v>
      </x:c>
      <x:c r="H15" s="66">
        <x:v>808.83</x:v>
      </x:c>
      <x:c r="I15" s="66">
        <x:v>847.05</x:v>
      </x:c>
      <x:c r="J15" s="57">
        <x:v>4.7253440154296777E-2</x:v>
      </x:c>
      <x:c r="K15" s="51">
        <x:v>3</x:v>
      </x:c>
    </x:row>
    <x:row r="16">
      <x:c r="A16" s="49">
        <x:v>5</x:v>
      </x:c>
      <x:c r="B16" s="64">
        <x:v>39395</x:v>
      </x:c>
      <x:c r="C16" s="68">
        <x:v>0.03</x:v>
      </x:c>
      <x:c r="D16" s="49">
        <x:v>2</x:v>
      </x:c>
      <x:c r="E16" s="64">
        <x:v>39471</x:v>
      </x:c>
      <x:c r="F16" s="64">
        <x:v>39479</x:v>
      </x:c>
      <x:c r="G16" s="64">
        <x:v>39498</x:v>
      </x:c>
      <x:c r="H16" s="66">
        <x:v>764.13</x:v>
      </x:c>
      <x:c r="I16" s="66">
        <x:v>859.62</x:v>
      </x:c>
      <x:c r="J16" s="57">
        <x:v>0.12496564720662717</x:v>
      </x:c>
      <x:c r="K16" s="51">
        <x:v>6</x:v>
      </x:c>
    </x:row>
    <x:row r="17">
      <x:c r="A17" s="49">
        <x:v>5</x:v>
      </x:c>
      <x:c r="B17" s="64">
        <x:v>39395</x:v>
      </x:c>
      <x:c r="C17" s="68">
        <x:v>0.03</x:v>
      </x:c>
      <x:c r="D17" s="49">
        <x:v>3</x:v>
      </x:c>
      <x:c r="E17" s="64">
        <x:v>39512</x:v>
      </x:c>
      <x:c r="F17" s="64">
        <x:v>39517</x:v>
      </x:c>
      <x:c r="G17" s="64">
        <x:v>39526</x:v>
      </x:c>
      <x:c r="H17" s="66">
        <x:v>583.45000000000005</x:v>
      </x:c>
      <x:c r="I17" s="66">
        <x:v>658.29</x:v>
      </x:c>
      <x:c r="J17" s="57">
        <x:v>0.12827148855943071</x:v>
      </x:c>
      <x:c r="K17" s="51">
        <x:v>3</x:v>
      </x:c>
    </x:row>
    <x:row r="18">
      <x:c r="A18" s="49">
        <x:v>5</x:v>
      </x:c>
      <x:c r="B18" s="64">
        <x:v>39395</x:v>
      </x:c>
      <x:c r="C18" s="68">
        <x:v>0.03</x:v>
      </x:c>
      <x:c r="D18" s="49">
        <x:v>4</x:v>
      </x:c>
      <x:c r="E18" s="64">
        <x:v>39532</x:v>
      </x:c>
      <x:c r="F18" s="64">
        <x:v>39547</x:v>
      </x:c>
      <x:c r="G18" s="64">
        <x:v>39580</x:v>
      </x:c>
      <x:c r="H18" s="66">
        <x:v>496.64</x:v>
      </x:c>
      <x:c r="I18" s="66">
        <x:v>552.04999999999995</x:v>
      </x:c>
      <x:c r="J18" s="57">
        <x:v>0.11156974871134007</x:v>
      </x:c>
      <x:c r="K18" s="51">
        <x:v>11</x:v>
      </x:c>
    </x:row>
    <x:row r="19">
      <x:c r="A19" s="49">
        <x:v>5</x:v>
      </x:c>
      <x:c r="B19" s="64">
        <x:v>39395</x:v>
      </x:c>
      <x:c r="C19" s="68">
        <x:v>0.03</x:v>
      </x:c>
      <x:c r="D19" s="49">
        <x:v>5</x:v>
      </x:c>
      <x:c r="E19" s="64">
        <x:v>39610</x:v>
      </x:c>
      <x:c r="F19" s="64">
        <x:v>39616</x:v>
      </x:c>
      <x:c r="G19" s="64">
        <x:v>39619</x:v>
      </x:c>
      <x:c r="H19" s="66">
        <x:v>370.45</x:v>
      </x:c>
      <x:c r="I19" s="66">
        <x:v>384.71</x:v>
      </x:c>
      <x:c r="J19" s="57">
        <x:v>3.849372384937233E-2</x:v>
      </x:c>
      <x:c r="K19" s="51">
        <x:v>4</x:v>
      </x:c>
    </x:row>
    <x:row r="20">
      <x:c r="A20" s="49">
        <x:v>5</x:v>
      </x:c>
      <x:c r="B20" s="64">
        <x:v>39395</x:v>
      </x:c>
      <x:c r="C20" s="68">
        <x:v>0.03</x:v>
      </x:c>
      <x:c r="D20" s="49">
        <x:v>6</x:v>
      </x:c>
      <x:c r="E20" s="64">
        <x:v>39619</x:v>
      </x:c>
      <x:c r="F20" s="64">
        <x:v>39687</x:v>
      </x:c>
      <x:c r="G20" s="64">
        <x:v>39744</x:v>
      </x:c>
      <x:c r="H20" s="66">
        <x:v>366.02</x:v>
      </x:c>
      <x:c r="I20" s="66">
        <x:v>561.85</x:v>
      </x:c>
      <x:c r="J20" s="57">
        <x:v>0.53502540844762603</x:v>
      </x:c>
      <x:c r="K20" s="51">
        <x:v>48</x:v>
      </x:c>
    </x:row>
    <x:row r="21">
      <x:c r="A21" s="49">
        <x:v>5</x:v>
      </x:c>
      <x:c r="B21" s="64">
        <x:v>39395</x:v>
      </x:c>
      <x:c r="C21" s="68">
        <x:v>0.03</x:v>
      </x:c>
      <x:c r="D21" s="49">
        <x:v>7</x:v>
      </x:c>
      <x:c r="E21" s="64">
        <x:v>39749</x:v>
      </x:c>
      <x:c r="F21" s="64">
        <x:v>39758</x:v>
      </x:c>
      <x:c r="G21" s="64">
        <x:v>39773</x:v>
      </x:c>
      <x:c r="H21" s="66">
        <x:v>322.8</x:v>
      </x:c>
      <x:c r="I21" s="66">
        <x:v>379.51</x:v>
      </x:c>
      <x:c r="J21" s="57">
        <x:v>0.17568153655514251</x:v>
      </x:c>
      <x:c r="K21" s="51">
        <x:v>7</x:v>
      </x:c>
    </x:row>
    <x:row r="22">
      <x:c r="A22" s="49">
        <x:v>5</x:v>
      </x:c>
      <x:c r="B22" s="64">
        <x:v>39395</x:v>
      </x:c>
      <x:c r="C22" s="68">
        <x:v>0.03</x:v>
      </x:c>
      <x:c r="D22" s="49">
        <x:v>8</x:v>
      </x:c>
      <x:c r="E22" s="64">
        <x:v>39792</x:v>
      </x:c>
      <x:c r="F22" s="64">
        <x:v>39820</x:v>
      </x:c>
      <x:c r="G22" s="64">
        <x:v>39848</x:v>
      </x:c>
      <x:c r="H22" s="66">
        <x:v>286.85000000000002</x:v>
      </x:c>
      <x:c r="I22" s="66">
        <x:v>319.58</x:v>
      </x:c>
      <x:c r="J22" s="57">
        <x:v>0.11410144674917189</x:v>
      </x:c>
      <x:c r="K22" s="51">
        <x:v>19</x:v>
      </x:c>
    </x:row>
    <x:row r="23">
      <x:c r="A23" s="49">
        <x:v>5</x:v>
      </x:c>
      <x:c r="B23" s="64">
        <x:v>39395</x:v>
      </x:c>
      <x:c r="C23" s="68">
        <x:v>0.05</x:v>
      </x:c>
      <x:c r="D23" s="49">
        <x:v>1</x:v>
      </x:c>
      <x:c r="E23" s="64">
        <x:v>39471</x:v>
      </x:c>
      <x:c r="F23" s="64">
        <x:v>39479</x:v>
      </x:c>
      <x:c r="G23" s="64">
        <x:v>39498</x:v>
      </x:c>
      <x:c r="H23" s="66">
        <x:v>764.13</x:v>
      </x:c>
      <x:c r="I23" s="66">
        <x:v>859.62</x:v>
      </x:c>
      <x:c r="J23" s="57">
        <x:v>0.12496564720662717</x:v>
      </x:c>
      <x:c r="K23" s="51">
        <x:v>6</x:v>
      </x:c>
    </x:row>
    <x:row r="24">
      <x:c r="A24" s="49">
        <x:v>5</x:v>
      </x:c>
      <x:c r="B24" s="64">
        <x:v>39395</x:v>
      </x:c>
      <x:c r="C24" s="68">
        <x:v>0.05</x:v>
      </x:c>
      <x:c r="D24" s="49">
        <x:v>2</x:v>
      </x:c>
      <x:c r="E24" s="64">
        <x:v>39512</x:v>
      </x:c>
      <x:c r="F24" s="64">
        <x:v>39517</x:v>
      </x:c>
      <x:c r="G24" s="64">
        <x:v>39526</x:v>
      </x:c>
      <x:c r="H24" s="66">
        <x:v>583.45000000000005</x:v>
      </x:c>
      <x:c r="I24" s="66">
        <x:v>658.29</x:v>
      </x:c>
      <x:c r="J24" s="57">
        <x:v>0.12827148855943071</x:v>
      </x:c>
      <x:c r="K24" s="51">
        <x:v>3</x:v>
      </x:c>
    </x:row>
    <x:row r="25">
      <x:c r="A25" s="49">
        <x:v>5</x:v>
      </x:c>
      <x:c r="B25" s="64">
        <x:v>39395</x:v>
      </x:c>
      <x:c r="C25" s="68">
        <x:v>0.05</x:v>
      </x:c>
      <x:c r="D25" s="49">
        <x:v>3</x:v>
      </x:c>
      <x:c r="E25" s="64">
        <x:v>39532</x:v>
      </x:c>
      <x:c r="F25" s="64">
        <x:v>39547</x:v>
      </x:c>
      <x:c r="G25" s="64">
        <x:v>39580</x:v>
      </x:c>
      <x:c r="H25" s="66">
        <x:v>496.64</x:v>
      </x:c>
      <x:c r="I25" s="66">
        <x:v>552.04999999999995</x:v>
      </x:c>
      <x:c r="J25" s="57">
        <x:v>0.11156974871134007</x:v>
      </x:c>
      <x:c r="K25" s="51">
        <x:v>11</x:v>
      </x:c>
    </x:row>
    <x:row r="26">
      <x:c r="A26" s="49">
        <x:v>5</x:v>
      </x:c>
      <x:c r="B26" s="64">
        <x:v>39395</x:v>
      </x:c>
      <x:c r="C26" s="68">
        <x:v>0.05</x:v>
      </x:c>
      <x:c r="D26" s="49">
        <x:v>4</x:v>
      </x:c>
      <x:c r="E26" s="64">
        <x:v>39619</x:v>
      </x:c>
      <x:c r="F26" s="64">
        <x:v>39687</x:v>
      </x:c>
      <x:c r="G26" s="64">
        <x:v>39744</x:v>
      </x:c>
      <x:c r="H26" s="66">
        <x:v>366.02</x:v>
      </x:c>
      <x:c r="I26" s="66">
        <x:v>561.85</x:v>
      </x:c>
      <x:c r="J26" s="57">
        <x:v>0.53502540844762603</x:v>
      </x:c>
      <x:c r="K26" s="51">
        <x:v>48</x:v>
      </x:c>
    </x:row>
    <x:row r="27">
      <x:c r="A27" s="49">
        <x:v>5</x:v>
      </x:c>
      <x:c r="B27" s="64">
        <x:v>39395</x:v>
      </x:c>
      <x:c r="C27" s="68">
        <x:v>0.05</x:v>
      </x:c>
      <x:c r="D27" s="49">
        <x:v>5</x:v>
      </x:c>
      <x:c r="E27" s="64">
        <x:v>39749</x:v>
      </x:c>
      <x:c r="F27" s="64">
        <x:v>39758</x:v>
      </x:c>
      <x:c r="G27" s="64">
        <x:v>39773</x:v>
      </x:c>
      <x:c r="H27" s="66">
        <x:v>322.8</x:v>
      </x:c>
      <x:c r="I27" s="66">
        <x:v>379.51</x:v>
      </x:c>
      <x:c r="J27" s="57">
        <x:v>0.17568153655514251</x:v>
      </x:c>
      <x:c r="K27" s="51">
        <x:v>7</x:v>
      </x:c>
    </x:row>
    <x:row r="28">
      <x:c r="A28" s="49">
        <x:v>5</x:v>
      </x:c>
      <x:c r="B28" s="64">
        <x:v>39395</x:v>
      </x:c>
      <x:c r="C28" s="68">
        <x:v>0.05</x:v>
      </x:c>
      <x:c r="D28" s="49">
        <x:v>6</x:v>
      </x:c>
      <x:c r="E28" s="64">
        <x:v>39792</x:v>
      </x:c>
      <x:c r="F28" s="64">
        <x:v>39820</x:v>
      </x:c>
      <x:c r="G28" s="64">
        <x:v>39848</x:v>
      </x:c>
      <x:c r="H28" s="66">
        <x:v>286.85000000000002</x:v>
      </x:c>
      <x:c r="I28" s="66">
        <x:v>319.58</x:v>
      </x:c>
      <x:c r="J28" s="57">
        <x:v>0.11410144674917189</x:v>
      </x:c>
      <x:c r="K28" s="51">
        <x:v>19</x:v>
      </x:c>
    </x:row>
    <x:row r="29">
      <x:c r="A29" s="49">
        <x:v>5</x:v>
      </x:c>
      <x:c r="B29" s="64">
        <x:v>39395</x:v>
      </x:c>
      <x:c r="C29" s="68">
        <x:v>7.0000000000000007E-2</x:v>
      </x:c>
      <x:c r="D29" s="49">
        <x:v>1</x:v>
      </x:c>
      <x:c r="E29" s="64">
        <x:v>39471</x:v>
      </x:c>
      <x:c r="F29" s="64">
        <x:v>39479</x:v>
      </x:c>
      <x:c r="G29" s="64">
        <x:v>39498</x:v>
      </x:c>
      <x:c r="H29" s="66">
        <x:v>764.13</x:v>
      </x:c>
      <x:c r="I29" s="66">
        <x:v>859.62</x:v>
      </x:c>
      <x:c r="J29" s="57">
        <x:v>0.12496564720662717</x:v>
      </x:c>
      <x:c r="K29" s="51">
        <x:v>6</x:v>
      </x:c>
    </x:row>
    <x:row r="30">
      <x:c r="A30" s="49">
        <x:v>5</x:v>
      </x:c>
      <x:c r="B30" s="64">
        <x:v>39395</x:v>
      </x:c>
      <x:c r="C30" s="68">
        <x:v>7.0000000000000007E-2</x:v>
      </x:c>
      <x:c r="D30" s="49">
        <x:v>2</x:v>
      </x:c>
      <x:c r="E30" s="64">
        <x:v>39512</x:v>
      </x:c>
      <x:c r="F30" s="64">
        <x:v>39517</x:v>
      </x:c>
      <x:c r="G30" s="64">
        <x:v>39526</x:v>
      </x:c>
      <x:c r="H30" s="66">
        <x:v>583.45000000000005</x:v>
      </x:c>
      <x:c r="I30" s="66">
        <x:v>658.29</x:v>
      </x:c>
      <x:c r="J30" s="57">
        <x:v>0.12827148855943071</x:v>
      </x:c>
      <x:c r="K30" s="51">
        <x:v>3</x:v>
      </x:c>
    </x:row>
    <x:row r="31">
      <x:c r="A31" s="49">
        <x:v>5</x:v>
      </x:c>
      <x:c r="B31" s="64">
        <x:v>39395</x:v>
      </x:c>
      <x:c r="C31" s="68">
        <x:v>7.0000000000000007E-2</x:v>
      </x:c>
      <x:c r="D31" s="49">
        <x:v>3</x:v>
      </x:c>
      <x:c r="E31" s="64">
        <x:v>39532</x:v>
      </x:c>
      <x:c r="F31" s="64">
        <x:v>39547</x:v>
      </x:c>
      <x:c r="G31" s="64">
        <x:v>39580</x:v>
      </x:c>
      <x:c r="H31" s="66">
        <x:v>496.64</x:v>
      </x:c>
      <x:c r="I31" s="66">
        <x:v>552.04999999999995</x:v>
      </x:c>
      <x:c r="J31" s="57">
        <x:v>0.11156974871134007</x:v>
      </x:c>
      <x:c r="K31" s="51">
        <x:v>11</x:v>
      </x:c>
    </x:row>
    <x:row r="32">
      <x:c r="A32" s="49">
        <x:v>5</x:v>
      </x:c>
      <x:c r="B32" s="64">
        <x:v>39395</x:v>
      </x:c>
      <x:c r="C32" s="68">
        <x:v>7.0000000000000007E-2</x:v>
      </x:c>
      <x:c r="D32" s="49">
        <x:v>4</x:v>
      </x:c>
      <x:c r="E32" s="64">
        <x:v>39619</x:v>
      </x:c>
      <x:c r="F32" s="64">
        <x:v>39687</x:v>
      </x:c>
      <x:c r="G32" s="64">
        <x:v>39744</x:v>
      </x:c>
      <x:c r="H32" s="66">
        <x:v>366.02</x:v>
      </x:c>
      <x:c r="I32" s="66">
        <x:v>561.85</x:v>
      </x:c>
      <x:c r="J32" s="57">
        <x:v>0.53502540844762603</x:v>
      </x:c>
      <x:c r="K32" s="51">
        <x:v>48</x:v>
      </x:c>
    </x:row>
    <x:row r="33">
      <x:c r="A33" s="49">
        <x:v>5</x:v>
      </x:c>
      <x:c r="B33" s="64">
        <x:v>39395</x:v>
      </x:c>
      <x:c r="C33" s="68">
        <x:v>7.0000000000000007E-2</x:v>
      </x:c>
      <x:c r="D33" s="49">
        <x:v>5</x:v>
      </x:c>
      <x:c r="E33" s="64">
        <x:v>39749</x:v>
      </x:c>
      <x:c r="F33" s="64">
        <x:v>39758</x:v>
      </x:c>
      <x:c r="G33" s="64">
        <x:v>39773</x:v>
      </x:c>
      <x:c r="H33" s="66">
        <x:v>322.8</x:v>
      </x:c>
      <x:c r="I33" s="66">
        <x:v>379.51</x:v>
      </x:c>
      <x:c r="J33" s="57">
        <x:v>0.17568153655514251</x:v>
      </x:c>
      <x:c r="K33" s="51">
        <x:v>7</x:v>
      </x:c>
    </x:row>
    <x:row r="34">
      <x:c r="A34" s="49">
        <x:v>5</x:v>
      </x:c>
      <x:c r="B34" s="64">
        <x:v>39395</x:v>
      </x:c>
      <x:c r="C34" s="68">
        <x:v>7.0000000000000007E-2</x:v>
      </x:c>
      <x:c r="D34" s="49">
        <x:v>6</x:v>
      </x:c>
      <x:c r="E34" s="64">
        <x:v>39792</x:v>
      </x:c>
      <x:c r="F34" s="64">
        <x:v>39820</x:v>
      </x:c>
      <x:c r="G34" s="64">
        <x:v>39848</x:v>
      </x:c>
      <x:c r="H34" s="66">
        <x:v>286.85000000000002</x:v>
      </x:c>
      <x:c r="I34" s="66">
        <x:v>319.58</x:v>
      </x:c>
      <x:c r="J34" s="57">
        <x:v>0.11410144674917189</x:v>
      </x:c>
      <x:c r="K34" s="51">
        <x:v>19</x:v>
      </x:c>
    </x:row>
    <x:row r="35">
      <x:c r="A35" s="49">
        <x:v>10</x:v>
      </x:c>
      <x:c r="B35" s="64">
        <x:v>40310</x:v>
      </x:c>
      <x:c r="C35" s="68">
        <x:v>0.03</x:v>
      </x:c>
      <x:c r="D35" s="49">
        <x:v>1</x:v>
      </x:c>
      <x:c r="E35" s="64">
        <x:v>40319</x:v>
      </x:c>
      <x:c r="F35" s="64">
        <x:v>40350</x:v>
      </x:c>
      <x:c r="G35" s="64">
        <x:v>40396</x:v>
      </x:c>
      <x:c r="H35" s="66">
        <x:v>483.7</x:v>
      </x:c>
      <x:c r="I35" s="66">
        <x:v>514.79999999999995</x:v>
      </x:c>
      <x:c r="J35" s="57">
        <x:v>6.4296051271449217E-2</x:v>
      </x:c>
      <x:c r="K35" s="51">
        <x:v>21</x:v>
      </x:c>
    </x:row>
    <x:row r="36">
      <x:c r="A36" s="49">
        <x:v>10</x:v>
      </x:c>
      <x:c r="B36" s="64">
        <x:v>40310</x:v>
      </x:c>
      <x:c r="C36" s="68">
        <x:v>0.05</x:v>
      </x:c>
      <x:c r="D36" s="49">
        <x:v>1</x:v>
      </x:c>
      <x:c r="E36" s="64">
        <x:v>40319</x:v>
      </x:c>
      <x:c r="F36" s="64">
        <x:v>40350</x:v>
      </x:c>
      <x:c r="G36" s="64">
        <x:v>40396</x:v>
      </x:c>
      <x:c r="H36" s="66">
        <x:v>483.7</x:v>
      </x:c>
      <x:c r="I36" s="66">
        <x:v>514.79999999999995</x:v>
      </x:c>
      <x:c r="J36" s="57">
        <x:v>6.4296051271449217E-2</x:v>
      </x:c>
      <x:c r="K36" s="51">
        <x:v>21</x:v>
      </x:c>
    </x:row>
    <x:row r="37">
      <x:c r="A37" s="49">
        <x:v>14</x:v>
      </x:c>
      <x:c r="B37" s="64">
        <x:v>40680</x:v>
      </x:c>
      <x:c r="C37" s="68">
        <x:v>0.03</x:v>
      </x:c>
      <x:c r="D37" s="49">
        <x:v>1</x:v>
      </x:c>
      <x:c r="E37" s="64">
        <x:v>40688</x:v>
      </x:c>
      <x:c r="F37" s="64">
        <x:v>40696</x:v>
      </x:c>
      <x:c r="G37" s="64">
        <x:v>40765</x:v>
      </x:c>
      <x:c r="H37" s="66">
        <x:v>386.4</x:v>
      </x:c>
      <x:c r="I37" s="66">
        <x:v>450.6</x:v>
      </x:c>
      <x:c r="J37" s="57">
        <x:v>0.1661490683229816</x:v>
      </x:c>
      <x:c r="K37" s="51">
        <x:v>6</x:v>
      </x:c>
    </x:row>
    <x:row r="38">
      <x:c r="A38" s="49">
        <x:v>14</x:v>
      </x:c>
      <x:c r="B38" s="64">
        <x:v>40680</x:v>
      </x:c>
      <x:c r="C38" s="68">
        <x:v>0.05</x:v>
      </x:c>
      <x:c r="D38" s="49">
        <x:v>1</x:v>
      </x:c>
      <x:c r="E38" s="64">
        <x:v>40688</x:v>
      </x:c>
      <x:c r="F38" s="64">
        <x:v>40696</x:v>
      </x:c>
      <x:c r="G38" s="64">
        <x:v>40765</x:v>
      </x:c>
      <x:c r="H38" s="66">
        <x:v>386.4</x:v>
      </x:c>
      <x:c r="I38" s="66">
        <x:v>450.6</x:v>
      </x:c>
      <x:c r="J38" s="57">
        <x:v>0.1661490683229816</x:v>
      </x:c>
      <x:c r="K38" s="51">
        <x:v>6</x:v>
      </x:c>
    </x:row>
    <x:row r="39">
      <x:c r="A39" s="49">
        <x:v>14</x:v>
      </x:c>
      <x:c r="B39" s="64">
        <x:v>40680</x:v>
      </x:c>
      <x:c r="C39" s="68">
        <x:v>7.0000000000000007E-2</x:v>
      </x:c>
      <x:c r="D39" s="49">
        <x:v>1</x:v>
      </x:c>
      <x:c r="E39" s="64">
        <x:v>40688</x:v>
      </x:c>
      <x:c r="F39" s="64">
        <x:v>40696</x:v>
      </x:c>
      <x:c r="G39" s="64">
        <x:v>40765</x:v>
      </x:c>
      <x:c r="H39" s="66">
        <x:v>386.4</x:v>
      </x:c>
      <x:c r="I39" s="66">
        <x:v>450.6</x:v>
      </x:c>
      <x:c r="J39" s="57">
        <x:v>0.1661490683229816</x:v>
      </x:c>
      <x:c r="K39" s="51">
        <x:v>6</x:v>
      </x:c>
    </x:row>
    <x:row r="40">
      <x:c r="A40" s="49">
        <x:v>15</x:v>
      </x:c>
      <x:c r="B40" s="64">
        <x:v>40807</x:v>
      </x:c>
      <x:c r="C40" s="68">
        <x:v>0.03</x:v>
      </x:c>
      <x:c r="D40" s="49">
        <x:v>1</x:v>
      </x:c>
      <x:c r="E40" s="64">
        <x:v>40835</x:v>
      </x:c>
      <x:c r="F40" s="64">
        <x:v>40844</x:v>
      </x:c>
      <x:c r="G40" s="64">
        <x:v>40857</x:v>
      </x:c>
      <x:c r="H40" s="66">
        <x:v>401.15</x:v>
      </x:c>
      <x:c r="I40" s="66">
        <x:v>422.07</x:v>
      </x:c>
      <x:c r="J40" s="57">
        <x:v>5.2150068552910378E-2</x:v>
      </x:c>
      <x:c r="K40" s="51">
        <x:v>7</x:v>
      </x:c>
    </x:row>
    <x:row r="41">
      <x:c r="A41" s="49">
        <x:v>15</x:v>
      </x:c>
      <x:c r="B41" s="64">
        <x:v>40807</x:v>
      </x:c>
      <x:c r="C41" s="68">
        <x:v>0.03</x:v>
      </x:c>
      <x:c r="D41" s="49">
        <x:v>2</x:v>
      </x:c>
      <x:c r="E41" s="64">
        <x:v>40868</x:v>
      </x:c>
      <x:c r="F41" s="64">
        <x:v>40882</x:v>
      </x:c>
      <x:c r="G41" s="64">
        <x:v>40886</x:v>
      </x:c>
      <x:c r="H41" s="66">
        <x:v>379.14</x:v>
      </x:c>
      <x:c r="I41" s="66">
        <x:v>391.19</x:v>
      </x:c>
      <x:c r="J41" s="57">
        <x:v>3.1782455029804257E-2</x:v>
      </x:c>
      <x:c r="K41" s="51">
        <x:v>10</x:v>
      </x:c>
    </x:row>
    <x:row r="42">
      <x:c r="A42" s="49">
        <x:v>15</x:v>
      </x:c>
      <x:c r="B42" s="64">
        <x:v>40807</x:v>
      </x:c>
      <x:c r="C42" s="68">
        <x:v>0.05</x:v>
      </x:c>
      <x:c r="D42" s="49">
        <x:v>1</x:v>
      </x:c>
      <x:c r="E42" s="64">
        <x:v>40835</x:v>
      </x:c>
      <x:c r="F42" s="64">
        <x:v>40844</x:v>
      </x:c>
      <x:c r="G42" s="64">
        <x:v>40857</x:v>
      </x:c>
      <x:c r="H42" s="66">
        <x:v>401.15</x:v>
      </x:c>
      <x:c r="I42" s="66">
        <x:v>422.07</x:v>
      </x:c>
      <x:c r="J42" s="57">
        <x:v>5.2150068552910378E-2</x:v>
      </x:c>
      <x:c r="K42" s="51">
        <x:v>7</x:v>
      </x:c>
    </x:row>
    <x:row r="43">
      <x:c r="A43" s="49">
        <x:v>18</x:v>
      </x:c>
      <x:c r="B43" s="64">
        <x:v>41143</x:v>
      </x:c>
      <x:c r="C43" s="68">
        <x:v>0.03</x:v>
      </x:c>
      <x:c r="D43" s="49">
        <x:v>1</x:v>
      </x:c>
      <x:c r="E43" s="64">
        <x:v>41149</x:v>
      </x:c>
      <x:c r="F43" s="64">
        <x:v>41156</x:v>
      </x:c>
      <x:c r="G43" s="64">
        <x:v>41184</x:v>
      </x:c>
      <x:c r="H43" s="66">
        <x:v>385.78</x:v>
      </x:c>
      <x:c r="I43" s="66">
        <x:v>402.08</x:v>
      </x:c>
      <x:c r="J43" s="57">
        <x:v>4.225206076001875E-2</x:v>
      </x:c>
      <x:c r="K43" s="51">
        <x:v>4</x:v>
      </x:c>
    </x:row>
    <x:row r="44">
      <x:c r="A44" s="49">
        <x:v>18</x:v>
      </x:c>
      <x:c r="B44" s="64">
        <x:v>41143</x:v>
      </x:c>
      <x:c r="C44" s="68">
        <x:v>0.03</x:v>
      </x:c>
      <x:c r="D44" s="49">
        <x:v>2</x:v>
      </x:c>
      <x:c r="E44" s="64">
        <x:v>41184</x:v>
      </x:c>
      <x:c r="F44" s="64">
        <x:v>41198</x:v>
      </x:c>
      <x:c r="G44" s="64">
        <x:v>41215</x:v>
      </x:c>
      <x:c r="H44" s="66">
        <x:v>384.32</x:v>
      </x:c>
      <x:c r="I44" s="66">
        <x:v>399.22</x:v>
      </x:c>
      <x:c r="J44" s="57">
        <x:v>3.8769775187343924E-2</x:v>
      </x:c>
      <x:c r="K44" s="51">
        <x:v>10</x:v>
      </x:c>
    </x:row>
    <x:row r="45">
      <x:c r="A45" s="49">
        <x:v>20</x:v>
      </x:c>
      <x:c r="B45" s="64">
        <x:v>42076</x:v>
      </x:c>
      <x:c r="C45" s="68">
        <x:v>0.03</x:v>
      </x:c>
      <x:c r="D45" s="49">
        <x:v>1</x:v>
      </x:c>
      <x:c r="E45" s="64">
        <x:v>42095</x:v>
      </x:c>
      <x:c r="F45" s="64">
        <x:v>42111</x:v>
      </x:c>
      <x:c r="G45" s="64">
        <x:v>42139</x:v>
      </x:c>
      <x:c r="H45" s="66">
        <x:v>538.91</x:v>
      </x:c>
      <x:c r="I45" s="66">
        <x:v>568.32000000000005</x:v>
      </x:c>
      <x:c r="J45" s="57">
        <x:v>5.4573119815924942E-2</x:v>
      </x:c>
      <x:c r="K45" s="51">
        <x:v>12</x:v>
      </x:c>
    </x:row>
    <x:row r="46">
      <x:c r="A46" s="49">
        <x:v>20</x:v>
      </x:c>
      <x:c r="B46" s="64">
        <x:v>42076</x:v>
      </x:c>
      <x:c r="C46" s="68">
        <x:v>0.05</x:v>
      </x:c>
      <x:c r="D46" s="49">
        <x:v>1</x:v>
      </x:c>
      <x:c r="E46" s="64">
        <x:v>42095</x:v>
      </x:c>
      <x:c r="F46" s="64">
        <x:v>42111</x:v>
      </x:c>
      <x:c r="G46" s="64">
        <x:v>42139</x:v>
      </x:c>
      <x:c r="H46" s="66">
        <x:v>538.91</x:v>
      </x:c>
      <x:c r="I46" s="66">
        <x:v>568.32000000000005</x:v>
      </x:c>
      <x:c r="J46" s="57">
        <x:v>5.4573119815924942E-2</x:v>
      </x:c>
      <x:c r="K46" s="51">
        <x:v>12</x:v>
      </x:c>
    </x:row>
    <x:row r="47">
      <x:c r="A47" s="49">
        <x:v>22</x:v>
      </x:c>
      <x:c r="B47" s="64">
        <x:v>42338</x:v>
      </x:c>
      <x:c r="C47" s="68">
        <x:v>0.03</x:v>
      </x:c>
      <x:c r="D47" s="49">
        <x:v>1</x:v>
      </x:c>
      <x:c r="E47" s="64">
        <x:v>42348</x:v>
      </x:c>
      <x:c r="F47" s="64">
        <x:v>42368</x:v>
      </x:c>
      <x:c r="G47" s="64">
        <x:v>42377</x:v>
      </x:c>
      <x:c r="H47" s="66">
        <x:v>561.04</x:v>
      </x:c>
      <x:c r="I47" s="66">
        <x:v>579.45000000000005</x:v>
      </x:c>
      <x:c r="J47" s="57">
        <x:v>3.2814059603593515E-2</x:v>
      </x:c>
      <x:c r="K47" s="51">
        <x:v>14</x:v>
      </x:c>
    </x:row>
    <x:row r="48">
      <x:c r="A48" s="49">
        <x:v>24</x:v>
      </x:c>
      <x:c r="B48" s="64">
        <x:v>43270</x:v>
      </x:c>
      <x:c r="C48" s="68">
        <x:v>0.03</x:v>
      </x:c>
      <x:c r="D48" s="49">
        <x:v>1</x:v>
      </x:c>
      <x:c r="E48" s="64">
        <x:v>43292</x:v>
      </x:c>
      <x:c r="F48" s="64">
        <x:v>43377</x:v>
      </x:c>
      <x:c r="G48" s="64">
        <x:v>43402</x:v>
      </x:c>
      <x:c r="H48" s="66">
        <x:v>893.16</x:v>
      </x:c>
      <x:c r="I48" s="66">
        <x:v>1023.62</x:v>
      </x:c>
      <x:c r="J48" s="57">
        <x:v>0.14606565452998344</x:v>
      </x:c>
      <x:c r="K48" s="51">
        <x:v>60</x:v>
      </x:c>
    </x:row>
    <x:row r="49">
      <x:c r="A49" s="49">
        <x:v>24</x:v>
      </x:c>
      <x:c r="B49" s="64">
        <x:v>43270</x:v>
      </x:c>
      <x:c r="C49" s="68">
        <x:v>0.03</x:v>
      </x:c>
      <x:c r="D49" s="49">
        <x:v>2</x:v>
      </x:c>
      <x:c r="E49" s="64">
        <x:v>43403</x:v>
      </x:c>
      <x:c r="F49" s="64">
        <x:v>43446</x:v>
      </x:c>
      <x:c r="G49" s="64">
        <x:v>43468</x:v>
      </x:c>
      <x:c r="H49" s="66">
        <x:v>888.69</x:v>
      </x:c>
      <x:c r="I49" s="66">
        <x:v>961.28</x:v>
      </x:c>
      <x:c r="J49" s="57">
        <x:v>8.1682026353396386E-2</x:v>
      </x:c>
      <x:c r="K49" s="51">
        <x:v>31</x:v>
      </x:c>
    </x:row>
    <x:row r="50">
      <x:c r="A50" s="49">
        <x:v>24</x:v>
      </x:c>
      <x:c r="B50" s="64">
        <x:v>43270</x:v>
      </x:c>
      <x:c r="C50" s="68">
        <x:v>0.05</x:v>
      </x:c>
      <x:c r="D50" s="49">
        <x:v>1</x:v>
      </x:c>
      <x:c r="E50" s="64">
        <x:v>43292</x:v>
      </x:c>
      <x:c r="F50" s="64">
        <x:v>43377</x:v>
      </x:c>
      <x:c r="G50" s="64">
        <x:v>43402</x:v>
      </x:c>
      <x:c r="H50" s="66">
        <x:v>893.16</x:v>
      </x:c>
      <x:c r="I50" s="66">
        <x:v>1023.62</x:v>
      </x:c>
      <x:c r="J50" s="57">
        <x:v>0.14606565452998344</x:v>
      </x:c>
      <x:c r="K50" s="51">
        <x:v>60</x:v>
      </x:c>
    </x:row>
    <x:row r="51">
      <x:c r="A51" s="49">
        <x:v>24</x:v>
      </x:c>
      <x:c r="B51" s="64">
        <x:v>43270</x:v>
      </x:c>
      <x:c r="C51" s="68">
        <x:v>0.05</x:v>
      </x:c>
      <x:c r="D51" s="49">
        <x:v>2</x:v>
      </x:c>
      <x:c r="E51" s="64">
        <x:v>43403</x:v>
      </x:c>
      <x:c r="F51" s="64">
        <x:v>43446</x:v>
      </x:c>
      <x:c r="G51" s="64">
        <x:v>43468</x:v>
      </x:c>
      <x:c r="H51" s="66">
        <x:v>888.69</x:v>
      </x:c>
      <x:c r="I51" s="66">
        <x:v>961.28</x:v>
      </x:c>
      <x:c r="J51" s="57">
        <x:v>8.1682026353396386E-2</x:v>
      </x:c>
      <x:c r="K51" s="51">
        <x:v>31</x:v>
      </x:c>
    </x:row>
    <x:row r="52">
      <x:c r="A52" s="49">
        <x:v>24</x:v>
      </x:c>
      <x:c r="B52" s="64">
        <x:v>43270</x:v>
      </x:c>
      <x:c r="C52" s="68">
        <x:v>7.0000000000000007E-2</x:v>
      </x:c>
      <x:c r="D52" s="49">
        <x:v>1</x:v>
      </x:c>
      <x:c r="E52" s="64">
        <x:v>43292</x:v>
      </x:c>
      <x:c r="F52" s="64">
        <x:v>43377</x:v>
      </x:c>
      <x:c r="G52" s="64">
        <x:v>43402</x:v>
      </x:c>
      <x:c r="H52" s="66">
        <x:v>893.16</x:v>
      </x:c>
      <x:c r="I52" s="66">
        <x:v>1023.62</x:v>
      </x:c>
      <x:c r="J52" s="57">
        <x:v>0.14606565452998344</x:v>
      </x:c>
      <x:c r="K52" s="51">
        <x:v>60</x:v>
      </x:c>
    </x:row>
    <x:row r="53">
      <x:c r="A53" s="49">
        <x:v>24</x:v>
      </x:c>
      <x:c r="B53" s="64">
        <x:v>43270</x:v>
      </x:c>
      <x:c r="C53" s="68">
        <x:v>7.0000000000000007E-2</x:v>
      </x:c>
      <x:c r="D53" s="49">
        <x:v>2</x:v>
      </x:c>
      <x:c r="E53" s="64">
        <x:v>43403</x:v>
      </x:c>
      <x:c r="F53" s="64">
        <x:v>43446</x:v>
      </x:c>
      <x:c r="G53" s="64">
        <x:v>43468</x:v>
      </x:c>
      <x:c r="H53" s="66">
        <x:v>888.69</x:v>
      </x:c>
      <x:c r="I53" s="66">
        <x:v>961.28</x:v>
      </x:c>
      <x:c r="J53" s="57">
        <x:v>8.1682026353396386E-2</x:v>
      </x:c>
      <x:c r="K53" s="51">
        <x:v>31</x:v>
      </x:c>
    </x:row>
    <x:row r="54">
      <x:c r="A54" s="49">
        <x:v>30</x:v>
      </x:c>
      <x:c r="B54" s="64">
        <x:v>44670</x:v>
      </x:c>
      <x:c r="C54" s="68">
        <x:v>0.03</x:v>
      </x:c>
      <x:c r="D54" s="49">
        <x:v>1</x:v>
      </x:c>
      <x:c r="E54" s="64">
        <x:v>44676</x:v>
      </x:c>
      <x:c r="F54" s="64">
        <x:v>44680</x:v>
      </x:c>
      <x:c r="G54" s="64">
        <x:v>44690</x:v>
      </x:c>
      <x:c r="H54" s="66">
        <x:v>1310.92</x:v>
      </x:c>
      <x:c r="I54" s="66">
        <x:v>1366.8</x:v>
      </x:c>
      <x:c r="J54" s="57">
        <x:v>4.2626552344918078E-2</x:v>
      </x:c>
      <x:c r="K54" s="51">
        <x:v>4</x:v>
      </x:c>
    </x:row>
    <x:row r="55">
      <x:c r="A55" s="49">
        <x:v>30</x:v>
      </x:c>
      <x:c r="B55" s="64">
        <x:v>44670</x:v>
      </x:c>
      <x:c r="C55" s="68">
        <x:v>0.03</x:v>
      </x:c>
      <x:c r="D55" s="49">
        <x:v>2</x:v>
      </x:c>
      <x:c r="E55" s="64">
        <x:v>44697</x:v>
      </x:c>
      <x:c r="F55" s="64">
        <x:v>44720</x:v>
      </x:c>
      <x:c r="G55" s="64">
        <x:v>44734</x:v>
      </x:c>
      <x:c r="H55" s="66">
        <x:v>1171.95</x:v>
      </x:c>
      <x:c r="I55" s="66">
        <x:v>1307.9100000000001</x:v>
      </x:c>
      <x:c r="J55" s="57">
        <x:v>0.11601177524638429</x:v>
      </x:c>
      <x:c r="K55" s="51">
        <x:v>17</x:v>
      </x:c>
    </x:row>
    <x:row r="56">
      <x:c r="A56" s="49">
        <x:v>30</x:v>
      </x:c>
      <x:c r="B56" s="64">
        <x:v>44670</x:v>
      </x:c>
      <x:c r="C56" s="68">
        <x:v>0.03</x:v>
      </x:c>
      <x:c r="D56" s="49">
        <x:v>3</x:v>
      </x:c>
      <x:c r="E56" s="64">
        <x:v>44734</x:v>
      </x:c>
      <x:c r="F56" s="64">
        <x:v>44740</x:v>
      </x:c>
      <x:c r="G56" s="64">
        <x:v>44748</x:v>
      </x:c>
      <x:c r="H56" s="66">
        <x:v>1169.27</x:v>
      </x:c>
      <x:c r="I56" s="66">
        <x:v>1218.0999999999999</x:v>
      </x:c>
      <x:c r="J56" s="57">
        <x:v>4.1761098805237484E-2</x:v>
      </x:c>
      <x:c r="K56" s="51">
        <x:v>4</x:v>
      </x:c>
    </x:row>
    <x:row r="57">
      <x:c r="A57" s="49">
        <x:v>30</x:v>
      </x:c>
      <x:c r="B57" s="64">
        <x:v>44670</x:v>
      </x:c>
      <x:c r="C57" s="68">
        <x:v>0.03</x:v>
      </x:c>
      <x:c r="D57" s="49">
        <x:v>4</x:v>
      </x:c>
      <x:c r="E57" s="64">
        <x:v>44748</x:v>
      </x:c>
      <x:c r="F57" s="64">
        <x:v>44798</x:v>
      </x:c>
      <x:c r="G57" s="64">
        <x:v>44832</x:v>
      </x:c>
      <x:c r="H57" s="66">
        <x:v>1149.6099999999999</x:v>
      </x:c>
      <x:c r="I57" s="66">
        <x:v>1288.8800000000001</x:v>
      </x:c>
      <x:c r="J57" s="57">
        <x:v>0.12114543192908922</x:v>
      </x:c>
      <x:c r="K57" s="51">
        <x:v>36</x:v>
      </x:c>
    </x:row>
    <x:row r="58">
      <x:c r="A58" s="49">
        <x:v>30</x:v>
      </x:c>
      <x:c r="B58" s="64">
        <x:v>44670</x:v>
      </x:c>
      <x:c r="C58" s="68">
        <x:v>0.03</x:v>
      </x:c>
      <x:c r="D58" s="49">
        <x:v>5</x:v>
      </x:c>
      <x:c r="E58" s="64">
        <x:v>44845</x:v>
      </x:c>
      <x:c r="F58" s="64">
        <x:v>44852</x:v>
      </x:c>
      <x:c r="G58" s="64">
        <x:v>44858</x:v>
      </x:c>
      <x:c r="H58" s="66">
        <x:v>1006.2</x:v>
      </x:c>
      <x:c r="I58" s="66">
        <x:v>1063.6600000000001</x:v>
      </x:c>
      <x:c r="J58" s="57">
        <x:v>5.7105943152454763E-2</x:v>
      </x:c>
      <x:c r="K58" s="51">
        <x:v>5</x:v>
      </x:c>
    </x:row>
    <x:row r="59">
      <x:c r="A59" s="49">
        <x:v>30</x:v>
      </x:c>
      <x:c r="B59" s="64">
        <x:v>44670</x:v>
      </x:c>
      <x:c r="C59" s="68">
        <x:v>0.03</x:v>
      </x:c>
      <x:c r="D59" s="49">
        <x:v>6</x:v>
      </x:c>
      <x:c r="E59" s="64">
        <x:v>44859</x:v>
      </x:c>
      <x:c r="F59" s="64">
        <x:v>44866</x:v>
      </x:c>
      <x:c r="G59" s="64">
        <x:v>44872</x:v>
      </x:c>
      <x:c r="H59" s="66">
        <x:v>981.18</x:v>
      </x:c>
      <x:c r="I59" s="66">
        <x:v>1033.75</x:v>
      </x:c>
      <x:c r="J59" s="57">
        <x:v>5.3578344442406056E-2</x:v>
      </x:c>
      <x:c r="K59" s="51">
        <x:v>5</x:v>
      </x:c>
    </x:row>
    <x:row r="60">
      <x:c r="A60" s="49">
        <x:v>30</x:v>
      </x:c>
      <x:c r="B60" s="64">
        <x:v>44670</x:v>
      </x:c>
      <x:c r="C60" s="68">
        <x:v>0.05</x:v>
      </x:c>
      <x:c r="D60" s="49">
        <x:v>1</x:v>
      </x:c>
      <x:c r="E60" s="64">
        <x:v>44697</x:v>
      </x:c>
      <x:c r="F60" s="64">
        <x:v>44720</x:v>
      </x:c>
      <x:c r="G60" s="64">
        <x:v>44734</x:v>
      </x:c>
      <x:c r="H60" s="66">
        <x:v>1171.95</x:v>
      </x:c>
      <x:c r="I60" s="66">
        <x:v>1307.9100000000001</x:v>
      </x:c>
      <x:c r="J60" s="57">
        <x:v>0.11601177524638429</x:v>
      </x:c>
      <x:c r="K60" s="51">
        <x:v>17</x:v>
      </x:c>
    </x:row>
    <x:row r="61">
      <x:c r="A61" s="49">
        <x:v>30</x:v>
      </x:c>
      <x:c r="B61" s="64">
        <x:v>44670</x:v>
      </x:c>
      <x:c r="C61" s="68">
        <x:v>0.05</x:v>
      </x:c>
      <x:c r="D61" s="49">
        <x:v>2</x:v>
      </x:c>
      <x:c r="E61" s="64">
        <x:v>44748</x:v>
      </x:c>
      <x:c r="F61" s="64">
        <x:v>44798</x:v>
      </x:c>
      <x:c r="G61" s="64">
        <x:v>44832</x:v>
      </x:c>
      <x:c r="H61" s="66">
        <x:v>1149.6099999999999</x:v>
      </x:c>
      <x:c r="I61" s="66">
        <x:v>1288.8800000000001</x:v>
      </x:c>
      <x:c r="J61" s="57">
        <x:v>0.12114543192908922</x:v>
      </x:c>
      <x:c r="K61" s="51">
        <x:v>36</x:v>
      </x:c>
    </x:row>
    <x:row r="62">
      <x:c r="A62" s="49">
        <x:v>30</x:v>
      </x:c>
      <x:c r="B62" s="64">
        <x:v>44670</x:v>
      </x:c>
      <x:c r="C62" s="68">
        <x:v>0.05</x:v>
      </x:c>
      <x:c r="D62" s="49">
        <x:v>3</x:v>
      </x:c>
      <x:c r="E62" s="64">
        <x:v>44845</x:v>
      </x:c>
      <x:c r="F62" s="64">
        <x:v>44852</x:v>
      </x:c>
      <x:c r="G62" s="64">
        <x:v>44858</x:v>
      </x:c>
      <x:c r="H62" s="66">
        <x:v>1006.2</x:v>
      </x:c>
      <x:c r="I62" s="66">
        <x:v>1063.6600000000001</x:v>
      </x:c>
      <x:c r="J62" s="57">
        <x:v>5.7105943152454763E-2</x:v>
      </x:c>
      <x:c r="K62" s="51">
        <x:v>5</x:v>
      </x:c>
    </x:row>
    <x:row r="63">
      <x:c r="A63" s="49">
        <x:v>30</x:v>
      </x:c>
      <x:c r="B63" s="64">
        <x:v>44670</x:v>
      </x:c>
      <x:c r="C63" s="68">
        <x:v>0.05</x:v>
      </x:c>
      <x:c r="D63" s="49">
        <x:v>4</x:v>
      </x:c>
      <x:c r="E63" s="64">
        <x:v>44859</x:v>
      </x:c>
      <x:c r="F63" s="64">
        <x:v>44866</x:v>
      </x:c>
      <x:c r="G63" s="64">
        <x:v>44872</x:v>
      </x:c>
      <x:c r="H63" s="66">
        <x:v>981.18</x:v>
      </x:c>
      <x:c r="I63" s="66">
        <x:v>1033.75</x:v>
      </x:c>
      <x:c r="J63" s="57">
        <x:v>5.3578344442406056E-2</x:v>
      </x:c>
      <x:c r="K63" s="51">
        <x:v>5</x:v>
      </x:c>
    </x:row>
    <x:row r="64">
      <x:c r="A64" s="49">
        <x:v>30</x:v>
      </x:c>
      <x:c r="B64" s="64">
        <x:v>44670</x:v>
      </x:c>
      <x:c r="C64" s="68">
        <x:v>7.0000000000000007E-2</x:v>
      </x:c>
      <x:c r="D64" s="49">
        <x:v>1</x:v>
      </x:c>
      <x:c r="E64" s="64">
        <x:v>44697</x:v>
      </x:c>
      <x:c r="F64" s="64">
        <x:v>44720</x:v>
      </x:c>
      <x:c r="G64" s="64">
        <x:v>44734</x:v>
      </x:c>
      <x:c r="H64" s="66">
        <x:v>1171.95</x:v>
      </x:c>
      <x:c r="I64" s="66">
        <x:v>1307.9100000000001</x:v>
      </x:c>
      <x:c r="J64" s="57">
        <x:v>0.11601177524638429</x:v>
      </x:c>
      <x:c r="K64" s="51">
        <x:v>17</x:v>
      </x:c>
    </x:row>
    <x:row r="65">
      <x:c r="A65" s="49">
        <x:v>30</x:v>
      </x:c>
      <x:c r="B65" s="64">
        <x:v>44670</x:v>
      </x:c>
      <x:c r="C65" s="68">
        <x:v>7.0000000000000007E-2</x:v>
      </x:c>
      <x:c r="D65" s="49">
        <x:v>2</x:v>
      </x:c>
      <x:c r="E65" s="64">
        <x:v>44748</x:v>
      </x:c>
      <x:c r="F65" s="64">
        <x:v>44798</x:v>
      </x:c>
      <x:c r="G65" s="64">
        <x:v>44832</x:v>
      </x:c>
      <x:c r="H65" s="66">
        <x:v>1149.6099999999999</x:v>
      </x:c>
      <x:c r="I65" s="66">
        <x:v>1288.8800000000001</x:v>
      </x:c>
      <x:c r="J65" s="57">
        <x:v>0.12114543192908922</x:v>
      </x:c>
      <x:c r="K65" s="51">
        <x:v>36</x:v>
      </x:c>
    </x:row>
  </x:sheetData>
  <x:mergeCells>
    <x:mergeCell ref="A1:K2"/>
    <x:mergeCell ref="A3:K3"/>
  </x:mergeCells>
  <x:conditionalFormatting sqref="C5:C65">
    <x:cfRule type="cellIs" dxfId="3" priority="1" operator="equal">
      <x:formula>0.05</x:formula>
    </x:cfRule>
  </x:conditionalFormatting>
  <x:pageMargins left="0.7" right="0.7" top="0.75" bottom="0.75" header="0.3" footer="0.3"/>
  <x:drawing xmlns:r="http://schemas.openxmlformats.org/officeDocument/2006/relationships" r:id="R9f0bcdfe7aae4c51"/>
  <x:legacyDrawing xmlns:r="http://schemas.openxmlformats.org/officeDocument/2006/relationships" r:id="Re8b4aa00171d4d02"/>
</x:worksheet>
</file>

<file path=xl/worksheets/sheet10.xml><?xml version="1.0" encoding="utf-8"?>
<x:worksheet xmlns:x="http://schemas.openxmlformats.org/spreadsheetml/2006/main">
  <x:sheetViews>
    <x:sheetView showGridLines="0" workbookViewId="0"/>
  </x:sheetViews>
  <x:sheetFormatPr defaultRowHeight="14.25"/>
  <x:cols>
    <x:col min="1" max="1" width="18" customWidth="1"/>
    <x:col min="2" max="2" width="12" customWidth="1"/>
    <x:col min="3" max="3" width="17" customWidth="1"/>
    <x:col min="4" max="4" width="15" customWidth="1"/>
    <x:col min="5" max="5" width="17" customWidth="1"/>
    <x:col min="6" max="6" width="12" customWidth="1"/>
    <x:col min="7" max="10" width="15" customWidth="1"/>
    <x:col min="11" max="11" width="17" customWidth="1"/>
    <x:col min="12" max="12" width="13" customWidth="1"/>
    <x:col min="13" max="13" width="15" customWidth="1"/>
    <x:col min="14" max="14" width="12" customWidth="1"/>
  </x:cols>
  <x:sheetData>
    <x:row r="1" ht="27.950000762939453" customHeight="1">
      <x:c r="A1" s="117" t="s">
        <x:v>174</x:v>
      </x:c>
      <x:c r="B1" s="118"/>
      <x:c r="C1" s="118"/>
      <x:c r="D1" s="118"/>
      <x:c r="E1" s="118"/>
      <x:c r="F1" s="118"/>
      <x:c r="G1" s="118"/>
      <x:c r="H1" s="118"/>
      <x:c r="I1" s="118"/>
      <x:c r="J1" s="118"/>
      <x:c r="K1" s="118"/>
      <x:c r="L1" s="118"/>
      <x:c r="M1" s="118"/>
      <x:c r="N1" s="118"/>
    </x:row>
    <x:row r="2" ht="27.950000762939453" customHeight="1">
      <x:c r="A2" s="118"/>
      <x:c r="B2" s="118"/>
      <x:c r="C2" s="118"/>
      <x:c r="D2" s="118"/>
      <x:c r="E2" s="118"/>
      <x:c r="F2" s="118"/>
      <x:c r="G2" s="118"/>
      <x:c r="H2" s="118"/>
      <x:c r="I2" s="118"/>
      <x:c r="J2" s="118"/>
      <x:c r="K2" s="118"/>
      <x:c r="L2" s="118"/>
      <x:c r="M2" s="118"/>
      <x:c r="N2" s="118"/>
    </x:row>
    <x:row r="3" ht="20.100000381469727" customHeight="1">
      <x:c r="A3" s="119" t="s">
        <x:v>175</x:v>
      </x:c>
      <x:c r="B3" s="118"/>
      <x:c r="C3" s="118"/>
      <x:c r="D3" s="118"/>
      <x:c r="E3" s="118"/>
      <x:c r="F3" s="118"/>
      <x:c r="G3" s="118"/>
      <x:c r="H3" s="118"/>
      <x:c r="I3" s="118"/>
      <x:c r="J3" s="118"/>
      <x:c r="K3" s="118"/>
      <x:c r="L3" s="118"/>
      <x:c r="M3" s="118"/>
      <x:c r="N3" s="118"/>
    </x:row>
    <x:row r="5" ht="32.099998474121094" customHeight="1">
      <x:c r="A5" s="47" t="s">
        <x:v>176</x:v>
      </x:c>
      <x:c r="B5" s="47" t="s">
        <x:v>123</x:v>
      </x:c>
      <x:c r="C5" s="47" t="s">
        <x:v>112</x:v>
      </x:c>
      <x:c r="D5" s="47" t="s">
        <x:v>124</x:v>
      </x:c>
      <x:c r="E5" s="47" t="s">
        <x:v>144</x:v>
      </x:c>
      <x:c r="F5" s="47" t="s">
        <x:v>146</x:v>
      </x:c>
      <x:c r="G5" s="47" t="s">
        <x:v>177</x:v>
      </x:c>
      <x:c r="H5" s="47" t="s">
        <x:v>178</x:v>
      </x:c>
      <x:c r="I5" s="47" t="s">
        <x:v>179</x:v>
      </x:c>
      <x:c r="K5" s="47" t="s">
        <x:v>176</x:v>
      </x:c>
      <x:c r="L5" s="47" t="s">
        <x:v>121</x:v>
      </x:c>
      <x:c r="M5" s="47" t="s">
        <x:v>180</x:v>
      </x:c>
    </x:row>
    <x:row r="6">
      <x:c r="A6" s="48" t="s">
        <x:v>158</x:v>
      </x:c>
      <x:c r="B6" s="50">
        <x:v>21</x:v>
      </x:c>
      <x:c r="C6" s="52">
        <x:v>-1.2522538098648894E-2</x:v>
      </x:c>
      <x:c r="D6" s="54">
        <x:v>4</x:v>
      </x:c>
      <x:c r="E6" s="54">
        <x:v>5</x:v>
      </x:c>
      <x:c r="F6" s="54">
        <x:v>9</x:v>
      </x:c>
      <x:c r="G6" s="54">
        <x:v>0</x:v>
      </x:c>
      <x:c r="H6" s="54">
        <x:v>0</x:v>
      </x:c>
      <x:c r="I6" s="54">
        <x:v>0</x:v>
      </x:c>
      <x:c r="K6" s="48" t="str">
        <x:f>A6</x:f>
        <x:v>0–5%</x:v>
      </x:c>
      <x:c r="L6" s="48" t="n">
        <x:f t="shared" ref="L6:M10" si="0">D6</x:f>
        <x:v>4</x:v>
      </x:c>
      <x:c r="M6" s="48">
        <x:f t="shared" si="0"/>
        <x:v>5</x:v>
      </x:c>
    </x:row>
    <x:row r="7">
      <x:c r="A7" s="49" t="s">
        <x:v>162</x:v>
      </x:c>
      <x:c r="B7" s="51">
        <x:v>6</x:v>
      </x:c>
      <x:c r="C7" s="53">
        <x:v>-8.7656808688360288E-2</x:v>
      </x:c>
      <x:c r="D7" s="55">
        <x:v>39.5</x:v>
      </x:c>
      <x:c r="E7" s="55">
        <x:v>28.5</x:v>
      </x:c>
      <x:c r="F7" s="55">
        <x:v>76</x:v>
      </x:c>
      <x:c r="G7" s="55">
        <x:v>1</x:v>
      </x:c>
      <x:c r="H7" s="55">
        <x:v>0</x:v>
      </x:c>
      <x:c r="I7" s="55">
        <x:v>0</x:v>
      </x:c>
      <x:c r="K7" s="49" t="str">
        <x:f>A7</x:f>
        <x:v>5–10%</x:v>
      </x:c>
      <x:c r="L7" s="49">
        <x:f t="shared" si="0"/>
        <x:v>39.5</x:v>
      </x:c>
      <x:c r="M7" s="49">
        <x:f t="shared" si="0"/>
        <x:v>28.5</x:v>
      </x:c>
    </x:row>
    <x:row r="8">
      <x:c r="A8" s="49" t="s">
        <x:v>160</x:v>
      </x:c>
      <x:c r="B8" s="51">
        <x:v>4</x:v>
      </x:c>
      <x:c r="C8" s="53">
        <x:v>-0.14600865650432404</x:v>
      </x:c>
      <x:c r="D8" s="55">
        <x:v>40.5</x:v>
      </x:c>
      <x:c r="E8" s="55">
        <x:v>28.5</x:v>
      </x:c>
      <x:c r="F8" s="55">
        <x:v>69</x:v>
      </x:c>
      <x:c r="G8" s="55">
        <x:v>0.5</x:v>
      </x:c>
      <x:c r="H8" s="55">
        <x:v>0.5</x:v>
      </x:c>
      <x:c r="I8" s="55">
        <x:v>0</x:v>
      </x:c>
      <x:c r="K8" s="49" t="str">
        <x:f>A8</x:f>
        <x:v>10–20%</x:v>
      </x:c>
      <x:c r="L8" s="49">
        <x:f t="shared" si="0"/>
        <x:v>40.5</x:v>
      </x:c>
      <x:c r="M8" s="49">
        <x:f t="shared" si="0"/>
        <x:v>28.5</x:v>
      </x:c>
    </x:row>
    <x:row r="9">
      <x:c r="A9" s="49" t="s">
        <x:v>161</x:v>
      </x:c>
      <x:c r="B9" s="51">
        <x:v>1</x:v>
      </x:c>
      <x:c r="C9" s="53">
        <x:v>-0.24764841253882064</x:v>
      </x:c>
      <x:c r="D9" s="55">
        <x:v>76</x:v>
      </x:c>
      <x:c r="E9" s="55">
        <x:v>26</x:v>
      </x:c>
      <x:c r="F9" s="55">
        <x:v>102</x:v>
      </x:c>
      <x:c r="G9" s="55">
        <x:v>2</x:v>
      </x:c>
      <x:c r="H9" s="55">
        <x:v>1</x:v>
      </x:c>
      <x:c r="I9" s="55">
        <x:v>0</x:v>
      </x:c>
      <x:c r="K9" s="49" t="str">
        <x:f>A9</x:f>
        <x:v>20–30%</x:v>
      </x:c>
      <x:c r="L9" s="49">
        <x:f t="shared" si="0"/>
        <x:v>76</x:v>
      </x:c>
      <x:c r="M9" s="49">
        <x:f t="shared" si="0"/>
        <x:v>26</x:v>
      </x:c>
    </x:row>
    <x:row r="10">
      <x:c r="A10" s="69" t="s">
        <x:v>156</x:v>
      </x:c>
      <x:c r="B10" s="70">
        <x:v>4</x:v>
      </x:c>
      <x:c r="C10" s="71">
        <x:v>-0.43144356556247926</x:v>
      </x:c>
      <x:c r="D10" s="72">
        <x:v>231</x:v>
      </x:c>
      <x:c r="E10" s="72">
        <x:v>78</x:v>
      </x:c>
      <x:c r="F10" s="72">
        <x:v>322</x:v>
      </x:c>
      <x:c r="G10" s="72">
        <x:v>5</x:v>
      </x:c>
      <x:c r="H10" s="72">
        <x:v>3.5</x:v>
      </x:c>
      <x:c r="I10" s="72">
        <x:v>2.5</x:v>
      </x:c>
      <x:c r="K10" s="49" t="str">
        <x:f>A10</x:f>
        <x:v>≥30%</x:v>
      </x:c>
      <x:c r="L10" s="49">
        <x:f t="shared" si="0"/>
        <x:v>231</x:v>
      </x:c>
      <x:c r="M10" s="49">
        <x:f t="shared" si="0"/>
        <x:v>78</x:v>
      </x:c>
    </x:row>
    <x:row r="13" ht="21.950000762939453" customHeight="1">
      <x:c r="A13" s="120" t="s">
        <x:v>181</x:v>
      </x:c>
      <x:c r="B13" s="118"/>
      <x:c r="C13" s="118"/>
      <x:c r="D13" s="118"/>
      <x:c r="E13" s="118"/>
      <x:c r="F13" s="118"/>
      <x:c r="G13" s="118"/>
      <x:c r="H13" s="118"/>
      <x:c r="I13" s="118"/>
    </x:row>
    <x:row r="14" ht="32.099998474121094" customHeight="1">
      <x:c r="A14" s="47" t="s">
        <x:v>120</x:v>
      </x:c>
      <x:c r="B14" s="47" t="s">
        <x:v>182</x:v>
      </x:c>
      <x:c r="C14" s="47" t="s">
        <x:v>183</x:v>
      </x:c>
      <x:c r="D14" s="47" t="s">
        <x:v>184</x:v>
      </x:c>
      <x:c r="E14" s="47" t="s">
        <x:v>185</x:v>
      </x:c>
      <x:c r="G14" s="47" t="s">
        <x:v>120</x:v>
      </x:c>
      <x:c r="H14" s="47" t="s">
        <x:v>186</x:v>
      </x:c>
      <x:c r="I14" s="47" t="s">
        <x:v>187</x:v>
      </x:c>
      <x:c r="J14" s="47" t="s">
        <x:v>188</x:v>
      </x:c>
    </x:row>
    <x:row r="15">
      <x:c r="A15" s="48" t="s">
        <x:v>130</x:v>
      </x:c>
      <x:c r="B15" s="56">
        <x:v>0.66666666666666663</x:v>
      </x:c>
      <x:c r="C15" s="56">
        <x:v>0.33333333333333331</x:v>
      </x:c>
      <x:c r="D15" s="56">
        <x:v>0.33333333333333331</x:v>
      </x:c>
      <x:c r="E15" s="54">
        <x:v>1</x:v>
      </x:c>
      <x:c r="G15" s="48" t="str">
        <x:f>A6</x:f>
        <x:v>0–5%</x:v>
      </x:c>
      <x:c r="H15" s="48" t="n">
        <x:f t="shared" ref="H15:J19" si="1">G6</x:f>
        <x:v>0</x:v>
      </x:c>
      <x:c r="I15" s="48">
        <x:f t="shared" si="1"/>
        <x:v>0</x:v>
      </x:c>
      <x:c r="J15" s="48">
        <x:f t="shared" si="1"/>
        <x:v>0</x:v>
      </x:c>
    </x:row>
    <x:row r="16">
      <x:c r="A16" s="49" t="s">
        <x:v>131</x:v>
      </x:c>
      <x:c r="B16" s="57">
        <x:v>0.8571428571428571</x:v>
      </x:c>
      <x:c r="C16" s="57">
        <x:v>0.42857142857142855</x:v>
      </x:c>
      <x:c r="D16" s="57">
        <x:v>0.42857142857142855</x:v>
      </x:c>
      <x:c r="E16" s="55">
        <x:v>1</x:v>
      </x:c>
      <x:c r="G16" s="49" t="str">
        <x:f>A7</x:f>
        <x:v>5–10%</x:v>
      </x:c>
      <x:c r="H16" s="49">
        <x:f t="shared" si="1"/>
        <x:v>1</x:v>
      </x:c>
      <x:c r="I16" s="49">
        <x:f t="shared" si="1"/>
        <x:v>0</x:v>
      </x:c>
      <x:c r="J16" s="49">
        <x:f t="shared" si="1"/>
        <x:v>0</x:v>
      </x:c>
    </x:row>
    <x:row r="17">
      <x:c r="A17" s="49" t="s">
        <x:v>132</x:v>
      </x:c>
      <x:c r="B17" s="57">
        <x:v>0.66666666666666663</x:v>
      </x:c>
      <x:c r="C17" s="57">
        <x:v>0.33333333333333331</x:v>
      </x:c>
      <x:c r="D17" s="57">
        <x:v>0.25</x:v>
      </x:c>
      <x:c r="E17" s="55">
        <x:v>1</x:v>
      </x:c>
      <x:c r="G17" s="49" t="str">
        <x:f>A8</x:f>
        <x:v>10–20%</x:v>
      </x:c>
      <x:c r="H17" s="49">
        <x:f t="shared" si="1"/>
        <x:v>0.5</x:v>
      </x:c>
      <x:c r="I17" s="49">
        <x:f t="shared" si="1"/>
        <x:v>0.5</x:v>
      </x:c>
      <x:c r="J17" s="49">
        <x:f t="shared" si="1"/>
        <x:v>0</x:v>
      </x:c>
    </x:row>
    <x:row r="18">
      <x:c r="A18" s="49" t="s">
        <x:v>133</x:v>
      </x:c>
      <x:c r="B18" s="57">
        <x:v>0.75</x:v>
      </x:c>
      <x:c r="C18" s="57">
        <x:v>0.75</x:v>
      </x:c>
      <x:c r="D18" s="57">
        <x:v>0.75</x:v>
      </x:c>
      <x:c r="E18" s="55">
        <x:v>3.5</x:v>
      </x:c>
      <x:c r="G18" s="49" t="str">
        <x:f>A9</x:f>
        <x:v>20–30%</x:v>
      </x:c>
      <x:c r="H18" s="49">
        <x:f t="shared" si="1"/>
        <x:v>2</x:v>
      </x:c>
      <x:c r="I18" s="49">
        <x:f t="shared" si="1"/>
        <x:v>1</x:v>
      </x:c>
      <x:c r="J18" s="49">
        <x:f t="shared" si="1"/>
        <x:v>0</x:v>
      </x:c>
    </x:row>
    <x:row r="19">
      <x:c r="G19" s="49" t="str">
        <x:f>A10</x:f>
        <x:v>≥30%</x:v>
      </x:c>
      <x:c r="H19" s="49">
        <x:f t="shared" si="1"/>
        <x:v>5</x:v>
      </x:c>
      <x:c r="I19" s="49">
        <x:f t="shared" si="1"/>
        <x:v>3.5</x:v>
      </x:c>
      <x:c r="J19" s="49">
        <x:f t="shared" si="1"/>
        <x:v>2.5</x:v>
      </x:c>
    </x:row>
    <x:row r="38">
      <x:c r="A38" s="154" t="s">
        <x:v>189</x:v>
      </x:c>
      <x:c r="B38" s="155"/>
      <x:c r="C38" s="155"/>
      <x:c r="D38" s="155"/>
      <x:c r="E38" s="155"/>
      <x:c r="F38" s="155"/>
      <x:c r="G38" s="155"/>
      <x:c r="H38" s="155"/>
      <x:c r="I38" s="155"/>
      <x:c r="J38" s="155"/>
      <x:c r="K38" s="155"/>
      <x:c r="L38" s="155"/>
      <x:c r="M38" s="155"/>
      <x:c r="N38" s="156"/>
    </x:row>
    <x:row r="39">
      <x:c r="A39" s="157"/>
      <x:c r="B39" s="158"/>
      <x:c r="C39" s="158"/>
      <x:c r="D39" s="158"/>
      <x:c r="E39" s="158"/>
      <x:c r="F39" s="158"/>
      <x:c r="G39" s="158"/>
      <x:c r="H39" s="158"/>
      <x:c r="I39" s="158"/>
      <x:c r="J39" s="158"/>
      <x:c r="K39" s="158"/>
      <x:c r="L39" s="158"/>
      <x:c r="M39" s="158"/>
      <x:c r="N39" s="159"/>
    </x:row>
    <x:row r="40">
      <x:c r="A40" s="157"/>
      <x:c r="B40" s="158"/>
      <x:c r="C40" s="158"/>
      <x:c r="D40" s="158"/>
      <x:c r="E40" s="158"/>
      <x:c r="F40" s="158"/>
      <x:c r="G40" s="158"/>
      <x:c r="H40" s="158"/>
      <x:c r="I40" s="158"/>
      <x:c r="J40" s="158"/>
      <x:c r="K40" s="158"/>
      <x:c r="L40" s="158"/>
      <x:c r="M40" s="158"/>
      <x:c r="N40" s="159"/>
    </x:row>
    <x:row r="41">
      <x:c r="A41" s="160"/>
      <x:c r="B41" s="161"/>
      <x:c r="C41" s="161"/>
      <x:c r="D41" s="161"/>
      <x:c r="E41" s="161"/>
      <x:c r="F41" s="161"/>
      <x:c r="G41" s="161"/>
      <x:c r="H41" s="161"/>
      <x:c r="I41" s="161"/>
      <x:c r="J41" s="161"/>
      <x:c r="K41" s="161"/>
      <x:c r="L41" s="161"/>
      <x:c r="M41" s="161"/>
      <x:c r="N41" s="162"/>
    </x:row>
  </x:sheetData>
  <x:mergeCells>
    <x:mergeCell ref="A1:N2"/>
    <x:mergeCell ref="A3:N3"/>
    <x:mergeCell ref="A13:I13"/>
    <x:mergeCell ref="A38:N41"/>
  </x:mergeCells>
  <x:pageMargins left="0.7" right="0.7" top="0.75" bottom="0.75" header="0.3" footer="0.3"/>
  <x:drawing xmlns:r="http://schemas.openxmlformats.org/officeDocument/2006/relationships" r:id="Rcb2d448a4d6240ec"/>
</x:worksheet>
</file>

<file path=xl/worksheets/sheet11.xml><?xml version="1.0" encoding="utf-8"?>
<x:worksheet xmlns:x="http://schemas.openxmlformats.org/spreadsheetml/2006/main">
  <x:sheetViews>
    <x:sheetView showGridLines="0" workbookViewId="0"/>
  </x:sheetViews>
  <x:sheetFormatPr defaultRowHeight="14.25"/>
  <x:cols>
    <x:col min="1" max="1" width="25" customWidth="1"/>
    <x:col min="2" max="2" width="95" customWidth="1"/>
    <x:col min="3" max="8" width="12" customWidth="1"/>
  </x:cols>
  <x:sheetData>
    <x:row r="1" ht="27.950000762939453" customHeight="1">
      <x:c r="A1" s="117" t="s">
        <x:v>190</x:v>
      </x:c>
      <x:c r="B1" s="118"/>
      <x:c r="C1" s="118"/>
      <x:c r="D1" s="118"/>
      <x:c r="E1" s="118"/>
      <x:c r="F1" s="118"/>
      <x:c r="G1" s="118"/>
      <x:c r="H1" s="118"/>
    </x:row>
    <x:row r="2" ht="27.950000762939453" customHeight="1">
      <x:c r="A2" s="118"/>
      <x:c r="B2" s="118"/>
      <x:c r="C2" s="118"/>
      <x:c r="D2" s="118"/>
      <x:c r="E2" s="118"/>
      <x:c r="F2" s="118"/>
      <x:c r="G2" s="118"/>
      <x:c r="H2" s="118"/>
    </x:row>
    <x:row r="3" ht="20.100000381469727" customHeight="1">
      <x:c r="A3" s="119" t="s">
        <x:v>191</x:v>
      </x:c>
      <x:c r="B3" s="118"/>
      <x:c r="C3" s="118"/>
      <x:c r="D3" s="118"/>
      <x:c r="E3" s="118"/>
      <x:c r="F3" s="118"/>
      <x:c r="G3" s="118"/>
      <x:c r="H3" s="118"/>
    </x:row>
    <x:row r="5" ht="21.950000762939453" customHeight="1">
      <x:c r="A5" s="120" t="s">
        <x:v>67</x:v>
      </x:c>
      <x:c r="B5" s="118"/>
      <x:c r="C5" s="118"/>
      <x:c r="D5" s="118"/>
      <x:c r="E5" s="118"/>
      <x:c r="F5" s="118"/>
      <x:c r="G5" s="118"/>
      <x:c r="H5" s="118"/>
    </x:row>
    <x:row r="6" ht="32.099998474121094" customHeight="1">
      <x:c r="A6" s="47" t="s">
        <x:v>68</x:v>
      </x:c>
      <x:c r="B6" s="47" t="s">
        <x:v>69</x:v>
      </x:c>
    </x:row>
    <x:row r="7" ht="38.099998474121094" customHeight="1">
      <x:c r="A7" s="73" t="s">
        <x:v>192</x:v>
      </x:c>
      <x:c r="B7" s="75" t="s">
        <x:v>193</x:v>
      </x:c>
    </x:row>
    <x:row r="8" ht="38.099998474121094" customHeight="1">
      <x:c r="A8" s="74" t="s">
        <x:v>194</x:v>
      </x:c>
      <x:c r="B8" s="76" t="s">
        <x:v>195</x:v>
      </x:c>
    </x:row>
    <x:row r="9" ht="38.099998474121094" customHeight="1">
      <x:c r="A9" s="74" t="s">
        <x:v>196</x:v>
      </x:c>
      <x:c r="B9" s="76" t="s">
        <x:v>197</x:v>
      </x:c>
    </x:row>
    <x:row r="10" ht="38.099998474121094" customHeight="1">
      <x:c r="A10" s="74" t="s">
        <x:v>198</x:v>
      </x:c>
      <x:c r="B10" s="76" t="s">
        <x:v>199</x:v>
      </x:c>
    </x:row>
    <x:row r="11" ht="38.099998474121094" customHeight="1">
      <x:c r="A11" s="74" t="s">
        <x:v>200</x:v>
      </x:c>
      <x:c r="B11" s="76" t="s">
        <x:v>201</x:v>
      </x:c>
    </x:row>
    <x:row r="12" ht="38.099998474121094" customHeight="1">
      <x:c r="A12" s="74" t="s">
        <x:v>142</x:v>
      </x:c>
      <x:c r="B12" s="76" t="s">
        <x:v>202</x:v>
      </x:c>
    </x:row>
    <x:row r="13" ht="38.099998474121094" customHeight="1">
      <x:c r="A13" s="74" t="s">
        <x:v>203</x:v>
      </x:c>
      <x:c r="B13" s="76" t="s">
        <x:v>204</x:v>
      </x:c>
    </x:row>
    <x:row r="15" ht="21.950000762939453" customHeight="1">
      <x:c r="A15" s="120" t="s">
        <x:v>81</x:v>
      </x:c>
      <x:c r="B15" s="118"/>
      <x:c r="C15" s="118"/>
      <x:c r="D15" s="118"/>
      <x:c r="E15" s="118"/>
      <x:c r="F15" s="118"/>
      <x:c r="G15" s="118"/>
      <x:c r="H15" s="118"/>
    </x:row>
    <x:row r="16">
      <x:c r="A16" s="163" t="s">
        <x:v>205</x:v>
      </x:c>
      <x:c r="B16" s="164"/>
      <x:c r="C16" s="164"/>
      <x:c r="D16" s="164"/>
      <x:c r="E16" s="164"/>
      <x:c r="F16" s="164"/>
      <x:c r="G16" s="164"/>
      <x:c r="H16" s="165"/>
    </x:row>
    <x:row r="17">
      <x:c r="A17" s="166"/>
      <x:c r="B17" s="167"/>
      <x:c r="C17" s="167"/>
      <x:c r="D17" s="167"/>
      <x:c r="E17" s="167"/>
      <x:c r="F17" s="167"/>
      <x:c r="G17" s="167"/>
      <x:c r="H17" s="168"/>
    </x:row>
    <x:row r="18">
      <x:c r="A18" s="166"/>
      <x:c r="B18" s="167"/>
      <x:c r="C18" s="167"/>
      <x:c r="D18" s="167"/>
      <x:c r="E18" s="167"/>
      <x:c r="F18" s="167"/>
      <x:c r="G18" s="167"/>
      <x:c r="H18" s="168"/>
    </x:row>
    <x:row r="19">
      <x:c r="A19" s="166"/>
      <x:c r="B19" s="167"/>
      <x:c r="C19" s="167"/>
      <x:c r="D19" s="167"/>
      <x:c r="E19" s="167"/>
      <x:c r="F19" s="167"/>
      <x:c r="G19" s="167"/>
      <x:c r="H19" s="168"/>
    </x:row>
    <x:row r="20">
      <x:c r="A20" s="166"/>
      <x:c r="B20" s="167"/>
      <x:c r="C20" s="167"/>
      <x:c r="D20" s="167"/>
      <x:c r="E20" s="167"/>
      <x:c r="F20" s="167"/>
      <x:c r="G20" s="167"/>
      <x:c r="H20" s="168"/>
    </x:row>
    <x:row r="21">
      <x:c r="A21" s="166"/>
      <x:c r="B21" s="167"/>
      <x:c r="C21" s="167"/>
      <x:c r="D21" s="167"/>
      <x:c r="E21" s="167"/>
      <x:c r="F21" s="167"/>
      <x:c r="G21" s="167"/>
      <x:c r="H21" s="168"/>
    </x:row>
    <x:row r="22">
      <x:c r="A22" s="169"/>
      <x:c r="B22" s="170"/>
      <x:c r="C22" s="170"/>
      <x:c r="D22" s="170"/>
      <x:c r="E22" s="170"/>
      <x:c r="F22" s="170"/>
      <x:c r="G22" s="170"/>
      <x:c r="H22" s="171"/>
    </x:row>
    <x:row r="24" ht="21.950000762939453" customHeight="1">
      <x:c r="A24" s="120" t="s">
        <x:v>206</x:v>
      </x:c>
      <x:c r="B24" s="118"/>
      <x:c r="C24" s="118"/>
      <x:c r="D24" s="118"/>
      <x:c r="E24" s="118"/>
      <x:c r="F24" s="118"/>
      <x:c r="G24" s="118"/>
      <x:c r="H24" s="118"/>
    </x:row>
    <x:row r="25" ht="32.099998474121094" customHeight="1">
      <x:c r="A25" s="47" t="s">
        <x:v>207</x:v>
      </x:c>
      <x:c r="B25" s="47" t="s">
        <x:v>28</x:v>
      </x:c>
    </x:row>
    <x:row r="26" ht="33.95000076293945" customHeight="1">
      <x:c r="A26" s="48" t="str">
        <x:v>Chỉ có 36 chu kỳ đã hoàn tất và 9 lần giảm từ 10% trở lên; các kết quả đuôi sâu chịu ảnh hưởng mạnh của 2008, 2020 và 2022. Tín hiệu đang mở chưa đưa vào mẫu thống kê.</x:v>
      </x:c>
      <x:c r="B26" s="75" t="s">
        <x:v>208</x:v>
      </x:c>
    </x:row>
    <x:row r="27" ht="33.95000076293945" customHeight="1">
      <x:c r="A27" s="49" t="s">
        <x:v>209</x:v>
      </x:c>
      <x:c r="B27" s="76" t="s">
        <x:v>210</x:v>
      </x:c>
    </x:row>
    <x:row r="28" ht="33.95000076293945" customHeight="1">
      <x:c r="A28" s="49" t="s">
        <x:v>211</x:v>
      </x:c>
      <x:c r="B28" s="76" t="s">
        <x:v>212</x:v>
      </x:c>
    </x:row>
    <x:row r="29" ht="33.95000076293945" customHeight="1">
      <x:c r="A29" s="49" t="s">
        <x:v>213</x:v>
      </x:c>
      <x:c r="B29" s="76" t="s">
        <x:v>214</x:v>
      </x:c>
    </x:row>
  </x:sheetData>
  <x:mergeCells>
    <x:mergeCell ref="A24:H24"/>
    <x:mergeCell ref="A1:H2"/>
    <x:mergeCell ref="A3:H3"/>
    <x:mergeCell ref="A5:H5"/>
    <x:mergeCell ref="A15:H15"/>
    <x:mergeCell ref="A16:H22"/>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4.25"/>
  <x:cols>
    <x:col min="1" max="1" width="33" customWidth="1"/>
    <x:col min="2" max="4" width="14" customWidth="1"/>
    <x:col min="5" max="5" width="12" customWidth="1"/>
    <x:col min="6" max="6" width="16" customWidth="1"/>
    <x:col min="7" max="7" width="48" customWidth="1"/>
  </x:cols>
  <x:sheetData>
    <x:row r="1" ht="27.950000762939453" customHeight="1">
      <x:c r="A1" s="117" t="s">
        <x:v>215</x:v>
      </x:c>
      <x:c r="B1" s="118"/>
      <x:c r="C1" s="118"/>
      <x:c r="D1" s="118"/>
      <x:c r="E1" s="118"/>
      <x:c r="F1" s="118"/>
      <x:c r="G1" s="118"/>
    </x:row>
    <x:row r="2" ht="27.950000762939453" customHeight="1">
      <x:c r="A2" s="118"/>
      <x:c r="B2" s="118"/>
      <x:c r="C2" s="118"/>
      <x:c r="D2" s="118"/>
      <x:c r="E2" s="118"/>
      <x:c r="F2" s="118"/>
      <x:c r="G2" s="118"/>
    </x:row>
    <x:row r="3" ht="20.100000381469727" customHeight="1">
      <x:c r="A3" s="119" t="s">
        <x:v>216</x:v>
      </x:c>
      <x:c r="B3" s="118"/>
      <x:c r="C3" s="118"/>
      <x:c r="D3" s="118"/>
      <x:c r="E3" s="118"/>
      <x:c r="F3" s="118"/>
      <x:c r="G3" s="118"/>
    </x:row>
    <x:row r="5" ht="32.099998474121094" customHeight="1">
      <x:c r="A5" s="47" t="s">
        <x:v>217</x:v>
      </x:c>
      <x:c r="B5" s="47" t="s">
        <x:v>218</x:v>
      </x:c>
      <x:c r="C5" s="47" t="s">
        <x:v>219</x:v>
      </x:c>
      <x:c r="D5" s="47" t="s">
        <x:v>220</x:v>
      </x:c>
      <x:c r="E5" s="47" t="s">
        <x:v>221</x:v>
      </x:c>
      <x:c r="F5" s="47" t="s">
        <x:v>55</x:v>
      </x:c>
      <x:c r="G5" s="47" t="s">
        <x:v>90</x:v>
      </x:c>
    </x:row>
    <x:row r="6">
      <x:c r="A6" s="48" t="str">
        <x:v>Số sự kiện đã hoàn tất</x:v>
      </x:c>
      <x:c r="B6" s="77" t="n">
        <x:f>COUNTA('Phân tích sự kiện'!A5:A40)</x:f>
        <x:v>36</x:v>
      </x:c>
      <x:c r="C6" s="77">
        <x:v>36</x:v>
      </x:c>
      <x:c r="D6" s="48" t="n">
        <x:f>B6-C6</x:f>
        <x:v>0</x:v>
      </x:c>
      <x:c r="E6" s="48">
        <x:v>0</x:v>
      </x:c>
      <x:c r="F6" s="48" t="str">
        <x:f>IF(ABS(D6)&lt;=E6,"OK","LỖI")</x:f>
        <x:v>OK</x:v>
      </x:c>
      <x:c r="G6" s="48" t="s">
        <x:v>222</x:v>
      </x:c>
    </x:row>
    <x:row r="7">
      <x:c r="A7" s="49" t="s">
        <x:v>223</x:v>
      </x:c>
      <x:c r="B7" s="78" t="n">
        <x:f>SUM('Phân tích sự kiện'!O5:O40)</x:f>
        <x:v>19</x:v>
      </x:c>
      <x:c r="C7" s="78" t="n">
        <x:f>COUNTIF('Chi tiết sóng hồi'!C5:C65,5%)</x:f>
        <x:v>19</x:v>
      </x:c>
      <x:c r="D7" s="49" t="n">
        <x:f>B7-C7</x:f>
        <x:v>0</x:v>
      </x:c>
      <x:c r="E7" s="49">
        <x:v>0</x:v>
      </x:c>
      <x:c r="F7" s="49" t="str">
        <x:f>IF(ABS(D7)&lt;=E7,"OK","LỖI")</x:f>
        <x:v>OK</x:v>
      </x:c>
      <x:c r="G7" s="49" t="s">
        <x:v>224</x:v>
      </x:c>
    </x:row>
    <x:row r="8">
      <x:c r="A8" s="49" t="s">
        <x:v>225</x:v>
      </x:c>
      <x:c r="B8" s="78" t="n">
        <x:f>SUM('Phân tích sự kiện'!U5:U40)</x:f>
        <x:v>0</x:v>
      </x:c>
      <x:c r="C8" s="78">
        <x:v>0</x:v>
      </x:c>
      <x:c r="D8" s="49" t="n">
        <x:f>B8-C8</x:f>
        <x:v>0</x:v>
      </x:c>
      <x:c r="E8" s="49">
        <x:v>0</x:v>
      </x:c>
      <x:c r="F8" s="49" t="str">
        <x:f>IF(ABS(D8)&lt;=E8,"OK","LỖI")</x:f>
        <x:v>OK</x:v>
      </x:c>
      <x:c r="G8" s="49" t="s">
        <x:v>226</x:v>
      </x:c>
    </x:row>
    <x:row r="9">
      <x:c r="A9" s="49" t="s">
        <x:v>227</x:v>
      </x:c>
      <x:c r="B9" s="78" t="n">
        <x:f>COUNTIF('Phân tích sự kiện'!N5:P40,"&lt;0")</x:f>
        <x:v>0</x:v>
      </x:c>
      <x:c r="C9" s="78">
        <x:v>0</x:v>
      </x:c>
      <x:c r="D9" s="49" t="n">
        <x:f>B9-C9</x:f>
        <x:v>0</x:v>
      </x:c>
      <x:c r="E9" s="49">
        <x:v>0</x:v>
      </x:c>
      <x:c r="F9" s="49" t="str">
        <x:f>IF(ABS(D9)&lt;=E9,"OK","LỖI")</x:f>
        <x:v>OK</x:v>
      </x:c>
      <x:c r="G9" s="49" t="s">
        <x:v>228</x:v>
      </x:c>
    </x:row>
    <x:row r="10">
      <x:c r="A10" t="str">
        <x:v>Số tín hiệu đang mở</x:v>
      </x:c>
      <x:c r="B10" t="n">
        <x:f>COUNTIF('Sự kiện xác nhận'!M6:M42,"Chưa quay lại")</x:f>
        <x:v>1</x:v>
      </x:c>
      <x:c r="C10" t="n">
        <x:v>1</x:v>
      </x:c>
      <x:c r="D10" t="n">
        <x:f>B10-C10</x:f>
        <x:v>0</x:v>
      </x:c>
      <x:c r="E10" t="n">
        <x:v>0</x:v>
      </x:c>
      <x:c r="F10" t="str">
        <x:f>IF(ABS(D10)&lt;=E10,"OK","LỖI")</x:f>
        <x:v>OK</x:v>
      </x:c>
      <x:c r="G10" t="str">
        <x:v>Theo dõi tín hiệu bắt đầu 20/07/2026</x:v>
      </x:c>
    </x:row>
    <x:row r="12" ht="15.75">
      <x:c r="A12" s="172" t="s">
        <x:v>229</x:v>
      </x:c>
      <x:c r="B12" s="172"/>
      <x:c r="C12" s="79" t="str">
        <x:f>IF(COUNTIF(F6:F10,"LỖI")=0,"OK","CẦN KIỂM TRA")</x:f>
        <x:v>OK</x:v>
      </x:c>
    </x:row>
  </x:sheetData>
  <x:mergeCells>
    <x:mergeCell ref="A1:G2"/>
    <x:mergeCell ref="A3:G3"/>
    <x:mergeCell ref="A12:B12"/>
  </x:mergeCells>
  <x:conditionalFormatting sqref="F6:F9">
    <x:cfRule type="containsText" dxfId="2" priority="1" operator="containsText" text="OK"/>
    <x:cfRule type="containsText" dxfId="1" priority="2" operator="containsText" text="LỖI"/>
  </x:conditionalFormatting>
  <x:conditionalFormatting sqref="C12:C12">
    <x:cfRule type="containsText" dxfId="0" priority="3" operator="containsText" text="OK"/>
  </x:conditionalFormatting>
  <x:pageMargins left="0.7" right="0.7" top="0.75" bottom="0.75" header="0.3" footer="0.3"/>
</x:worksheet>
</file>